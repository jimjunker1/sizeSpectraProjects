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225" yWindow="-15" windowWidth="14295" windowHeight="810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E231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 s="1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 s="1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 s="1"/>
  <c r="EG194"/>
  <c r="FQ194" s="1"/>
  <c r="EF194"/>
  <c r="FP194" s="1"/>
  <c r="EE194"/>
  <c r="FO194" s="1"/>
  <c r="ED194"/>
  <c r="FN194" s="1"/>
  <c r="EC194"/>
  <c r="FM194" s="1"/>
  <c r="EB194"/>
  <c r="FL194"/>
  <c r="EA194"/>
  <c r="FK194" s="1"/>
  <c r="DZ194"/>
  <c r="FJ194" s="1"/>
  <c r="DY194"/>
  <c r="FI194" s="1"/>
  <c r="DX194"/>
  <c r="FH194" s="1"/>
  <c r="DW194"/>
  <c r="FG194" s="1"/>
  <c r="DV194"/>
  <c r="FF194" s="1"/>
  <c r="DU194"/>
  <c r="FE194" s="1"/>
  <c r="DT194"/>
  <c r="FD194"/>
  <c r="DS194"/>
  <c r="FC194" s="1"/>
  <c r="DR194"/>
  <c r="FB194" s="1"/>
  <c r="DQ194"/>
  <c r="FA194" s="1"/>
  <c r="DP194"/>
  <c r="EZ194" s="1"/>
  <c r="DO194"/>
  <c r="EY194" s="1"/>
  <c r="DN194"/>
  <c r="EX194" s="1"/>
  <c r="DM194"/>
  <c r="EW194" s="1"/>
  <c r="DL194"/>
  <c r="EV194"/>
  <c r="DK194"/>
  <c r="EU194" s="1"/>
  <c r="DJ194"/>
  <c r="ET194" s="1"/>
  <c r="DI194"/>
  <c r="ES194" s="1"/>
  <c r="DH194"/>
  <c r="ER194" s="1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 s="1"/>
  <c r="EE193"/>
  <c r="FO193" s="1"/>
  <c r="ED193"/>
  <c r="FN193" s="1"/>
  <c r="EC193"/>
  <c r="FM193" s="1"/>
  <c r="EB193"/>
  <c r="FL193" s="1"/>
  <c r="EA193"/>
  <c r="FK193" s="1"/>
  <c r="DZ193"/>
  <c r="FJ193" s="1"/>
  <c r="DY193"/>
  <c r="FI193" s="1"/>
  <c r="DX193"/>
  <c r="FH193" s="1"/>
  <c r="DW193"/>
  <c r="FG193" s="1"/>
  <c r="DV193"/>
  <c r="FF193" s="1"/>
  <c r="DU193"/>
  <c r="FE193" s="1"/>
  <c r="DT193"/>
  <c r="FD193" s="1"/>
  <c r="DS193"/>
  <c r="FC193" s="1"/>
  <c r="DR193"/>
  <c r="FB193" s="1"/>
  <c r="DQ193"/>
  <c r="FA193" s="1"/>
  <c r="DP193"/>
  <c r="EZ193" s="1"/>
  <c r="DO193"/>
  <c r="EY193" s="1"/>
  <c r="DN193"/>
  <c r="EX193" s="1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 s="1"/>
  <c r="EH192"/>
  <c r="FR192" s="1"/>
  <c r="EG192"/>
  <c r="FQ192" s="1"/>
  <c r="EF192"/>
  <c r="FP192" s="1"/>
  <c r="EE192"/>
  <c r="FO192" s="1"/>
  <c r="ED192"/>
  <c r="FN192" s="1"/>
  <c r="EC192"/>
  <c r="FM192" s="1"/>
  <c r="EB192"/>
  <c r="FL192" s="1"/>
  <c r="EA192"/>
  <c r="FK192" s="1"/>
  <c r="DZ192"/>
  <c r="FJ192" s="1"/>
  <c r="DY192"/>
  <c r="FI192" s="1"/>
  <c r="DX192"/>
  <c r="FH192" s="1"/>
  <c r="DW192"/>
  <c r="FG192" s="1"/>
  <c r="DV192"/>
  <c r="FF192" s="1"/>
  <c r="DU192"/>
  <c r="FE192" s="1"/>
  <c r="DT192"/>
  <c r="FD192" s="1"/>
  <c r="DS192"/>
  <c r="FC192" s="1"/>
  <c r="DR192"/>
  <c r="FB192" s="1"/>
  <c r="DQ192"/>
  <c r="FA192" s="1"/>
  <c r="DP192"/>
  <c r="EZ192" s="1"/>
  <c r="DO192"/>
  <c r="EY192" s="1"/>
  <c r="DN192"/>
  <c r="EX192" s="1"/>
  <c r="DM192"/>
  <c r="EW192"/>
  <c r="DL192"/>
  <c r="EV192" s="1"/>
  <c r="DK192"/>
  <c r="EU192" s="1"/>
  <c r="DJ192"/>
  <c r="ET192" s="1"/>
  <c r="DI192"/>
  <c r="ES192" s="1"/>
  <c r="DH192"/>
  <c r="ER192" s="1"/>
  <c r="DG192"/>
  <c r="EQ192" s="1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 s="1"/>
  <c r="DT191"/>
  <c r="FD191" s="1"/>
  <c r="DS191"/>
  <c r="FC191" s="1"/>
  <c r="DR191"/>
  <c r="FB191" s="1"/>
  <c r="DQ191"/>
  <c r="FA191" s="1"/>
  <c r="DP191"/>
  <c r="EZ191" s="1"/>
  <c r="DO191"/>
  <c r="EY191" s="1"/>
  <c r="DN191"/>
  <c r="EX191" s="1"/>
  <c r="DM191"/>
  <c r="EW191" s="1"/>
  <c r="DL191"/>
  <c r="EV191" s="1"/>
  <c r="DK191"/>
  <c r="EU191" s="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 s="1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 s="1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 s="1"/>
  <c r="DS190"/>
  <c r="FC190" s="1"/>
  <c r="DR190"/>
  <c r="FB190" s="1"/>
  <c r="DQ190"/>
  <c r="FA190" s="1"/>
  <c r="DP190"/>
  <c r="EZ190" s="1"/>
  <c r="DO190"/>
  <c r="EY190" s="1"/>
  <c r="DN190"/>
  <c r="EX190" s="1"/>
  <c r="DM190"/>
  <c r="EW190" s="1"/>
  <c r="DL190"/>
  <c r="EV190" s="1"/>
  <c r="DK190"/>
  <c r="EU190" s="1"/>
  <c r="DJ190"/>
  <c r="ET190" s="1"/>
  <c r="DI190"/>
  <c r="ES190" s="1"/>
  <c r="DH190"/>
  <c r="ER190" s="1"/>
  <c r="DG190"/>
  <c r="EQ190" s="1"/>
  <c r="DD190"/>
  <c r="CZ190"/>
  <c r="CM190"/>
  <c r="CL190"/>
  <c r="CK190"/>
  <c r="AY190"/>
  <c r="B190"/>
  <c r="DF189"/>
  <c r="EP189" s="1"/>
  <c r="FU189" s="1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0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6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3"/>
  <c r="CX184"/>
  <c r="CZ184"/>
  <c r="DF184"/>
  <c r="DL184"/>
  <c r="DT184"/>
  <c r="EA184"/>
  <c r="EI184"/>
  <c r="DD184"/>
  <c r="BA184"/>
  <c r="CM184"/>
  <c r="CL184"/>
  <c r="CK184"/>
  <c r="AY184"/>
  <c r="B185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7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8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2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4"/>
  <c r="CX179"/>
  <c r="CZ179"/>
  <c r="DP179"/>
  <c r="DR179"/>
  <c r="EF179"/>
  <c r="EH179"/>
  <c r="DD179"/>
  <c r="DC179" s="1"/>
  <c r="BA179"/>
  <c r="CM179"/>
  <c r="CL179"/>
  <c r="CK179"/>
  <c r="AY179"/>
  <c r="B181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79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9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5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3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68"/>
  <c r="CZ172"/>
  <c r="DD172"/>
  <c r="DE172" s="1"/>
  <c r="DC172"/>
  <c r="BA172"/>
  <c r="CM172" s="1"/>
  <c r="CL172"/>
  <c r="CK172"/>
  <c r="AY172"/>
  <c r="B176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2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7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0"/>
  <c r="CX168"/>
  <c r="CZ168"/>
  <c r="DZ168" s="1"/>
  <c r="DJ168"/>
  <c r="DP168"/>
  <c r="EF168"/>
  <c r="DD168"/>
  <c r="DC168" s="1"/>
  <c r="DE168"/>
  <c r="CL168"/>
  <c r="CK168"/>
  <c r="AY168"/>
  <c r="B171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0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5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59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6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3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4"/>
  <c r="CX161"/>
  <c r="CZ161"/>
  <c r="DP161"/>
  <c r="DV161"/>
  <c r="DD161"/>
  <c r="BA161"/>
  <c r="CM161"/>
  <c r="CL161"/>
  <c r="CK161"/>
  <c r="AY161"/>
  <c r="B162"/>
  <c r="CW160"/>
  <c r="CX160"/>
  <c r="CZ160"/>
  <c r="EB160"/>
  <c r="ED160"/>
  <c r="DD160"/>
  <c r="DC160" s="1"/>
  <c r="DE160"/>
  <c r="BA160"/>
  <c r="CM160"/>
  <c r="CL160"/>
  <c r="CK160"/>
  <c r="AY160"/>
  <c r="B158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1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9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1"/>
  <c r="CZ155"/>
  <c r="DK155" s="1"/>
  <c r="DG155"/>
  <c r="DO155"/>
  <c r="DW155"/>
  <c r="EE155"/>
  <c r="DD155"/>
  <c r="DE155"/>
  <c r="DC155"/>
  <c r="BA155"/>
  <c r="CM155" s="1"/>
  <c r="CL155"/>
  <c r="CK155"/>
  <c r="AY155"/>
  <c r="B154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48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5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2"/>
  <c r="DK151"/>
  <c r="DG151"/>
  <c r="DO151"/>
  <c r="DW151"/>
  <c r="EE151"/>
  <c r="DD151"/>
  <c r="DC151" s="1"/>
  <c r="B156"/>
  <c r="DG150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B150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3"/>
  <c r="CZ148"/>
  <c r="DF148"/>
  <c r="DJ148"/>
  <c r="DN148"/>
  <c r="DR148"/>
  <c r="DV148"/>
  <c r="DZ148"/>
  <c r="ED148"/>
  <c r="EH148"/>
  <c r="DD148"/>
  <c r="CL148"/>
  <c r="CK148"/>
  <c r="AY148"/>
  <c r="B157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6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3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8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4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5"/>
  <c r="CX142"/>
  <c r="CZ142"/>
  <c r="DI142"/>
  <c r="DM142"/>
  <c r="EW142" s="1"/>
  <c r="DN142"/>
  <c r="DO142"/>
  <c r="DP142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0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2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7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1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4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8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1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6"/>
  <c r="CZ133"/>
  <c r="DG133" s="1"/>
  <c r="DD133"/>
  <c r="DE133"/>
  <c r="DC133"/>
  <c r="BA133"/>
  <c r="CM133" s="1"/>
  <c r="CL133"/>
  <c r="CK133"/>
  <c r="AY133"/>
  <c r="B135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3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2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29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0"/>
  <c r="CW128"/>
  <c r="CX128"/>
  <c r="CZ128"/>
  <c r="DH128"/>
  <c r="DL128"/>
  <c r="DP128"/>
  <c r="DT128"/>
  <c r="DX128"/>
  <c r="EB128"/>
  <c r="EF128"/>
  <c r="EJ128"/>
  <c r="DD128"/>
  <c r="CL128"/>
  <c r="CK128"/>
  <c r="AY128"/>
  <c r="B137"/>
  <c r="CX127"/>
  <c r="CZ127"/>
  <c r="DD127"/>
  <c r="DE127"/>
  <c r="DC127"/>
  <c r="BA127"/>
  <c r="CM127" s="1"/>
  <c r="CL127"/>
  <c r="CK127"/>
  <c r="AY127"/>
  <c r="B125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0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1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4"/>
  <c r="CX123"/>
  <c r="CZ123"/>
  <c r="DD123"/>
  <c r="DE123"/>
  <c r="DC123"/>
  <c r="BA123"/>
  <c r="CM123" s="1"/>
  <c r="CL123"/>
  <c r="CK123"/>
  <c r="AY123"/>
  <c r="B122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7"/>
  <c r="CW121"/>
  <c r="CX121"/>
  <c r="CZ121"/>
  <c r="DD121"/>
  <c r="BA121"/>
  <c r="CM121"/>
  <c r="CL121"/>
  <c r="CK121"/>
  <c r="AY121"/>
  <c r="B123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18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19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6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6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1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12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5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3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4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08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7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09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0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1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4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6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3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0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2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99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7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98"/>
  <c r="CZ98"/>
  <c r="DI98"/>
  <c r="DM98"/>
  <c r="DQ98"/>
  <c r="DU98"/>
  <c r="DY98"/>
  <c r="EC98"/>
  <c r="EG98"/>
  <c r="DD98"/>
  <c r="DE98" s="1"/>
  <c r="DC98"/>
  <c r="CL98"/>
  <c r="CK98"/>
  <c r="AY98"/>
  <c r="B105"/>
  <c r="CZ97"/>
  <c r="DG97" s="1"/>
  <c r="DD97"/>
  <c r="DE97" s="1"/>
  <c r="DC97"/>
  <c r="BA97"/>
  <c r="CM97" s="1"/>
  <c r="CL97"/>
  <c r="CK97"/>
  <c r="AY97"/>
  <c r="B88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2"/>
  <c r="CZ95"/>
  <c r="DD95"/>
  <c r="DE95" s="1"/>
  <c r="DC95"/>
  <c r="BA95"/>
  <c r="CM95" s="1"/>
  <c r="CL95"/>
  <c r="CK95"/>
  <c r="AY95"/>
  <c r="B91"/>
  <c r="CZ94"/>
  <c r="DF94"/>
  <c r="DG94"/>
  <c r="DH94"/>
  <c r="DI94"/>
  <c r="ES94" s="1"/>
  <c r="DJ94"/>
  <c r="DK94"/>
  <c r="DL94"/>
  <c r="DM94"/>
  <c r="EW94" s="1"/>
  <c r="DN94"/>
  <c r="DO94"/>
  <c r="DP94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3"/>
  <c r="CZ93"/>
  <c r="DD93"/>
  <c r="DE93" s="1"/>
  <c r="DC93"/>
  <c r="BA93"/>
  <c r="CM93" s="1"/>
  <c r="CL93"/>
  <c r="CK93"/>
  <c r="AY93"/>
  <c r="B94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0"/>
  <c r="CZ91"/>
  <c r="DG91" s="1"/>
  <c r="DD91"/>
  <c r="DE91" s="1"/>
  <c r="DC91"/>
  <c r="BA91"/>
  <c r="CM91" s="1"/>
  <c r="CL91"/>
  <c r="CK91"/>
  <c r="AY91"/>
  <c r="B89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95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7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DE151" l="1"/>
  <c r="DE150"/>
  <c r="EZ94"/>
  <c r="EZ99"/>
  <c r="EZ142"/>
  <c r="EZ143"/>
  <c r="EZ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5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E426" l="1"/>
  <c r="AE444" s="1"/>
  <c r="V426"/>
  <c r="V444" s="1"/>
  <c r="AH425"/>
  <c r="AH443" s="1"/>
  <c r="W424"/>
  <c r="W442" s="1"/>
  <c r="V431"/>
  <c r="V449" s="1"/>
  <c r="T432"/>
  <c r="T450" s="1"/>
  <c r="AB425"/>
  <c r="AB443" s="1"/>
  <c r="AI427"/>
  <c r="AI445" s="1"/>
  <c r="AF425"/>
  <c r="AF443" s="1"/>
  <c r="R426"/>
  <c r="R444" s="1"/>
  <c r="AH426"/>
  <c r="AH444" s="1"/>
  <c r="V428"/>
  <c r="V446" s="1"/>
  <c r="Z430"/>
  <c r="Z448" s="1"/>
  <c r="AF423"/>
  <c r="AF441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O426"/>
  <c r="O444" s="1"/>
  <c r="R425"/>
  <c r="R443" s="1"/>
  <c r="AB423"/>
  <c r="AB441" s="1"/>
  <c r="AH429"/>
  <c r="AH447" s="1"/>
  <c r="T423"/>
  <c r="T441" s="1"/>
  <c r="S61"/>
  <c r="S432"/>
  <c r="S450" s="1"/>
  <c r="AC432"/>
  <c r="AC450" s="1"/>
  <c r="AC424"/>
  <c r="AC442" s="1"/>
  <c r="X429"/>
  <c r="X447" s="1"/>
  <c r="AK423"/>
  <c r="AK441" s="1"/>
  <c r="AH424"/>
  <c r="AH442" s="1"/>
  <c r="AA426"/>
  <c r="AA444" s="1"/>
  <c r="N424"/>
  <c r="N442" s="1"/>
  <c r="W426"/>
  <c r="W444" s="1"/>
  <c r="N426"/>
  <c r="N444" s="1"/>
  <c r="AH428"/>
  <c r="AH446" s="1"/>
  <c r="N425"/>
  <c r="N443" s="1"/>
  <c r="V425"/>
  <c r="V443" s="1"/>
  <c r="AD425"/>
  <c r="AD443" s="1"/>
  <c r="V430"/>
  <c r="V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V424"/>
  <c r="V442" s="1"/>
  <c r="Z428"/>
  <c r="Z446" s="1"/>
  <c r="Z425"/>
  <c r="Z443" s="1"/>
  <c r="N430"/>
  <c r="N448" s="1"/>
  <c r="AD430"/>
  <c r="AD448" s="1"/>
  <c r="AJ423"/>
  <c r="AJ441" s="1"/>
  <c r="H423"/>
  <c r="H441" s="1"/>
  <c r="V427"/>
  <c r="V445" s="1"/>
  <c r="AH431"/>
  <c r="AH449" s="1"/>
  <c r="W423"/>
  <c r="W441" s="1"/>
  <c r="J427"/>
  <c r="J445" s="1"/>
  <c r="N429"/>
  <c r="N447" s="1"/>
  <c r="N423"/>
  <c r="N441" s="1"/>
  <c r="AD423"/>
  <c r="AD441" s="1"/>
  <c r="M423"/>
  <c r="M441" s="1"/>
  <c r="AA432"/>
  <c r="AA450" s="1"/>
  <c r="Q425"/>
  <c r="Q443" s="1"/>
  <c r="AE425"/>
  <c r="AE443" s="1"/>
  <c r="Q426"/>
  <c r="Q444" s="1"/>
  <c r="AG426"/>
  <c r="AG444" s="1"/>
  <c r="H427"/>
  <c r="H445" s="1"/>
  <c r="Q427"/>
  <c r="Q445" s="1"/>
  <c r="AK427"/>
  <c r="AK445" s="1"/>
  <c r="S427"/>
  <c r="S445" s="1"/>
  <c r="AC428"/>
  <c r="AC446" s="1"/>
  <c r="AF428"/>
  <c r="AF446" s="1"/>
  <c r="P428"/>
  <c r="P446" s="1"/>
  <c r="K428"/>
  <c r="K446" s="1"/>
  <c r="AA428"/>
  <c r="AA446" s="1"/>
  <c r="U428"/>
  <c r="U446" s="1"/>
  <c r="S429"/>
  <c r="S447" s="1"/>
  <c r="I429"/>
  <c r="I447" s="1"/>
  <c r="Y429"/>
  <c r="Y447" s="1"/>
  <c r="H430"/>
  <c r="H448" s="1"/>
  <c r="O430"/>
  <c r="O448" s="1"/>
  <c r="AI430"/>
  <c r="AI448" s="1"/>
  <c r="AK430"/>
  <c r="AK448" s="1"/>
  <c r="M430"/>
  <c r="M448" s="1"/>
  <c r="P431"/>
  <c r="P449" s="1"/>
  <c r="Q431"/>
  <c r="Q449" s="1"/>
  <c r="H431"/>
  <c r="H449" s="1"/>
  <c r="K431"/>
  <c r="K449" s="1"/>
  <c r="AI431"/>
  <c r="AI449" s="1"/>
  <c r="X428"/>
  <c r="X446" s="1"/>
  <c r="L424"/>
  <c r="L442" s="1"/>
  <c r="AB424"/>
  <c r="AB442" s="1"/>
  <c r="K425"/>
  <c r="K443" s="1"/>
  <c r="U425"/>
  <c r="U443" s="1"/>
  <c r="AK425"/>
  <c r="AK443" s="1"/>
  <c r="AB426"/>
  <c r="AB444" s="1"/>
  <c r="AJ427"/>
  <c r="AJ445" s="1"/>
  <c r="AF430"/>
  <c r="AF448" s="1"/>
  <c r="X426"/>
  <c r="X444" s="1"/>
  <c r="P430"/>
  <c r="P448" s="1"/>
  <c r="R424"/>
  <c r="R442" s="1"/>
  <c r="K426"/>
  <c r="K444" s="1"/>
  <c r="AD424"/>
  <c r="AD442" s="1"/>
  <c r="AD426"/>
  <c r="AD444" s="1"/>
  <c r="R428"/>
  <c r="R446" s="1"/>
  <c r="J424"/>
  <c r="J442" s="1"/>
  <c r="Z424"/>
  <c r="Z442" s="1"/>
  <c r="S426"/>
  <c r="S444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F216"/>
  <c r="FU131"/>
  <c r="DF214"/>
  <c r="DF212"/>
  <c r="DF218"/>
  <c r="FU137"/>
  <c r="DF219"/>
  <c r="DF217"/>
  <c r="DF221"/>
  <c r="FR168"/>
  <c r="FT168"/>
  <c r="FS168"/>
  <c r="FC168"/>
  <c r="FH118"/>
  <c r="FO98"/>
  <c r="FG148"/>
  <c r="EY148"/>
  <c r="FM88"/>
  <c r="FE88"/>
  <c r="FQ128"/>
  <c r="ES128"/>
  <c r="FT98"/>
  <c r="FD98"/>
  <c r="FK108"/>
  <c r="ER168"/>
  <c r="FR118"/>
  <c r="FB118"/>
  <c r="FB128"/>
  <c r="FK98"/>
  <c r="EZ148"/>
  <c r="FI148"/>
  <c r="FK128"/>
  <c r="EU128"/>
  <c r="FF98"/>
  <c r="FA108"/>
  <c r="FI108"/>
  <c r="FQ108"/>
  <c r="FH168"/>
  <c r="FD168"/>
  <c r="FO168"/>
  <c r="FG168"/>
  <c r="EQ168"/>
  <c r="FT118"/>
  <c r="FL118"/>
  <c r="FD118"/>
  <c r="EX128"/>
  <c r="FN128"/>
  <c r="FA118"/>
  <c r="FQ118"/>
  <c r="EQ98"/>
  <c r="FG98"/>
  <c r="FT148"/>
  <c r="FD148"/>
  <c r="FS148"/>
  <c r="FK148"/>
  <c r="FC148"/>
  <c r="FQ88"/>
  <c r="FI88"/>
  <c r="ES88"/>
  <c r="FM128"/>
  <c r="FE128"/>
  <c r="EW128"/>
  <c r="FP98"/>
  <c r="FH98"/>
  <c r="ER98"/>
  <c r="DF215"/>
  <c r="FU102"/>
  <c r="FU162"/>
  <c r="FE108"/>
  <c r="FM108"/>
  <c r="FN168"/>
  <c r="FK168"/>
  <c r="FP118"/>
  <c r="EZ118"/>
  <c r="FF128"/>
  <c r="FI118"/>
  <c r="FL148"/>
  <c r="FO148"/>
  <c r="FI128"/>
  <c r="FA128"/>
  <c r="FL98"/>
  <c r="EW178"/>
  <c r="FU178" s="1"/>
  <c r="FC108"/>
  <c r="FS108"/>
  <c r="FM168"/>
  <c r="FE168"/>
  <c r="FJ118"/>
  <c r="FR128"/>
  <c r="FE118"/>
  <c r="FP148"/>
  <c r="FQ148"/>
  <c r="FA148"/>
  <c r="FO88"/>
  <c r="FG88"/>
  <c r="EQ88"/>
  <c r="FS128"/>
  <c r="FC128"/>
  <c r="FN98"/>
  <c r="EY108"/>
  <c r="FG108"/>
  <c r="FO108"/>
  <c r="FB168"/>
  <c r="FF168"/>
  <c r="FL168"/>
  <c r="FQ168"/>
  <c r="FI168"/>
  <c r="FA168"/>
  <c r="FN118"/>
  <c r="FF118"/>
  <c r="EX118"/>
  <c r="ET128"/>
  <c r="FJ128"/>
  <c r="FM118"/>
  <c r="FC98"/>
  <c r="FS98"/>
  <c r="FH148"/>
  <c r="FM148"/>
  <c r="FE148"/>
  <c r="FS88"/>
  <c r="FK88"/>
  <c r="FC88"/>
  <c r="FO128"/>
  <c r="FG128"/>
  <c r="EY128"/>
  <c r="FR98"/>
  <c r="FJ98"/>
  <c r="FB98"/>
  <c r="ET98"/>
  <c r="FU170"/>
  <c r="FU173"/>
  <c r="FU125"/>
  <c r="FU106"/>
  <c r="DF220"/>
  <c r="DF213"/>
  <c r="FU129"/>
  <c r="FU158"/>
  <c r="EK171"/>
  <c r="EK156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C431" s="1"/>
  <c r="J429"/>
  <c r="J447" s="1"/>
  <c r="C447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J449" l="1"/>
  <c r="C449" s="1"/>
  <c r="C429"/>
  <c r="K482"/>
  <c r="AE7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<sst xmlns="http://schemas.openxmlformats.org/spreadsheetml/2006/main" count="1094" uniqueCount="150">
  <si>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</si>
  <si>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</si>
  <si>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</si>
  <si>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</si>
  <si>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</si>
  <si>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</si>
  <si>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</si>
  <si>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</si>
  <si>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</si>
  <si>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</si>
  <si>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</si>
  <si>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</si>
  <si>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</si>
  <si>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</si>
  <si>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</si>
  <si>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</si>
  <si>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</si>
  <si>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</si>
  <si>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</si>
  <si>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</si>
  <si>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</si>
  <si>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</si>
  <si>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</si>
  <si>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</si>
  <si>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</si>
  <si>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</si>
  <si>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</si>
  <si>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</si>
  <si>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</si>
  <si>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</si>
  <si>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</si>
  <si>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</si>
  <si>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</si>
  <si>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</si>
  <si>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</si>
  <si>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</si>
  <si>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</si>
  <si>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</si>
  <si>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</si>
  <si>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</si>
  <si>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</si>
  <si>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</si>
  <si>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</si>
  <si>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</si>
  <si>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</si>
  <si>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</si>
  <si>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</si>
  <si>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</si>
  <si>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</si>
  <si>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</si>
  <si>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</si>
  <si>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</si>
  <si>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</si>
  <si>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</si>
  <si>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</si>
  <si>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</si>
  <si>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</si>
  <si>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</si>
  <si>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</si>
  <si>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</si>
  <si>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</si>
  <si>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</si>
  <si>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</si>
  <si>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</si>
  <si>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</si>
  <si>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</si>
  <si>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</si>
  <si>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</si>
  <si>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</si>
  <si>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</si>
  <si>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</si>
  <si>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</si>
  <si>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</si>
  <si>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</si>
  <si>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</si>
  <si>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</si>
  <si>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</si>
  <si>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</si>
  <si>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</si>
  <si>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</si>
  <si>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</si>
  <si>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</si>
  <si>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</si>
  <si>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</si>
  <si>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</si>
  <si>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</si>
  <si>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</si>
  <si>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</si>
  <si>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</si>
  <si>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</si>
  <si>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</si>
  <si>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</si>
  <si>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</si>
  <si>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</si>
  <si>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</si>
  <si>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</si>
  <si>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</si>
  <si>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</si>
  <si>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</si>
  <si>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</si>
  <si>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</si>
  <si>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</si>
  <si>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</si>
  <si>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</si>
  <si>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</si>
  <si>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</si>
  <si>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</si>
  <si>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</si>
  <si>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</si>
  <si>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</si>
  <si>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</si>
  <si>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</si>
  <si>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</si>
  <si>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</si>
  <si>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</si>
  <si>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</si>
  <si>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</si>
  <si>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</si>
  <si>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</si>
  <si>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</si>
  <si>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</si>
  <si>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</si>
  <si>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</si>
  <si>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</si>
  <si>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</si>
  <si>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</si>
  <si>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</si>
  <si>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</si>
  <si>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</si>
  <si>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</si>
  <si>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</si>
  <si>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</si>
  <si>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</si>
  <si>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</si>
  <si>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</si>
  <si>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</si>
  <si>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</si>
  <si>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</si>
  <si>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</si>
  <si>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</si>
  <si>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</si>
  <si>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</si>
  <si>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</si>
  <si>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</si>
  <si>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</si>
  <si>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</si>
  <si>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</si>
  <si>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Avg. Boot Prod</t>
  </si>
  <si>
    <t>Inerval Growth Prod - Boot</t>
  </si>
  <si>
    <t>Tipulidae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</si>
</sst>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5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3003"/>
  <sheetViews>
    <sheetView tabSelected="1" topLeftCell="FD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31" t="s">
        <v>148</v>
      </c>
      <c r="GD2" s="231"/>
      <c r="GE2" s="231"/>
      <c r="GF2" s="231"/>
      <c r="GG2" s="231"/>
      <c r="GH2" s="231"/>
      <c r="GI2" s="231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10.350548552754436</v>
      </c>
      <c r="N4" s="130">
        <v>18.280195996882124</v>
      </c>
      <c r="O4" s="130">
        <v>145.55344543233784</v>
      </c>
      <c r="P4" s="130">
        <v>35.362867695439604</v>
      </c>
      <c r="Q4" s="130">
        <v>17.42065124599727</v>
      </c>
      <c r="R4" s="130">
        <v>80.276260481518349</v>
      </c>
      <c r="S4" s="131">
        <v>8.2499059697724597</v>
      </c>
      <c r="T4" s="131">
        <v>-4.6661182913050219</v>
      </c>
      <c r="U4" s="5"/>
      <c r="V4" s="4"/>
      <c r="W4" s="127">
        <f t="shared" ref="W4:W13" si="0">C4</f>
        <v>39646</v>
      </c>
      <c r="X4" s="132">
        <f>AVERAGE(EK88:EK97)</f>
        <v>3.125</v>
      </c>
      <c r="Y4" s="131">
        <f>COUNT(EK88:EK97)</f>
        <v>10</v>
      </c>
      <c r="Z4" s="130">
        <f>STDEV(EK88:EK97)</f>
        <v>5.031728036871332</v>
      </c>
      <c r="AA4" s="130">
        <f>Z4/SQRT(Y4)</f>
        <v>1.5911721163041108</v>
      </c>
      <c r="AB4" s="131"/>
      <c r="AC4" s="130">
        <f>AVERAGE($FU88:$FU97)</f>
        <v>10.974280946950165</v>
      </c>
      <c r="AD4" s="132">
        <f>COUNT($FU88:$FU97)</f>
        <v>10</v>
      </c>
      <c r="AE4" s="130">
        <f>STDEV($FU88:$FU97)</f>
        <v>30.892228526532243</v>
      </c>
      <c r="AF4" s="130">
        <f>AE4/SQRT(AD4)</f>
        <v>9.7689804142269239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4" t="s">
        <v>146</v>
      </c>
      <c r="FK4" s="234"/>
      <c r="FL4" s="234"/>
      <c r="FM4" s="234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10.290498934990641</v>
      </c>
      <c r="N5" s="130">
        <f t="shared" si="1"/>
        <v>18.326538043522945</v>
      </c>
      <c r="O5" s="130">
        <f t="shared" si="1"/>
        <v>146.57319102498866</v>
      </c>
      <c r="P5" s="130">
        <f t="shared" si="1"/>
        <v>35.260378288262629</v>
      </c>
      <c r="Q5" s="130">
        <f t="shared" si="1"/>
        <v>17.45242481471691</v>
      </c>
      <c r="R5" s="130">
        <f t="shared" si="1"/>
        <v>108.52682491967838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15.922619047619047</v>
      </c>
      <c r="Y5" s="131">
        <f>COUNT(EK98:EK107)</f>
        <v>10</v>
      </c>
      <c r="Z5" s="130">
        <f>STDEV(EK98:EK107)</f>
        <v>46.806318836842806</v>
      </c>
      <c r="AA5" s="130">
        <f t="shared" ref="AA5:AA13" si="2">Z5/SQRT(Y5)</f>
        <v>14.801457641246639</v>
      </c>
      <c r="AB5" s="131"/>
      <c r="AC5" s="130">
        <f>AVERAGE($FU98:$FU107)</f>
        <v>8.161570252245955</v>
      </c>
      <c r="AD5" s="132">
        <f>COUNT($FU98:$FU107)</f>
        <v>10</v>
      </c>
      <c r="AE5" s="130">
        <f>STDEV($FU98:$FU107)</f>
        <v>20.672095956548489</v>
      </c>
      <c r="AF5" s="130">
        <f t="shared" ref="AF5:AF13" si="3">AE5/SQRT(AD5)</f>
        <v>6.5370907232250364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15.167324273459384</v>
      </c>
      <c r="N6" s="130">
        <f t="shared" si="4"/>
        <v>27.873161927482673</v>
      </c>
      <c r="O6" s="130">
        <f t="shared" si="4"/>
        <v>233.74185279351664</v>
      </c>
      <c r="P6" s="130">
        <f t="shared" si="4"/>
        <v>58.60911806442904</v>
      </c>
      <c r="Q6" s="130">
        <f t="shared" si="4"/>
        <v>26.877466148187231</v>
      </c>
      <c r="R6" s="130">
        <f t="shared" si="4"/>
        <v>260.75389549197541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11.458333333333334</v>
      </c>
      <c r="Y6" s="131">
        <f>COUNT(EK108:EK117)</f>
        <v>10</v>
      </c>
      <c r="Z6" s="130">
        <f>STDEV(EK108:EK117)</f>
        <v>29.236853381973454</v>
      </c>
      <c r="AA6" s="130">
        <f t="shared" si="2"/>
        <v>9.2455048303432967</v>
      </c>
      <c r="AB6" s="131"/>
      <c r="AC6" s="130">
        <f>AVERAGE($FU108:$FU117)</f>
        <v>20.408992496678287</v>
      </c>
      <c r="AD6" s="132">
        <f>COUNT($FU108:$FU117)</f>
        <v>10</v>
      </c>
      <c r="AE6" s="130">
        <f>STDEV($FU108:$FU117)</f>
        <v>43.761924017746026</v>
      </c>
      <c r="AF6" s="130">
        <f t="shared" si="3"/>
        <v>13.83873546873043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2" t="s">
        <v>147</v>
      </c>
      <c r="FJ6" s="232"/>
      <c r="FK6" s="233" t="s">
        <v>144</v>
      </c>
      <c r="FL6" s="233"/>
      <c r="FM6" s="233" t="s">
        <v>145</v>
      </c>
      <c r="FN6" s="233"/>
      <c r="FO6" s="5"/>
      <c r="FY6" s="210">
        <v>1</v>
      </c>
      <c r="FZ6">
        <v>1.0854447331956976</v>
      </c>
      <c r="GA6">
        <v>14.156395146793828</v>
      </c>
      <c r="GB6">
        <v>5.8411698760360533</v>
      </c>
      <c r="GC6">
        <v>0.71270346333338941</v>
      </c>
      <c r="GD6">
        <v>0.95520202137535692</v>
      </c>
      <c r="GE6">
        <v>1.4906563924802814</v>
      </c>
      <c r="GF6">
        <v>3.1342687996356551</v>
      </c>
      <c r="GG6">
        <v>2.7862839533742965</v>
      </c>
      <c r="GH6">
        <v>1.0530320059695661</v>
      </c>
      <c r="GI6">
        <v>4.3259117478672566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6.0658892463235299</v>
      </c>
      <c r="N7" s="130">
        <f t="shared" si="5"/>
        <v>9.9356888457224279</v>
      </c>
      <c r="O7" s="130">
        <f t="shared" si="5"/>
        <v>74.448175062283639</v>
      </c>
      <c r="P7" s="130">
        <f t="shared" si="5"/>
        <v>17.152824011046224</v>
      </c>
      <c r="Q7" s="130">
        <f t="shared" si="5"/>
        <v>9.3804487176015421</v>
      </c>
      <c r="R7" s="130">
        <f t="shared" si="5"/>
        <v>52.288104100899666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7.8125</v>
      </c>
      <c r="Y7" s="131">
        <f>COUNT(EK118:EK127)</f>
        <v>10</v>
      </c>
      <c r="Z7" s="130">
        <f>STDEV(EK118:EK127)</f>
        <v>9.5879869940861635</v>
      </c>
      <c r="AA7" s="130">
        <f t="shared" si="2"/>
        <v>3.0319877077383643</v>
      </c>
      <c r="AB7" s="131"/>
      <c r="AC7" s="130">
        <f>AVERAGE($FU118:$FU127)</f>
        <v>13.250345702645353</v>
      </c>
      <c r="AD7" s="132">
        <f>COUNT($FU118:$FU127)</f>
        <v>10</v>
      </c>
      <c r="AE7" s="130">
        <f>STDEV($FU118:$FU127)</f>
        <v>39.493377267519413</v>
      </c>
      <c r="AF7" s="130">
        <f t="shared" si="3"/>
        <v>12.488902465767834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8">
        <f>AVERAGE(FZ6:FZ1005)</f>
        <v>6.1793838224460043</v>
      </c>
      <c r="FJ7" s="228"/>
      <c r="FK7" s="228">
        <f>PERCENTILE($FZ$6:$FZ$1005,0.975)</f>
        <v>13.360812237672771</v>
      </c>
      <c r="FL7" s="228"/>
      <c r="FM7" s="228">
        <f>PERCENTILE($FZ$6:$FZ$1005,0.025)</f>
        <v>0.54272236659784878</v>
      </c>
      <c r="FN7" s="228"/>
      <c r="FO7" s="5"/>
      <c r="FY7" s="210">
        <v>2</v>
      </c>
      <c r="FZ7">
        <v>1.4248795701864641</v>
      </c>
      <c r="GA7">
        <v>0.97432111472224658</v>
      </c>
      <c r="GB7">
        <v>8.6040425139242482E-2</v>
      </c>
      <c r="GC7">
        <v>0.94496606807696926</v>
      </c>
      <c r="GD7">
        <v>1.4324649182585647</v>
      </c>
      <c r="GE7">
        <v>2.4704024844923662</v>
      </c>
      <c r="GF7">
        <v>3.841124583655696</v>
      </c>
      <c r="GG7">
        <v>2.4324324403942232</v>
      </c>
      <c r="GH7">
        <v>0.40861888541082891</v>
      </c>
      <c r="GI7">
        <v>4.0118167709483572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19.791666666666668</v>
      </c>
      <c r="Y8" s="131">
        <f>COUNT(EK128:EK137)</f>
        <v>10</v>
      </c>
      <c r="Z8" s="130">
        <f>STDEV(EK128:EK137)</f>
        <v>30.842247210003404</v>
      </c>
      <c r="AA8" s="130">
        <f t="shared" si="2"/>
        <v>9.7531749341584284</v>
      </c>
      <c r="AB8" s="131"/>
      <c r="AC8" s="130">
        <f>AVERAGE($FU128:$FU137)</f>
        <v>3.529513330781092</v>
      </c>
      <c r="AD8" s="132">
        <f>COUNT($FU128:$FU137)</f>
        <v>10</v>
      </c>
      <c r="AE8" s="130">
        <f>STDEV($FU128:$FU137)</f>
        <v>6.9134410175440664</v>
      </c>
      <c r="AF8" s="130">
        <f t="shared" si="3"/>
        <v>2.1862220084671349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8">
        <f>AVERAGE(GA6:GA1005)</f>
        <v>11.624046270583506</v>
      </c>
      <c r="FJ8" s="228"/>
      <c r="FK8" s="228">
        <f>PERCENTILE($GA$6:$GA$1005,0.975)</f>
        <v>24.520192269282763</v>
      </c>
      <c r="FL8" s="228"/>
      <c r="FM8" s="228">
        <f>PERCENTILE($GA$6:$GA$1005,0.025)</f>
        <v>1.3729964006441531</v>
      </c>
      <c r="FN8" s="228"/>
      <c r="FO8" s="5"/>
      <c r="FY8" s="210">
        <v>3</v>
      </c>
      <c r="FZ8">
        <v>7.3958404111000089</v>
      </c>
      <c r="GA8">
        <v>10.211831467377623</v>
      </c>
      <c r="GB8">
        <v>3.2042715225489844</v>
      </c>
      <c r="GC8">
        <v>0.43534341575836433</v>
      </c>
      <c r="GD8">
        <v>1.208836573952456</v>
      </c>
      <c r="GE8">
        <v>2.6470308033906429</v>
      </c>
      <c r="GF8">
        <v>2.4762260408140278</v>
      </c>
      <c r="GG8">
        <v>1.3641019447390237</v>
      </c>
      <c r="GH8">
        <v>0.40861888541082891</v>
      </c>
      <c r="GI8">
        <v>4.6314472059963165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13.541666666666666</v>
      </c>
      <c r="Y9" s="131">
        <f>COUNT(EK138:EK147)</f>
        <v>10</v>
      </c>
      <c r="Z9" s="130">
        <f>STDEV(EK138:EK147)</f>
        <v>19.049814894923891</v>
      </c>
      <c r="AA9" s="130">
        <f t="shared" si="2"/>
        <v>6.0240804072560659</v>
      </c>
      <c r="AB9" s="131"/>
      <c r="AC9" s="130">
        <f>AVERAGE($FU138:$FU147)</f>
        <v>42.618012741721557</v>
      </c>
      <c r="AD9" s="132">
        <f>COUNT($FU138:$FU147)</f>
        <v>10</v>
      </c>
      <c r="AE9" s="130">
        <f>STDEV($FU138:$FU147)</f>
        <v>64.821005601294672</v>
      </c>
      <c r="AF9" s="130">
        <f t="shared" si="3"/>
        <v>20.49820179226235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8">
        <f>AVERAGE(GB6:GB1005)</f>
        <v>3.3189686281790856</v>
      </c>
      <c r="FJ9" s="228"/>
      <c r="FK9" s="228">
        <f>PERCENTILE($GB$6:$GB$1005,0.975)</f>
        <v>8.1686342410264121</v>
      </c>
      <c r="FL9" s="228"/>
      <c r="FM9" s="228">
        <f>PERCENTILE($GB$6:$GB$1005,0.025)</f>
        <v>0.24427273927703116</v>
      </c>
      <c r="FN9" s="228"/>
      <c r="FO9" s="5"/>
      <c r="FY9" s="210">
        <v>4</v>
      </c>
      <c r="FZ9">
        <v>5.6100403823140397</v>
      </c>
      <c r="GA9">
        <v>10.68471937039655</v>
      </c>
      <c r="GB9">
        <v>2.7879848829829994</v>
      </c>
      <c r="GC9">
        <v>0.34948752600474231</v>
      </c>
      <c r="GD9">
        <v>0.38289451914237932</v>
      </c>
      <c r="GE9">
        <v>1.1928751716159307</v>
      </c>
      <c r="GF9">
        <v>4.2848439083289689</v>
      </c>
      <c r="GG9">
        <v>3.0552984226073874</v>
      </c>
      <c r="GH9">
        <v>0.40861888541082891</v>
      </c>
      <c r="GI9">
        <v>3.8862415622906807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9.5486111111111107</v>
      </c>
      <c r="Y10" s="131">
        <f>COUNT(EK148:EK157)</f>
        <v>8</v>
      </c>
      <c r="Z10" s="130">
        <f>STDEV(EK148:EK157)</f>
        <v>12.690078180025823</v>
      </c>
      <c r="AA10" s="130">
        <f t="shared" si="2"/>
        <v>4.48662016744185</v>
      </c>
      <c r="AB10" s="131"/>
      <c r="AC10" s="130">
        <f>AVERAGE($FU148:$FU157)</f>
        <v>3.0808468714522945</v>
      </c>
      <c r="AD10" s="132">
        <f>COUNT($FU148:$FU157)</f>
        <v>8</v>
      </c>
      <c r="AE10" s="130">
        <f>STDEV($FU148:$FU157)</f>
        <v>4.100323111950952</v>
      </c>
      <c r="AF10" s="130">
        <f t="shared" si="3"/>
        <v>1.4496831387582225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8">
        <f>AVERAGE(GC6:GC1005)</f>
        <v>0.67910635354695781</v>
      </c>
      <c r="FJ10" s="228"/>
      <c r="FK10" s="228">
        <f>PERCENTILE($GC$6:$GC$1005,0.975)</f>
        <v>1.3719566307560778</v>
      </c>
      <c r="FL10" s="228"/>
      <c r="FM10" s="228">
        <f>PERCENTILE($GC$6:$GC$1005,0.025)</f>
        <v>0.18676584604231794</v>
      </c>
      <c r="FN10" s="228"/>
      <c r="FO10" s="5"/>
      <c r="FY10" s="210">
        <v>5</v>
      </c>
      <c r="FZ10">
        <v>1.3671683512601061</v>
      </c>
      <c r="GA10">
        <v>1.5723340436051065</v>
      </c>
      <c r="GB10">
        <v>0.44065196680091007</v>
      </c>
      <c r="GC10">
        <v>0.99012313209934488</v>
      </c>
      <c r="GD10">
        <v>1.071621979096816</v>
      </c>
      <c r="GE10">
        <v>1.8251024238468958</v>
      </c>
      <c r="GF10">
        <v>6.4164664726934095</v>
      </c>
      <c r="GG10">
        <v>4.5110133678083741</v>
      </c>
      <c r="GH10">
        <v>0.17282465026292085</v>
      </c>
      <c r="GI10">
        <v>3.6010713670393883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6.25</v>
      </c>
      <c r="Y11" s="131">
        <f>COUNT(EK158:EK167)</f>
        <v>10</v>
      </c>
      <c r="Z11" s="130">
        <f>STDEV(EK158:EK167)</f>
        <v>11.197580205970208</v>
      </c>
      <c r="AA11" s="130">
        <f t="shared" si="2"/>
        <v>3.5409857733283228</v>
      </c>
      <c r="AB11" s="131"/>
      <c r="AC11" s="130">
        <f>AVERAGE($FU158:$FU167)</f>
        <v>8.413103588727683</v>
      </c>
      <c r="AD11" s="132">
        <f>COUNT($FU158:$FU167)</f>
        <v>10</v>
      </c>
      <c r="AE11" s="130">
        <f>STDEV($FU158:$FU167)</f>
        <v>16.339906538833112</v>
      </c>
      <c r="AF11" s="130">
        <f t="shared" si="3"/>
        <v>5.1671321416991169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8">
        <f>AVERAGE(GD5:GD1005)</f>
        <v>0.82557699592807043</v>
      </c>
      <c r="FJ11" s="228"/>
      <c r="FK11" s="228">
        <f>PERCENTILE($GD$6:$GD$1005,0.975)</f>
        <v>1.5734476282174366</v>
      </c>
      <c r="FL11" s="228"/>
      <c r="FM11" s="228">
        <f>PERCENTILE($GD$6:$GD$1005,0.025)</f>
        <v>0.21347309531641478</v>
      </c>
      <c r="FN11" s="228"/>
      <c r="FO11" s="5"/>
      <c r="FY11" s="210">
        <v>6</v>
      </c>
      <c r="FZ11">
        <v>2.5732574281256437</v>
      </c>
      <c r="GA11">
        <v>0.3986752859219066</v>
      </c>
      <c r="GB11">
        <v>0.2721152226276059</v>
      </c>
      <c r="GC11">
        <v>0.56514505266797244</v>
      </c>
      <c r="GD11">
        <v>0.71217024177547916</v>
      </c>
      <c r="GE11">
        <v>1.4726067336791457</v>
      </c>
      <c r="GF11">
        <v>1.3248589073460586</v>
      </c>
      <c r="GG11">
        <v>0.353851512980073</v>
      </c>
      <c r="GH11">
        <v>0.64441312055873701</v>
      </c>
      <c r="GI11">
        <v>3.1887120047856676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4.1666666666666661</v>
      </c>
      <c r="Y12" s="131">
        <f>COUNT(EK168:EK177)</f>
        <v>10</v>
      </c>
      <c r="Z12" s="130">
        <f>STDEV(EK168:EK177)</f>
        <v>5.37914353639919</v>
      </c>
      <c r="AA12" s="130">
        <f t="shared" si="2"/>
        <v>1.7010345435994292</v>
      </c>
      <c r="AB12" s="131"/>
      <c r="AC12" s="130">
        <f>AVERAGE($FU168:$FU177)</f>
        <v>60.535273051313858</v>
      </c>
      <c r="AD12" s="132">
        <f>COUNT($FU168:$FU177)</f>
        <v>10</v>
      </c>
      <c r="AE12" s="130">
        <f>STDEV($FU168:$FU177)</f>
        <v>96.857293759691785</v>
      </c>
      <c r="AF12" s="130">
        <f t="shared" si="3"/>
        <v>30.628965628063948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8">
        <f>AVERAGE(GE6:GE1005)</f>
        <v>1.5332540937064665</v>
      </c>
      <c r="FJ12" s="228"/>
      <c r="FK12" s="228">
        <f>PERCENTILE($GE$6:$GE$1005,0.975)</f>
        <v>2.8779865407102285</v>
      </c>
      <c r="FL12" s="228"/>
      <c r="FM12" s="228">
        <f>PERCENTILE($GE$6:$GE$1005,0.025)</f>
        <v>0.5468429321192394</v>
      </c>
      <c r="FN12" s="228"/>
      <c r="FO12" s="5"/>
      <c r="FY12" s="210">
        <v>7</v>
      </c>
      <c r="FZ12">
        <v>12.244367933495276</v>
      </c>
      <c r="GA12">
        <v>12.656027413547076</v>
      </c>
      <c r="GB12">
        <v>3.1554649846220464</v>
      </c>
      <c r="GC12">
        <v>9.6553869798109371E-2</v>
      </c>
      <c r="GD12">
        <v>1.1372167279873648</v>
      </c>
      <c r="GE12">
        <v>3.0820951621331472</v>
      </c>
      <c r="GF12">
        <v>4.5977742116665254</v>
      </c>
      <c r="GG12">
        <v>3.5492971601975971</v>
      </c>
      <c r="GH12">
        <v>0.47158847029581613</v>
      </c>
      <c r="GI12">
        <v>5.7482306642213468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7.1486928104575158</v>
      </c>
      <c r="Y13" s="131">
        <f>COUNT(EK178:EK187)</f>
        <v>10</v>
      </c>
      <c r="Z13" s="130">
        <f>STDEV(EK178:EK187)</f>
        <v>22.606151573916108</v>
      </c>
      <c r="AA13" s="130">
        <f t="shared" si="2"/>
        <v>7.1486928104575149</v>
      </c>
      <c r="AB13" s="131"/>
      <c r="AC13" s="130">
        <f>AVERAGE($FU178:$FU187)</f>
        <v>0.36661260254746525</v>
      </c>
      <c r="AD13" s="132">
        <f>COUNT($FU178:$FU187)</f>
        <v>10</v>
      </c>
      <c r="AE13" s="130">
        <f>STDEV($FU178:$FU187)</f>
        <v>1.1593308429720384</v>
      </c>
      <c r="AF13" s="130">
        <f t="shared" si="3"/>
        <v>0.36661260254746519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8">
        <f>AVERAGE(GF6:GF1005)</f>
        <v>3.7513857678680225</v>
      </c>
      <c r="FJ13" s="228"/>
      <c r="FK13" s="228">
        <f>PERCENTILE($GF$6:$GF$1005,0.975)</f>
        <v>7.3229483607168406</v>
      </c>
      <c r="FL13" s="228"/>
      <c r="FM13" s="228">
        <f>PERCENTILE($GF$6:$GF$1005,0.025)</f>
        <v>1.0983905105345275</v>
      </c>
      <c r="FN13" s="228"/>
      <c r="FO13" s="5"/>
      <c r="FY13" s="210">
        <v>8</v>
      </c>
      <c r="FZ13">
        <v>4.910067698689847</v>
      </c>
      <c r="GA13">
        <v>4.6434054246538494</v>
      </c>
      <c r="GB13">
        <v>0.42674585822871791</v>
      </c>
      <c r="GC13">
        <v>0.25357906470406999</v>
      </c>
      <c r="GD13">
        <v>0.53629174882239505</v>
      </c>
      <c r="GE13">
        <v>1.3706726663086861</v>
      </c>
      <c r="GF13">
        <v>4.7338024389976638</v>
      </c>
      <c r="GG13">
        <v>3.818311629430688</v>
      </c>
      <c r="GH13">
        <v>0.3456493005258417</v>
      </c>
      <c r="GI13">
        <v>2.8292262109648902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8">
        <f>AVERAGE(GG6:GG1005)</f>
        <v>2.6499512851197387</v>
      </c>
      <c r="FJ14" s="228"/>
      <c r="FK14" s="228">
        <f>PERCENTILE($GG$6:$GG$1005,0.975)</f>
        <v>5.701399344365905</v>
      </c>
      <c r="FL14" s="228"/>
      <c r="FM14" s="228">
        <f>PERCENTILE($GG$6:$GG$1005,0.025)</f>
        <v>0.24547943822451035</v>
      </c>
      <c r="FN14" s="228"/>
      <c r="FO14" s="5"/>
      <c r="FY14" s="210">
        <v>9</v>
      </c>
      <c r="FZ14">
        <v>7.6401950678029493</v>
      </c>
      <c r="GA14">
        <v>14.154466037367204</v>
      </c>
      <c r="GB14">
        <v>2.9751824900812993</v>
      </c>
      <c r="GC14">
        <v>0.72522055779090444</v>
      </c>
      <c r="GD14">
        <v>0.98296876016988366</v>
      </c>
      <c r="GE14">
        <v>2.0963874623525478</v>
      </c>
      <c r="GF14">
        <v>1.5450078083150447</v>
      </c>
      <c r="GG14">
        <v>0.353851512980073</v>
      </c>
      <c r="GH14">
        <v>0.64441312055873701</v>
      </c>
      <c r="GI14">
        <v>3.8521587071836398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8.9296874999999964</v>
      </c>
      <c r="AO15" s="163">
        <f>D48</f>
        <v>19.199328033298968</v>
      </c>
      <c r="AP15" s="163">
        <f>D63</f>
        <v>162.36336991929639</v>
      </c>
      <c r="AQ15" s="163">
        <f>C453</f>
        <v>62.547220915609024</v>
      </c>
      <c r="AR15" s="163">
        <f>G520</f>
        <v>19.184825745811764</v>
      </c>
      <c r="AS15" s="163">
        <f>I523</f>
        <v>91.200737976486508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3">
        <f t="shared" si="6"/>
        <v>39949</v>
      </c>
      <c r="FI15" s="228">
        <f>AVERAGE(GH6:GH1005)</f>
        <v>0.41763930226596813</v>
      </c>
      <c r="FJ15" s="228"/>
      <c r="FK15" s="228">
        <f>PERCENTILE($GH$6:$GH$1005,0.975)</f>
        <v>1.0530320059695661</v>
      </c>
      <c r="FL15" s="228"/>
      <c r="FM15" s="228">
        <f>PERCENTILE($GH$6:$GH$1005,0.025)</f>
        <v>0</v>
      </c>
      <c r="FN15" s="228"/>
      <c r="FO15" s="5"/>
      <c r="FY15" s="210">
        <v>10</v>
      </c>
      <c r="FZ15">
        <v>11.892498338081115</v>
      </c>
      <c r="GA15">
        <v>11.206889286379273</v>
      </c>
      <c r="GB15">
        <v>0.74429661233089028</v>
      </c>
      <c r="GC15">
        <v>0.81107644754452668</v>
      </c>
      <c r="GD15">
        <v>1.2198945886330574</v>
      </c>
      <c r="GE15">
        <v>2.6704583504838073</v>
      </c>
      <c r="GF15">
        <v>3.0904223529528076</v>
      </c>
      <c r="GG15">
        <v>0.93993896331333671</v>
      </c>
      <c r="GH15">
        <v>0.17282465026292085</v>
      </c>
      <c r="GI15">
        <v>5.0240791008990531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8">
        <f>AVERAGE(GI6:GI1005)</f>
        <v>4.2810657686188618</v>
      </c>
      <c r="FJ16" s="228"/>
      <c r="FK16" s="228">
        <f>PERCENTILE($GI$6:$GI$1005,0.975)</f>
        <v>6.6104651084000574</v>
      </c>
      <c r="FL16" s="228"/>
      <c r="FM16" s="228">
        <f>PERCENTILE($GI$6:$GI$1005,0.025)</f>
        <v>2.425180981904282</v>
      </c>
      <c r="FN16" s="228"/>
      <c r="FO16" s="5"/>
      <c r="FY16" s="210">
        <v>11</v>
      </c>
      <c r="FZ16">
        <v>4.8523564797634879</v>
      </c>
      <c r="GA16">
        <v>10.137936047592643</v>
      </c>
      <c r="GB16">
        <v>2.8089792037655537</v>
      </c>
      <c r="GC16">
        <v>1.0534292347859557</v>
      </c>
      <c r="GD16">
        <v>1.2418803896997737</v>
      </c>
      <c r="GE16">
        <v>1.7370502595102724</v>
      </c>
      <c r="GF16">
        <v>3.2968475554388172</v>
      </c>
      <c r="GG16">
        <v>2.4324324403942232</v>
      </c>
      <c r="GH16">
        <v>0.23579423514790807</v>
      </c>
      <c r="GI16">
        <v>4.6253735376270066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10.131280637254903</v>
      </c>
      <c r="AO17">
        <v>8.1696595960531386</v>
      </c>
      <c r="AP17">
        <v>66.67267852451117</v>
      </c>
      <c r="AQ17">
        <v>35.541068140061384</v>
      </c>
      <c r="AR17">
        <v>7.675404709819186</v>
      </c>
      <c r="AS17">
        <v>52.055231724601391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4.0856217140275888</v>
      </c>
      <c r="GA17">
        <v>11.932273547864732</v>
      </c>
      <c r="GB17">
        <v>3.4065858864670986</v>
      </c>
      <c r="GC17">
        <v>0.43534341575836433</v>
      </c>
      <c r="GD17">
        <v>0.63958690081504921</v>
      </c>
      <c r="GE17">
        <v>1.3233144572317372</v>
      </c>
      <c r="GF17">
        <v>4.7218125903126724</v>
      </c>
      <c r="GG17">
        <v>3.9249259174751105</v>
      </c>
      <c r="GH17">
        <v>0.64441312055873701</v>
      </c>
      <c r="GI17">
        <v>4.4177256453424691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10.398291608309989</v>
      </c>
      <c r="AO18">
        <v>19.01980001287588</v>
      </c>
      <c r="AP18">
        <v>104.62152693352351</v>
      </c>
      <c r="AQ18">
        <v>18.027067261284962</v>
      </c>
      <c r="AR18">
        <v>17.640630917981458</v>
      </c>
      <c r="AS18">
        <v>79.575430800190233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7.9222990619062443</v>
      </c>
      <c r="GA18">
        <v>11.459702842157846</v>
      </c>
      <c r="GB18">
        <v>2.7728681261631851</v>
      </c>
      <c r="GC18">
        <v>0.96594988431996387</v>
      </c>
      <c r="GD18">
        <v>0.84970362581017378</v>
      </c>
      <c r="GE18">
        <v>0.95976563161741268</v>
      </c>
      <c r="GF18">
        <v>5.4684101638751814</v>
      </c>
      <c r="GG18">
        <v>4.3826218354665114</v>
      </c>
      <c r="GH18">
        <v>0.51847395078876257</v>
      </c>
      <c r="GI18">
        <v>4.384331797677965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12.332071370214752</v>
      </c>
      <c r="AO19">
        <v>14.743750033224392</v>
      </c>
      <c r="AP19">
        <v>120.91974074414493</v>
      </c>
      <c r="AQ19">
        <v>33.983548271088274</v>
      </c>
      <c r="AR19">
        <v>14.604144636859333</v>
      </c>
      <c r="AS19">
        <v>83.235070730771454</v>
      </c>
      <c r="AT19">
        <v>6.7799860037060418</v>
      </c>
      <c r="AU19">
        <v>-23.401673400898343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4.8644108621479933</v>
      </c>
      <c r="GA19">
        <v>22.146351321981026</v>
      </c>
      <c r="GB19">
        <v>8.1650871749403446</v>
      </c>
      <c r="GC19">
        <v>0.52626534134975378</v>
      </c>
      <c r="GD19">
        <v>0.7579287753211208</v>
      </c>
      <c r="GE19">
        <v>2.2959894949322837</v>
      </c>
      <c r="GF19">
        <v>4.3081294122527467</v>
      </c>
      <c r="GG19">
        <v>1.8798779266266734</v>
      </c>
      <c r="GH19">
        <v>0.51847395078876257</v>
      </c>
      <c r="GI19">
        <v>5.0538103118231232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8.1415951797385624</v>
      </c>
      <c r="AO20">
        <v>18.676102763273011</v>
      </c>
      <c r="AP20">
        <v>150.30752082221156</v>
      </c>
      <c r="AQ20">
        <v>32.643004631094506</v>
      </c>
      <c r="AR20">
        <v>17.384526236782804</v>
      </c>
      <c r="AS20">
        <v>182.42366930549522</v>
      </c>
      <c r="AT20">
        <v>9.0195459226121351</v>
      </c>
      <c r="AU20">
        <v>-14.993124548754416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3.2977839386490295</v>
      </c>
      <c r="GA20">
        <v>6.6659430738833212</v>
      </c>
      <c r="GB20">
        <v>0.99654032378587853</v>
      </c>
      <c r="GC20">
        <v>0.60337935548875388</v>
      </c>
      <c r="GD20">
        <v>0.53511777915911918</v>
      </c>
      <c r="GE20">
        <v>1.0867151791236731</v>
      </c>
      <c r="GF20">
        <v>2.7797510368978373</v>
      </c>
      <c r="GG20">
        <v>1.6113391696746744</v>
      </c>
      <c r="GH20">
        <v>0.58144353567374973</v>
      </c>
      <c r="GI20">
        <v>2.7804919600207496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4.6875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0</v>
      </c>
      <c r="J21" s="18">
        <f t="shared" si="9"/>
        <v>0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0.52083333333333326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2.6041666666666665</v>
      </c>
      <c r="Z21" s="18">
        <f t="shared" si="9"/>
        <v>0</v>
      </c>
      <c r="AA21" s="18">
        <f t="shared" si="9"/>
        <v>0</v>
      </c>
      <c r="AB21" s="18">
        <f t="shared" si="9"/>
        <v>1.5625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10.908708274976659</v>
      </c>
      <c r="AO21">
        <v>24.496010752388219</v>
      </c>
      <c r="AP21">
        <v>178.57048294418036</v>
      </c>
      <c r="AQ21">
        <v>21.968377754513273</v>
      </c>
      <c r="AR21">
        <v>22.702546779831529</v>
      </c>
      <c r="AS21">
        <v>262.72997976644621</v>
      </c>
      <c r="AT21">
        <v>13.945522211592218</v>
      </c>
      <c r="AU21">
        <v>41.309244056657619</v>
      </c>
      <c r="AV21"/>
      <c r="AW21"/>
      <c r="FY21" s="210">
        <v>16</v>
      </c>
      <c r="FZ21">
        <v>8.4073102095777337</v>
      </c>
      <c r="GA21">
        <v>16.954233465096639</v>
      </c>
      <c r="GB21">
        <v>4.9643597584965402</v>
      </c>
      <c r="GC21">
        <v>0.33826124854210127</v>
      </c>
      <c r="GD21">
        <v>1.3563061937032739</v>
      </c>
      <c r="GE21">
        <v>2.8949691723613511</v>
      </c>
      <c r="GF21">
        <v>5.8410634271353867</v>
      </c>
      <c r="GG21">
        <v>5.1121021057240972</v>
      </c>
      <c r="GH21">
        <v>0.47158847029581613</v>
      </c>
      <c r="GI21">
        <v>6.1390719914389313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8.8541666666666661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0</v>
      </c>
      <c r="J22" s="18">
        <f t="shared" si="10"/>
        <v>0</v>
      </c>
      <c r="K22" s="18">
        <f t="shared" si="10"/>
        <v>0.52083333333333326</v>
      </c>
      <c r="L22" s="18">
        <f t="shared" si="10"/>
        <v>0.52083333333333326</v>
      </c>
      <c r="M22" s="18">
        <f t="shared" si="10"/>
        <v>2.083333333333333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0.52083333333333326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1.0416666666666665</v>
      </c>
      <c r="X22" s="18">
        <f t="shared" si="10"/>
        <v>0</v>
      </c>
      <c r="Y22" s="18">
        <f t="shared" si="10"/>
        <v>2.6041666666666665</v>
      </c>
      <c r="Z22" s="18">
        <f t="shared" si="10"/>
        <v>1.5625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6.3733660130718954</v>
      </c>
      <c r="AO22">
        <v>16.092880665315008</v>
      </c>
      <c r="AP22">
        <v>94.511804733444919</v>
      </c>
      <c r="AQ22">
        <v>11.50580551046829</v>
      </c>
      <c r="AR22">
        <v>15.333973586253215</v>
      </c>
      <c r="AS22">
        <v>121.97724563919436</v>
      </c>
      <c r="AT22" t="e">
        <v>#DIV/0!</v>
      </c>
      <c r="AU22" t="e">
        <v>#DIV/0!</v>
      </c>
      <c r="AV22"/>
      <c r="AW22"/>
      <c r="FY22" s="210">
        <v>17</v>
      </c>
      <c r="FZ22">
        <v>12.832747136634975</v>
      </c>
      <c r="GA22">
        <v>20.697213194813219</v>
      </c>
      <c r="GB22">
        <v>5.8748596571431762</v>
      </c>
      <c r="GC22">
        <v>1.0970423382244461</v>
      </c>
      <c r="GD22">
        <v>0.98710943868687218</v>
      </c>
      <c r="GE22">
        <v>1.1652751730775288</v>
      </c>
      <c r="GF22">
        <v>2.3095202888068629</v>
      </c>
      <c r="GG22">
        <v>1.1871761882489873</v>
      </c>
      <c r="GH22">
        <v>0.17282465026292085</v>
      </c>
      <c r="GI22">
        <v>5.6429876963830283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11.979166666666666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1.0416666666666665</v>
      </c>
      <c r="K23" s="18">
        <f t="shared" si="11"/>
        <v>4.6874999999999991</v>
      </c>
      <c r="L23" s="18">
        <f t="shared" si="11"/>
        <v>0.52083333333333326</v>
      </c>
      <c r="M23" s="18">
        <f t="shared" si="11"/>
        <v>2.083333333333333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0.52083333333333326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1.0416666666666665</v>
      </c>
      <c r="X23" s="18">
        <f t="shared" si="11"/>
        <v>0</v>
      </c>
      <c r="Y23" s="18">
        <f t="shared" si="11"/>
        <v>0</v>
      </c>
      <c r="Z23" s="18">
        <f t="shared" si="11"/>
        <v>1.5625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0.52083333333333326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8.3090277777777786</v>
      </c>
      <c r="AO23">
        <v>23.422834017201058</v>
      </c>
      <c r="AP23">
        <v>207.95609380965985</v>
      </c>
      <c r="AQ23">
        <v>46.738616597964302</v>
      </c>
      <c r="AR23">
        <v>23.038466014661637</v>
      </c>
      <c r="AS23">
        <v>97.807414881183959</v>
      </c>
      <c r="AT23" t="e">
        <v>#DIV/0!</v>
      </c>
      <c r="AU23" t="e">
        <v>#DIV/0!</v>
      </c>
      <c r="AV23"/>
      <c r="AW23"/>
      <c r="FY23" s="210">
        <v>18</v>
      </c>
      <c r="FZ23">
        <v>0.93986842251497327</v>
      </c>
      <c r="GA23">
        <v>14.931378618555122</v>
      </c>
      <c r="GB23">
        <v>5.722562479399623</v>
      </c>
      <c r="GC23">
        <v>0.23134204241700027</v>
      </c>
      <c r="GD23">
        <v>0.46977100316356596</v>
      </c>
      <c r="GE23">
        <v>1.656459861349328</v>
      </c>
      <c r="GF23">
        <v>4.7991462340504452</v>
      </c>
      <c r="GG23">
        <v>3.1954456472175239</v>
      </c>
      <c r="GH23">
        <v>0.3456493005258417</v>
      </c>
      <c r="GI23">
        <v>4.0983077931048388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17.187499999999996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1.0416666666666665</v>
      </c>
      <c r="J24" s="18">
        <f t="shared" si="12"/>
        <v>2.083333333333333</v>
      </c>
      <c r="K24" s="18">
        <f t="shared" si="12"/>
        <v>8.3333333333333321</v>
      </c>
      <c r="L24" s="18">
        <f t="shared" si="12"/>
        <v>4.1666666666666661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1.0416666666666665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0.52083333333333326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9.8668957166199807</v>
      </c>
      <c r="AO24">
        <v>16.245706052891745</v>
      </c>
      <c r="AP24">
        <v>113.57333809801837</v>
      </c>
      <c r="AQ24">
        <v>23.86775204132665</v>
      </c>
      <c r="AR24">
        <v>15.166837041579665</v>
      </c>
      <c r="AS24">
        <v>127.69709011841756</v>
      </c>
      <c r="AT24">
        <v>8.7484301182961435</v>
      </c>
      <c r="AU24">
        <v>-50.361647614491595</v>
      </c>
      <c r="AV24"/>
      <c r="AW24"/>
      <c r="FY24" s="210">
        <v>19</v>
      </c>
      <c r="FZ24">
        <v>3.6006105663560986</v>
      </c>
      <c r="GA24">
        <v>14.658145555809188</v>
      </c>
      <c r="GB24">
        <v>5.0853006129905287</v>
      </c>
      <c r="GC24">
        <v>1.3010437115658102</v>
      </c>
      <c r="GD24">
        <v>1.386939282459672</v>
      </c>
      <c r="GE24">
        <v>1.2815568321268129</v>
      </c>
      <c r="GF24">
        <v>4.656939626988633</v>
      </c>
      <c r="GG24">
        <v>4.0655488543663392</v>
      </c>
      <c r="GH24">
        <v>0.3456493005258417</v>
      </c>
      <c r="GI24">
        <v>4.7380846608185552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19.270833333333329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1.0416666666666665</v>
      </c>
      <c r="J25" s="18">
        <f t="shared" si="13"/>
        <v>2.083333333333333</v>
      </c>
      <c r="K25" s="18">
        <f t="shared" si="13"/>
        <v>5.2083333333333339</v>
      </c>
      <c r="L25" s="18">
        <f t="shared" si="13"/>
        <v>6.7708333333333321</v>
      </c>
      <c r="M25" s="18">
        <f t="shared" si="13"/>
        <v>0.52083333333333326</v>
      </c>
      <c r="N25" s="18">
        <f t="shared" si="13"/>
        <v>0</v>
      </c>
      <c r="O25" s="18">
        <f t="shared" si="13"/>
        <v>0.52083333333333326</v>
      </c>
      <c r="P25" s="18">
        <f t="shared" si="13"/>
        <v>1.0416666666666665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0.52083333333333326</v>
      </c>
      <c r="X25" s="18">
        <f t="shared" si="13"/>
        <v>0</v>
      </c>
      <c r="Y25" s="18">
        <f t="shared" si="13"/>
        <v>0.52083333333333326</v>
      </c>
      <c r="Z25" s="18">
        <f t="shared" si="13"/>
        <v>0</v>
      </c>
      <c r="AA25" s="18">
        <f t="shared" si="13"/>
        <v>0</v>
      </c>
      <c r="AB25" s="18">
        <f t="shared" si="13"/>
        <v>0.52083333333333326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0.52083333333333326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11.701242997198879</v>
      </c>
      <c r="AO25">
        <v>18.986702451192713</v>
      </c>
      <c r="AP25">
        <v>150.72193206732854</v>
      </c>
      <c r="AQ25">
        <v>34.969851524602284</v>
      </c>
      <c r="AR25">
        <v>17.559841065671961</v>
      </c>
      <c r="AS25">
        <v>82.506414208996901</v>
      </c>
      <c r="AT25" t="e">
        <v>#DIV/0!</v>
      </c>
      <c r="AU25" t="e">
        <v>#DIV/0!</v>
      </c>
      <c r="AV25"/>
      <c r="AW25"/>
      <c r="FY25" s="210">
        <v>20</v>
      </c>
      <c r="FZ25">
        <v>7.2016015087510823</v>
      </c>
      <c r="GA25">
        <v>3.4697466669706492</v>
      </c>
      <c r="GB25">
        <v>0.15229717774355353</v>
      </c>
      <c r="GC25">
        <v>0.48609481303666097</v>
      </c>
      <c r="GD25">
        <v>1.2524295871648305</v>
      </c>
      <c r="GE25">
        <v>2.8798124860631953</v>
      </c>
      <c r="GF25">
        <v>1.9062985528060545</v>
      </c>
      <c r="GG25">
        <v>0.24723722493565062</v>
      </c>
      <c r="GH25">
        <v>0.3456493005258417</v>
      </c>
      <c r="GI25">
        <v>4.2325646016666107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9.7656250000000018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1.0416666666666665</v>
      </c>
      <c r="K26" s="18">
        <f t="shared" si="14"/>
        <v>1.692708333333333</v>
      </c>
      <c r="L26" s="18">
        <f t="shared" si="14"/>
        <v>2.6041666666666665</v>
      </c>
      <c r="M26" s="18">
        <f t="shared" si="14"/>
        <v>0.52083333333333326</v>
      </c>
      <c r="N26" s="18">
        <f t="shared" si="14"/>
        <v>0.65104166666666663</v>
      </c>
      <c r="O26" s="18">
        <f t="shared" si="14"/>
        <v>0.52083333333333326</v>
      </c>
      <c r="P26" s="18">
        <f t="shared" si="14"/>
        <v>0.65104166666666663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0.52083333333333326</v>
      </c>
      <c r="X26" s="18">
        <f t="shared" si="14"/>
        <v>0</v>
      </c>
      <c r="Y26" s="18">
        <f t="shared" si="14"/>
        <v>0.52083333333333326</v>
      </c>
      <c r="Z26" s="18">
        <f t="shared" si="14"/>
        <v>0</v>
      </c>
      <c r="AA26" s="18">
        <f t="shared" si="14"/>
        <v>0</v>
      </c>
      <c r="AB26" s="18">
        <f t="shared" si="14"/>
        <v>0.52083333333333326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0.52083333333333326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12.102036647992531</v>
      </c>
      <c r="AO26">
        <v>26.757224948153283</v>
      </c>
      <c r="AP26">
        <v>214.56847893963482</v>
      </c>
      <c r="AQ26">
        <v>37.772378690880778</v>
      </c>
      <c r="AR26">
        <v>25.274246280306251</v>
      </c>
      <c r="AS26">
        <v>356.56993906614446</v>
      </c>
      <c r="AT26">
        <v>14.530073027621681</v>
      </c>
      <c r="AU26">
        <v>-9.5346936832182507</v>
      </c>
      <c r="AV26"/>
      <c r="AW26"/>
      <c r="FY26" s="210">
        <v>21</v>
      </c>
      <c r="FZ26">
        <v>7.4376682902736375</v>
      </c>
      <c r="GA26">
        <v>20.99311207126518</v>
      </c>
      <c r="GB26">
        <v>7.1377229006090452</v>
      </c>
      <c r="GC26">
        <v>0.7167914469562241</v>
      </c>
      <c r="GD26">
        <v>0.37804003385977181</v>
      </c>
      <c r="GE26">
        <v>0.51681245195761161</v>
      </c>
      <c r="GF26">
        <v>2.4633351154189578</v>
      </c>
      <c r="GG26">
        <v>1.5628049455265007</v>
      </c>
      <c r="GH26">
        <v>0.17282465026292085</v>
      </c>
      <c r="GI26">
        <v>4.2201091598010372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4.036458333333333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</v>
      </c>
      <c r="K27" s="18">
        <f t="shared" si="15"/>
        <v>0.65104166666666663</v>
      </c>
      <c r="L27" s="18">
        <f t="shared" si="15"/>
        <v>0</v>
      </c>
      <c r="M27" s="18">
        <f t="shared" si="15"/>
        <v>0</v>
      </c>
      <c r="N27" s="18">
        <f t="shared" si="15"/>
        <v>0.65104166666666663</v>
      </c>
      <c r="O27" s="18">
        <f t="shared" si="15"/>
        <v>1.0416666666666665</v>
      </c>
      <c r="P27" s="18">
        <f t="shared" si="15"/>
        <v>0.65104166666666663</v>
      </c>
      <c r="Q27" s="18">
        <f t="shared" si="15"/>
        <v>0.52083333333333326</v>
      </c>
      <c r="R27" s="18">
        <f t="shared" si="15"/>
        <v>0.52083333333333326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13.014260912698409</v>
      </c>
      <c r="AO27">
        <v>14.438450921410084</v>
      </c>
      <c r="AP27">
        <v>88.889097539038687</v>
      </c>
      <c r="AQ27">
        <v>32.422079383725638</v>
      </c>
      <c r="AR27">
        <v>13.438282466278762</v>
      </c>
      <c r="AS27">
        <v>85.17122487201695</v>
      </c>
      <c r="AT27" t="e">
        <v>#DIV/0!</v>
      </c>
      <c r="AU27" t="e">
        <v>#DIV/0!</v>
      </c>
      <c r="AV27"/>
      <c r="AW27"/>
      <c r="FY27" s="210">
        <v>22</v>
      </c>
      <c r="FZ27">
        <v>2.7761645816938412</v>
      </c>
      <c r="GA27">
        <v>2.2960879092874493</v>
      </c>
      <c r="GB27">
        <v>0.15705193209635682</v>
      </c>
      <c r="GC27">
        <v>0.4930175742382551</v>
      </c>
      <c r="GD27">
        <v>0.61982034760555327</v>
      </c>
      <c r="GE27">
        <v>1.5104404470035329</v>
      </c>
      <c r="GF27">
        <v>3.9502152339676377</v>
      </c>
      <c r="GG27">
        <v>2.3743523764979746</v>
      </c>
      <c r="GH27">
        <v>0</v>
      </c>
      <c r="GI27">
        <v>2.7326001026207547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3.6458333333333321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1.0416666666666665</v>
      </c>
      <c r="O28" s="18">
        <f t="shared" si="15"/>
        <v>1.0416666666666665</v>
      </c>
      <c r="P28" s="18">
        <f t="shared" si="15"/>
        <v>0</v>
      </c>
      <c r="Q28" s="18">
        <f t="shared" si="15"/>
        <v>0.52083333333333326</v>
      </c>
      <c r="R28" s="18">
        <f t="shared" si="15"/>
        <v>0.52083333333333326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0.52083333333333326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9.328847163865543</v>
      </c>
      <c r="AO28">
        <v>16.344609011608693</v>
      </c>
      <c r="AP28">
        <v>137.8950259297479</v>
      </c>
      <c r="AQ28">
        <v>35.531603195853563</v>
      </c>
      <c r="AR28">
        <v>15.227134459763576</v>
      </c>
      <c r="AS28">
        <v>78.452630855996645</v>
      </c>
      <c r="AT28">
        <v>7.5775351397679467</v>
      </c>
      <c r="AU28">
        <v>9.8009073179400126</v>
      </c>
      <c r="AV28"/>
      <c r="AW28"/>
      <c r="FY28" s="210">
        <v>23</v>
      </c>
      <c r="FZ28">
        <v>2.2493255548487214</v>
      </c>
      <c r="GA28">
        <v>21.400230356216163</v>
      </c>
      <c r="GB28">
        <v>7.946533244592481</v>
      </c>
      <c r="GC28">
        <v>0.59107779366945068</v>
      </c>
      <c r="GD28">
        <v>0.62592152560962766</v>
      </c>
      <c r="GE28">
        <v>0.68941125160551087</v>
      </c>
      <c r="GF28">
        <v>2.8389164522199462</v>
      </c>
      <c r="GG28">
        <v>2.3045166203334526</v>
      </c>
      <c r="GH28">
        <v>0.17282465026292085</v>
      </c>
      <c r="GI28">
        <v>4.2612002561594462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1.5624999999999998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1.0416666666666665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0.52083333333333326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11.976620856676002</v>
      </c>
      <c r="AO29">
        <v>22.430369817859212</v>
      </c>
      <c r="AP29">
        <v>160.91349303371334</v>
      </c>
      <c r="AQ29">
        <v>39.684126919783246</v>
      </c>
      <c r="AR29">
        <v>21.276539899999676</v>
      </c>
      <c r="AS29">
        <v>175.17020913454581</v>
      </c>
      <c r="AT29">
        <v>10.47251411154164</v>
      </c>
      <c r="AU29">
        <v>-94.803405552380184</v>
      </c>
      <c r="AV29"/>
      <c r="AW29"/>
      <c r="FY29" s="210">
        <v>24</v>
      </c>
      <c r="FZ29">
        <v>0.54272236659784878</v>
      </c>
      <c r="GA29">
        <v>11.587074174760446</v>
      </c>
      <c r="GB29">
        <v>5.0119556481758565</v>
      </c>
      <c r="GC29">
        <v>0.75606342318286868</v>
      </c>
      <c r="GD29">
        <v>0.79351242124418286</v>
      </c>
      <c r="GE29">
        <v>1.5300022516706591</v>
      </c>
      <c r="GF29">
        <v>3.5058321921680635</v>
      </c>
      <c r="GG29">
        <v>1.8100421704621514</v>
      </c>
      <c r="GH29">
        <v>0.17282465026292085</v>
      </c>
      <c r="GI29">
        <v>3.2083286480515874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8.3072916666666643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0.20833333333333331</v>
      </c>
      <c r="J30" s="18">
        <f t="shared" si="16"/>
        <v>0.62499999999999989</v>
      </c>
      <c r="K30" s="18">
        <f t="shared" si="16"/>
        <v>2.1093749999999996</v>
      </c>
      <c r="L30" s="18">
        <f t="shared" si="16"/>
        <v>1.4583333333333333</v>
      </c>
      <c r="M30" s="18">
        <f t="shared" si="16"/>
        <v>0.52083333333333326</v>
      </c>
      <c r="N30" s="18">
        <f t="shared" si="16"/>
        <v>0.33854166666666663</v>
      </c>
      <c r="O30" s="18">
        <f t="shared" si="16"/>
        <v>0.31249999999999994</v>
      </c>
      <c r="P30" s="18">
        <f t="shared" si="16"/>
        <v>0.44270833333333331</v>
      </c>
      <c r="Q30" s="18">
        <f t="shared" si="16"/>
        <v>0.20833333333333331</v>
      </c>
      <c r="R30" s="18">
        <f t="shared" si="16"/>
        <v>0.10416666666666666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0.31249999999999994</v>
      </c>
      <c r="X30" s="18">
        <f t="shared" si="16"/>
        <v>0</v>
      </c>
      <c r="Y30" s="18">
        <f t="shared" si="16"/>
        <v>0.625</v>
      </c>
      <c r="Z30" s="18">
        <f t="shared" si="16"/>
        <v>0.3125</v>
      </c>
      <c r="AA30" s="18">
        <f t="shared" si="16"/>
        <v>0</v>
      </c>
      <c r="AB30" s="18">
        <f t="shared" si="16"/>
        <v>0.41666666666666663</v>
      </c>
      <c r="AC30" s="18">
        <f t="shared" si="16"/>
        <v>0</v>
      </c>
      <c r="AD30" s="18">
        <f t="shared" si="16"/>
        <v>0.10416666666666666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0.10416666666666666</v>
      </c>
      <c r="AI30" s="18">
        <f t="shared" si="16"/>
        <v>0.10416666666666666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11.829299428104575</v>
      </c>
      <c r="AO30">
        <v>22.779706095578483</v>
      </c>
      <c r="AP30">
        <v>193.45001254279271</v>
      </c>
      <c r="AQ30">
        <v>50.516324572163832</v>
      </c>
      <c r="AR30">
        <v>21.524955775964841</v>
      </c>
      <c r="AS30">
        <v>207.09334685463298</v>
      </c>
      <c r="AT30">
        <v>12.719911813645849</v>
      </c>
      <c r="AU30">
        <v>-251.57127767134949</v>
      </c>
      <c r="AV30"/>
      <c r="AW30"/>
      <c r="FY30" s="210">
        <v>25</v>
      </c>
      <c r="FZ30">
        <v>2.718453362767483</v>
      </c>
      <c r="GA30">
        <v>5.0647465242817846</v>
      </c>
      <c r="GB30">
        <v>1.0152011867108739</v>
      </c>
      <c r="GC30">
        <v>0.83536680640319094</v>
      </c>
      <c r="GD30">
        <v>0.95822921066019884</v>
      </c>
      <c r="GE30">
        <v>1.0721879889997767</v>
      </c>
      <c r="GF30">
        <v>2.0092212122169775</v>
      </c>
      <c r="GG30">
        <v>1.7397307020165371</v>
      </c>
      <c r="GH30">
        <v>0.58144353567374973</v>
      </c>
      <c r="GI30">
        <v>3.1546404455111343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12.829073295985063</v>
      </c>
      <c r="AO31">
        <v>10.279683823513505</v>
      </c>
      <c r="AP31">
        <v>79.455392659801859</v>
      </c>
      <c r="AQ31">
        <v>20.938505352356785</v>
      </c>
      <c r="AR31">
        <v>9.5053089364978209</v>
      </c>
      <c r="AS31">
        <v>67.405117297237936</v>
      </c>
      <c r="AT31" t="e">
        <v>#DIV/0!</v>
      </c>
      <c r="AU31" t="e">
        <v>#DIV/0!</v>
      </c>
      <c r="AV31"/>
      <c r="AW31"/>
      <c r="FY31" s="210">
        <v>26</v>
      </c>
      <c r="FZ31">
        <v>1.8521794989315969</v>
      </c>
      <c r="GA31">
        <v>5.7142877728671042</v>
      </c>
      <c r="GB31">
        <v>1.3664417219201699</v>
      </c>
      <c r="GC31">
        <v>0.38557007069500032</v>
      </c>
      <c r="GD31">
        <v>0.38433697800533057</v>
      </c>
      <c r="GE31">
        <v>0.77413708016395999</v>
      </c>
      <c r="GF31">
        <v>2.5577758833498354</v>
      </c>
      <c r="GG31">
        <v>2.0355021511003617</v>
      </c>
      <c r="GH31">
        <v>0.47158847029581613</v>
      </c>
      <c r="GI31">
        <v>2.9146946297120913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8.9296874999999964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12.022321428571427</v>
      </c>
      <c r="AO32">
        <v>18.788177062806252</v>
      </c>
      <c r="AP32">
        <v>161.87646656005052</v>
      </c>
      <c r="AQ32">
        <v>52.479266042371869</v>
      </c>
      <c r="AR32">
        <v>17.892737503592233</v>
      </c>
      <c r="AS32">
        <v>96.206757259200444</v>
      </c>
      <c r="AT32" t="e">
        <v>#DIV/0!</v>
      </c>
      <c r="AU32" t="e">
        <v>#DIV/0!</v>
      </c>
      <c r="AV32"/>
      <c r="AW32"/>
      <c r="FY32" s="210">
        <v>27</v>
      </c>
      <c r="FZ32">
        <v>6.3190639291235815</v>
      </c>
      <c r="GA32">
        <v>11.26036519919689</v>
      </c>
      <c r="GB32">
        <v>2.7066113735588742</v>
      </c>
      <c r="GC32">
        <v>1.0540746432833927</v>
      </c>
      <c r="GD32">
        <v>0.7473795778560639</v>
      </c>
      <c r="GE32">
        <v>0.64531517339101718</v>
      </c>
      <c r="GF32">
        <v>9.5621452373498936</v>
      </c>
      <c r="GG32">
        <v>8.5062507537290983</v>
      </c>
      <c r="GH32">
        <v>0.23579423514790807</v>
      </c>
      <c r="GI32">
        <v>4.9414192395391012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13.249606092436974</v>
      </c>
      <c r="AO33">
        <v>15.153113222991673</v>
      </c>
      <c r="AP33">
        <v>135.41864844003558</v>
      </c>
      <c r="AQ33">
        <v>51.966755762282027</v>
      </c>
      <c r="AR33">
        <v>15.081113990208284</v>
      </c>
      <c r="AS33">
        <v>88.919055915047721</v>
      </c>
      <c r="AT33">
        <v>6.8246068102392394</v>
      </c>
      <c r="AU33">
        <v>-44.158395180471885</v>
      </c>
      <c r="AV33"/>
      <c r="AW33"/>
      <c r="FY33" s="210">
        <v>28</v>
      </c>
      <c r="FZ33">
        <v>2.7761645816938412</v>
      </c>
      <c r="GA33">
        <v>2.6947631952093558</v>
      </c>
      <c r="GB33">
        <v>0.58500843857269713</v>
      </c>
      <c r="GC33">
        <v>1.1268475302105472</v>
      </c>
      <c r="GD33">
        <v>1.5734022256156612</v>
      </c>
      <c r="GE33">
        <v>2.2183674512530662</v>
      </c>
      <c r="GF33">
        <v>1.9144825983329583</v>
      </c>
      <c r="GG33">
        <v>1.3641019447390237</v>
      </c>
      <c r="GH33">
        <v>0.23579423514790807</v>
      </c>
      <c r="GI33">
        <v>3.1390250408260596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9.4374562324929965</v>
      </c>
      <c r="AO34">
        <v>16.893938553082535</v>
      </c>
      <c r="AP34">
        <v>140.60152299091561</v>
      </c>
      <c r="AQ34">
        <v>36.389931402298267</v>
      </c>
      <c r="AR34">
        <v>15.635611675878755</v>
      </c>
      <c r="AS34">
        <v>85.749545124468455</v>
      </c>
      <c r="AT34">
        <v>9.5429920205082279</v>
      </c>
      <c r="AU34">
        <v>-58.871111343094107</v>
      </c>
      <c r="AV34"/>
      <c r="AW34"/>
      <c r="FY34" s="210">
        <v>29</v>
      </c>
      <c r="FZ34">
        <v>1.0277335142693396</v>
      </c>
      <c r="GA34">
        <v>13.757719860871923</v>
      </c>
      <c r="GB34">
        <v>5.7748252847940549</v>
      </c>
      <c r="GC34">
        <v>1.0068453212589783</v>
      </c>
      <c r="GD34">
        <v>0.96650266650673944</v>
      </c>
      <c r="GE34">
        <v>1.3908320469781759</v>
      </c>
      <c r="GF34">
        <v>3.6558635546856926</v>
      </c>
      <c r="GG34">
        <v>2.5512781329880112</v>
      </c>
      <c r="GH34">
        <v>0.23579423514790807</v>
      </c>
      <c r="GI34">
        <v>4.5699306736409158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12.789018732492996</v>
      </c>
      <c r="AO35">
        <v>14.760293529536403</v>
      </c>
      <c r="AP35">
        <v>114.24843094903764</v>
      </c>
      <c r="AQ35">
        <v>41.119819004007489</v>
      </c>
      <c r="AR35">
        <v>13.759663750318129</v>
      </c>
      <c r="AS35">
        <v>82.520881407499687</v>
      </c>
      <c r="AT35">
        <v>6.2711014244141809</v>
      </c>
      <c r="AU35">
        <v>-36.215791684634823</v>
      </c>
      <c r="AV35"/>
      <c r="AW35"/>
      <c r="FY35" s="210">
        <v>30</v>
      </c>
      <c r="FZ35">
        <v>10.43784527110553</v>
      </c>
      <c r="GA35">
        <v>16.199669500302704</v>
      </c>
      <c r="GB35">
        <v>3.8101770657085137</v>
      </c>
      <c r="GC35">
        <v>0.57895296412036168</v>
      </c>
      <c r="GD35">
        <v>0.65730300110957174</v>
      </c>
      <c r="GE35">
        <v>1.0703156297330947</v>
      </c>
      <c r="GF35">
        <v>4.716038178780332</v>
      </c>
      <c r="GG35">
        <v>3.7384543212369992</v>
      </c>
      <c r="GH35">
        <v>0.58144353567374973</v>
      </c>
      <c r="GI35">
        <v>5.5455410105633405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4.2074249396425957E-4</v>
      </c>
      <c r="H36" s="59">
        <f t="shared" ref="H36:AK36" si="17">(1-($A$43/100))*($A$39*(H35^$A$41))</f>
        <v>2.6975999960000001E-3</v>
      </c>
      <c r="I36" s="59">
        <f t="shared" si="17"/>
        <v>1.729572325783988E-2</v>
      </c>
      <c r="J36" s="59">
        <f t="shared" si="17"/>
        <v>5.1283865773496855E-2</v>
      </c>
      <c r="K36" s="59">
        <f t="shared" si="17"/>
        <v>0.11089192002348423</v>
      </c>
      <c r="L36" s="59">
        <f t="shared" si="17"/>
        <v>0.20168954067263015</v>
      </c>
      <c r="M36" s="59">
        <f t="shared" si="17"/>
        <v>0.32880766285803609</v>
      </c>
      <c r="N36" s="59">
        <f t="shared" si="17"/>
        <v>0.49705446562765726</v>
      </c>
      <c r="O36" s="59">
        <f t="shared" si="17"/>
        <v>0.71098604800587151</v>
      </c>
      <c r="P36" s="59">
        <f t="shared" si="17"/>
        <v>0.97495362269196928</v>
      </c>
      <c r="Q36" s="59">
        <f t="shared" si="17"/>
        <v>1.2931370420548645</v>
      </c>
      <c r="R36" s="59">
        <f t="shared" si="17"/>
        <v>1.6695697117709549</v>
      </c>
      <c r="S36" s="59">
        <f t="shared" si="17"/>
        <v>2.1081577514391845</v>
      </c>
      <c r="T36" s="59">
        <f t="shared" si="17"/>
        <v>2.6126951356643624</v>
      </c>
      <c r="U36" s="59">
        <f t="shared" si="17"/>
        <v>3.186875924642997</v>
      </c>
      <c r="V36" s="59">
        <f t="shared" si="17"/>
        <v>3.8343043249965225</v>
      </c>
      <c r="W36" s="59">
        <f t="shared" si="17"/>
        <v>4.558503093389989</v>
      </c>
      <c r="X36" s="59">
        <f t="shared" si="17"/>
        <v>5.3629206481954421</v>
      </c>
      <c r="Y36" s="59">
        <f t="shared" si="17"/>
        <v>6.2509371561063425</v>
      </c>
      <c r="Z36" s="59">
        <f t="shared" si="17"/>
        <v>7.2258697929900224</v>
      </c>
      <c r="AA36" s="59">
        <f t="shared" si="17"/>
        <v>8.2909773305925594</v>
      </c>
      <c r="AB36" s="59">
        <f t="shared" si="17"/>
        <v>9.4494641663567052</v>
      </c>
      <c r="AC36" s="59">
        <f t="shared" si="17"/>
        <v>10.70448388837481</v>
      </c>
      <c r="AD36" s="59">
        <f t="shared" si="17"/>
        <v>12.05914244863688</v>
      </c>
      <c r="AE36" s="59">
        <f t="shared" si="17"/>
        <v>13.516501003420878</v>
      </c>
      <c r="AF36" s="59">
        <f t="shared" si="17"/>
        <v>15.079578468659118</v>
      </c>
      <c r="AG36" s="59">
        <f t="shared" si="17"/>
        <v>16.751353829537599</v>
      </c>
      <c r="AH36" s="59">
        <f t="shared" si="17"/>
        <v>18.534768236824771</v>
      </c>
      <c r="AI36" s="59">
        <f t="shared" si="17"/>
        <v>20.432726917048022</v>
      </c>
      <c r="AJ36" s="59">
        <f t="shared" si="17"/>
        <v>22.448100919312303</v>
      </c>
      <c r="AK36" s="59">
        <f t="shared" si="17"/>
        <v>24.583728718050597</v>
      </c>
      <c r="AL36" s="42"/>
      <c r="AM36" s="43">
        <v>20</v>
      </c>
      <c r="AN36">
        <v>9.3341576213818875</v>
      </c>
      <c r="AO36">
        <v>16.87579546307645</v>
      </c>
      <c r="AP36">
        <v>121.05686032032949</v>
      </c>
      <c r="AQ36">
        <v>22.173731919664128</v>
      </c>
      <c r="AR36">
        <v>16.20853160518401</v>
      </c>
      <c r="AS36">
        <v>83.145968493533502</v>
      </c>
      <c r="AT36">
        <v>9.152379267270808</v>
      </c>
      <c r="AU36">
        <v>-140.71798085046055</v>
      </c>
      <c r="AV36"/>
      <c r="AW36"/>
      <c r="FY36" s="210">
        <v>31</v>
      </c>
      <c r="FZ36">
        <v>10.271544090893837</v>
      </c>
      <c r="GA36">
        <v>24.043763945346569</v>
      </c>
      <c r="GB36">
        <v>8.1210353913662114</v>
      </c>
      <c r="GC36">
        <v>0.64660019401881819</v>
      </c>
      <c r="GD36">
        <v>0.78318929894546518</v>
      </c>
      <c r="GE36">
        <v>1.2304387917709527</v>
      </c>
      <c r="GF36">
        <v>4.9883032768017186</v>
      </c>
      <c r="GG36">
        <v>4.5477918996882742</v>
      </c>
      <c r="GH36">
        <v>0.64441312055873701</v>
      </c>
      <c r="GI36">
        <v>6.3147886628559533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31.551058282444686</v>
      </c>
      <c r="E37" s="107">
        <f t="shared" ref="E37:E46" si="19">+D37/D21</f>
        <v>6.7308924335881999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</v>
      </c>
      <c r="J37" s="49">
        <f t="shared" si="21"/>
        <v>0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0.50778834515206728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16.278482177360267</v>
      </c>
      <c r="Z37" s="49">
        <f t="shared" si="21"/>
        <v>0</v>
      </c>
      <c r="AA37" s="49">
        <f t="shared" si="21"/>
        <v>0</v>
      </c>
      <c r="AB37" s="49">
        <f t="shared" si="21"/>
        <v>14.764787759932352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8.408088235294116</v>
      </c>
      <c r="AO37">
        <v>24.272636491268152</v>
      </c>
      <c r="AP37">
        <v>236.80667212915154</v>
      </c>
      <c r="AQ37">
        <v>45.599221065930877</v>
      </c>
      <c r="AR37">
        <v>23.406810616831386</v>
      </c>
      <c r="AS37">
        <v>136.68796174043527</v>
      </c>
      <c r="AT37">
        <v>16.640681409470837</v>
      </c>
      <c r="AU37">
        <v>11.855969073264886</v>
      </c>
      <c r="AV37"/>
      <c r="AW37"/>
      <c r="FY37" s="210">
        <v>32</v>
      </c>
      <c r="FZ37">
        <v>5.0673180157161912</v>
      </c>
      <c r="GA37">
        <v>12.855365056508028</v>
      </c>
      <c r="GB37">
        <v>3.3962238840000873</v>
      </c>
      <c r="GC37">
        <v>0.70057863378430019</v>
      </c>
      <c r="GD37">
        <v>0.4843399520584562</v>
      </c>
      <c r="GE37">
        <v>1.0374842055821429</v>
      </c>
      <c r="GF37">
        <v>4.0732633333096739</v>
      </c>
      <c r="GG37">
        <v>2.6796696653298739</v>
      </c>
      <c r="GH37">
        <v>0.40861888541082891</v>
      </c>
      <c r="GI37">
        <v>3.3208558012859957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33.838672135658797</v>
      </c>
      <c r="E38" s="107">
        <f t="shared" si="19"/>
        <v>3.8217794412038173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</v>
      </c>
      <c r="J38" s="49">
        <f t="shared" si="21"/>
        <v>0</v>
      </c>
      <c r="K38" s="49">
        <f t="shared" si="21"/>
        <v>5.7756208345564698E-2</v>
      </c>
      <c r="L38" s="49">
        <f t="shared" si="21"/>
        <v>0.10504663576699486</v>
      </c>
      <c r="M38" s="49">
        <f t="shared" si="21"/>
        <v>0.68501596428757505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0.67350887607024179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4.7484407222812379</v>
      </c>
      <c r="X38" s="49">
        <f t="shared" si="21"/>
        <v>0</v>
      </c>
      <c r="Y38" s="49">
        <f t="shared" si="21"/>
        <v>16.278482177360267</v>
      </c>
      <c r="Z38" s="49">
        <f t="shared" si="21"/>
        <v>11.29042155154691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5.8637152777777768</v>
      </c>
      <c r="AO38">
        <v>8.8700163762457898</v>
      </c>
      <c r="AP38">
        <v>60.812299228987683</v>
      </c>
      <c r="AQ38">
        <v>16.909750505011356</v>
      </c>
      <c r="AR38">
        <v>8.2096909820754966</v>
      </c>
      <c r="AS38">
        <v>42.267236740809963</v>
      </c>
      <c r="AT38" t="e">
        <v>#DIV/0!</v>
      </c>
      <c r="AU38" t="e">
        <v>#DIV/0!</v>
      </c>
      <c r="AV38"/>
      <c r="AW38"/>
      <c r="FY38" s="210">
        <v>33</v>
      </c>
      <c r="FZ38">
        <v>3.9981369983121078</v>
      </c>
      <c r="GA38">
        <v>17.102024304666596</v>
      </c>
      <c r="GB38">
        <v>6.277240188136969</v>
      </c>
      <c r="GC38">
        <v>0.58892603553892742</v>
      </c>
      <c r="GD38">
        <v>0.7205407426039494</v>
      </c>
      <c r="GE38">
        <v>1.7872687105225087</v>
      </c>
      <c r="GF38">
        <v>3.9047986243165154</v>
      </c>
      <c r="GG38">
        <v>2.1271151515623243</v>
      </c>
      <c r="GH38">
        <v>0</v>
      </c>
      <c r="GI38">
        <v>4.3500327312342657</v>
      </c>
      <c r="GJ38"/>
      <c r="GK38"/>
      <c r="GL38"/>
      <c r="GM38"/>
    </row>
    <row r="39" spans="1:195" s="7" customFormat="1">
      <c r="A39" s="114">
        <v>2.8E-3</v>
      </c>
      <c r="B39" s="57"/>
      <c r="C39" s="48" t="s">
        <v>40</v>
      </c>
      <c r="D39" s="49">
        <f t="shared" si="18"/>
        <v>24.356463677242139</v>
      </c>
      <c r="E39" s="107">
        <f t="shared" si="19"/>
        <v>2.033235228708909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5.3420693514059217E-2</v>
      </c>
      <c r="K39" s="49">
        <f t="shared" si="21"/>
        <v>0.51980587511008225</v>
      </c>
      <c r="L39" s="49">
        <f t="shared" si="21"/>
        <v>0.10504663576699486</v>
      </c>
      <c r="M39" s="49">
        <f t="shared" si="21"/>
        <v>0.68501596428757505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0.67350887607024179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4.7484407222812379</v>
      </c>
      <c r="X39" s="49">
        <f t="shared" si="21"/>
        <v>0</v>
      </c>
      <c r="Y39" s="49">
        <f t="shared" si="21"/>
        <v>0</v>
      </c>
      <c r="Z39" s="49">
        <f t="shared" si="21"/>
        <v>11.29042155154691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6.2808033586650405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12.11158525910364</v>
      </c>
      <c r="AO39">
        <v>19.590258609148684</v>
      </c>
      <c r="AP39">
        <v>163.86086240989042</v>
      </c>
      <c r="AQ39">
        <v>43.079957705517721</v>
      </c>
      <c r="AR39">
        <v>18.228504260818561</v>
      </c>
      <c r="AS39">
        <v>141.49889478105271</v>
      </c>
      <c r="AT39">
        <v>10.141699101779276</v>
      </c>
      <c r="AU39">
        <v>31.070534772842617</v>
      </c>
      <c r="AV39"/>
      <c r="AW39"/>
      <c r="FY39" s="210">
        <v>34</v>
      </c>
      <c r="FZ39">
        <v>3.1736910136498504</v>
      </c>
      <c r="GA39">
        <v>7.3092876301782415</v>
      </c>
      <c r="GB39">
        <v>2.2281350826398683</v>
      </c>
      <c r="GC39">
        <v>0.65133358613908998</v>
      </c>
      <c r="GD39">
        <v>0.70805198633730237</v>
      </c>
      <c r="GE39">
        <v>1.5266177465379862</v>
      </c>
      <c r="GF39">
        <v>4.8935870019813228</v>
      </c>
      <c r="GG39">
        <v>3.4912170963013489</v>
      </c>
      <c r="GH39">
        <v>0.40861888541082891</v>
      </c>
      <c r="GI39">
        <v>4.395803324875728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9.1857102340558718</v>
      </c>
      <c r="E40" s="107">
        <f t="shared" si="19"/>
        <v>0.53444132270870537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1.8016378393583207E-2</v>
      </c>
      <c r="J40" s="49">
        <f t="shared" si="21"/>
        <v>0.10684138702811843</v>
      </c>
      <c r="K40" s="49">
        <f t="shared" si="21"/>
        <v>0.92409933352903517</v>
      </c>
      <c r="L40" s="49">
        <f t="shared" si="21"/>
        <v>0.84037308613595885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1.0155766903041346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6.2808033586650405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8.8707618464052267</v>
      </c>
      <c r="AO40">
        <v>12.914650548224454</v>
      </c>
      <c r="AP40">
        <v>105.3745741043747</v>
      </c>
      <c r="AQ40">
        <v>28.918357946576588</v>
      </c>
      <c r="AR40">
        <v>11.965975752486102</v>
      </c>
      <c r="AS40">
        <v>58.095069179024669</v>
      </c>
      <c r="AT40" t="e">
        <v>#DIV/0!</v>
      </c>
      <c r="AU40" t="e">
        <v>#DIV/0!</v>
      </c>
      <c r="AV40"/>
      <c r="AW40"/>
      <c r="FY40" s="210">
        <v>35</v>
      </c>
      <c r="FZ40">
        <v>13.359586163480095</v>
      </c>
      <c r="GA40">
        <v>7.087601370823303</v>
      </c>
      <c r="GB40">
        <v>0.27444868048516441</v>
      </c>
      <c r="GC40">
        <v>0.27839772098088811</v>
      </c>
      <c r="GD40">
        <v>0.54671027837075559</v>
      </c>
      <c r="GE40">
        <v>1.8637448265927143</v>
      </c>
      <c r="GF40">
        <v>5.2840268645224837</v>
      </c>
      <c r="GG40">
        <v>3.7965343851332478</v>
      </c>
      <c r="GH40">
        <v>0.64441312055873701</v>
      </c>
      <c r="GI40">
        <v>4.0506566087104572</v>
      </c>
      <c r="GJ40"/>
      <c r="GK40"/>
      <c r="GL40"/>
      <c r="GM40"/>
    </row>
    <row r="41" spans="1:195" s="7" customFormat="1">
      <c r="A41" s="114">
        <v>2.6806670000000001</v>
      </c>
      <c r="B41" s="57"/>
      <c r="C41" s="48" t="s">
        <v>42</v>
      </c>
      <c r="D41" s="49">
        <f t="shared" si="18"/>
        <v>23.830199868497054</v>
      </c>
      <c r="E41" s="107">
        <f t="shared" si="19"/>
        <v>1.2365941553382258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1.8016378393583207E-2</v>
      </c>
      <c r="J41" s="49">
        <f t="shared" si="22"/>
        <v>0.10684138702811843</v>
      </c>
      <c r="K41" s="49">
        <f t="shared" si="22"/>
        <v>0.57756208345564708</v>
      </c>
      <c r="L41" s="49">
        <f t="shared" si="22"/>
        <v>1.3656062649709331</v>
      </c>
      <c r="M41" s="49">
        <f t="shared" si="22"/>
        <v>0.17125399107189376</v>
      </c>
      <c r="N41" s="49">
        <f t="shared" si="22"/>
        <v>0</v>
      </c>
      <c r="O41" s="49">
        <f t="shared" si="22"/>
        <v>0.37030523333639137</v>
      </c>
      <c r="P41" s="49">
        <f t="shared" si="22"/>
        <v>1.0155766903041346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2.374220361140619</v>
      </c>
      <c r="X41" s="49">
        <f t="shared" si="22"/>
        <v>0</v>
      </c>
      <c r="Y41" s="49">
        <f t="shared" si="22"/>
        <v>3.255696435472053</v>
      </c>
      <c r="Z41" s="49">
        <f t="shared" si="22"/>
        <v>0</v>
      </c>
      <c r="AA41" s="49">
        <f t="shared" si="22"/>
        <v>0</v>
      </c>
      <c r="AB41" s="49">
        <f t="shared" si="22"/>
        <v>4.9215959199774497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9.6535251233462329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8.3969056372548998</v>
      </c>
      <c r="AO41">
        <v>19.008920079560049</v>
      </c>
      <c r="AP41">
        <v>144.58839573903703</v>
      </c>
      <c r="AQ41">
        <v>19.149220975241708</v>
      </c>
      <c r="AR41">
        <v>17.695518044556618</v>
      </c>
      <c r="AS41">
        <v>72.988445721944444</v>
      </c>
      <c r="AT41">
        <v>9.0071656519236889</v>
      </c>
      <c r="AU41">
        <v>-68.334567366466914</v>
      </c>
      <c r="AV41"/>
      <c r="AW41"/>
      <c r="FY41" s="210">
        <v>36</v>
      </c>
      <c r="FZ41">
        <v>3.9981369983121078</v>
      </c>
      <c r="GA41">
        <v>5.9136254158280579</v>
      </c>
      <c r="GB41">
        <v>1.4838384703089775</v>
      </c>
      <c r="GC41">
        <v>1.1991110411499921</v>
      </c>
      <c r="GD41">
        <v>1.0937081551100871</v>
      </c>
      <c r="GE41">
        <v>1.3613596891730915</v>
      </c>
      <c r="GF41">
        <v>4.259665288295766</v>
      </c>
      <c r="GG41">
        <v>3.1038326467555613</v>
      </c>
      <c r="GH41">
        <v>0.81723777082165783</v>
      </c>
      <c r="GI41">
        <v>4.4847922262072313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22.471297212983181</v>
      </c>
      <c r="E42" s="107">
        <f t="shared" si="19"/>
        <v>2.3010608346094772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5.3420693514059217E-2</v>
      </c>
      <c r="K42" s="49">
        <f t="shared" si="22"/>
        <v>0.18770767712308525</v>
      </c>
      <c r="L42" s="49">
        <f t="shared" si="22"/>
        <v>0.52523317883497433</v>
      </c>
      <c r="M42" s="49">
        <f t="shared" si="22"/>
        <v>0.17125399107189376</v>
      </c>
      <c r="N42" s="49">
        <f t="shared" si="22"/>
        <v>0.32360316772633935</v>
      </c>
      <c r="O42" s="49">
        <f t="shared" si="22"/>
        <v>0.37030523333639137</v>
      </c>
      <c r="P42" s="49">
        <f t="shared" si="22"/>
        <v>0.63473543144008415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2.374220361140619</v>
      </c>
      <c r="X42" s="49">
        <f t="shared" si="22"/>
        <v>0</v>
      </c>
      <c r="Y42" s="49">
        <f t="shared" si="22"/>
        <v>3.255696435472053</v>
      </c>
      <c r="Z42" s="49">
        <f t="shared" si="22"/>
        <v>0</v>
      </c>
      <c r="AA42" s="49">
        <f t="shared" si="22"/>
        <v>0</v>
      </c>
      <c r="AB42" s="49">
        <f t="shared" si="22"/>
        <v>4.9215959199774497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9.6535251233462329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7.4867311507936503</v>
      </c>
      <c r="AO42">
        <v>13.905265577852941</v>
      </c>
      <c r="AP42">
        <v>97.503608183099459</v>
      </c>
      <c r="AQ42">
        <v>18.456514257041267</v>
      </c>
      <c r="AR42">
        <v>12.961733391029059</v>
      </c>
      <c r="AS42">
        <v>79.879563910067517</v>
      </c>
      <c r="AT42" t="e">
        <v>#DIV/0!</v>
      </c>
      <c r="AU42" t="e">
        <v>#DIV/0!</v>
      </c>
      <c r="AV42"/>
      <c r="AW42"/>
      <c r="FY42" s="210">
        <v>37</v>
      </c>
      <c r="FZ42">
        <v>10.396017391931899</v>
      </c>
      <c r="GA42">
        <v>7.7883722254875707</v>
      </c>
      <c r="GB42">
        <v>0.88035422364469329</v>
      </c>
      <c r="GC42">
        <v>1.0249148597947288</v>
      </c>
      <c r="GD42">
        <v>0.74255870757901821</v>
      </c>
      <c r="GE42">
        <v>1.1081166124897881</v>
      </c>
      <c r="GF42">
        <v>5.6461572416056267</v>
      </c>
      <c r="GG42">
        <v>3.9952373859207246</v>
      </c>
      <c r="GH42">
        <v>0.75426818593667067</v>
      </c>
      <c r="GI42">
        <v>3.7279413985138401</v>
      </c>
      <c r="GJ42"/>
      <c r="GK42"/>
      <c r="GL42"/>
      <c r="GM42"/>
    </row>
    <row r="43" spans="1:195" s="7" customFormat="1">
      <c r="A43" s="95">
        <v>3.657143</v>
      </c>
      <c r="B43" s="1"/>
      <c r="C43" s="48" t="s">
        <v>119</v>
      </c>
      <c r="D43" s="49">
        <f>IF(SUM(G43:AK43)&lt;0.0001, 0, SUM(G43:AK43))</f>
        <v>3.3142207605554428</v>
      </c>
      <c r="E43" s="107">
        <f t="shared" si="19"/>
        <v>0.82107146584083235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</v>
      </c>
      <c r="K43" s="49">
        <f t="shared" si="22"/>
        <v>7.2195260431955871E-2</v>
      </c>
      <c r="L43" s="49">
        <f t="shared" si="22"/>
        <v>0</v>
      </c>
      <c r="M43" s="49">
        <f t="shared" si="22"/>
        <v>0</v>
      </c>
      <c r="N43" s="49">
        <f t="shared" si="22"/>
        <v>0.32360316772633935</v>
      </c>
      <c r="O43" s="49">
        <f t="shared" si="22"/>
        <v>0.74061046667278274</v>
      </c>
      <c r="P43" s="49">
        <f t="shared" si="22"/>
        <v>0.63473543144008415</v>
      </c>
      <c r="Q43" s="49">
        <f t="shared" si="22"/>
        <v>0.67350887607024179</v>
      </c>
      <c r="R43" s="49">
        <f t="shared" si="22"/>
        <v>0.86956755821403886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11.669022817460316</v>
      </c>
      <c r="AO43">
        <v>20.401100969178994</v>
      </c>
      <c r="AP43">
        <v>190.36351418263868</v>
      </c>
      <c r="AQ43">
        <v>45.978419362175821</v>
      </c>
      <c r="AR43">
        <v>18.98074893336733</v>
      </c>
      <c r="AS43">
        <v>104.25262808849752</v>
      </c>
      <c r="AT43" t="e">
        <v>#DIV/0!</v>
      </c>
      <c r="AU43" t="e">
        <v>#DIV/0!</v>
      </c>
      <c r="AV43"/>
      <c r="AW43"/>
      <c r="FY43" s="210">
        <v>38</v>
      </c>
      <c r="FZ43">
        <v>3.6006105663560986</v>
      </c>
      <c r="GA43">
        <v>9.1636149328703951</v>
      </c>
      <c r="GB43">
        <v>2.6182374905620733</v>
      </c>
      <c r="GC43">
        <v>0.43606832438428589</v>
      </c>
      <c r="GD43">
        <v>0.63304290952154829</v>
      </c>
      <c r="GE43">
        <v>2.1364053343443912</v>
      </c>
      <c r="GF43">
        <v>6.6478131975727317</v>
      </c>
      <c r="GG43">
        <v>4.5477918996882742</v>
      </c>
      <c r="GH43">
        <v>0.64441312055873701</v>
      </c>
      <c r="GI43">
        <v>4.619446005321441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13.44349723861505</v>
      </c>
      <c r="E44" s="107">
        <f t="shared" si="19"/>
        <v>3.6873592425915578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0.51776506836214287</v>
      </c>
      <c r="O44" s="49">
        <f t="shared" si="23"/>
        <v>0.74061046667278274</v>
      </c>
      <c r="P44" s="49">
        <f t="shared" si="23"/>
        <v>0</v>
      </c>
      <c r="Q44" s="49">
        <f t="shared" si="23"/>
        <v>0.67350887607024179</v>
      </c>
      <c r="R44" s="49">
        <f t="shared" si="23"/>
        <v>0.86956755821403886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10.642045269295844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8.7760416666666679</v>
      </c>
      <c r="AO44">
        <v>13.522234092005894</v>
      </c>
      <c r="AP44">
        <v>83.761111131913694</v>
      </c>
      <c r="AQ44">
        <v>17.62795724160112</v>
      </c>
      <c r="AR44">
        <v>12.561530996285041</v>
      </c>
      <c r="AS44">
        <v>65.378409816519948</v>
      </c>
      <c r="AT44" t="e">
        <v>#DIV/0!</v>
      </c>
      <c r="AU44" t="e">
        <v>#DIV/0!</v>
      </c>
      <c r="AV44"/>
      <c r="AW44"/>
      <c r="FY44" s="210">
        <v>39</v>
      </c>
      <c r="FZ44">
        <v>3.9981369983121078</v>
      </c>
      <c r="GA44">
        <v>11.607493681727803</v>
      </c>
      <c r="GB44">
        <v>3.9124570572775061</v>
      </c>
      <c r="GC44">
        <v>0.16136632211780638</v>
      </c>
      <c r="GD44">
        <v>0.11035142975058176</v>
      </c>
      <c r="GE44">
        <v>0.84139968948658006</v>
      </c>
      <c r="GF44">
        <v>2.7576867947009029</v>
      </c>
      <c r="GG44">
        <v>1.7397307020165371</v>
      </c>
      <c r="GH44">
        <v>0.40861888541082891</v>
      </c>
      <c r="GI44">
        <v>3.7671814978917446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11.159810337657987</v>
      </c>
      <c r="E45" s="107">
        <f t="shared" si="19"/>
        <v>7.1422786161011125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0.51776506836214287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10.642045269295844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10.633680555555554</v>
      </c>
      <c r="AO45">
        <v>17.816382973830393</v>
      </c>
      <c r="AP45">
        <v>135.2010061992832</v>
      </c>
      <c r="AQ45">
        <v>34.937325291141732</v>
      </c>
      <c r="AR45">
        <v>16.570755351770693</v>
      </c>
      <c r="AS45">
        <v>81.779833484061328</v>
      </c>
      <c r="AT45" t="e">
        <v>#DIV/0!</v>
      </c>
      <c r="AU45" t="e">
        <v>#DIV/0!</v>
      </c>
      <c r="AV45"/>
      <c r="AW45"/>
      <c r="FY45" s="210">
        <v>40</v>
      </c>
      <c r="FZ45">
        <v>9.0288490406717941</v>
      </c>
      <c r="GA45">
        <v>23.696318265503614</v>
      </c>
      <c r="GB45">
        <v>8.0163341033019719</v>
      </c>
      <c r="GC45">
        <v>0.50015586807806134</v>
      </c>
      <c r="GD45">
        <v>0.62779169131765178</v>
      </c>
      <c r="GE45">
        <v>1.3652189908400116</v>
      </c>
      <c r="GF45">
        <v>3.4062583907675235</v>
      </c>
      <c r="GG45">
        <v>2.1271151515623243</v>
      </c>
      <c r="GH45">
        <v>0</v>
      </c>
      <c r="GI45">
        <v>5.4388914298727293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18.842350585279462</v>
      </c>
      <c r="E46" s="107">
        <f t="shared" si="19"/>
        <v>2.2681701018016662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3.6032756787166415E-3</v>
      </c>
      <c r="J46" s="49">
        <f t="shared" si="25"/>
        <v>3.2052416108435532E-2</v>
      </c>
      <c r="K46" s="49">
        <f t="shared" si="25"/>
        <v>0.233912643799537</v>
      </c>
      <c r="L46" s="49">
        <f t="shared" si="25"/>
        <v>0.29413058014758564</v>
      </c>
      <c r="M46" s="49">
        <f t="shared" si="25"/>
        <v>0.17125399107189376</v>
      </c>
      <c r="N46" s="49">
        <f t="shared" si="25"/>
        <v>0.16827364721769644</v>
      </c>
      <c r="O46" s="49">
        <f t="shared" si="25"/>
        <v>0.22218314000183481</v>
      </c>
      <c r="P46" s="49">
        <f t="shared" si="25"/>
        <v>0.43162009337925722</v>
      </c>
      <c r="Q46" s="49">
        <f t="shared" si="25"/>
        <v>0.26940355042809672</v>
      </c>
      <c r="R46" s="49">
        <f t="shared" si="25"/>
        <v>0.1739135116428078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1.4245322166843712</v>
      </c>
      <c r="X46" s="49">
        <f t="shared" si="25"/>
        <v>0</v>
      </c>
      <c r="Y46" s="49">
        <f t="shared" si="25"/>
        <v>3.9068357225664641</v>
      </c>
      <c r="Z46" s="49">
        <f t="shared" si="25"/>
        <v>2.2580843103093819</v>
      </c>
      <c r="AA46" s="49">
        <f t="shared" si="25"/>
        <v>0</v>
      </c>
      <c r="AB46" s="49">
        <f t="shared" si="25"/>
        <v>3.93727673598196</v>
      </c>
      <c r="AC46" s="49">
        <f t="shared" si="25"/>
        <v>0</v>
      </c>
      <c r="AD46" s="49">
        <f t="shared" si="25"/>
        <v>1.2561606717330083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1.9307050246692468</v>
      </c>
      <c r="AI46" s="49">
        <f t="shared" si="25"/>
        <v>2.1284090538591687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9.6284284547152197</v>
      </c>
      <c r="AO46">
        <v>21.646646901215369</v>
      </c>
      <c r="AP46">
        <v>157.0071189018781</v>
      </c>
      <c r="AQ46">
        <v>47.335740478334195</v>
      </c>
      <c r="AR46">
        <v>20.980764234816903</v>
      </c>
      <c r="AS46">
        <v>152.2072095969196</v>
      </c>
      <c r="AT46">
        <v>10.171329616213676</v>
      </c>
      <c r="AU46">
        <v>-74.296645197805532</v>
      </c>
      <c r="AV46"/>
      <c r="AW46"/>
      <c r="FY46" s="210">
        <v>41</v>
      </c>
      <c r="FZ46">
        <v>0.11542243785271598</v>
      </c>
      <c r="GA46">
        <v>0.1993376429609533</v>
      </c>
      <c r="GB46">
        <v>0.2582091140554138</v>
      </c>
      <c r="GC46">
        <v>0.80556161441708996</v>
      </c>
      <c r="GD46">
        <v>0.61689605278517645</v>
      </c>
      <c r="GE46">
        <v>1.3582121414441917</v>
      </c>
      <c r="GF46">
        <v>3.4984401714158153</v>
      </c>
      <c r="GG46">
        <v>1.788264926164711</v>
      </c>
      <c r="GH46">
        <v>0.47158847029581613</v>
      </c>
      <c r="GI46">
        <v>1.5132716690421124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11.11642156862745</v>
      </c>
      <c r="AO47">
        <v>21.090820723014346</v>
      </c>
      <c r="AP47">
        <v>202.50034324147185</v>
      </c>
      <c r="AQ47">
        <v>61.591868672246541</v>
      </c>
      <c r="AR47">
        <v>20.52573837892222</v>
      </c>
      <c r="AS47">
        <v>100.81772274715458</v>
      </c>
      <c r="AT47">
        <v>10.846327111140683</v>
      </c>
      <c r="AU47">
        <v>-51.338622994316388</v>
      </c>
      <c r="AV47"/>
      <c r="AW47"/>
      <c r="FY47" s="210">
        <v>42</v>
      </c>
      <c r="FZ47">
        <v>7.8645878429798852</v>
      </c>
      <c r="GA47">
        <v>7.9364802623695745</v>
      </c>
      <c r="GB47">
        <v>0.79664725636300926</v>
      </c>
      <c r="GC47">
        <v>0.75760738376675385</v>
      </c>
      <c r="GD47">
        <v>0.90543055898029112</v>
      </c>
      <c r="GE47">
        <v>1.6186843173794399</v>
      </c>
      <c r="GF47">
        <v>6.6115709127526232</v>
      </c>
      <c r="GG47">
        <v>5.3108051065115749</v>
      </c>
      <c r="GH47">
        <v>0.58144353567374973</v>
      </c>
      <c r="GI47">
        <v>4.7711539974621751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19.199328033298968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8.398539624183007</v>
      </c>
      <c r="AO48">
        <v>22.304013953710882</v>
      </c>
      <c r="AP48">
        <v>153.3527821282876</v>
      </c>
      <c r="AQ48">
        <v>34.023717432985578</v>
      </c>
      <c r="AR48">
        <v>20.688921604332712</v>
      </c>
      <c r="AS48">
        <v>85.833754609965141</v>
      </c>
      <c r="AT48">
        <v>11.041356631328297</v>
      </c>
      <c r="AU48">
        <v>-14.297406988841292</v>
      </c>
      <c r="AV48"/>
      <c r="AW48"/>
      <c r="FY48" s="210">
        <v>43</v>
      </c>
      <c r="FZ48">
        <v>3.1736910136498504</v>
      </c>
      <c r="GA48">
        <v>0.3986752859219066</v>
      </c>
      <c r="GB48">
        <v>0.34191608133709783</v>
      </c>
      <c r="GC48">
        <v>0.64161365830953532</v>
      </c>
      <c r="GD48">
        <v>1.2428643313265593</v>
      </c>
      <c r="GE48">
        <v>3.0036140806426572</v>
      </c>
      <c r="GF48">
        <v>5.8237060648066183</v>
      </c>
      <c r="GG48">
        <v>3.9249259174751105</v>
      </c>
      <c r="GH48">
        <v>0.47158847029581613</v>
      </c>
      <c r="GI48">
        <v>3.322221292303567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10.404265873015872</v>
      </c>
      <c r="AO49">
        <v>22.17749445834685</v>
      </c>
      <c r="AP49">
        <v>201.54401162898807</v>
      </c>
      <c r="AQ49">
        <v>40.856083486894157</v>
      </c>
      <c r="AR49">
        <v>20.999638505362668</v>
      </c>
      <c r="AS49">
        <v>327.33781771974759</v>
      </c>
      <c r="AT49" t="e">
        <v>#DIV/0!</v>
      </c>
      <c r="AU49" t="e">
        <v>#DIV/0!</v>
      </c>
      <c r="AV49"/>
      <c r="AW49"/>
      <c r="FY49" s="210">
        <v>44</v>
      </c>
      <c r="FZ49">
        <v>12.775035917708617</v>
      </c>
      <c r="GA49">
        <v>17.173990615024952</v>
      </c>
      <c r="GB49">
        <v>3.8438668468156365</v>
      </c>
      <c r="GC49">
        <v>0.89421467079867267</v>
      </c>
      <c r="GD49">
        <v>0.88346718099238686</v>
      </c>
      <c r="GE49">
        <v>1.2285664325042704</v>
      </c>
      <c r="GF49">
        <v>1.3931084368759987</v>
      </c>
      <c r="GG49">
        <v>0.42416298142568709</v>
      </c>
      <c r="GH49">
        <v>0.40861888541082891</v>
      </c>
      <c r="GI49">
        <v>4.6342798890593073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7.6016646241830061</v>
      </c>
      <c r="AO50">
        <v>17.179360661453895</v>
      </c>
      <c r="AP50">
        <v>139.7068929303606</v>
      </c>
      <c r="AQ50">
        <v>28.786343354051567</v>
      </c>
      <c r="AR50">
        <v>16.395073377038024</v>
      </c>
      <c r="AS50">
        <v>89.204274049282091</v>
      </c>
      <c r="AT50" t="e">
        <v>#DIV/0!</v>
      </c>
      <c r="AU50" t="e">
        <v>#DIV/0!</v>
      </c>
      <c r="AV50"/>
      <c r="AW50"/>
      <c r="FY50" s="210">
        <v>45</v>
      </c>
      <c r="FZ50">
        <v>5.3490416337806002</v>
      </c>
      <c r="GA50">
        <v>22.648101730996384</v>
      </c>
      <c r="GB50">
        <v>7.3069379203258285</v>
      </c>
      <c r="GC50">
        <v>0.62217380265042599</v>
      </c>
      <c r="GD50">
        <v>0.88371966590737117</v>
      </c>
      <c r="GE50">
        <v>1.7025428819640593</v>
      </c>
      <c r="GF50">
        <v>3.9093741131856365</v>
      </c>
      <c r="GG50">
        <v>2.6796696653298739</v>
      </c>
      <c r="GH50">
        <v>0.40861888541082891</v>
      </c>
      <c r="GI50">
        <v>5.8001520281115297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6.2943729575163392</v>
      </c>
      <c r="AO51">
        <v>13.171158547385911</v>
      </c>
      <c r="AP51">
        <v>117.65620977153759</v>
      </c>
      <c r="AQ51">
        <v>37.186120019657849</v>
      </c>
      <c r="AR51">
        <v>13.206134968213021</v>
      </c>
      <c r="AS51">
        <v>59.733066587223988</v>
      </c>
      <c r="AT51">
        <v>6.8637109882871963</v>
      </c>
      <c r="AU51">
        <v>24.50159470580698</v>
      </c>
      <c r="AV51"/>
      <c r="AW51"/>
      <c r="FY51" s="210">
        <v>46</v>
      </c>
      <c r="FZ51">
        <v>4.8644108621479933</v>
      </c>
      <c r="GA51">
        <v>10.559277147220579</v>
      </c>
      <c r="GB51">
        <v>3.2554115183334806</v>
      </c>
      <c r="GC51">
        <v>1.2505078469257258</v>
      </c>
      <c r="GD51">
        <v>1.3671727292501763</v>
      </c>
      <c r="GE51">
        <v>1.5146663721253311</v>
      </c>
      <c r="GF51">
        <v>2.2042364496821598</v>
      </c>
      <c r="GG51">
        <v>1.3155677205908503</v>
      </c>
      <c r="GH51">
        <v>0</v>
      </c>
      <c r="GI51">
        <v>3.3430630518690609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33.0333999719304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0.53164541602162629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17.043282918972082</v>
      </c>
      <c r="Z52" s="49">
        <f t="shared" si="26"/>
        <v>0</v>
      </c>
      <c r="AA52" s="49">
        <f t="shared" si="26"/>
        <v>0</v>
      </c>
      <c r="AB52" s="49">
        <f t="shared" si="26"/>
        <v>15.458471636936691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10.994747899159664</v>
      </c>
      <c r="AO52">
        <v>19.657591374050305</v>
      </c>
      <c r="AP52">
        <v>123.0752235332764</v>
      </c>
      <c r="AQ52">
        <v>27.71530770196253</v>
      </c>
      <c r="AR52">
        <v>18.709756280856599</v>
      </c>
      <c r="AS52">
        <v>85.397868821760696</v>
      </c>
      <c r="AT52">
        <v>8.1017293958479204</v>
      </c>
      <c r="AU52">
        <v>11.898112268811152</v>
      </c>
      <c r="AV52"/>
      <c r="AW52"/>
      <c r="FY52" s="210">
        <v>47</v>
      </c>
      <c r="FZ52">
        <v>10.698463643600084</v>
      </c>
      <c r="GA52">
        <v>10.431905814617979</v>
      </c>
      <c r="GB52">
        <v>1.0199559410636772</v>
      </c>
      <c r="GC52">
        <v>1.0367865457548069</v>
      </c>
      <c r="GD52">
        <v>0.88031574258496925</v>
      </c>
      <c r="GE52">
        <v>1.6645127627682517</v>
      </c>
      <c r="GF52">
        <v>3.2072252090337616</v>
      </c>
      <c r="GG52">
        <v>1.1871761882489873</v>
      </c>
      <c r="GH52">
        <v>0</v>
      </c>
      <c r="GI52">
        <v>3.2950900453685561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46.56895536689477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7.9484392230963472E-2</v>
      </c>
      <c r="L53" s="49">
        <f t="shared" si="28"/>
        <v>0.14456572269928394</v>
      </c>
      <c r="M53" s="49">
        <f t="shared" si="28"/>
        <v>0.9427225081004913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0.92688639386268656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6.5348286472871502</v>
      </c>
      <c r="X53" s="49">
        <f t="shared" si="28"/>
        <v>0</v>
      </c>
      <c r="Y53" s="49">
        <f t="shared" si="28"/>
        <v>22.402531249429114</v>
      </c>
      <c r="Z53" s="49">
        <f t="shared" si="28"/>
        <v>15.537936453285081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14.678381769374415</v>
      </c>
      <c r="AO53">
        <v>14.301846016563619</v>
      </c>
      <c r="AP53">
        <v>120.2521999780481</v>
      </c>
      <c r="AQ53">
        <v>36.063938232904569</v>
      </c>
      <c r="AR53">
        <v>14.199396153982248</v>
      </c>
      <c r="AS53">
        <v>138.02199094375732</v>
      </c>
      <c r="AT53">
        <v>6.9897362273503951</v>
      </c>
      <c r="AU53">
        <v>-57.398719543671163</v>
      </c>
      <c r="AV53"/>
      <c r="AW53"/>
      <c r="FY53" s="210">
        <v>48</v>
      </c>
      <c r="FZ53">
        <v>5.2913304148542419</v>
      </c>
      <c r="GA53">
        <v>18.569652829375134</v>
      </c>
      <c r="GB53">
        <v>4.6068243220715228</v>
      </c>
      <c r="GC53">
        <v>0.96160875710811811</v>
      </c>
      <c r="GD53">
        <v>0.83380926191799087</v>
      </c>
      <c r="GE53">
        <v>1.2062237035631223</v>
      </c>
      <c r="GF53">
        <v>5.2840045254588599</v>
      </c>
      <c r="GG53">
        <v>4.1236289182625878</v>
      </c>
      <c r="GH53">
        <v>0.23579423514790807</v>
      </c>
      <c r="GI53">
        <v>4.9515232217535665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28.821059209590302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0</v>
      </c>
      <c r="J54" s="49">
        <f t="shared" si="29"/>
        <v>6.3212828889633352E-2</v>
      </c>
      <c r="K54" s="49">
        <f t="shared" si="29"/>
        <v>0.61508748160508442</v>
      </c>
      <c r="L54" s="49">
        <f t="shared" si="29"/>
        <v>0.12430192450465093</v>
      </c>
      <c r="M54" s="49">
        <f t="shared" si="29"/>
        <v>0.81058095821578091</v>
      </c>
      <c r="N54" s="49">
        <f t="shared" si="29"/>
        <v>0</v>
      </c>
      <c r="O54" s="49">
        <f t="shared" si="29"/>
        <v>0</v>
      </c>
      <c r="P54" s="49">
        <f t="shared" si="29"/>
        <v>0</v>
      </c>
      <c r="Q54" s="49">
        <f t="shared" si="29"/>
        <v>0.79696459439398271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5.6188407735877552</v>
      </c>
      <c r="X54" s="49">
        <f t="shared" si="29"/>
        <v>0</v>
      </c>
      <c r="Y54" s="49">
        <f t="shared" si="29"/>
        <v>0</v>
      </c>
      <c r="Z54" s="49">
        <f t="shared" si="29"/>
        <v>13.359981660326678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7.4320889880667362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10.383534663865547</v>
      </c>
      <c r="AO54">
        <v>14.617784100199714</v>
      </c>
      <c r="AP54">
        <v>113.14803771757458</v>
      </c>
      <c r="AQ54">
        <v>35.047443781179979</v>
      </c>
      <c r="AR54">
        <v>13.507997854544817</v>
      </c>
      <c r="AS54">
        <v>70.22307685291733</v>
      </c>
      <c r="AT54">
        <v>6.2744025973226014</v>
      </c>
      <c r="AU54">
        <v>13.212466541338109</v>
      </c>
      <c r="AV54"/>
      <c r="AW54"/>
      <c r="FY54" s="210">
        <v>49</v>
      </c>
      <c r="FZ54">
        <v>5.261937294104003</v>
      </c>
      <c r="GA54">
        <v>11.587074174760446</v>
      </c>
      <c r="GB54">
        <v>5.186457794949586</v>
      </c>
      <c r="GC54">
        <v>0.96530447582252688</v>
      </c>
      <c r="GD54">
        <v>0.91257105206111211</v>
      </c>
      <c r="GE54">
        <v>1.2672088352500892</v>
      </c>
      <c r="GF54">
        <v>5.3609788791255468</v>
      </c>
      <c r="GG54">
        <v>4.4194003673464124</v>
      </c>
      <c r="GH54">
        <v>0.64441312055873701</v>
      </c>
      <c r="GI54">
        <v>4.6875096747608795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1.2859994327678219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2.5222929751016494E-3</v>
      </c>
      <c r="J55" s="49">
        <f t="shared" si="30"/>
        <v>1.4957794183936583E-2</v>
      </c>
      <c r="K55" s="49">
        <f t="shared" si="30"/>
        <v>0.12937390669406493</v>
      </c>
      <c r="L55" s="49">
        <f t="shared" si="30"/>
        <v>0.11765223205903425</v>
      </c>
      <c r="M55" s="49">
        <f t="shared" si="30"/>
        <v>0</v>
      </c>
      <c r="N55" s="49">
        <f t="shared" si="30"/>
        <v>0</v>
      </c>
      <c r="O55" s="49">
        <f t="shared" si="30"/>
        <v>0</v>
      </c>
      <c r="P55" s="49">
        <f t="shared" si="30"/>
        <v>0.14218073664257885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0.87931247021310577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7.5198193860877698</v>
      </c>
      <c r="AO55">
        <v>11.919383611329838</v>
      </c>
      <c r="AP55">
        <v>99.86487490218073</v>
      </c>
      <c r="AQ55">
        <v>29.304423058692397</v>
      </c>
      <c r="AR55">
        <v>11.52838763444001</v>
      </c>
      <c r="AS55">
        <v>55.621203646538049</v>
      </c>
      <c r="AT55">
        <v>4.5410881798851452</v>
      </c>
      <c r="AU55">
        <v>-5.1456609952926096</v>
      </c>
      <c r="AV55"/>
      <c r="AW55"/>
      <c r="FY55" s="210">
        <v>50</v>
      </c>
      <c r="FZ55">
        <v>11.747302403439278</v>
      </c>
      <c r="GA55">
        <v>7.138830976902252</v>
      </c>
      <c r="GB55">
        <v>0.56401411779014343</v>
      </c>
      <c r="GC55">
        <v>0.79863885321549588</v>
      </c>
      <c r="GD55">
        <v>0.78574084639811526</v>
      </c>
      <c r="GE55">
        <v>1.0139984891344793</v>
      </c>
      <c r="GF55">
        <v>5.1464180853934156</v>
      </c>
      <c r="GG55">
        <v>4.5382460599401995</v>
      </c>
      <c r="GH55">
        <v>0.47158847029581613</v>
      </c>
      <c r="GI55">
        <v>4.3206383523447522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2.8596239842196467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2.1619654072299846E-3</v>
      </c>
      <c r="J56" s="49">
        <f t="shared" si="31"/>
        <v>1.2820966443374212E-2</v>
      </c>
      <c r="K56" s="49">
        <f t="shared" si="31"/>
        <v>6.9307450014677641E-2</v>
      </c>
      <c r="L56" s="49">
        <f t="shared" si="31"/>
        <v>0.16387275179651195</v>
      </c>
      <c r="M56" s="49">
        <f t="shared" si="31"/>
        <v>2.0550478928627252E-2</v>
      </c>
      <c r="N56" s="49">
        <f t="shared" si="31"/>
        <v>0</v>
      </c>
      <c r="O56" s="49">
        <f t="shared" si="31"/>
        <v>4.4436628000366962E-2</v>
      </c>
      <c r="P56" s="49">
        <f t="shared" si="31"/>
        <v>0.12186920283649615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0.28490644333687426</v>
      </c>
      <c r="X56" s="49">
        <f t="shared" si="31"/>
        <v>0</v>
      </c>
      <c r="Y56" s="49">
        <f t="shared" si="31"/>
        <v>0.39068357225664635</v>
      </c>
      <c r="Z56" s="49">
        <f t="shared" si="31"/>
        <v>0</v>
      </c>
      <c r="AA56" s="49">
        <f t="shared" si="31"/>
        <v>0</v>
      </c>
      <c r="AB56" s="49">
        <f t="shared" si="31"/>
        <v>0.59059151039729396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1.158423014801548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12.441344246031747</v>
      </c>
      <c r="AO56">
        <v>21.462437152596618</v>
      </c>
      <c r="AP56">
        <v>211.20156279856059</v>
      </c>
      <c r="AQ56">
        <v>54.206932931915688</v>
      </c>
      <c r="AR56">
        <v>20.762666323635592</v>
      </c>
      <c r="AS56">
        <v>111.3465106390852</v>
      </c>
      <c r="AT56" t="e">
        <v>#DIV/0!</v>
      </c>
      <c r="AU56" t="e">
        <v>#DIV/0!</v>
      </c>
      <c r="AV56"/>
      <c r="AW56"/>
      <c r="FY56" s="210">
        <v>51</v>
      </c>
      <c r="FZ56">
        <v>5.6888568468102516</v>
      </c>
      <c r="GA56">
        <v>9.5622902187923025</v>
      </c>
      <c r="GB56">
        <v>2.8729024985123059</v>
      </c>
      <c r="GC56">
        <v>1.1440980167883341</v>
      </c>
      <c r="GD56">
        <v>1.6221756049119525</v>
      </c>
      <c r="GE56">
        <v>2.4762461936549269</v>
      </c>
      <c r="GF56">
        <v>1.8294357407970236</v>
      </c>
      <c r="GG56">
        <v>0.84832596285137418</v>
      </c>
      <c r="GH56">
        <v>0.99006242108457876</v>
      </c>
      <c r="GI56">
        <v>4.7605647521588352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5.3931113311159633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0</v>
      </c>
      <c r="J57" s="49">
        <f t="shared" si="32"/>
        <v>1.2820966443374212E-2</v>
      </c>
      <c r="K57" s="49">
        <f t="shared" si="32"/>
        <v>4.5049842509540458E-2</v>
      </c>
      <c r="L57" s="49">
        <f t="shared" si="32"/>
        <v>0.12605596292039384</v>
      </c>
      <c r="M57" s="49">
        <f t="shared" si="32"/>
        <v>4.1100957857254504E-2</v>
      </c>
      <c r="N57" s="49">
        <f t="shared" si="32"/>
        <v>7.7664760254321438E-2</v>
      </c>
      <c r="O57" s="49">
        <f t="shared" si="32"/>
        <v>8.8873256000733925E-2</v>
      </c>
      <c r="P57" s="49">
        <f t="shared" si="32"/>
        <v>0.1523365035456202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0.56981288667374852</v>
      </c>
      <c r="X57" s="49">
        <f t="shared" si="32"/>
        <v>0</v>
      </c>
      <c r="Y57" s="49">
        <f t="shared" si="32"/>
        <v>0.7813671445132927</v>
      </c>
      <c r="Z57" s="49">
        <f t="shared" si="32"/>
        <v>0</v>
      </c>
      <c r="AA57" s="49">
        <f t="shared" si="32"/>
        <v>0</v>
      </c>
      <c r="AB57" s="49">
        <f t="shared" si="32"/>
        <v>1.1811830207945879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2.3168460296030959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7.1623263888888884</v>
      </c>
      <c r="AO57">
        <v>11.428540780191218</v>
      </c>
      <c r="AP57">
        <v>67.870890908141533</v>
      </c>
      <c r="AQ57">
        <v>10.625204240433995</v>
      </c>
      <c r="AR57">
        <v>10.50739322900376</v>
      </c>
      <c r="AS57">
        <v>96.671776606916126</v>
      </c>
      <c r="AT57" t="e">
        <v>#DIV/0!</v>
      </c>
      <c r="AU57" t="e">
        <v>#DIV/0!</v>
      </c>
      <c r="AV57"/>
      <c r="AW57"/>
      <c r="FY57" s="210">
        <v>52</v>
      </c>
      <c r="FZ57">
        <v>9.2317561942399919</v>
      </c>
      <c r="GA57">
        <v>14.604669642991567</v>
      </c>
      <c r="GB57">
        <v>3.4533292823850092</v>
      </c>
      <c r="GC57">
        <v>0.6485364195111295</v>
      </c>
      <c r="GD57">
        <v>0.34330966164679932</v>
      </c>
      <c r="GE57">
        <v>0.77307341031870958</v>
      </c>
      <c r="GF57">
        <v>2.1231183338207718</v>
      </c>
      <c r="GG57">
        <v>1.2937904762934096</v>
      </c>
      <c r="GH57">
        <v>0.64441312055873701</v>
      </c>
      <c r="GI57">
        <v>3.925726259105712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4.1396646325520399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0</v>
      </c>
      <c r="K58" s="49">
        <f t="shared" si="33"/>
        <v>9.0176300204565615E-2</v>
      </c>
      <c r="L58" s="49">
        <f t="shared" si="33"/>
        <v>0</v>
      </c>
      <c r="M58" s="49">
        <f t="shared" si="33"/>
        <v>0</v>
      </c>
      <c r="N58" s="49">
        <f t="shared" si="33"/>
        <v>0.40420016806424885</v>
      </c>
      <c r="O58" s="49">
        <f t="shared" si="33"/>
        <v>0.92506781439307539</v>
      </c>
      <c r="P58" s="49">
        <f t="shared" si="33"/>
        <v>0.79282341352535857</v>
      </c>
      <c r="Q58" s="49">
        <f t="shared" si="33"/>
        <v>0.84125381964917334</v>
      </c>
      <c r="R58" s="49">
        <f t="shared" si="33"/>
        <v>1.0861431167156177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11.141449288048554</v>
      </c>
      <c r="AO58">
        <v>22.033260032944185</v>
      </c>
      <c r="AP58">
        <v>172.23432388692135</v>
      </c>
      <c r="AQ58">
        <v>37.154411174239073</v>
      </c>
      <c r="AR58">
        <v>20.863752933734432</v>
      </c>
      <c r="AS58">
        <v>95.000712279614362</v>
      </c>
      <c r="AT58">
        <v>11.296820774949616</v>
      </c>
      <c r="AU58">
        <v>-41.456827140844055</v>
      </c>
      <c r="AV58"/>
      <c r="AW58"/>
      <c r="FY58" s="210">
        <v>53</v>
      </c>
      <c r="FZ58">
        <v>9.0288490406717941</v>
      </c>
      <c r="GA58">
        <v>14.678565062776546</v>
      </c>
      <c r="GB58">
        <v>3.7938496606410768</v>
      </c>
      <c r="GC58">
        <v>0.57421957200008988</v>
      </c>
      <c r="GD58">
        <v>0.61775175861955356</v>
      </c>
      <c r="GE58">
        <v>0.80671352389109297</v>
      </c>
      <c r="GF58">
        <v>3.3783973979746253</v>
      </c>
      <c r="GG58">
        <v>2.9269068902655246</v>
      </c>
      <c r="GH58">
        <v>0.40861888541082891</v>
      </c>
      <c r="GI58">
        <v>4.5039999601697129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10.394700273858497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</v>
      </c>
      <c r="K59" s="49">
        <f t="shared" si="34"/>
        <v>0</v>
      </c>
      <c r="L59" s="49">
        <f t="shared" si="34"/>
        <v>0</v>
      </c>
      <c r="M59" s="49">
        <f t="shared" si="34"/>
        <v>0</v>
      </c>
      <c r="N59" s="49">
        <f t="shared" si="34"/>
        <v>0.4003431995685659</v>
      </c>
      <c r="O59" s="49">
        <f t="shared" si="34"/>
        <v>0.57265038137792901</v>
      </c>
      <c r="P59" s="49">
        <f t="shared" si="34"/>
        <v>0</v>
      </c>
      <c r="Q59" s="49">
        <f t="shared" si="34"/>
        <v>0.52076649210177595</v>
      </c>
      <c r="R59" s="49">
        <f t="shared" si="34"/>
        <v>0.67236180995690975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8.2285783908533165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8.9678819444444429</v>
      </c>
      <c r="AO59">
        <v>16.508039728288704</v>
      </c>
      <c r="AP59">
        <v>92.024816707381106</v>
      </c>
      <c r="AQ59">
        <v>22.34481619606872</v>
      </c>
      <c r="AR59">
        <v>15.717846516873172</v>
      </c>
      <c r="AS59">
        <v>177.18747041254196</v>
      </c>
      <c r="AT59" t="e">
        <v>#DIV/0!</v>
      </c>
      <c r="AU59" t="e">
        <v>#DIV/0!</v>
      </c>
      <c r="AV59"/>
      <c r="AW59"/>
      <c r="FY59" s="210">
        <v>54</v>
      </c>
      <c r="FZ59">
        <v>6.2892904323344574</v>
      </c>
      <c r="GA59">
        <v>17.426804170803521</v>
      </c>
      <c r="GB59">
        <v>5.8050587984336843</v>
      </c>
      <c r="GC59">
        <v>0.412793628691353</v>
      </c>
      <c r="GD59">
        <v>0.52961951380728078</v>
      </c>
      <c r="GE59">
        <v>1.6747464775542367</v>
      </c>
      <c r="GF59">
        <v>5.0127063596488117</v>
      </c>
      <c r="GG59">
        <v>3.3025356475430381</v>
      </c>
      <c r="GH59">
        <v>0.58144353567374973</v>
      </c>
      <c r="GI59">
        <v>4.6236136817932936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14.039281224732211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</v>
      </c>
      <c r="K60" s="49">
        <f t="shared" si="35"/>
        <v>0</v>
      </c>
      <c r="L60" s="49">
        <f t="shared" si="35"/>
        <v>0</v>
      </c>
      <c r="M60" s="49">
        <f t="shared" si="35"/>
        <v>0</v>
      </c>
      <c r="N60" s="49">
        <f t="shared" si="35"/>
        <v>0.65135958256834625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13.387921642163864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11.057765814659197</v>
      </c>
      <c r="AO60">
        <v>15.412595662535512</v>
      </c>
      <c r="AP60">
        <v>145.65822984095178</v>
      </c>
      <c r="AQ60">
        <v>43.65931185661637</v>
      </c>
      <c r="AR60">
        <v>15.314244491025613</v>
      </c>
      <c r="AS60">
        <v>83.729705604210935</v>
      </c>
      <c r="AT60">
        <v>6.961550921290228</v>
      </c>
      <c r="AU60">
        <v>-43.154273124912109</v>
      </c>
      <c r="AV60"/>
      <c r="AW60"/>
      <c r="FY60" s="210">
        <v>55</v>
      </c>
      <c r="FZ60">
        <v>2.3488646529487083</v>
      </c>
      <c r="GA60">
        <v>7.2353922103932602</v>
      </c>
      <c r="GB60">
        <v>1.5187388996637234</v>
      </c>
      <c r="GC60">
        <v>0.31318944867627208</v>
      </c>
      <c r="GD60">
        <v>0.59271487803726097</v>
      </c>
      <c r="GE60">
        <v>1.8452613993184863</v>
      </c>
      <c r="GF60">
        <v>5.4969179038626539</v>
      </c>
      <c r="GG60">
        <v>3.9952373859207246</v>
      </c>
      <c r="GH60">
        <v>0.40861888541082891</v>
      </c>
      <c r="GI60">
        <v>3.6167271631985156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15.827574491634749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3.026751570121979E-3</v>
      </c>
      <c r="J61" s="49">
        <f t="shared" si="36"/>
        <v>2.6924029531085848E-2</v>
      </c>
      <c r="K61" s="49">
        <f t="shared" si="36"/>
        <v>0.19648662079161108</v>
      </c>
      <c r="L61" s="49">
        <f t="shared" si="36"/>
        <v>0.24706968732397197</v>
      </c>
      <c r="M61" s="49">
        <f t="shared" si="36"/>
        <v>0.14385335250039077</v>
      </c>
      <c r="N61" s="49">
        <f t="shared" si="36"/>
        <v>0.14134986366286503</v>
      </c>
      <c r="O61" s="49">
        <f t="shared" si="36"/>
        <v>0.18663383760154126</v>
      </c>
      <c r="P61" s="49">
        <f t="shared" si="36"/>
        <v>0.3625608784385761</v>
      </c>
      <c r="Q61" s="49">
        <f t="shared" si="36"/>
        <v>0.22629898235960128</v>
      </c>
      <c r="R61" s="49">
        <f t="shared" si="36"/>
        <v>0.14608734977995858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1.1966070620148719</v>
      </c>
      <c r="X61" s="49">
        <f t="shared" si="36"/>
        <v>0</v>
      </c>
      <c r="Y61" s="49">
        <f t="shared" si="36"/>
        <v>3.2817420069558301</v>
      </c>
      <c r="Z61" s="49">
        <f t="shared" si="36"/>
        <v>1.8967908206598809</v>
      </c>
      <c r="AA61" s="49">
        <f t="shared" si="36"/>
        <v>0</v>
      </c>
      <c r="AB61" s="49">
        <f t="shared" si="36"/>
        <v>3.3073124582248465</v>
      </c>
      <c r="AC61" s="49">
        <f t="shared" si="36"/>
        <v>0</v>
      </c>
      <c r="AD61" s="49">
        <f t="shared" si="36"/>
        <v>1.0551749642557271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1.6217922207221673</v>
      </c>
      <c r="AI61" s="49">
        <f t="shared" si="36"/>
        <v>1.7878636052417018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11.600548552754436</v>
      </c>
      <c r="AO61">
        <v>22.408018598206361</v>
      </c>
      <c r="AP61">
        <v>182.08306979757035</v>
      </c>
      <c r="AQ61">
        <v>51.310332327662536</v>
      </c>
      <c r="AR61">
        <v>20.739340984518503</v>
      </c>
      <c r="AS61">
        <v>107.11121316114011</v>
      </c>
      <c r="AT61">
        <v>9.9358874659076246</v>
      </c>
      <c r="AU61">
        <v>18.872548606247253</v>
      </c>
      <c r="AV61"/>
      <c r="AW61"/>
      <c r="FY61" s="210">
        <v>56</v>
      </c>
      <c r="FZ61">
        <v>4.4827677699447133</v>
      </c>
      <c r="GA61">
        <v>14.678565062776546</v>
      </c>
      <c r="GB61">
        <v>3.9009722452005589</v>
      </c>
      <c r="GC61">
        <v>0.86362803780540698</v>
      </c>
      <c r="GD61">
        <v>0.91852488510387753</v>
      </c>
      <c r="GE61">
        <v>1.8431775214348367</v>
      </c>
      <c r="GF61">
        <v>3.5292068986858736</v>
      </c>
      <c r="GG61">
        <v>1.6816506381202889</v>
      </c>
      <c r="GH61">
        <v>0.3456493005258417</v>
      </c>
      <c r="GI61">
        <v>4.5048810604801268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9.1102430555555536</v>
      </c>
      <c r="AO62">
        <v>15.528641877917352</v>
      </c>
      <c r="AP62">
        <v>129.24568141510659</v>
      </c>
      <c r="AQ62">
        <v>29.674313698145355</v>
      </c>
      <c r="AR62">
        <v>14.824094281672593</v>
      </c>
      <c r="AS62">
        <v>179.01405454065488</v>
      </c>
      <c r="AT62" t="e">
        <v>#DIV/0!</v>
      </c>
      <c r="AU62" t="e">
        <v>#DIV/0!</v>
      </c>
      <c r="AV62"/>
      <c r="AW62"/>
      <c r="FY62" s="210">
        <v>57</v>
      </c>
      <c r="FZ62">
        <v>3.5432797234686255</v>
      </c>
      <c r="GA62">
        <v>11.387736531799494</v>
      </c>
      <c r="GB62">
        <v>5.2585921115166361</v>
      </c>
      <c r="GC62">
        <v>1.0479144016585193</v>
      </c>
      <c r="GD62">
        <v>0.6171709607789726</v>
      </c>
      <c r="GE62">
        <v>0.51681245195761161</v>
      </c>
      <c r="GF62">
        <v>3.4699100923647199</v>
      </c>
      <c r="GG62">
        <v>2.5027439088398373</v>
      </c>
      <c r="GH62">
        <v>0</v>
      </c>
      <c r="GI62">
        <v>3.4120147465580075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162.36336991929639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9.7167658730158699</v>
      </c>
      <c r="AO63">
        <v>13.06013868596953</v>
      </c>
      <c r="AP63">
        <v>91.055273958554849</v>
      </c>
      <c r="AQ63">
        <v>33.421431893041074</v>
      </c>
      <c r="AR63">
        <v>12.525825051544222</v>
      </c>
      <c r="AS63">
        <v>66.048615527612881</v>
      </c>
      <c r="AT63" t="e">
        <v>#DIV/0!</v>
      </c>
      <c r="AU63" t="e">
        <v>#DIV/0!</v>
      </c>
      <c r="AV63"/>
      <c r="AW63"/>
      <c r="FY63" s="210">
        <v>58</v>
      </c>
      <c r="FZ63">
        <v>4.7644913880091213</v>
      </c>
      <c r="GA63">
        <v>11.31159480527584</v>
      </c>
      <c r="GB63">
        <v>2.963697678004352</v>
      </c>
      <c r="GC63">
        <v>1.5913507294575755</v>
      </c>
      <c r="GD63">
        <v>1.6298370721074329</v>
      </c>
      <c r="GE63">
        <v>1.6992165461858855</v>
      </c>
      <c r="GF63">
        <v>2.1497580648868277</v>
      </c>
      <c r="GG63">
        <v>1.7179534577190969</v>
      </c>
      <c r="GH63">
        <v>0.88020735570664521</v>
      </c>
      <c r="GI63">
        <v>4.3526991821889807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10.431175595238098</v>
      </c>
      <c r="AO64">
        <v>23.624060561308568</v>
      </c>
      <c r="AP64">
        <v>189.39826456813768</v>
      </c>
      <c r="AQ64">
        <v>46.064400189513051</v>
      </c>
      <c r="AR64">
        <v>21.850601816075383</v>
      </c>
      <c r="AS64">
        <v>123.65467108502033</v>
      </c>
      <c r="AT64" t="e">
        <v>#DIV/0!</v>
      </c>
      <c r="AU64" t="e">
        <v>#DIV/0!</v>
      </c>
      <c r="AV64"/>
      <c r="AW64"/>
      <c r="FY64" s="210">
        <v>59</v>
      </c>
      <c r="FZ64">
        <v>5.2917107908931271</v>
      </c>
      <c r="GA64">
        <v>15.299243805365437</v>
      </c>
      <c r="GB64">
        <v>4.6417247514262687</v>
      </c>
      <c r="GC64">
        <v>0.21125677826045391</v>
      </c>
      <c r="GD64">
        <v>0.9074313926050116</v>
      </c>
      <c r="GE64">
        <v>2.405835631405508</v>
      </c>
      <c r="GF64">
        <v>4.2232946958273043</v>
      </c>
      <c r="GG64">
        <v>3.2439798713656982</v>
      </c>
      <c r="GH64">
        <v>0.40861888541082891</v>
      </c>
      <c r="GI64">
        <v>5.0477803783979951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10.44715073529412</v>
      </c>
      <c r="AO65">
        <v>13.993199630627668</v>
      </c>
      <c r="AP65">
        <v>123.45022932396968</v>
      </c>
      <c r="AQ65">
        <v>40.292855668739342</v>
      </c>
      <c r="AR65">
        <v>13.863304328161739</v>
      </c>
      <c r="AS65">
        <v>82.662669555355748</v>
      </c>
      <c r="AT65" t="e">
        <v>#DIV/0!</v>
      </c>
      <c r="AU65" t="e">
        <v>#DIV/0!</v>
      </c>
      <c r="AV65"/>
      <c r="AW65"/>
      <c r="FY65" s="210">
        <v>60</v>
      </c>
      <c r="FZ65">
        <v>2.718453362767483</v>
      </c>
      <c r="GA65">
        <v>10.758614790181531</v>
      </c>
      <c r="GB65">
        <v>3.7254445050126153</v>
      </c>
      <c r="GC65">
        <v>0.66668545817536462</v>
      </c>
      <c r="GD65">
        <v>0.73158704000764507</v>
      </c>
      <c r="GE65">
        <v>1.6157331755219606</v>
      </c>
      <c r="GF65">
        <v>3.682823470768513</v>
      </c>
      <c r="GG65">
        <v>2.5512781329880112</v>
      </c>
      <c r="GH65">
        <v>0.23579423514790807</v>
      </c>
      <c r="GI65">
        <v>3.1448933964137571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11.787698412698415</v>
      </c>
      <c r="AO66">
        <v>22.8921716573842</v>
      </c>
      <c r="AP66">
        <v>169.91370043933972</v>
      </c>
      <c r="AQ66">
        <v>36.525416654853949</v>
      </c>
      <c r="AR66">
        <v>22.161962889763746</v>
      </c>
      <c r="AS66">
        <v>219.22098212565803</v>
      </c>
      <c r="AT66" t="e">
        <v>#DIV/0!</v>
      </c>
      <c r="AU66" t="e">
        <v>#DIV/0!</v>
      </c>
      <c r="AV66"/>
      <c r="AW66"/>
      <c r="FY66" s="210">
        <v>61</v>
      </c>
      <c r="FZ66">
        <v>3.8827145604593918</v>
      </c>
      <c r="GA66">
        <v>9.4368479956163291</v>
      </c>
      <c r="GB66">
        <v>3.3752295632175331</v>
      </c>
      <c r="GC66">
        <v>0.913654526457782</v>
      </c>
      <c r="GD66">
        <v>1.4126802289780422</v>
      </c>
      <c r="GE66">
        <v>2.2639843780249103</v>
      </c>
      <c r="GF66">
        <v>7.4139573354313395</v>
      </c>
      <c r="GG66">
        <v>6.0738183133348738</v>
      </c>
      <c r="GH66">
        <v>0.17282465026292085</v>
      </c>
      <c r="GI66">
        <v>5.5201736055209301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12.874190301120446</v>
      </c>
      <c r="AO67">
        <v>20.555044788824819</v>
      </c>
      <c r="AP67">
        <v>167.97651693769598</v>
      </c>
      <c r="AQ67">
        <v>31.79495825636188</v>
      </c>
      <c r="AR67">
        <v>19.509762014633154</v>
      </c>
      <c r="AS67">
        <v>91.910745409820549</v>
      </c>
      <c r="AT67">
        <v>9.1938647783996341</v>
      </c>
      <c r="AU67">
        <v>-109.59186535113017</v>
      </c>
      <c r="AV67"/>
      <c r="AW67"/>
      <c r="FY67" s="210">
        <v>62</v>
      </c>
      <c r="FZ67">
        <v>3.8038980959631807</v>
      </c>
      <c r="GA67">
        <v>4.6660712383598781</v>
      </c>
      <c r="GB67">
        <v>0.74187531583564548</v>
      </c>
      <c r="GC67">
        <v>1.28809674124907</v>
      </c>
      <c r="GD67">
        <v>1.2985069098895268</v>
      </c>
      <c r="GE67">
        <v>1.4850823712891867</v>
      </c>
      <c r="GF67">
        <v>3.1325098426496609</v>
      </c>
      <c r="GG67">
        <v>2.2337294396067464</v>
      </c>
      <c r="GH67">
        <v>0.47158847029581613</v>
      </c>
      <c r="GI67">
        <v>3.1415963258196893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10.469224147992531</v>
      </c>
      <c r="AO68">
        <v>16.581524487934207</v>
      </c>
      <c r="AP68">
        <v>137.32472478001699</v>
      </c>
      <c r="AQ68">
        <v>37.041722800871838</v>
      </c>
      <c r="AR68">
        <v>15.847835923651337</v>
      </c>
      <c r="AS68">
        <v>140.26434777635941</v>
      </c>
      <c r="AT68">
        <v>6.2431946891457928</v>
      </c>
      <c r="AU68">
        <v>-20.216787376170075</v>
      </c>
      <c r="AV68"/>
      <c r="AW68"/>
      <c r="FY68" s="210">
        <v>63</v>
      </c>
      <c r="FZ68">
        <v>9.3312952923399788</v>
      </c>
      <c r="GA68">
        <v>23.215304560767652</v>
      </c>
      <c r="GB68">
        <v>6.3434969407412805</v>
      </c>
      <c r="GC68">
        <v>1.0130055628838517</v>
      </c>
      <c r="GD68">
        <v>1.0921092832162074</v>
      </c>
      <c r="GE68">
        <v>1.5808506040550527</v>
      </c>
      <c r="GF68">
        <v>4.181341365253882</v>
      </c>
      <c r="GG68">
        <v>3.232224179097424</v>
      </c>
      <c r="GH68">
        <v>0.64441312055873701</v>
      </c>
      <c r="GI68">
        <v>5.7409199580710455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10.15846025910364</v>
      </c>
      <c r="AO69">
        <v>22.895507978263971</v>
      </c>
      <c r="AP69">
        <v>181.56724233708832</v>
      </c>
      <c r="AQ69">
        <v>40.717871752420855</v>
      </c>
      <c r="AR69">
        <v>22.143069975327897</v>
      </c>
      <c r="AS69">
        <v>220.39217699823422</v>
      </c>
      <c r="AT69">
        <v>12.173939301692705</v>
      </c>
      <c r="AU69">
        <v>-104.51261817919925</v>
      </c>
      <c r="AV69"/>
      <c r="AW69"/>
      <c r="FY69" s="210">
        <v>64</v>
      </c>
      <c r="FZ69">
        <v>3.2034645104389741</v>
      </c>
      <c r="GA69">
        <v>15.299243805365437</v>
      </c>
      <c r="GB69">
        <v>4.6068243220715228</v>
      </c>
      <c r="GC69">
        <v>0.64939736064677867</v>
      </c>
      <c r="GD69">
        <v>0.81862228599730669</v>
      </c>
      <c r="GE69">
        <v>1.6194930068008717</v>
      </c>
      <c r="GF69">
        <v>2.7723366770819666</v>
      </c>
      <c r="GG69">
        <v>1.5628049455265007</v>
      </c>
      <c r="GH69">
        <v>0</v>
      </c>
      <c r="GI69">
        <v>5.174518547054646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4.1666666666666661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0</v>
      </c>
      <c r="J70" s="18">
        <f t="shared" si="39"/>
        <v>0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1.0416666666666665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3.125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11.515581232492996</v>
      </c>
      <c r="AO70">
        <v>13.713423437702669</v>
      </c>
      <c r="AP70">
        <v>131.27326977559051</v>
      </c>
      <c r="AQ70">
        <v>45.658612246283425</v>
      </c>
      <c r="AR70">
        <v>13.178082734439682</v>
      </c>
      <c r="AS70">
        <v>74.194495744589744</v>
      </c>
      <c r="AT70">
        <v>6.4638264949396413</v>
      </c>
      <c r="AU70">
        <v>-23.25208952797071</v>
      </c>
      <c r="AV70"/>
      <c r="AW70"/>
      <c r="FY70" s="210">
        <v>65</v>
      </c>
      <c r="FZ70">
        <v>7.4953795091999957</v>
      </c>
      <c r="GA70">
        <v>2.6947631952093558</v>
      </c>
      <c r="GB70">
        <v>0.58500843857269713</v>
      </c>
      <c r="GC70">
        <v>0.75760738376675396</v>
      </c>
      <c r="GD70">
        <v>0.78998335095886763</v>
      </c>
      <c r="GE70">
        <v>1.5585078751139048</v>
      </c>
      <c r="GF70">
        <v>2.6139240225371285</v>
      </c>
      <c r="GG70">
        <v>1.4924934770808866</v>
      </c>
      <c r="GH70">
        <v>0.23579423514790807</v>
      </c>
      <c r="GI70">
        <v>3.7291249702210942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5.208333333333333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0</v>
      </c>
      <c r="J71" s="18">
        <f t="shared" si="40"/>
        <v>0</v>
      </c>
      <c r="K71" s="18">
        <f t="shared" si="40"/>
        <v>0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5.208333333333333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7.4480187908496731</v>
      </c>
      <c r="AO71">
        <v>19.39102353400984</v>
      </c>
      <c r="AP71">
        <v>140.40022888793234</v>
      </c>
      <c r="AQ71">
        <v>27.371662827430434</v>
      </c>
      <c r="AR71">
        <v>17.936652730793519</v>
      </c>
      <c r="AS71">
        <v>122.58255425251396</v>
      </c>
      <c r="AT71">
        <v>8.8074539290864653</v>
      </c>
      <c r="AU71">
        <v>-1.1578217701789266</v>
      </c>
      <c r="AV71"/>
      <c r="AW71"/>
      <c r="FY71" s="210">
        <v>66</v>
      </c>
      <c r="FZ71">
        <v>5.4071332287458427</v>
      </c>
      <c r="GA71">
        <v>10.559277147220579</v>
      </c>
      <c r="GB71">
        <v>3.1531315267644882</v>
      </c>
      <c r="GC71">
        <v>0.28811764881044277</v>
      </c>
      <c r="GD71">
        <v>0.39450944143282751</v>
      </c>
      <c r="GE71">
        <v>0.9292730657739291</v>
      </c>
      <c r="GF71">
        <v>5.2509212966022671</v>
      </c>
      <c r="GG71">
        <v>4.3123103670208973</v>
      </c>
      <c r="GH71">
        <v>0.40861888541082891</v>
      </c>
      <c r="GI71">
        <v>3.9680489892971975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12.5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0</v>
      </c>
      <c r="K72" s="18">
        <f t="shared" si="41"/>
        <v>1.0416666666666665</v>
      </c>
      <c r="L72" s="18">
        <f t="shared" si="41"/>
        <v>1.0416666666666665</v>
      </c>
      <c r="M72" s="18">
        <f t="shared" si="41"/>
        <v>4.1666666666666661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1.0416666666666665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2.083333333333333</v>
      </c>
      <c r="X72" s="18">
        <f t="shared" si="41"/>
        <v>0</v>
      </c>
      <c r="Y72" s="18">
        <f t="shared" si="41"/>
        <v>0</v>
      </c>
      <c r="Z72" s="18">
        <f t="shared" si="41"/>
        <v>3.125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13.38078460550887</v>
      </c>
      <c r="AO72">
        <v>16.923821787060444</v>
      </c>
      <c r="AP72">
        <v>130.74573566006032</v>
      </c>
      <c r="AQ72">
        <v>36.749023420078061</v>
      </c>
      <c r="AR72">
        <v>15.703964786402951</v>
      </c>
      <c r="AS72">
        <v>145.43500603888637</v>
      </c>
      <c r="AT72">
        <v>8.2014318920579097</v>
      </c>
      <c r="AU72">
        <v>-73.908324153595956</v>
      </c>
      <c r="AV72"/>
      <c r="AW72"/>
      <c r="FY72" s="210">
        <v>67</v>
      </c>
      <c r="FZ72">
        <v>7.1555642961703434</v>
      </c>
      <c r="GA72">
        <v>12.855365056508028</v>
      </c>
      <c r="GB72">
        <v>3.1880319561192341</v>
      </c>
      <c r="GC72">
        <v>0.25831245682434173</v>
      </c>
      <c r="GD72">
        <v>0.54188940809370978</v>
      </c>
      <c r="GE72">
        <v>1.2296301023495209</v>
      </c>
      <c r="GF72">
        <v>1.7280806433468672</v>
      </c>
      <c r="GG72">
        <v>1.2937904762934096</v>
      </c>
      <c r="GH72">
        <v>0.47158847029581613</v>
      </c>
      <c r="GI72">
        <v>3.7290316687122989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11.45833333333333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0</v>
      </c>
      <c r="J73" s="18">
        <f t="shared" si="42"/>
        <v>2.083333333333333</v>
      </c>
      <c r="K73" s="18">
        <f t="shared" si="42"/>
        <v>8.3333333333333321</v>
      </c>
      <c r="L73" s="18">
        <f t="shared" si="42"/>
        <v>0</v>
      </c>
      <c r="M73" s="18">
        <f t="shared" si="42"/>
        <v>0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1.0416666666666665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9.1822916666666661</v>
      </c>
      <c r="AO73">
        <v>13.232702053784729</v>
      </c>
      <c r="AP73">
        <v>109.09399462095556</v>
      </c>
      <c r="AQ73">
        <v>31.756174928942425</v>
      </c>
      <c r="AR73">
        <v>12.780982591402184</v>
      </c>
      <c r="AS73">
        <v>129.02281791312384</v>
      </c>
      <c r="AT73" t="e">
        <v>#DIV/0!</v>
      </c>
      <c r="AU73" t="e">
        <v>#DIV/0!</v>
      </c>
      <c r="AV73"/>
      <c r="AW73"/>
      <c r="FY73" s="210">
        <v>68</v>
      </c>
      <c r="FZ73">
        <v>0.11542243785271598</v>
      </c>
      <c r="GA73">
        <v>8.263189237933128</v>
      </c>
      <c r="GB73">
        <v>3.4136740986774603</v>
      </c>
      <c r="GC73">
        <v>0.18403322026410121</v>
      </c>
      <c r="GD73">
        <v>0.30138275826863259</v>
      </c>
      <c r="GE73">
        <v>1.1008081955765781</v>
      </c>
      <c r="GF73">
        <v>2.0906818521587525</v>
      </c>
      <c r="GG73">
        <v>1.3641019447390237</v>
      </c>
      <c r="GH73">
        <v>0.23579423514790807</v>
      </c>
      <c r="GI73">
        <v>2.523160356614877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22.916666666666664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2.083333333333333</v>
      </c>
      <c r="J74" s="18">
        <f t="shared" si="43"/>
        <v>2.083333333333333</v>
      </c>
      <c r="K74" s="18">
        <f t="shared" si="43"/>
        <v>8.3333333333333339</v>
      </c>
      <c r="L74" s="18">
        <f t="shared" si="43"/>
        <v>8.3333333333333321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2.083333333333333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16.936858076563958</v>
      </c>
      <c r="AO74">
        <v>20.838170688935513</v>
      </c>
      <c r="AP74">
        <v>130.20119960536465</v>
      </c>
      <c r="AQ74">
        <v>33.060806279541758</v>
      </c>
      <c r="AR74">
        <v>19.306042151729553</v>
      </c>
      <c r="AS74">
        <v>105.98149813594419</v>
      </c>
      <c r="AT74">
        <v>7.1561197422287464</v>
      </c>
      <c r="AU74">
        <v>25.698119059156703</v>
      </c>
      <c r="AV74"/>
      <c r="AW74"/>
      <c r="FY74" s="210">
        <v>69</v>
      </c>
      <c r="FZ74">
        <v>7.8808515587715</v>
      </c>
      <c r="GA74">
        <v>7.8418481383051937</v>
      </c>
      <c r="GB74">
        <v>2.7229387786263111</v>
      </c>
      <c r="GC74">
        <v>0.66105351396864453</v>
      </c>
      <c r="GD74">
        <v>0.82371806426814853</v>
      </c>
      <c r="GE74">
        <v>1.6379764340751</v>
      </c>
      <c r="GF74">
        <v>4.6540338925114737</v>
      </c>
      <c r="GG74">
        <v>3.5492971601975971</v>
      </c>
      <c r="GH74">
        <v>0.64441312055873701</v>
      </c>
      <c r="GI74">
        <v>4.6137176726685336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15.624999999999996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0</v>
      </c>
      <c r="J75" s="18">
        <f t="shared" si="44"/>
        <v>2.083333333333333</v>
      </c>
      <c r="K75" s="18">
        <f t="shared" si="44"/>
        <v>2.083333333333333</v>
      </c>
      <c r="L75" s="18">
        <f t="shared" si="44"/>
        <v>5.208333333333333</v>
      </c>
      <c r="M75" s="18">
        <f t="shared" si="44"/>
        <v>1.0416666666666665</v>
      </c>
      <c r="N75" s="18">
        <f t="shared" si="44"/>
        <v>0</v>
      </c>
      <c r="O75" s="18">
        <f t="shared" si="44"/>
        <v>1.0416666666666665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1.0416666666666665</v>
      </c>
      <c r="X75" s="18">
        <f t="shared" si="44"/>
        <v>0</v>
      </c>
      <c r="Y75" s="18">
        <f t="shared" si="44"/>
        <v>1.0416666666666665</v>
      </c>
      <c r="Z75" s="18">
        <f t="shared" si="44"/>
        <v>0</v>
      </c>
      <c r="AA75" s="18">
        <f t="shared" si="44"/>
        <v>0</v>
      </c>
      <c r="AB75" s="18">
        <f t="shared" si="44"/>
        <v>1.0416666666666665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1.0416666666666665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8.6320465686274499</v>
      </c>
      <c r="AO75">
        <v>19.570926578069269</v>
      </c>
      <c r="AP75">
        <v>176.44033120980714</v>
      </c>
      <c r="AQ75">
        <v>41.680876980957628</v>
      </c>
      <c r="AR75">
        <v>18.627041040995081</v>
      </c>
      <c r="AS75">
        <v>101.35431184468536</v>
      </c>
      <c r="AT75">
        <v>10.696306533995191</v>
      </c>
      <c r="AU75">
        <v>-35.955349624535351</v>
      </c>
      <c r="AV75"/>
      <c r="AW75"/>
      <c r="FY75" s="210">
        <v>70</v>
      </c>
      <c r="FZ75">
        <v>7.7774835033032907</v>
      </c>
      <c r="GA75">
        <v>34.163209595398477</v>
      </c>
      <c r="GB75">
        <v>14.718577128715893</v>
      </c>
      <c r="GC75">
        <v>0.85545207055973749</v>
      </c>
      <c r="GD75">
        <v>1.4235973095622509</v>
      </c>
      <c r="GE75">
        <v>2.4566843889878003</v>
      </c>
      <c r="GF75">
        <v>4.8078487191235686</v>
      </c>
      <c r="GG75">
        <v>3.7480001609850739</v>
      </c>
      <c r="GH75">
        <v>0.23579423514790807</v>
      </c>
      <c r="GI75">
        <v>8.9631247851397884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3.90625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0</v>
      </c>
      <c r="K76" s="18">
        <f t="shared" si="45"/>
        <v>1.3020833333333333</v>
      </c>
      <c r="L76" s="18">
        <f t="shared" si="45"/>
        <v>0</v>
      </c>
      <c r="M76" s="18">
        <f t="shared" si="45"/>
        <v>0</v>
      </c>
      <c r="N76" s="18">
        <f t="shared" si="45"/>
        <v>1.3020833333333333</v>
      </c>
      <c r="O76" s="18">
        <f t="shared" si="45"/>
        <v>0</v>
      </c>
      <c r="P76" s="18">
        <f t="shared" si="45"/>
        <v>1.3020833333333333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8.0164930555555554</v>
      </c>
      <c r="AO76">
        <v>14.634207946413019</v>
      </c>
      <c r="AP76">
        <v>92.053355436091664</v>
      </c>
      <c r="AQ76">
        <v>29.831307566984783</v>
      </c>
      <c r="AR76">
        <v>13.562509036377815</v>
      </c>
      <c r="AS76">
        <v>65.299979928894572</v>
      </c>
      <c r="AT76" t="e">
        <v>#DIV/0!</v>
      </c>
      <c r="AU76" t="e">
        <v>#DIV/0!</v>
      </c>
      <c r="AV76"/>
      <c r="AW76"/>
      <c r="FY76" s="210">
        <v>71</v>
      </c>
      <c r="FZ76">
        <v>5.6888568468102516</v>
      </c>
      <c r="GA76">
        <v>11.732935904903778</v>
      </c>
      <c r="GB76">
        <v>3.2891891380782909</v>
      </c>
      <c r="GC76">
        <v>0.25551529019638125</v>
      </c>
      <c r="GD76">
        <v>0.32122348563352848</v>
      </c>
      <c r="GE76">
        <v>1.1141571327216686</v>
      </c>
      <c r="GF76">
        <v>3.9240239955667002</v>
      </c>
      <c r="GG76">
        <v>3.0335211783099472</v>
      </c>
      <c r="GH76">
        <v>0.88020735570664521</v>
      </c>
      <c r="GI76">
        <v>4.1665513890046917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4.1666666666666661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0</v>
      </c>
      <c r="K77" s="18">
        <f t="shared" si="46"/>
        <v>0</v>
      </c>
      <c r="L77" s="18">
        <f t="shared" si="46"/>
        <v>0</v>
      </c>
      <c r="M77" s="18">
        <f t="shared" si="46"/>
        <v>0</v>
      </c>
      <c r="N77" s="18">
        <f t="shared" si="46"/>
        <v>0</v>
      </c>
      <c r="O77" s="18">
        <f t="shared" si="46"/>
        <v>2.083333333333333</v>
      </c>
      <c r="P77" s="18">
        <f t="shared" si="46"/>
        <v>0</v>
      </c>
      <c r="Q77" s="18">
        <f t="shared" si="46"/>
        <v>1.0416666666666665</v>
      </c>
      <c r="R77" s="18">
        <f t="shared" si="46"/>
        <v>1.0416666666666665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12.6656527194211</v>
      </c>
      <c r="AO77">
        <v>25.423956112895418</v>
      </c>
      <c r="AP77">
        <v>174.8764108933612</v>
      </c>
      <c r="AQ77">
        <v>40.465885157304058</v>
      </c>
      <c r="AR77">
        <v>24.051910729599435</v>
      </c>
      <c r="AS77">
        <v>106.84313341828356</v>
      </c>
      <c r="AT77">
        <v>12.474149282763547</v>
      </c>
      <c r="AU77">
        <v>61.369032586865693</v>
      </c>
      <c r="AV77"/>
      <c r="AW77"/>
      <c r="FY77" s="210">
        <v>72</v>
      </c>
      <c r="FZ77">
        <v>2.6766254835938543</v>
      </c>
      <c r="GA77">
        <v>11.428575545734208</v>
      </c>
      <c r="GB77">
        <v>2.780391494881969</v>
      </c>
      <c r="GC77">
        <v>0.67575997750748218</v>
      </c>
      <c r="GD77">
        <v>0.73646394836906448</v>
      </c>
      <c r="GE77">
        <v>1.3735656388116666</v>
      </c>
      <c r="GF77">
        <v>0.9673040191320359</v>
      </c>
      <c r="GG77">
        <v>0.1769257564900365</v>
      </c>
      <c r="GH77">
        <v>0.23579423514790807</v>
      </c>
      <c r="GI77">
        <v>3.1937961191517696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3.1249999999999996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0</v>
      </c>
      <c r="K78" s="18">
        <f t="shared" si="47"/>
        <v>0</v>
      </c>
      <c r="L78" s="18">
        <f t="shared" si="47"/>
        <v>0</v>
      </c>
      <c r="M78" s="18">
        <f t="shared" si="47"/>
        <v>0</v>
      </c>
      <c r="N78" s="18">
        <f t="shared" si="47"/>
        <v>2.083333333333333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1.0416666666666665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8.8776041666666679</v>
      </c>
      <c r="AO78">
        <v>12.639437872985534</v>
      </c>
      <c r="AP78">
        <v>54.242669075455211</v>
      </c>
      <c r="AQ78">
        <v>22.2629547509584</v>
      </c>
      <c r="AR78">
        <v>11.820383466669217</v>
      </c>
      <c r="AS78">
        <v>59.964161821003877</v>
      </c>
      <c r="AT78" t="e">
        <v>#DIV/0!</v>
      </c>
      <c r="AU78" t="e">
        <v>#DIV/0!</v>
      </c>
      <c r="AV78"/>
      <c r="AW78"/>
      <c r="FY78" s="210">
        <v>73</v>
      </c>
      <c r="FZ78">
        <v>10.698463643600084</v>
      </c>
      <c r="GA78">
        <v>14.972534829801884</v>
      </c>
      <c r="GB78">
        <v>1.9350255392297084</v>
      </c>
      <c r="GC78">
        <v>0.54570519700886311</v>
      </c>
      <c r="GD78">
        <v>1.0255768202804725</v>
      </c>
      <c r="GE78">
        <v>2.4172480043681972</v>
      </c>
      <c r="GF78">
        <v>4.1449984809809379</v>
      </c>
      <c r="GG78">
        <v>2.4814423768234892</v>
      </c>
      <c r="GH78">
        <v>0.40861888541082891</v>
      </c>
      <c r="GI78">
        <v>4.5521479536413612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10.36989379084967</v>
      </c>
      <c r="AO79">
        <v>14.670011536056643</v>
      </c>
      <c r="AP79">
        <v>139.423544202865</v>
      </c>
      <c r="AQ79">
        <v>56.374960866985113</v>
      </c>
      <c r="AR79">
        <v>14.024581398742457</v>
      </c>
      <c r="AS79">
        <v>81.658236635080542</v>
      </c>
      <c r="AT79">
        <v>6.8537247450001972</v>
      </c>
      <c r="AU79">
        <v>-57.631624048502829</v>
      </c>
      <c r="AV79"/>
      <c r="AW79"/>
      <c r="FY79" s="210">
        <v>74</v>
      </c>
      <c r="FZ79">
        <v>1.7643144071772305</v>
      </c>
      <c r="GA79">
        <v>7.0872841735112573</v>
      </c>
      <c r="GB79">
        <v>1.6547965109775262</v>
      </c>
      <c r="GC79">
        <v>0.41946324630393605</v>
      </c>
      <c r="GD79">
        <v>0.47062427687365549</v>
      </c>
      <c r="GE79">
        <v>1.5114606550419321</v>
      </c>
      <c r="GF79">
        <v>2.8537973170237412</v>
      </c>
      <c r="GG79">
        <v>1.3641019447390237</v>
      </c>
      <c r="GH79">
        <v>0.23579423514790807</v>
      </c>
      <c r="GI79">
        <v>2.6732186519822632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8.5468749999999982</v>
      </c>
      <c r="AO80">
        <v>24.483525010289945</v>
      </c>
      <c r="AP80">
        <v>206.44692827334174</v>
      </c>
      <c r="AQ80">
        <v>35.706705460984011</v>
      </c>
      <c r="AR80">
        <v>22.745034756215269</v>
      </c>
      <c r="AS80">
        <v>117.76359561187739</v>
      </c>
      <c r="AT80" t="e">
        <v>#DIV/0!</v>
      </c>
      <c r="AU80" t="e">
        <v>#DIV/0!</v>
      </c>
      <c r="AV80"/>
      <c r="AW80"/>
      <c r="FY80" s="210">
        <v>75</v>
      </c>
      <c r="FZ80">
        <v>7.4376682902736375</v>
      </c>
      <c r="GA80">
        <v>4.8654088813208318</v>
      </c>
      <c r="GB80">
        <v>0.82800357961257443</v>
      </c>
      <c r="GC80">
        <v>0.70466661740713499</v>
      </c>
      <c r="GD80">
        <v>0.67517054673811105</v>
      </c>
      <c r="GE80">
        <v>1.2121672883115906</v>
      </c>
      <c r="GF80">
        <v>2.6853102689669601</v>
      </c>
      <c r="GG80">
        <v>1.669419233570923</v>
      </c>
      <c r="GH80">
        <v>0.99006242108457876</v>
      </c>
      <c r="GI80">
        <v>3.7776361561324703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7.526041666666667</v>
      </c>
      <c r="AO81">
        <v>18.749076017257941</v>
      </c>
      <c r="AP81">
        <v>148.27617298144534</v>
      </c>
      <c r="AQ81">
        <v>21.952586457808593</v>
      </c>
      <c r="AR81">
        <v>18.249218968352722</v>
      </c>
      <c r="AS81">
        <v>77.743025881800591</v>
      </c>
      <c r="AT81" t="e">
        <v>#DIV/0!</v>
      </c>
      <c r="AU81" t="e">
        <v>#DIV/0!</v>
      </c>
      <c r="AV81"/>
      <c r="AW81"/>
      <c r="FY81" s="210">
        <v>76</v>
      </c>
      <c r="FZ81">
        <v>1.3671683512601061</v>
      </c>
      <c r="GA81">
        <v>3.7429797297165819</v>
      </c>
      <c r="GB81">
        <v>1.2944046215488414</v>
      </c>
      <c r="GC81">
        <v>0.84074560702090007</v>
      </c>
      <c r="GD81">
        <v>0.77847211752488565</v>
      </c>
      <c r="GE81">
        <v>1.8809530654047251</v>
      </c>
      <c r="GF81">
        <v>5.2573871334564277</v>
      </c>
      <c r="GG81">
        <v>3.5492971601975971</v>
      </c>
      <c r="GH81">
        <v>0.64441312055873701</v>
      </c>
      <c r="GI81">
        <v>3.4937212397116646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6.3698937908496722</v>
      </c>
      <c r="AO82">
        <v>15.506543652709542</v>
      </c>
      <c r="AP82">
        <v>143.97891575882801</v>
      </c>
      <c r="AQ82">
        <v>34.671341597079298</v>
      </c>
      <c r="AR82">
        <v>14.869202644421147</v>
      </c>
      <c r="AS82">
        <v>78.360749773267997</v>
      </c>
      <c r="AT82">
        <v>8.5271963394743207</v>
      </c>
      <c r="AU82">
        <v>-3.0579238635573285</v>
      </c>
      <c r="AV82"/>
      <c r="AW82"/>
      <c r="FY82" s="210">
        <v>77</v>
      </c>
      <c r="FZ82">
        <v>3.0578881997582497</v>
      </c>
      <c r="GA82">
        <v>8.0103756821545531</v>
      </c>
      <c r="GB82">
        <v>1.4338212841344169</v>
      </c>
      <c r="GC82">
        <v>0.63558944919438942</v>
      </c>
      <c r="GD82">
        <v>0.57916733316029445</v>
      </c>
      <c r="GE82">
        <v>0.9292730657739291</v>
      </c>
      <c r="GF82">
        <v>4.9603530814147874</v>
      </c>
      <c r="GG82">
        <v>4.1236289182625878</v>
      </c>
      <c r="GH82">
        <v>0.40861888541082891</v>
      </c>
      <c r="GI82">
        <v>3.4443632238118331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5.6779513888888884</v>
      </c>
      <c r="AO83">
        <v>15.710590775592891</v>
      </c>
      <c r="AP83">
        <v>127.21671281281665</v>
      </c>
      <c r="AQ83">
        <v>32.451284534713572</v>
      </c>
      <c r="AR83">
        <v>15.004129255168053</v>
      </c>
      <c r="AS83">
        <v>61.872358856286112</v>
      </c>
      <c r="AT83" t="e">
        <v>#DIV/0!</v>
      </c>
      <c r="AU83" t="e">
        <v>#DIV/0!</v>
      </c>
      <c r="AV83"/>
      <c r="AW83"/>
      <c r="FY83" s="210">
        <v>78</v>
      </c>
      <c r="FZ83">
        <v>9.4263754726278055</v>
      </c>
      <c r="GA83">
        <v>10.211831467377623</v>
      </c>
      <c r="GB83">
        <v>3.3252123770429729</v>
      </c>
      <c r="GC83">
        <v>0.72435961665525539</v>
      </c>
      <c r="GD83">
        <v>0.99522890569756695</v>
      </c>
      <c r="GE83">
        <v>1.6687239803424019</v>
      </c>
      <c r="GF83">
        <v>5.9445659702104727</v>
      </c>
      <c r="GG83">
        <v>4.9351763492340606</v>
      </c>
      <c r="GH83">
        <v>0.40861888541082891</v>
      </c>
      <c r="GI83">
        <v>5.2983565349385167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5.4435763888888884</v>
      </c>
      <c r="AO84">
        <v>17.698154910803488</v>
      </c>
      <c r="AP84">
        <v>147.50838997740095</v>
      </c>
      <c r="AQ84">
        <v>19.592248337233176</v>
      </c>
      <c r="AR84">
        <v>16.384526199998721</v>
      </c>
      <c r="AS84">
        <v>233.56993282332604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0">
        <v>79</v>
      </c>
      <c r="FZ84">
        <v>7.4833251268154903</v>
      </c>
      <c r="GA84">
        <v>12.707257019626024</v>
      </c>
      <c r="GB84">
        <v>3.3914691296472839</v>
      </c>
      <c r="GC84">
        <v>0.40088433178047589</v>
      </c>
      <c r="GD84">
        <v>0.91792409630877225</v>
      </c>
      <c r="GE84">
        <v>2.1495750782423086</v>
      </c>
      <c r="GF84">
        <v>3.0265396689328794</v>
      </c>
      <c r="GG84">
        <v>2.2124279075903983</v>
      </c>
      <c r="GH84">
        <v>0.70738270544372439</v>
      </c>
      <c r="GI84">
        <v>4.721502915033013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11.898043592436977</v>
      </c>
      <c r="AO85">
        <v>20.896093078652473</v>
      </c>
      <c r="AP85">
        <v>184.29611219866342</v>
      </c>
      <c r="AQ85">
        <v>35.029848333951243</v>
      </c>
      <c r="AR85">
        <v>20.34824059666991</v>
      </c>
      <c r="AS85">
        <v>97.705137815635652</v>
      </c>
      <c r="AT85">
        <v>10.427347307638483</v>
      </c>
      <c r="AU85">
        <v>-15.578899994117879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6.7165903610795912</v>
      </c>
      <c r="GA85">
        <v>5.6403923530821247</v>
      </c>
      <c r="GB85">
        <v>0.79422595986776456</v>
      </c>
      <c r="GC85">
        <v>0.42595613164630525</v>
      </c>
      <c r="GD85">
        <v>0.53229531038250633</v>
      </c>
      <c r="GE85">
        <v>2.0394735561473669</v>
      </c>
      <c r="GF85">
        <v>5.946456318195513</v>
      </c>
      <c r="GG85">
        <v>3.7965343851332478</v>
      </c>
      <c r="GH85">
        <v>0.81723777082165783</v>
      </c>
      <c r="GI85">
        <v>3.9478105863366428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15.174479166666666</v>
      </c>
      <c r="AO86">
        <v>23.250863727651595</v>
      </c>
      <c r="AP86">
        <v>208.42624849862608</v>
      </c>
      <c r="AQ86">
        <v>79.149771896923781</v>
      </c>
      <c r="AR86">
        <v>22.885305662168918</v>
      </c>
      <c r="AS86">
        <v>127.12036439862364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9" t="s">
        <v>123</v>
      </c>
      <c r="CX86" s="22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2.9583491016582619</v>
      </c>
      <c r="GA86">
        <v>7.6629300023115965</v>
      </c>
      <c r="GB86">
        <v>1.3477808589951745</v>
      </c>
      <c r="GC86">
        <v>1.2094763774769839</v>
      </c>
      <c r="GD86">
        <v>1.0190357785322104</v>
      </c>
      <c r="GE86">
        <v>0.91807261662610573</v>
      </c>
      <c r="GF86">
        <v>3.3384573539027018</v>
      </c>
      <c r="GG86">
        <v>2.4324324403942232</v>
      </c>
      <c r="GH86">
        <v>0.23579423514790807</v>
      </c>
      <c r="GI86">
        <v>3.9350559858173892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8.4069721638655466</v>
      </c>
      <c r="AO87">
        <v>27.71474789165709</v>
      </c>
      <c r="AP87">
        <v>190.0700057839322</v>
      </c>
      <c r="AQ87">
        <v>34.406181716931883</v>
      </c>
      <c r="AR87">
        <v>26.117407508675388</v>
      </c>
      <c r="AS87">
        <v>101.08128966612156</v>
      </c>
      <c r="AT87">
        <v>13.396822784406966</v>
      </c>
      <c r="AU87">
        <v>-2.3148184092623509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5.6315260039227786</v>
      </c>
      <c r="GA87">
        <v>13.003155896077988</v>
      </c>
      <c r="GB87">
        <v>4.519573248684658</v>
      </c>
      <c r="GC87">
        <v>1.2587214251221943</v>
      </c>
      <c r="GD87">
        <v>1.2529491101822812</v>
      </c>
      <c r="GE87">
        <v>1.3164398087916196</v>
      </c>
      <c r="GF87">
        <v>4.244346319656505</v>
      </c>
      <c r="GG87">
        <v>3.1954456472175239</v>
      </c>
      <c r="GH87">
        <v>0</v>
      </c>
      <c r="GI87">
        <v>5.8577930724365626</v>
      </c>
      <c r="GJ87"/>
      <c r="GK87"/>
      <c r="GL87"/>
      <c r="GM87"/>
    </row>
    <row r="88" spans="1:195" s="7" customFormat="1">
      <c r="A88" s="128"/>
      <c r="B88" s="76">
        <f ca="1">IF(C88="", "", RAND())</f>
        <v>0.46672776875003841</v>
      </c>
      <c r="C88">
        <v>8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9.4482886904761916</v>
      </c>
      <c r="AO88">
        <v>17.794042428614784</v>
      </c>
      <c r="AP88">
        <v>147.32406409667425</v>
      </c>
      <c r="AQ88">
        <v>24.245202218819994</v>
      </c>
      <c r="AR88">
        <v>16.551338041794082</v>
      </c>
      <c r="AS88">
        <v>136.14494972264336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0.41648973403986966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0.1808858016861743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0.95448462583822646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0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0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</v>
      </c>
      <c r="FV88" s="149"/>
      <c r="FY88" s="210">
        <v>83</v>
      </c>
      <c r="FZ88">
        <v>3.1039254123389872</v>
      </c>
      <c r="GA88">
        <v>6.8879465305503036</v>
      </c>
      <c r="GB88">
        <v>1.5710895436958423</v>
      </c>
      <c r="GC88">
        <v>1.2282708246386562</v>
      </c>
      <c r="GD88">
        <v>1.3314648342045388</v>
      </c>
      <c r="GE88">
        <v>1.7034097407399904</v>
      </c>
      <c r="GF88">
        <v>2.9482157458909963</v>
      </c>
      <c r="GG88">
        <v>1.8100421704621514</v>
      </c>
      <c r="GH88">
        <v>0.17282465026292085</v>
      </c>
      <c r="GI88">
        <v>3.1926886342181806</v>
      </c>
      <c r="GJ88"/>
      <c r="GK88"/>
      <c r="GL88"/>
      <c r="GM88"/>
    </row>
    <row r="89" spans="1:195" s="7" customFormat="1">
      <c r="A89" s="115"/>
      <c r="B89" s="76">
        <f ca="1">IF(C89="", "", RAND())</f>
        <v>7.7552143317223932E-2</v>
      </c>
      <c r="C89">
        <v>1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9.8878749416433234</v>
      </c>
      <c r="AO89">
        <v>20.846300812443836</v>
      </c>
      <c r="AP89">
        <v>182.45964538164353</v>
      </c>
      <c r="AQ89">
        <v>43.181761731145826</v>
      </c>
      <c r="AR89">
        <v>19.778822543178393</v>
      </c>
      <c r="AS89">
        <v>263.56663735927538</v>
      </c>
      <c r="AT89">
        <v>10.821548919037902</v>
      </c>
      <c r="AU89">
        <v>47.244899839951458</v>
      </c>
      <c r="AV89"/>
      <c r="AW89"/>
      <c r="AX89" s="150"/>
      <c r="AY89" s="76">
        <f t="shared" ref="AY89:AY149" ca="1" si="86">IF(AZ89="", "", RAND())</f>
        <v>0.47182600527955199</v>
      </c>
      <c r="AZ89">
        <v>2</v>
      </c>
      <c r="BA89" s="129">
        <f t="shared" ref="BA89:BA97" si="87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8">IF(AZ89="", "", RAND())</f>
        <v>6.1567878403264276E-2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0.22989582415862841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0">
        <v>84</v>
      </c>
      <c r="FZ89">
        <v>3.0578881997582497</v>
      </c>
      <c r="GA89">
        <v>5.6403923530821247</v>
      </c>
      <c r="GB89">
        <v>1.1618911163402195</v>
      </c>
      <c r="GC89">
        <v>1.0325625296222447</v>
      </c>
      <c r="GD89">
        <v>0.95992748440275943</v>
      </c>
      <c r="GE89">
        <v>1.6186843173794399</v>
      </c>
      <c r="GF89">
        <v>1.5112608623321497</v>
      </c>
      <c r="GG89">
        <v>0.42416298142568709</v>
      </c>
      <c r="GH89">
        <v>0.40861888541082891</v>
      </c>
      <c r="GI89">
        <v>2.8304212718596955</v>
      </c>
      <c r="GJ89"/>
      <c r="GK89"/>
      <c r="GL89"/>
      <c r="GM89"/>
    </row>
    <row r="90" spans="1:195" s="7" customFormat="1">
      <c r="A90" s="115"/>
      <c r="B90" s="76">
        <f ca="1">IF(C90="", "", RAND())</f>
        <v>0.11696623843940834</v>
      </c>
      <c r="C90">
        <v>4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9.0897817460317469</v>
      </c>
      <c r="AO90">
        <v>12.920864732622343</v>
      </c>
      <c r="AP90">
        <v>93.690514473431307</v>
      </c>
      <c r="AQ90">
        <v>20.034855418778474</v>
      </c>
      <c r="AR90">
        <v>11.910840051572496</v>
      </c>
      <c r="AS90">
        <v>119.16444003161436</v>
      </c>
      <c r="AT90" t="e">
        <v>#DIV/0!</v>
      </c>
      <c r="AU90" t="e">
        <v>#DIV/0!</v>
      </c>
      <c r="AV90"/>
      <c r="AW90"/>
      <c r="AX90" s="150"/>
      <c r="AY90" s="76">
        <f t="shared" ca="1" si="86"/>
        <v>0.85957463186736227</v>
      </c>
      <c r="AZ90">
        <v>3</v>
      </c>
      <c r="BA90" s="129">
        <f t="shared" si="87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6.6657145262459139E-2</v>
      </c>
      <c r="CL90" s="179">
        <f t="shared" si="89"/>
        <v>3</v>
      </c>
      <c r="CM90" s="180">
        <f t="shared" si="90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0.40648428602590436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0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0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0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</v>
      </c>
      <c r="FV90" s="149"/>
      <c r="FY90" s="210">
        <v>85</v>
      </c>
      <c r="FZ90">
        <v>14.42009892966491</v>
      </c>
      <c r="GA90">
        <v>12.582131993762097</v>
      </c>
      <c r="GB90">
        <v>2.5333198750327668</v>
      </c>
      <c r="GC90">
        <v>0.2632989925336246</v>
      </c>
      <c r="GD90">
        <v>0.4028799422612977</v>
      </c>
      <c r="GE90">
        <v>2.0772491001172555</v>
      </c>
      <c r="GF90">
        <v>5.126603481252606</v>
      </c>
      <c r="GG90">
        <v>2.5027439088398373</v>
      </c>
      <c r="GH90">
        <v>0.3456493005258417</v>
      </c>
      <c r="GI90">
        <v>4.4147143666857724</v>
      </c>
      <c r="GJ90"/>
      <c r="GK90"/>
      <c r="GL90"/>
      <c r="GM90"/>
    </row>
    <row r="91" spans="1:195" s="7" customFormat="1">
      <c r="A91" s="77"/>
      <c r="B91" s="76">
        <f ca="1">IF(C91="", "", RAND())</f>
        <v>0.3835731917820846</v>
      </c>
      <c r="C91">
        <v>3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7.2511744281045738</v>
      </c>
      <c r="AO91">
        <v>14.910258889450839</v>
      </c>
      <c r="AP91">
        <v>103.57755003232731</v>
      </c>
      <c r="AQ91">
        <v>24.845513283418814</v>
      </c>
      <c r="AR91">
        <v>14.728250209041425</v>
      </c>
      <c r="AS91">
        <v>63.707907399774882</v>
      </c>
      <c r="AT91">
        <v>6.5094970256349862</v>
      </c>
      <c r="AU91">
        <v>-35.142845415923652</v>
      </c>
      <c r="AV91"/>
      <c r="AW91"/>
      <c r="AX91" s="151"/>
      <c r="AY91" s="76">
        <f t="shared" ca="1" si="86"/>
        <v>0.93759860457878053</v>
      </c>
      <c r="AZ91">
        <v>4</v>
      </c>
      <c r="BA91" s="129">
        <f t="shared" si="87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0.71390140212497299</v>
      </c>
      <c r="CL91" s="179">
        <f t="shared" si="89"/>
        <v>4</v>
      </c>
      <c r="CM91" s="180">
        <f t="shared" si="90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0.21030827771125971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0">
        <v>86</v>
      </c>
      <c r="FZ91">
        <v>6.8734603020670502</v>
      </c>
      <c r="GA91">
        <v>7.087601370823303</v>
      </c>
      <c r="GB91">
        <v>0.32558867626966093</v>
      </c>
      <c r="GC91">
        <v>0.41318589359977898</v>
      </c>
      <c r="GD91">
        <v>0.81728018602619668</v>
      </c>
      <c r="GE91">
        <v>1.767542825353756</v>
      </c>
      <c r="GF91">
        <v>4.4254699635928514</v>
      </c>
      <c r="GG91">
        <v>3.5497728724786888</v>
      </c>
      <c r="GH91">
        <v>0.58144353567374973</v>
      </c>
      <c r="GI91">
        <v>3.284786858938844</v>
      </c>
      <c r="GJ91"/>
      <c r="GK91"/>
      <c r="GL91"/>
      <c r="GM91"/>
    </row>
    <row r="92" spans="1:195" s="7" customFormat="1">
      <c r="A92" s="77"/>
      <c r="B92" s="76">
        <f ca="1">IF(C92="", "", RAND())</f>
        <v>0.2178901814687304</v>
      </c>
      <c r="C92">
        <v>6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10.416666666666666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10.230756886087772</v>
      </c>
      <c r="AO92">
        <v>18.667655012828671</v>
      </c>
      <c r="AP92">
        <v>158.0626249228624</v>
      </c>
      <c r="AQ92">
        <v>22.84954214640047</v>
      </c>
      <c r="AR92">
        <v>17.28441054616933</v>
      </c>
      <c r="AS92">
        <v>81.320366470687119</v>
      </c>
      <c r="AT92">
        <v>9.4164681730097453</v>
      </c>
      <c r="AU92">
        <v>2.3563321526597867</v>
      </c>
      <c r="AV92"/>
      <c r="AW92"/>
      <c r="AX92" s="151"/>
      <c r="AY92" s="76">
        <f t="shared" ca="1" si="86"/>
        <v>0.72968549808946381</v>
      </c>
      <c r="AZ92">
        <v>5</v>
      </c>
      <c r="BA92" s="129">
        <f t="shared" si="87"/>
        <v>39646</v>
      </c>
      <c r="BB92" s="215">
        <v>0</v>
      </c>
      <c r="BC92" s="215"/>
      <c r="BD92" s="215"/>
      <c r="BE92" s="215"/>
      <c r="BF92" s="215"/>
      <c r="BG92" s="215"/>
      <c r="BH92" s="215"/>
      <c r="BI92" s="215"/>
      <c r="BJ92" s="215"/>
      <c r="BK92"/>
      <c r="BL92"/>
      <c r="BM92"/>
      <c r="BN92"/>
      <c r="BO92"/>
      <c r="BP92"/>
      <c r="BQ92"/>
      <c r="BR92"/>
      <c r="BS92"/>
      <c r="BT92"/>
      <c r="BU92"/>
      <c r="BV92"/>
      <c r="BW92">
        <v>1</v>
      </c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0.10797355084103488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0.29153517662343398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10.416666666666666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10.416666666666666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98.431918399549005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98.431918399549005</v>
      </c>
      <c r="FV92" s="149"/>
      <c r="FY92" s="210">
        <v>87</v>
      </c>
      <c r="FZ92">
        <v>3.558782687182469</v>
      </c>
      <c r="GA92">
        <v>7.8622676452725493</v>
      </c>
      <c r="GB92">
        <v>1.5199495479113458</v>
      </c>
      <c r="GC92">
        <v>0.61180846632343422</v>
      </c>
      <c r="GD92">
        <v>0.53316273349378918</v>
      </c>
      <c r="GE92">
        <v>0.8231130732816716</v>
      </c>
      <c r="GF92">
        <v>4.5432734878075705</v>
      </c>
      <c r="GG92">
        <v>3.5710744044950373</v>
      </c>
      <c r="GH92">
        <v>0</v>
      </c>
      <c r="GI92">
        <v>3.8138021291063358</v>
      </c>
      <c r="GJ92"/>
      <c r="GK92"/>
      <c r="GL92"/>
      <c r="GM92"/>
    </row>
    <row r="93" spans="1:195" s="7" customFormat="1">
      <c r="A93" s="77"/>
      <c r="B93" s="76">
        <f ca="1">IF(C93="", "", RAND())</f>
        <v>0.65706775255050776</v>
      </c>
      <c r="C93">
        <v>2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8.6161735527544359</v>
      </c>
      <c r="AO93">
        <v>12.646520805502224</v>
      </c>
      <c r="AP93">
        <v>92.73000779149281</v>
      </c>
      <c r="AQ93">
        <v>27.583079123075873</v>
      </c>
      <c r="AR93">
        <v>11.70175133144398</v>
      </c>
      <c r="AS93">
        <v>60.804581326883806</v>
      </c>
      <c r="AT93" t="e">
        <v>#DIV/0!</v>
      </c>
      <c r="AU93" t="e">
        <v>#DIV/0!</v>
      </c>
      <c r="AV93"/>
      <c r="AW93"/>
      <c r="AX93" s="151"/>
      <c r="AY93" s="76">
        <f t="shared" ca="1" si="86"/>
        <v>0.71895958773244129</v>
      </c>
      <c r="AZ93">
        <v>6</v>
      </c>
      <c r="BA93" s="129">
        <f t="shared" si="87"/>
        <v>39646</v>
      </c>
      <c r="BB93">
        <v>0</v>
      </c>
      <c r="BC93"/>
      <c r="BD93"/>
      <c r="BE93"/>
      <c r="BF93"/>
      <c r="BG93"/>
      <c r="BH93"/>
      <c r="BI93"/>
      <c r="BJ93"/>
      <c r="BK93">
        <v>1</v>
      </c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0.27932082292903893</v>
      </c>
      <c r="CL93" s="179">
        <f t="shared" si="89"/>
        <v>6</v>
      </c>
      <c r="CM93" s="180">
        <f t="shared" si="90"/>
        <v>39646</v>
      </c>
      <c r="CN93" s="218">
        <v>0</v>
      </c>
      <c r="CO93" s="218"/>
      <c r="CP93" s="218"/>
      <c r="CQ93" s="218"/>
      <c r="CR93" s="218"/>
      <c r="CS93" s="218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0.24356031657778932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10.416666666666666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10.416666666666666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10.155766903041346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10.155766903041346</v>
      </c>
      <c r="FV93" s="149"/>
      <c r="FY93" s="210">
        <v>88</v>
      </c>
      <c r="FZ93">
        <v>0.48501114767149078</v>
      </c>
      <c r="GA93">
        <v>2.5693209720333821</v>
      </c>
      <c r="GB93">
        <v>0.86169336071969793</v>
      </c>
      <c r="GC93">
        <v>0.9082757258400731</v>
      </c>
      <c r="GD93">
        <v>0.97109161213491024</v>
      </c>
      <c r="GE93">
        <v>1.8535111118067293</v>
      </c>
      <c r="GF93">
        <v>4.1131141747875635</v>
      </c>
      <c r="GG93">
        <v>2.1271151515623243</v>
      </c>
      <c r="GH93">
        <v>0.3456493005258417</v>
      </c>
      <c r="GI93">
        <v>3.0585728580074218</v>
      </c>
      <c r="GJ93"/>
      <c r="GK93"/>
      <c r="GL93"/>
      <c r="GM93"/>
    </row>
    <row r="94" spans="1:195" s="7" customFormat="1">
      <c r="A94" s="77"/>
      <c r="B94" s="76">
        <f ca="1">IF(C94="", "", RAND())</f>
        <v>0.43173651968845572</v>
      </c>
      <c r="C94">
        <v>7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13.109849147992529</v>
      </c>
      <c r="AO94">
        <v>18.690048709708634</v>
      </c>
      <c r="AP94">
        <v>146.91890916726226</v>
      </c>
      <c r="AQ94">
        <v>42.938449559537503</v>
      </c>
      <c r="AR94">
        <v>18.680049763331922</v>
      </c>
      <c r="AS94">
        <v>99.822703575953213</v>
      </c>
      <c r="AT94">
        <v>10.237782897262653</v>
      </c>
      <c r="AU94">
        <v>-18.599457377788223</v>
      </c>
      <c r="AV94"/>
      <c r="AW94"/>
      <c r="AX94" s="151"/>
      <c r="AY94" s="76">
        <f t="shared" ca="1" si="86"/>
        <v>0.32936515613392325</v>
      </c>
      <c r="AZ94">
        <v>7</v>
      </c>
      <c r="BA94" s="129">
        <f t="shared" si="87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0.66587604472340001</v>
      </c>
      <c r="CL94" s="179">
        <f t="shared" si="89"/>
        <v>7</v>
      </c>
      <c r="CM94" s="180">
        <f t="shared" si="90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0.25079181054173461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0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</v>
      </c>
      <c r="FV94" s="149"/>
      <c r="FY94" s="210">
        <v>89</v>
      </c>
      <c r="FZ94">
        <v>5.8340527814520904</v>
      </c>
      <c r="GA94">
        <v>25.018085060068813</v>
      </c>
      <c r="GB94">
        <v>7.946533244592481</v>
      </c>
      <c r="GC94">
        <v>0.34923438241573124</v>
      </c>
      <c r="GD94">
        <v>0.81897845976875727</v>
      </c>
      <c r="GE94">
        <v>1.7756926622560913</v>
      </c>
      <c r="GF94">
        <v>3.3521065681500017</v>
      </c>
      <c r="GG94">
        <v>2.4814423768234892</v>
      </c>
      <c r="GH94">
        <v>0.23579423514790807</v>
      </c>
      <c r="GI94">
        <v>5.5590808148633011</v>
      </c>
      <c r="GJ94"/>
      <c r="GK94"/>
      <c r="GL94"/>
      <c r="GM94"/>
    </row>
    <row r="95" spans="1:195" s="7" customFormat="1">
      <c r="A95" s="77"/>
      <c r="B95" s="76">
        <f ca="1">IF(C95="", "", RAND())</f>
        <v>0.44799679519344515</v>
      </c>
      <c r="C95">
        <v>10</v>
      </c>
      <c r="D95">
        <v>39646</v>
      </c>
      <c r="E95">
        <v>0</v>
      </c>
      <c r="F95">
        <v>0</v>
      </c>
      <c r="G95">
        <v>0</v>
      </c>
      <c r="H95">
        <v>0</v>
      </c>
      <c r="I95">
        <v>10.416666666666666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11.745163690476188</v>
      </c>
      <c r="AO95">
        <v>20.633354724085454</v>
      </c>
      <c r="AP95">
        <v>134.10066432193577</v>
      </c>
      <c r="AQ95">
        <v>37.718287979420374</v>
      </c>
      <c r="AR95">
        <v>19.632407979934008</v>
      </c>
      <c r="AS95">
        <v>192.41256412732054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0.70833513885392207</v>
      </c>
      <c r="AZ95">
        <v>8</v>
      </c>
      <c r="BA95" s="129">
        <f t="shared" si="87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0.36999016364954396</v>
      </c>
      <c r="CL95" s="179">
        <f t="shared" si="89"/>
        <v>8</v>
      </c>
      <c r="CM95" s="180">
        <f t="shared" si="90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0.15066538973486066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0">
        <v>90</v>
      </c>
      <c r="FZ95">
        <v>6.0166176774553968</v>
      </c>
      <c r="GA95">
        <v>11.584827868021774</v>
      </c>
      <c r="GB95">
        <v>3.54497695563846</v>
      </c>
      <c r="GC95">
        <v>0.87205714864008732</v>
      </c>
      <c r="GD95">
        <v>1.0761061491359847</v>
      </c>
      <c r="GE95">
        <v>1.6890944744309602</v>
      </c>
      <c r="GF95">
        <v>3.3160952657526255</v>
      </c>
      <c r="GG95">
        <v>2.4809666645423967</v>
      </c>
      <c r="GH95">
        <v>0.47158847029581613</v>
      </c>
      <c r="GI95">
        <v>4.5367297823247981</v>
      </c>
      <c r="GJ95"/>
      <c r="GK95"/>
      <c r="GL95"/>
      <c r="GM95"/>
    </row>
    <row r="96" spans="1:195" s="7" customFormat="1">
      <c r="A96" s="77"/>
      <c r="B96" s="76">
        <f ca="1">IF(C96="", "", RAND())</f>
        <v>8.4990820099446474E-2</v>
      </c>
      <c r="C96">
        <v>5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10.416666666666666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10.551171510270773</v>
      </c>
      <c r="AO96">
        <v>15.61929877804684</v>
      </c>
      <c r="AP96">
        <v>130.43846557531205</v>
      </c>
      <c r="AQ96">
        <v>30.656972732692726</v>
      </c>
      <c r="AR96">
        <v>14.961825482480485</v>
      </c>
      <c r="AS96">
        <v>69.919862721012322</v>
      </c>
      <c r="AT96">
        <v>7.1042237246899207</v>
      </c>
      <c r="AU96">
        <v>7.0984265589803082</v>
      </c>
      <c r="AV96"/>
      <c r="AW96"/>
      <c r="AX96" s="151"/>
      <c r="AY96" s="76">
        <f t="shared" ca="1" si="86"/>
        <v>0.63591949254472713</v>
      </c>
      <c r="AZ96">
        <v>9</v>
      </c>
      <c r="BA96" s="129">
        <f t="shared" si="87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0.42436988372811535</v>
      </c>
      <c r="CL96" s="179">
        <f t="shared" si="89"/>
        <v>9</v>
      </c>
      <c r="CM96" s="180">
        <f t="shared" si="90"/>
        <v>39646</v>
      </c>
      <c r="CN96">
        <v>0</v>
      </c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0.46736293358788594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0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0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</v>
      </c>
      <c r="FV96" s="149"/>
      <c r="FY96" s="210">
        <v>91</v>
      </c>
      <c r="FZ96">
        <v>6.6584987661143487</v>
      </c>
      <c r="GA96">
        <v>14.604669642991567</v>
      </c>
      <c r="GB96">
        <v>3.2764058391160349</v>
      </c>
      <c r="GC96">
        <v>0.6707734417981992</v>
      </c>
      <c r="GD96">
        <v>1.2476852016036051</v>
      </c>
      <c r="GE96">
        <v>2.405026941984076</v>
      </c>
      <c r="GF96">
        <v>2.3950855858890177</v>
      </c>
      <c r="GG96">
        <v>1.3155677205908503</v>
      </c>
      <c r="GH96">
        <v>0</v>
      </c>
      <c r="GI96">
        <v>4.8993382551785478</v>
      </c>
      <c r="GJ96"/>
      <c r="GK96"/>
      <c r="GL96"/>
      <c r="GM96"/>
    </row>
    <row r="97" spans="1:195" s="7" customFormat="1">
      <c r="A97" s="77"/>
      <c r="B97" s="76">
        <f ca="1">IF(C97="", "", RAND())</f>
        <v>0.73305226106501475</v>
      </c>
      <c r="C97">
        <v>9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11.762276785714286</v>
      </c>
      <c r="AO97">
        <v>16.592144996272069</v>
      </c>
      <c r="AP97">
        <v>111.76139805133511</v>
      </c>
      <c r="AQ97">
        <v>25.05738475086255</v>
      </c>
      <c r="AR97">
        <v>15.383942969723138</v>
      </c>
      <c r="AS97">
        <v>142.21910595319352</v>
      </c>
      <c r="AT97" t="e">
        <v>#DIV/0!</v>
      </c>
      <c r="AU97" t="e">
        <v>#DIV/0!</v>
      </c>
      <c r="AV97"/>
      <c r="AW97"/>
      <c r="AX97" s="151"/>
      <c r="AY97" s="76">
        <f t="shared" ca="1" si="86"/>
        <v>0.5567612356005105</v>
      </c>
      <c r="AZ97">
        <v>10</v>
      </c>
      <c r="BA97" s="129">
        <f t="shared" si="87"/>
        <v>39646</v>
      </c>
      <c r="BB97">
        <v>0</v>
      </c>
      <c r="BC97"/>
      <c r="BD97"/>
      <c r="BE97"/>
      <c r="BF97">
        <v>1</v>
      </c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6.5320582588814347E-2</v>
      </c>
      <c r="CL97" s="179">
        <f t="shared" si="89"/>
        <v>10</v>
      </c>
      <c r="CM97" s="180">
        <f t="shared" si="90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0.47569750991050941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10.416666666666666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10.416666666666666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1.1551241669112939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1.1551241669112939</v>
      </c>
      <c r="FV97" s="149"/>
      <c r="FY97" s="210">
        <v>92</v>
      </c>
      <c r="FZ97">
        <v>8.1048639579095489</v>
      </c>
      <c r="GA97">
        <v>3.3216386300886453</v>
      </c>
      <c r="GB97">
        <v>0.33949478484185303</v>
      </c>
      <c r="GC97">
        <v>0.29181336752485143</v>
      </c>
      <c r="GD97">
        <v>0.8220262093197086</v>
      </c>
      <c r="GE97">
        <v>1.8558495649162989</v>
      </c>
      <c r="GF97">
        <v>2.13051035457302</v>
      </c>
      <c r="GG97">
        <v>1.4924934770808866</v>
      </c>
      <c r="GH97">
        <v>0.58144353567374973</v>
      </c>
      <c r="GI97">
        <v>2.9975695433106511</v>
      </c>
      <c r="GJ97"/>
      <c r="GK97"/>
      <c r="GL97"/>
      <c r="GM97"/>
    </row>
    <row r="98" spans="1:195" s="7" customFormat="1">
      <c r="A98" s="128"/>
      <c r="B98" s="76">
        <f ca="1">IF(C98="", "", RAND())</f>
        <v>0.66222763954870523</v>
      </c>
      <c r="C98">
        <v>2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9.9461805555555536</v>
      </c>
      <c r="AO98">
        <v>28.077242711345015</v>
      </c>
      <c r="AP98">
        <v>229.67152341410647</v>
      </c>
      <c r="AQ98">
        <v>40.279950532092116</v>
      </c>
      <c r="AR98">
        <v>26.959162550577666</v>
      </c>
      <c r="AS98">
        <v>148.72894799571588</v>
      </c>
      <c r="AT98" t="e">
        <v>#DIV/0!</v>
      </c>
      <c r="AU98" t="e">
        <v>#DIV/0!</v>
      </c>
      <c r="AV98"/>
      <c r="AW98"/>
      <c r="AX98" s="128"/>
      <c r="AY98" s="76">
        <f t="shared" ca="1" si="86"/>
        <v>0.58946243644988661</v>
      </c>
      <c r="AZ98">
        <v>1</v>
      </c>
      <c r="BA98" s="129">
        <f>IF(AZ98="", "",$C$5)</f>
        <v>39673</v>
      </c>
      <c r="BB98">
        <v>0</v>
      </c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>
        <v>1</v>
      </c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0.32754477369855589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0.92550708273020277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0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10.416666666666666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10.416666666666666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0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65.113928709441069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65.113928709441069</v>
      </c>
      <c r="FV98" s="149"/>
      <c r="FY98" s="210">
        <v>93</v>
      </c>
      <c r="FZ98">
        <v>13.620204535974651</v>
      </c>
      <c r="GA98">
        <v>20.572088168949293</v>
      </c>
      <c r="GB98">
        <v>5.0130784577857916</v>
      </c>
      <c r="GC98">
        <v>1.0354957287599327</v>
      </c>
      <c r="GD98">
        <v>1.434894640783722</v>
      </c>
      <c r="GE98">
        <v>2.1067537832921341</v>
      </c>
      <c r="GF98">
        <v>2.5270091560797772</v>
      </c>
      <c r="GG98">
        <v>1.6113391696746744</v>
      </c>
      <c r="GH98">
        <v>0.23579423514790807</v>
      </c>
      <c r="GI98">
        <v>5.7437833168913368</v>
      </c>
      <c r="GJ98"/>
      <c r="GK98"/>
      <c r="GL98"/>
      <c r="GM98"/>
    </row>
    <row r="99" spans="1:195" s="7" customFormat="1">
      <c r="A99" s="1"/>
      <c r="B99" s="76">
        <f ca="1">IF(C99="", "", RAND())</f>
        <v>0.20582441091896997</v>
      </c>
      <c r="C99">
        <v>9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12.531724147992531</v>
      </c>
      <c r="AO99">
        <v>15.216273692110136</v>
      </c>
      <c r="AP99">
        <v>135.84307716128015</v>
      </c>
      <c r="AQ99">
        <v>23.949878087002567</v>
      </c>
      <c r="AR99">
        <v>14.220478128715751</v>
      </c>
      <c r="AS99">
        <v>77.30899225446008</v>
      </c>
      <c r="AT99">
        <v>9.6631910567635799</v>
      </c>
      <c r="AU99">
        <v>8.704828856251595</v>
      </c>
      <c r="AV99"/>
      <c r="AW99"/>
      <c r="AX99" s="146"/>
      <c r="AY99" s="76">
        <f t="shared" ca="1" si="86"/>
        <v>0.46183985638116898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0.79103658534099885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0.36602569642177496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0">
        <v>94</v>
      </c>
      <c r="FZ99">
        <v>4.3375718353028745</v>
      </c>
      <c r="GA99">
        <v>13.735054047165892</v>
      </c>
      <c r="GB99">
        <v>5.2340536846289014</v>
      </c>
      <c r="GC99">
        <v>0.5097397633978884</v>
      </c>
      <c r="GD99">
        <v>0.89536820320338106</v>
      </c>
      <c r="GE99">
        <v>1.6851231245350817</v>
      </c>
      <c r="GF99">
        <v>1.7280806433468672</v>
      </c>
      <c r="GG99">
        <v>1.1168647198033732</v>
      </c>
      <c r="GH99">
        <v>0.40861888541082891</v>
      </c>
      <c r="GI99">
        <v>4.2148088228630227</v>
      </c>
      <c r="GJ99"/>
      <c r="GK99"/>
      <c r="GL99"/>
      <c r="GM99"/>
    </row>
    <row r="100" spans="1:195" s="7" customFormat="1">
      <c r="A100" s="1"/>
      <c r="B100" s="76">
        <f ca="1">IF(C100="", "", RAND())</f>
        <v>0.26690050318666625</v>
      </c>
      <c r="C100">
        <v>4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10.535444386087768</v>
      </c>
      <c r="AO100">
        <v>18.373586351229836</v>
      </c>
      <c r="AP100">
        <v>141.72620857628573</v>
      </c>
      <c r="AQ100">
        <v>18.645810001613402</v>
      </c>
      <c r="AR100">
        <v>16.995326306796152</v>
      </c>
      <c r="AS100">
        <v>236.89411664744688</v>
      </c>
      <c r="AT100" t="e">
        <v>#DIV/0!</v>
      </c>
      <c r="AU100" t="e">
        <v>#DIV/0!</v>
      </c>
      <c r="AV100"/>
      <c r="AW100"/>
      <c r="AX100" s="146"/>
      <c r="AY100" s="76">
        <f t="shared" ca="1" si="86"/>
        <v>5.0473153056411535E-2</v>
      </c>
      <c r="AZ100">
        <v>3</v>
      </c>
      <c r="BA100" s="129">
        <f t="shared" si="125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4.9283644618141054E-2</v>
      </c>
      <c r="CL100" s="179">
        <f t="shared" si="89"/>
        <v>3</v>
      </c>
      <c r="CM100" s="180">
        <f t="shared" si="90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0.13861080208948096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0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0</v>
      </c>
      <c r="FV100" s="149"/>
      <c r="FY100" s="210">
        <v>95</v>
      </c>
      <c r="FZ100">
        <v>14.183651772103467</v>
      </c>
      <c r="GA100">
        <v>25.289389013388121</v>
      </c>
      <c r="GB100">
        <v>5.9073387900026777</v>
      </c>
      <c r="GC100">
        <v>0.71334887183082651</v>
      </c>
      <c r="GD100">
        <v>0.58328558859847113</v>
      </c>
      <c r="GE100">
        <v>1.3970513552593302</v>
      </c>
      <c r="GF100">
        <v>6.0192813365945756</v>
      </c>
      <c r="GG100">
        <v>4.0655488543663392</v>
      </c>
      <c r="GH100">
        <v>0.3456493005258417</v>
      </c>
      <c r="GI100">
        <v>6.938297623935294</v>
      </c>
      <c r="GJ100"/>
      <c r="GK100"/>
      <c r="GL100"/>
      <c r="GM100"/>
    </row>
    <row r="101" spans="1:195" s="7" customFormat="1">
      <c r="A101" s="1"/>
      <c r="B101" s="76">
        <f ca="1">IF(C101="", "", RAND())</f>
        <v>0.55353030503941447</v>
      </c>
      <c r="C101">
        <v>3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7.1946486928104578</v>
      </c>
      <c r="AO101">
        <v>15.69850863331158</v>
      </c>
      <c r="AP101">
        <v>132.22589413613989</v>
      </c>
      <c r="AQ101">
        <v>44.668689890676013</v>
      </c>
      <c r="AR101">
        <v>15.828628527733324</v>
      </c>
      <c r="AS101">
        <v>126.37772553552108</v>
      </c>
      <c r="AT101">
        <v>10.553302883775141</v>
      </c>
      <c r="AU101">
        <v>-97.224267705998955</v>
      </c>
      <c r="AV101"/>
      <c r="AW101"/>
      <c r="AX101" s="146"/>
      <c r="AY101" s="76">
        <f t="shared" ca="1" si="86"/>
        <v>0.18143118543009695</v>
      </c>
      <c r="AZ101">
        <v>4</v>
      </c>
      <c r="BA101" s="129">
        <f t="shared" si="125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0.23662820772198123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0.10720704011120086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0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</v>
      </c>
      <c r="FV101" s="149"/>
      <c r="FY101" s="210">
        <v>96</v>
      </c>
      <c r="FZ101">
        <v>5.7711218926357992E-2</v>
      </c>
      <c r="GA101">
        <v>0.3986752859219066</v>
      </c>
      <c r="GB101">
        <v>0.37560586244422139</v>
      </c>
      <c r="GC101">
        <v>0.20562483405373383</v>
      </c>
      <c r="GD101">
        <v>0.52497054342490324</v>
      </c>
      <c r="GE101">
        <v>1.6870105965473106</v>
      </c>
      <c r="GF101">
        <v>3.1524043001580431</v>
      </c>
      <c r="GG101">
        <v>1.8100421704621514</v>
      </c>
      <c r="GH101">
        <v>0.3456493005258417</v>
      </c>
      <c r="GI101">
        <v>2.1421565180615492</v>
      </c>
      <c r="GJ101"/>
      <c r="GK101"/>
      <c r="GL101"/>
      <c r="GM101"/>
    </row>
    <row r="102" spans="1:195" s="7" customFormat="1">
      <c r="A102" s="1"/>
      <c r="B102" s="76">
        <f ca="1">IF(C102="", "", RAND())</f>
        <v>0.68291812132758789</v>
      </c>
      <c r="C102">
        <v>10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148.80952380952382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7.8248570261437891</v>
      </c>
      <c r="AO102">
        <v>14.967270565869711</v>
      </c>
      <c r="AP102">
        <v>100.85782817854255</v>
      </c>
      <c r="AQ102">
        <v>29.126132484823881</v>
      </c>
      <c r="AR102">
        <v>13.887657874114231</v>
      </c>
      <c r="AS102">
        <v>113.60326199554029</v>
      </c>
      <c r="AT102">
        <v>6.9657429475684678</v>
      </c>
      <c r="AU102">
        <v>-11.412306001267956</v>
      </c>
      <c r="AV102"/>
      <c r="AW102"/>
      <c r="AX102" s="146"/>
      <c r="AY102" s="76">
        <f t="shared" ca="1" si="86"/>
        <v>0.18499154679366914</v>
      </c>
      <c r="AZ102">
        <v>5</v>
      </c>
      <c r="BA102" s="129">
        <f t="shared" si="125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0.73167067240568451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0.99191608162667766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0">
        <v>97</v>
      </c>
      <c r="FZ102">
        <v>2.6309686470520015</v>
      </c>
      <c r="GA102">
        <v>11.587074174760446</v>
      </c>
      <c r="GB102">
        <v>5.0643062922079753</v>
      </c>
      <c r="GC102">
        <v>0.53189728555647375</v>
      </c>
      <c r="GD102">
        <v>0.9404859141542351</v>
      </c>
      <c r="GE102">
        <v>1.7340991176527933</v>
      </c>
      <c r="GF102">
        <v>3.4552602099836562</v>
      </c>
      <c r="GG102">
        <v>3.0335211783099472</v>
      </c>
      <c r="GH102">
        <v>0.70738270544372439</v>
      </c>
      <c r="GI102">
        <v>4.9341918101150917</v>
      </c>
      <c r="GJ102"/>
      <c r="GK102"/>
      <c r="GL102"/>
      <c r="GM102"/>
    </row>
    <row r="103" spans="1:195" s="7" customFormat="1">
      <c r="A103" s="1"/>
      <c r="B103" s="76">
        <f ca="1">IF(C103="", "", RAND())</f>
        <v>0.31577767531005518</v>
      </c>
      <c r="C103">
        <v>7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10.823040674603176</v>
      </c>
      <c r="AO103">
        <v>17.14790019763911</v>
      </c>
      <c r="AP103">
        <v>132.38762219735275</v>
      </c>
      <c r="AQ103">
        <v>26.837234174874201</v>
      </c>
      <c r="AR103">
        <v>15.968295175755712</v>
      </c>
      <c r="AS103">
        <v>107.46699876475135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0.51093762737457471</v>
      </c>
      <c r="AZ103">
        <v>6</v>
      </c>
      <c r="BA103" s="129">
        <f t="shared" si="125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0.88779028317402786</v>
      </c>
      <c r="CL103" s="179">
        <f t="shared" si="89"/>
        <v>6</v>
      </c>
      <c r="CM103" s="180">
        <f t="shared" si="90"/>
        <v>39673</v>
      </c>
      <c r="CN103">
        <v>0</v>
      </c>
      <c r="CO103"/>
      <c r="CP103"/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0.76195089732329357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0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0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</v>
      </c>
      <c r="FV103" s="149"/>
      <c r="FY103" s="210">
        <v>98</v>
      </c>
      <c r="FZ103">
        <v>5.6315260039227786</v>
      </c>
      <c r="GA103">
        <v>0.3986752859219066</v>
      </c>
      <c r="GB103">
        <v>0.46164628758346382</v>
      </c>
      <c r="GC103">
        <v>0.51116661290249021</v>
      </c>
      <c r="GD103">
        <v>0.87636605707683568</v>
      </c>
      <c r="GE103">
        <v>1.7564005455604312</v>
      </c>
      <c r="GF103">
        <v>2.4808015296831489</v>
      </c>
      <c r="GG103">
        <v>1.7397307020165371</v>
      </c>
      <c r="GH103">
        <v>0.58144353567374973</v>
      </c>
      <c r="GI103">
        <v>2.7075271648076775</v>
      </c>
      <c r="GJ103"/>
      <c r="GK103"/>
      <c r="GL103"/>
      <c r="GM103"/>
    </row>
    <row r="104" spans="1:195" s="7" customFormat="1">
      <c r="A104" s="1"/>
      <c r="B104" s="76">
        <f ca="1">IF(C104="", "", RAND())</f>
        <v>0.11727940959346705</v>
      </c>
      <c r="C104">
        <v>6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8.9698223039215677</v>
      </c>
      <c r="AO104">
        <v>16.231010657926017</v>
      </c>
      <c r="AP104">
        <v>116.28422293931565</v>
      </c>
      <c r="AQ104">
        <v>17.293355415089437</v>
      </c>
      <c r="AR104">
        <v>15.042051589240996</v>
      </c>
      <c r="AS104">
        <v>187.43221031705141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0.35825869529374343</v>
      </c>
      <c r="AZ104">
        <v>7</v>
      </c>
      <c r="BA104" s="129">
        <f t="shared" si="125"/>
        <v>39673</v>
      </c>
      <c r="BB104" s="225">
        <v>0</v>
      </c>
      <c r="BC104" s="225"/>
      <c r="BD104" s="225"/>
      <c r="BE104" s="225"/>
      <c r="BF104" s="225"/>
      <c r="BG104" s="225"/>
      <c r="BH104" s="225"/>
      <c r="BI104" s="225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0.84628198112673259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0.75751203662483357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0">
        <v>99</v>
      </c>
      <c r="FZ104">
        <v>12.347735988963485</v>
      </c>
      <c r="GA104">
        <v>17.173990615024952</v>
      </c>
      <c r="GB104">
        <v>4.0707196376214858</v>
      </c>
      <c r="GC104">
        <v>1.674624985221449</v>
      </c>
      <c r="GD104">
        <v>1.8814336755092611</v>
      </c>
      <c r="GE104">
        <v>2.3730373430201488</v>
      </c>
      <c r="GF104">
        <v>3.9016619074166239</v>
      </c>
      <c r="GG104">
        <v>2.3743523764979746</v>
      </c>
      <c r="GH104">
        <v>0.3456493005258417</v>
      </c>
      <c r="GI104">
        <v>6.7606388102270643</v>
      </c>
      <c r="GJ104"/>
      <c r="GK104"/>
      <c r="GL104"/>
      <c r="GM104"/>
    </row>
    <row r="105" spans="1:195" s="7" customFormat="1">
      <c r="A105" s="1"/>
      <c r="B105" s="76">
        <f ca="1">IF(C105="", "", RAND())</f>
        <v>0.36402650701614814</v>
      </c>
      <c r="C105">
        <v>5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10.842633928571427</v>
      </c>
      <c r="AO105">
        <v>24.334222203566302</v>
      </c>
      <c r="AP105">
        <v>184.81870826731662</v>
      </c>
      <c r="AQ105">
        <v>53.37100058553866</v>
      </c>
      <c r="AR105">
        <v>22.577996276600864</v>
      </c>
      <c r="AS105">
        <v>151.77030039020966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0.37180837297758318</v>
      </c>
      <c r="AZ105">
        <v>8</v>
      </c>
      <c r="BA105" s="129">
        <f t="shared" si="125"/>
        <v>39673</v>
      </c>
      <c r="BB105" s="226">
        <v>0</v>
      </c>
      <c r="BC105" s="226"/>
      <c r="BD105" s="226"/>
      <c r="BE105" s="226"/>
      <c r="BF105" s="226"/>
      <c r="BG105" s="226"/>
      <c r="BH105" s="226"/>
      <c r="BI105" s="226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0.66411662662127235</v>
      </c>
      <c r="CL105" s="179">
        <f t="shared" si="89"/>
        <v>8</v>
      </c>
      <c r="CM105" s="180">
        <f t="shared" si="90"/>
        <v>39673</v>
      </c>
      <c r="CN105" s="222">
        <v>0</v>
      </c>
      <c r="CO105" s="222"/>
      <c r="CP105" s="222"/>
      <c r="CQ105" s="222"/>
      <c r="CR105" s="222"/>
      <c r="CS105" s="222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0.45121646255560277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0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0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0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0</v>
      </c>
      <c r="FV105" s="149"/>
      <c r="FY105" s="210">
        <v>100</v>
      </c>
      <c r="FZ105">
        <v>8.8048366415337433</v>
      </c>
      <c r="GA105">
        <v>5.8397299960430775</v>
      </c>
      <c r="GB105">
        <v>0.96518400053631337</v>
      </c>
      <c r="GC105">
        <v>0.51116661290249021</v>
      </c>
      <c r="GD105">
        <v>0.90647629285115816</v>
      </c>
      <c r="GE105">
        <v>2.1945944290117896</v>
      </c>
      <c r="GF105">
        <v>2.2552401585409867</v>
      </c>
      <c r="GG105">
        <v>1.0955631877870249</v>
      </c>
      <c r="GH105">
        <v>0.64441312055873701</v>
      </c>
      <c r="GI105">
        <v>3.5691967107687539</v>
      </c>
      <c r="GJ105"/>
      <c r="GK105"/>
      <c r="GL105"/>
      <c r="GM105"/>
    </row>
    <row r="106" spans="1:195" s="7" customFormat="1">
      <c r="A106" s="1"/>
      <c r="B106" s="76">
        <f ca="1">IF(C106="", "", RAND())</f>
        <v>0.56018176195485081</v>
      </c>
      <c r="C106">
        <v>8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14.093005952380953</v>
      </c>
      <c r="AO106">
        <v>26.418364322929129</v>
      </c>
      <c r="AP106">
        <v>238.93731720625237</v>
      </c>
      <c r="AQ106">
        <v>35.5890604562383</v>
      </c>
      <c r="AR106">
        <v>24.999880967599765</v>
      </c>
      <c r="AS106">
        <v>117.50598574605932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0.57749979246603633</v>
      </c>
      <c r="AZ106">
        <v>9</v>
      </c>
      <c r="BA106" s="129">
        <f t="shared" si="125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0.61681955929350041</v>
      </c>
      <c r="CL106" s="179">
        <f t="shared" si="89"/>
        <v>9</v>
      </c>
      <c r="CM106" s="180">
        <f t="shared" si="90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0.91514677927868826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0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0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0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0</v>
      </c>
      <c r="FV106" s="149"/>
      <c r="FY106" s="210">
        <v>101</v>
      </c>
      <c r="FZ106">
        <v>8.6894142036810287</v>
      </c>
      <c r="GA106">
        <v>3.6690843099316024</v>
      </c>
      <c r="GB106">
        <v>0.44540672115371327</v>
      </c>
      <c r="GC106">
        <v>0.87133224001416576</v>
      </c>
      <c r="GD106">
        <v>0.75017962355386514</v>
      </c>
      <c r="GE106">
        <v>0.84246335933183047</v>
      </c>
      <c r="GF106">
        <v>1.7280806433468672</v>
      </c>
      <c r="GG106">
        <v>1.2937904762934096</v>
      </c>
      <c r="GH106">
        <v>0.64441312055873701</v>
      </c>
      <c r="GI106">
        <v>3.5460942135095994</v>
      </c>
      <c r="GJ106"/>
      <c r="GK106"/>
      <c r="GL106"/>
      <c r="GM106"/>
    </row>
    <row r="107" spans="1:195" s="7" customFormat="1">
      <c r="A107" s="1"/>
      <c r="B107" s="76">
        <f ca="1">IF(C107="", "", RAND())</f>
        <v>0.26299622641377596</v>
      </c>
      <c r="C107">
        <v>1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10.416666666666666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12.441344246031745</v>
      </c>
      <c r="AO107">
        <v>23.324138198121187</v>
      </c>
      <c r="AP107">
        <v>184.18038009875013</v>
      </c>
      <c r="AQ107">
        <v>37.473051395266246</v>
      </c>
      <c r="AR107">
        <v>21.635832328797214</v>
      </c>
      <c r="AS107">
        <v>276.95157327787911</v>
      </c>
      <c r="AT107" t="e">
        <v>#DIV/0!</v>
      </c>
      <c r="AU107" t="e">
        <v>#DIV/0!</v>
      </c>
      <c r="AV107"/>
      <c r="AW107"/>
      <c r="AX107" s="146"/>
      <c r="AY107" s="76">
        <f t="shared" ca="1" si="86"/>
        <v>0.55571491049723787</v>
      </c>
      <c r="AZ107">
        <v>10</v>
      </c>
      <c r="BA107" s="129">
        <f t="shared" si="125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8.6796769624462033E-2</v>
      </c>
      <c r="CL107" s="179">
        <f t="shared" si="89"/>
        <v>10</v>
      </c>
      <c r="CM107" s="180">
        <f t="shared" si="90"/>
        <v>39673</v>
      </c>
      <c r="CN107">
        <v>0</v>
      </c>
      <c r="CO107"/>
      <c r="CP107"/>
      <c r="CQ107"/>
      <c r="CR107">
        <v>1</v>
      </c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0.16090579411035533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0</v>
      </c>
      <c r="DJ107" s="161">
        <f t="shared" si="97"/>
        <v>148.80952380952382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148.80952380952382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0</v>
      </c>
      <c r="ET107" s="139">
        <f t="shared" si="58"/>
        <v>16.501773813018488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16.501773813018488</v>
      </c>
      <c r="FV107" s="149"/>
      <c r="FY107" s="210">
        <v>102</v>
      </c>
      <c r="FZ107">
        <v>8.7467450465685008</v>
      </c>
      <c r="GA107">
        <v>14.604669642991567</v>
      </c>
      <c r="GB107">
        <v>3.3636569125028997</v>
      </c>
      <c r="GC107">
        <v>0.31753057588811789</v>
      </c>
      <c r="GD107">
        <v>0.75620807849974847</v>
      </c>
      <c r="GE107">
        <v>2.1617957354285315</v>
      </c>
      <c r="GF107">
        <v>1.2763055807950447</v>
      </c>
      <c r="GG107">
        <v>0.353851512980073</v>
      </c>
      <c r="GH107">
        <v>0.64441312055873701</v>
      </c>
      <c r="GI107">
        <v>3.7384257938175596</v>
      </c>
      <c r="GJ107"/>
      <c r="GK107"/>
      <c r="GL107"/>
      <c r="GM107"/>
    </row>
    <row r="108" spans="1:195" s="7" customFormat="1">
      <c r="A108" s="128"/>
      <c r="B108" s="76">
        <f ca="1">IF(C108="", "", RAND())</f>
        <v>9.4431870637799342E-2</v>
      </c>
      <c r="C108">
        <v>1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10.416666666666666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11.752064367413633</v>
      </c>
      <c r="AO108">
        <v>14.881965909799462</v>
      </c>
      <c r="AP108">
        <v>110.41281841639913</v>
      </c>
      <c r="AQ108">
        <v>21.937703425239214</v>
      </c>
      <c r="AR108">
        <v>14.76069712182251</v>
      </c>
      <c r="AS108">
        <v>197.00851993362463</v>
      </c>
      <c r="AT108">
        <v>7.9772761764998394</v>
      </c>
      <c r="AU108">
        <v>-165.76527235947924</v>
      </c>
      <c r="AV108"/>
      <c r="AW108"/>
      <c r="AX108" s="128"/>
      <c r="AY108" s="76">
        <f t="shared" ca="1" si="86"/>
        <v>0.94771091396935025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/>
      <c r="BG108"/>
      <c r="BH108">
        <v>1</v>
      </c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0.71216736273540615</v>
      </c>
      <c r="CL108" s="179">
        <f t="shared" si="89"/>
        <v>1</v>
      </c>
      <c r="CM108" s="180">
        <f t="shared" si="90"/>
        <v>39714</v>
      </c>
      <c r="CN108">
        <v>0</v>
      </c>
      <c r="CO108"/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0.5308721950879447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0</v>
      </c>
      <c r="DJ108" s="161">
        <f t="shared" si="97"/>
        <v>0</v>
      </c>
      <c r="DK108" s="161">
        <f t="shared" si="98"/>
        <v>0</v>
      </c>
      <c r="DL108" s="161">
        <f t="shared" si="99"/>
        <v>10.416666666666666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10.416666666666666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0</v>
      </c>
      <c r="ET108" s="139">
        <f t="shared" si="58"/>
        <v>0</v>
      </c>
      <c r="EU108" s="139">
        <f t="shared" si="59"/>
        <v>0</v>
      </c>
      <c r="EV108" s="139">
        <f t="shared" si="60"/>
        <v>3.4250798214378757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3.4250798214378757</v>
      </c>
      <c r="FV108" s="149"/>
      <c r="FY108" s="210">
        <v>103</v>
      </c>
      <c r="FZ108">
        <v>11.56473750743597</v>
      </c>
      <c r="GA108">
        <v>20.771425811910241</v>
      </c>
      <c r="GB108">
        <v>5.2225688725519541</v>
      </c>
      <c r="GC108">
        <v>0.27151257073009299</v>
      </c>
      <c r="GD108">
        <v>0.86362790472470008</v>
      </c>
      <c r="GE108">
        <v>1.608213239991783</v>
      </c>
      <c r="GF108">
        <v>2.924283494772645</v>
      </c>
      <c r="GG108">
        <v>2.749981133775488</v>
      </c>
      <c r="GH108">
        <v>0.17282465026292085</v>
      </c>
      <c r="GI108">
        <v>5.7450701025581505</v>
      </c>
      <c r="GJ108"/>
      <c r="GK108"/>
      <c r="GL108"/>
      <c r="GM108"/>
    </row>
    <row r="109" spans="1:195" s="7" customFormat="1">
      <c r="A109" s="1"/>
      <c r="B109" s="76">
        <f ca="1">IF(C109="", "", RAND())</f>
        <v>0.73175751895140095</v>
      </c>
      <c r="C109">
        <v>6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11.127604166666664</v>
      </c>
      <c r="AO109">
        <v>21.797010769398394</v>
      </c>
      <c r="AP109">
        <v>184.57497456253836</v>
      </c>
      <c r="AQ109">
        <v>53.900441193339226</v>
      </c>
      <c r="AR109">
        <v>20.826140308473935</v>
      </c>
      <c r="AS109">
        <v>220.67953476361032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0.84558964485029087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0.63997887096200845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0.46508121791832346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0</v>
      </c>
      <c r="DJ109" s="161">
        <f t="shared" si="97"/>
        <v>0</v>
      </c>
      <c r="DK109" s="161">
        <f t="shared" si="98"/>
        <v>0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0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0</v>
      </c>
      <c r="ET109" s="139">
        <f t="shared" si="58"/>
        <v>0</v>
      </c>
      <c r="EU109" s="139">
        <f t="shared" si="59"/>
        <v>0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0</v>
      </c>
      <c r="FV109" s="149"/>
      <c r="FY109" s="210">
        <v>104</v>
      </c>
      <c r="FZ109">
        <v>3.4554146317142589</v>
      </c>
      <c r="GA109">
        <v>0.97432111472224658</v>
      </c>
      <c r="GB109">
        <v>5.1139995784496531E-2</v>
      </c>
      <c r="GC109">
        <v>0.63275467161562982</v>
      </c>
      <c r="GD109">
        <v>0.93312081305899763</v>
      </c>
      <c r="GE109">
        <v>1.7107508882208937</v>
      </c>
      <c r="GF109">
        <v>1.425224733521254</v>
      </c>
      <c r="GG109">
        <v>0.42416298142568709</v>
      </c>
      <c r="GH109">
        <v>0.40861888541082891</v>
      </c>
      <c r="GI109">
        <v>1.9364745044115006</v>
      </c>
      <c r="GJ109"/>
      <c r="GK109"/>
      <c r="GL109"/>
      <c r="GM109"/>
    </row>
    <row r="110" spans="1:195" s="7" customFormat="1">
      <c r="A110" s="1"/>
      <c r="B110" s="76">
        <f ca="1">IF(C110="", "", RAND())</f>
        <v>0.2272653874635433</v>
      </c>
      <c r="C110">
        <v>8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10.416666666666666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12.130682481325863</v>
      </c>
      <c r="AO110">
        <v>14.033991360743666</v>
      </c>
      <c r="AP110">
        <v>104.41393866495524</v>
      </c>
      <c r="AQ110">
        <v>33.86528372965811</v>
      </c>
      <c r="AR110">
        <v>13.465846523515129</v>
      </c>
      <c r="AS110">
        <v>76.96547406847202</v>
      </c>
      <c r="AT110">
        <v>5.2079715146844432</v>
      </c>
      <c r="AU110">
        <v>-12.965272897432992</v>
      </c>
      <c r="AV110"/>
      <c r="AW110"/>
      <c r="AX110" s="146"/>
      <c r="AY110" s="76">
        <f t="shared" ca="1" si="86"/>
        <v>0.96007761817752346</v>
      </c>
      <c r="AZ110">
        <v>3</v>
      </c>
      <c r="BA110" s="129">
        <f t="shared" si="127"/>
        <v>39714</v>
      </c>
      <c r="BB110">
        <v>0</v>
      </c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0.50323202888941809</v>
      </c>
      <c r="CL110" s="179">
        <f t="shared" si="89"/>
        <v>3</v>
      </c>
      <c r="CM110" s="180">
        <f t="shared" si="90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0.77877067198032979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0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0</v>
      </c>
      <c r="FV110" s="149"/>
      <c r="FY110" s="210">
        <v>105</v>
      </c>
      <c r="FZ110">
        <v>3.6006105663560986</v>
      </c>
      <c r="GA110">
        <v>11.533598261942824</v>
      </c>
      <c r="GB110">
        <v>3.3613234546453414</v>
      </c>
      <c r="GC110">
        <v>0.66169892246608164</v>
      </c>
      <c r="GD110">
        <v>1.1838402525200018</v>
      </c>
      <c r="GE110">
        <v>2.5572703602889635</v>
      </c>
      <c r="GF110">
        <v>3.0471428000969616</v>
      </c>
      <c r="GG110">
        <v>1.788264926164711</v>
      </c>
      <c r="GH110">
        <v>0.47158847029581613</v>
      </c>
      <c r="GI110">
        <v>4.2594527651781746</v>
      </c>
      <c r="GJ110"/>
      <c r="GK110"/>
      <c r="GL110"/>
      <c r="GM110"/>
    </row>
    <row r="111" spans="1:195" s="7" customFormat="1">
      <c r="A111" s="1"/>
      <c r="B111" s="76">
        <f ca="1">IF(C111="", "", RAND())</f>
        <v>0.24629323592856611</v>
      </c>
      <c r="C111">
        <v>5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10.416666666666666</v>
      </c>
      <c r="J111">
        <v>10.416666666666666</v>
      </c>
      <c r="K111">
        <v>41.666666666666664</v>
      </c>
      <c r="L111">
        <v>0</v>
      </c>
      <c r="M111">
        <v>0</v>
      </c>
      <c r="N111">
        <v>0</v>
      </c>
      <c r="O111">
        <v>10.416666666666666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20.833333333333332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14.464985994397756</v>
      </c>
      <c r="AO111">
        <v>28.8614672164036</v>
      </c>
      <c r="AP111">
        <v>262.84401892529445</v>
      </c>
      <c r="AQ111">
        <v>65.442842506604947</v>
      </c>
      <c r="AR111">
        <v>27.26646063012338</v>
      </c>
      <c r="AS111">
        <v>123.38382154315785</v>
      </c>
      <c r="AT111">
        <v>16.856940183839075</v>
      </c>
      <c r="AU111">
        <v>-27.300777531711564</v>
      </c>
      <c r="AV111"/>
      <c r="AW111"/>
      <c r="AX111" s="146"/>
      <c r="AY111" s="76">
        <f t="shared" ca="1" si="86"/>
        <v>0.34994992124757074</v>
      </c>
      <c r="AZ111">
        <v>4</v>
      </c>
      <c r="BA111" s="129">
        <f t="shared" si="127"/>
        <v>39714</v>
      </c>
      <c r="BB111">
        <v>0</v>
      </c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0.63670542443095179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6.3340972594679856E-2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0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0</v>
      </c>
      <c r="FV111" s="149"/>
      <c r="FY111" s="210">
        <v>106</v>
      </c>
      <c r="FZ111">
        <v>6.5133028314725081</v>
      </c>
      <c r="GA111">
        <v>9.9385984046316889</v>
      </c>
      <c r="GB111">
        <v>2.6915824553767456</v>
      </c>
      <c r="GC111">
        <v>0.33847678118031344</v>
      </c>
      <c r="GD111">
        <v>0.57819622912175006</v>
      </c>
      <c r="GE111">
        <v>1.4656322096531205</v>
      </c>
      <c r="GF111">
        <v>4.1635547659729264</v>
      </c>
      <c r="GG111">
        <v>3.1256098910530015</v>
      </c>
      <c r="GH111">
        <v>0</v>
      </c>
      <c r="GI111">
        <v>3.53899034034594</v>
      </c>
      <c r="GJ111"/>
      <c r="GK111"/>
      <c r="GL111"/>
      <c r="GM111"/>
    </row>
    <row r="112" spans="1:195" s="7" customFormat="1">
      <c r="A112" s="1"/>
      <c r="B112" s="76">
        <f ca="1">IF(C112="", "", RAND())</f>
        <v>0.17677613144758553</v>
      </c>
      <c r="C112">
        <v>2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6.0670445261437909</v>
      </c>
      <c r="AO112">
        <v>12.067366361154358</v>
      </c>
      <c r="AP112">
        <v>78.912737270839187</v>
      </c>
      <c r="AQ112">
        <v>10.69985063052602</v>
      </c>
      <c r="AR112">
        <v>11.167762541384697</v>
      </c>
      <c r="AS112">
        <v>97.915587389870268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0.49757735980874784</v>
      </c>
      <c r="AZ112">
        <v>5</v>
      </c>
      <c r="BA112" s="129">
        <f t="shared" si="127"/>
        <v>39714</v>
      </c>
      <c r="BB112">
        <v>0</v>
      </c>
      <c r="BC112"/>
      <c r="BD112"/>
      <c r="BE112"/>
      <c r="BF112">
        <v>1</v>
      </c>
      <c r="BG112">
        <v>1</v>
      </c>
      <c r="BH112">
        <v>4</v>
      </c>
      <c r="BI112"/>
      <c r="BJ112"/>
      <c r="BK112"/>
      <c r="BL112">
        <v>1</v>
      </c>
      <c r="BM112"/>
      <c r="BN112"/>
      <c r="BO112"/>
      <c r="BP112"/>
      <c r="BQ112"/>
      <c r="BR112">
        <v>2</v>
      </c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0.9393728466575082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0.76959255160410578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10.416666666666666</v>
      </c>
      <c r="DK112" s="161">
        <f t="shared" si="98"/>
        <v>10.416666666666666</v>
      </c>
      <c r="DL112" s="161">
        <f t="shared" si="99"/>
        <v>41.666666666666664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10.416666666666666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20.833333333333332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93.75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1.1551241669112939</v>
      </c>
      <c r="EU112" s="139">
        <f t="shared" si="59"/>
        <v>2.1009327153398973</v>
      </c>
      <c r="EV112" s="139">
        <f t="shared" si="60"/>
        <v>13.700319285751503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13.470177521404837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94.968814445624773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125.3953681350323</v>
      </c>
      <c r="FV112" s="149"/>
      <c r="FY112" s="210">
        <v>107</v>
      </c>
      <c r="FZ112">
        <v>7.0560251980703566</v>
      </c>
      <c r="GA112">
        <v>6.814051110765325</v>
      </c>
      <c r="GB112">
        <v>0.82679293136495202</v>
      </c>
      <c r="GC112">
        <v>1.0471518820817987</v>
      </c>
      <c r="GD112">
        <v>1.3414332338290147</v>
      </c>
      <c r="GE112">
        <v>2.0854419936285424</v>
      </c>
      <c r="GF112">
        <v>4.3738836029454742</v>
      </c>
      <c r="GG112">
        <v>2.8198168899400109</v>
      </c>
      <c r="GH112">
        <v>0.3456493005258417</v>
      </c>
      <c r="GI112">
        <v>4.3197158398224706</v>
      </c>
      <c r="GJ112"/>
      <c r="GK112"/>
      <c r="GL112"/>
      <c r="GM112"/>
    </row>
    <row r="113" spans="1:195" s="7" customFormat="1">
      <c r="A113" s="1"/>
      <c r="B113" s="76">
        <f ca="1">IF(C113="", "", RAND())</f>
        <v>3.2498376436062237E-2</v>
      </c>
      <c r="C113">
        <v>3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8.7092013888888911</v>
      </c>
      <c r="AO113">
        <v>21.294708939453635</v>
      </c>
      <c r="AP113">
        <v>146.98134707010098</v>
      </c>
      <c r="AQ113">
        <v>34.61918733523634</v>
      </c>
      <c r="AR113">
        <v>20.172038259194764</v>
      </c>
      <c r="AS113">
        <v>86.543252376113657</v>
      </c>
      <c r="AT113" t="e">
        <v>#DIV/0!</v>
      </c>
      <c r="AU113" t="e">
        <v>#DIV/0!</v>
      </c>
      <c r="AV113"/>
      <c r="AW113"/>
      <c r="AX113" s="146"/>
      <c r="AY113" s="76">
        <f t="shared" ca="1" si="86"/>
        <v>0.43668465030056525</v>
      </c>
      <c r="AZ113">
        <v>6</v>
      </c>
      <c r="BA113" s="129">
        <f t="shared" si="127"/>
        <v>39714</v>
      </c>
      <c r="BB113">
        <v>0</v>
      </c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0.17661230449166809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0.44481329215819709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0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0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0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0</v>
      </c>
      <c r="FV113" s="149"/>
      <c r="FY113" s="210">
        <v>108</v>
      </c>
      <c r="FZ113">
        <v>2.6309686470520015</v>
      </c>
      <c r="GA113">
        <v>6.2918811947826061</v>
      </c>
      <c r="GB113">
        <v>2.7507509957706953</v>
      </c>
      <c r="GC113">
        <v>1.2427241445884825</v>
      </c>
      <c r="GD113">
        <v>1.0884783868871286</v>
      </c>
      <c r="GE113">
        <v>1.0570313027016216</v>
      </c>
      <c r="GF113">
        <v>1.4521846496040745</v>
      </c>
      <c r="GG113">
        <v>0.60108873791572359</v>
      </c>
      <c r="GH113">
        <v>0.47158847029581613</v>
      </c>
      <c r="GI113">
        <v>3.0601725109196014</v>
      </c>
      <c r="GJ113"/>
      <c r="GK113"/>
      <c r="GL113"/>
      <c r="GM113"/>
    </row>
    <row r="114" spans="1:195" s="7" customFormat="1">
      <c r="A114" s="1"/>
      <c r="B114" s="76">
        <f ca="1">IF(C114="", "", RAND())</f>
        <v>0.62803817480954471</v>
      </c>
      <c r="C114">
        <v>7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7.7962111928104578</v>
      </c>
      <c r="AO114">
        <v>15.817300370740767</v>
      </c>
      <c r="AP114">
        <v>137.58770114707539</v>
      </c>
      <c r="AQ114">
        <v>17.145283725149017</v>
      </c>
      <c r="AR114">
        <v>15.624170866789994</v>
      </c>
      <c r="AS114">
        <v>64.33732728991032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0.68556189101014464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0.3945981343904077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0.69131439844465081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0">
        <v>109</v>
      </c>
      <c r="FZ114">
        <v>1.3094571323337481</v>
      </c>
      <c r="GA114">
        <v>6.8675270235829462</v>
      </c>
      <c r="GB114">
        <v>2.6531379199168192</v>
      </c>
      <c r="GC114">
        <v>0.62217380265042599</v>
      </c>
      <c r="GD114">
        <v>1.1002287502269024</v>
      </c>
      <c r="GE114">
        <v>1.6624465027067488</v>
      </c>
      <c r="GF114">
        <v>2.3302126225649786</v>
      </c>
      <c r="GG114">
        <v>2.1638936834422244</v>
      </c>
      <c r="GH114">
        <v>0.47158847029581613</v>
      </c>
      <c r="GI114">
        <v>3.2713775799794242</v>
      </c>
      <c r="GJ114"/>
      <c r="GK114"/>
      <c r="GL114"/>
      <c r="GM114"/>
    </row>
    <row r="115" spans="1:195" s="7" customFormat="1">
      <c r="A115" s="1"/>
      <c r="B115" s="76">
        <f ca="1">IF(C115="", "", RAND())</f>
        <v>0.31943578506919579</v>
      </c>
      <c r="C115">
        <v>9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16.537902661064425</v>
      </c>
      <c r="AO115">
        <v>20.202787586674496</v>
      </c>
      <c r="AP115">
        <v>162.0744246394467</v>
      </c>
      <c r="AQ115">
        <v>52.903844640028289</v>
      </c>
      <c r="AR115">
        <v>19.719157615863224</v>
      </c>
      <c r="AS115">
        <v>117.88173973844705</v>
      </c>
      <c r="AT115">
        <v>10.881656913658539</v>
      </c>
      <c r="AU115">
        <v>-63.197742515764617</v>
      </c>
      <c r="AV115"/>
      <c r="AW115"/>
      <c r="AX115" s="146"/>
      <c r="AY115" s="76">
        <f t="shared" ca="1" si="86"/>
        <v>0.97114659274165138</v>
      </c>
      <c r="AZ115">
        <v>8</v>
      </c>
      <c r="BA115" s="129">
        <f t="shared" si="127"/>
        <v>39714</v>
      </c>
      <c r="BB115">
        <v>0</v>
      </c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>
        <v>1</v>
      </c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0.3098489006337477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0.58125904250804261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0</v>
      </c>
      <c r="DJ115" s="161">
        <f t="shared" si="97"/>
        <v>0</v>
      </c>
      <c r="DK115" s="161">
        <f t="shared" si="98"/>
        <v>0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10.416666666666666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10.416666666666666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0</v>
      </c>
      <c r="ET115" s="139">
        <f t="shared" si="58"/>
        <v>0</v>
      </c>
      <c r="EU115" s="139">
        <f t="shared" si="59"/>
        <v>0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75.269477010312727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75.269477010312727</v>
      </c>
      <c r="FV115" s="149"/>
      <c r="FY115" s="210">
        <v>110</v>
      </c>
      <c r="FZ115">
        <v>8.0678753725869683</v>
      </c>
      <c r="GA115">
        <v>12.855365056508028</v>
      </c>
      <c r="GB115">
        <v>3.2042715225489844</v>
      </c>
      <c r="GC115">
        <v>0.2799416815647735</v>
      </c>
      <c r="GD115">
        <v>0.43107303438363731</v>
      </c>
      <c r="GE115">
        <v>0.78742140719543308</v>
      </c>
      <c r="GF115">
        <v>2.70221913863061</v>
      </c>
      <c r="GG115">
        <v>2.3040409080523605</v>
      </c>
      <c r="GH115">
        <v>0.40861888541082891</v>
      </c>
      <c r="GI115">
        <v>3.7514963843137714</v>
      </c>
      <c r="GJ115"/>
      <c r="GK115"/>
      <c r="GL115"/>
      <c r="GM115"/>
    </row>
    <row r="116" spans="1:195" s="7" customFormat="1">
      <c r="A116" s="1"/>
      <c r="B116" s="76">
        <f ca="1">IF(C116="", "", RAND())</f>
        <v>0.95360760547549428</v>
      </c>
      <c r="C116">
        <v>4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9.0146110527544359</v>
      </c>
      <c r="AO116">
        <v>13.907104819517381</v>
      </c>
      <c r="AP116">
        <v>83.260449978354274</v>
      </c>
      <c r="AQ116">
        <v>26.786401150534076</v>
      </c>
      <c r="AR116">
        <v>13.812678607859604</v>
      </c>
      <c r="AS116">
        <v>66.969956494500494</v>
      </c>
      <c r="AT116">
        <v>5.1298952985993074</v>
      </c>
      <c r="AU116">
        <v>-4.2262815015400665</v>
      </c>
      <c r="AV116"/>
      <c r="AW116"/>
      <c r="AX116" s="146"/>
      <c r="AY116" s="76">
        <f t="shared" ca="1" si="86"/>
        <v>0.31348214259828633</v>
      </c>
      <c r="AZ116">
        <v>9</v>
      </c>
      <c r="BA116" s="129">
        <f t="shared" si="127"/>
        <v>39714</v>
      </c>
      <c r="BB116">
        <v>0</v>
      </c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0.20061911991195602</v>
      </c>
      <c r="CL116" s="179">
        <f t="shared" si="89"/>
        <v>9</v>
      </c>
      <c r="CM116" s="180">
        <f t="shared" si="90"/>
        <v>39714</v>
      </c>
      <c r="CN116" s="219">
        <v>0</v>
      </c>
      <c r="CO116" s="219"/>
      <c r="CP116" s="219"/>
      <c r="CQ116" s="219"/>
      <c r="CR116" s="219"/>
      <c r="CS116" s="219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0.59888852557987526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0</v>
      </c>
      <c r="DK116" s="161">
        <f t="shared" si="98"/>
        <v>0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0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0</v>
      </c>
      <c r="EU116" s="139">
        <f t="shared" si="59"/>
        <v>0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0</v>
      </c>
      <c r="FV116" s="149"/>
      <c r="FY116" s="210">
        <v>111</v>
      </c>
      <c r="FZ116">
        <v>9.9110062442604097</v>
      </c>
      <c r="GA116">
        <v>5.6177265393760951</v>
      </c>
      <c r="GB116">
        <v>0.30701565198235187</v>
      </c>
      <c r="GC116">
        <v>0.60402476398619087</v>
      </c>
      <c r="GD116">
        <v>0.66957288746679611</v>
      </c>
      <c r="GE116">
        <v>0.95382204686894423</v>
      </c>
      <c r="GF116">
        <v>3.0482326708247598</v>
      </c>
      <c r="GG116">
        <v>2.2555066839041871</v>
      </c>
      <c r="GH116">
        <v>0.17282465026292085</v>
      </c>
      <c r="GI116">
        <v>2.8595598539702252</v>
      </c>
      <c r="GJ116"/>
      <c r="GK116"/>
      <c r="GL116"/>
      <c r="GM116"/>
    </row>
    <row r="117" spans="1:195" s="7" customFormat="1">
      <c r="A117" s="1"/>
      <c r="B117" s="76">
        <f ca="1">IF(C117="", "", RAND())</f>
        <v>1.1303049669641574E-2</v>
      </c>
      <c r="C117">
        <v>10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8.6031527194211002</v>
      </c>
      <c r="AO117">
        <v>16.332565090217479</v>
      </c>
      <c r="AP117">
        <v>128.23809692610678</v>
      </c>
      <c r="AQ117">
        <v>22.480258911374818</v>
      </c>
      <c r="AR117">
        <v>16.091042176871021</v>
      </c>
      <c r="AS117">
        <v>74.446846831506647</v>
      </c>
      <c r="AT117">
        <v>7.530182103557304</v>
      </c>
      <c r="AU117">
        <v>-46.223065718773668</v>
      </c>
      <c r="AV117"/>
      <c r="AW117"/>
      <c r="AX117" s="146"/>
      <c r="AY117" s="76">
        <f t="shared" ca="1" si="86"/>
        <v>0.54136561705017439</v>
      </c>
      <c r="AZ117">
        <v>10</v>
      </c>
      <c r="BA117" s="129">
        <f t="shared" si="127"/>
        <v>39714</v>
      </c>
      <c r="BB117">
        <v>0</v>
      </c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0.69837644254151909</v>
      </c>
      <c r="CL117" s="179">
        <f t="shared" si="89"/>
        <v>10</v>
      </c>
      <c r="CM117" s="180">
        <f t="shared" si="90"/>
        <v>39714</v>
      </c>
      <c r="CN117"/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0.32583587085949994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0</v>
      </c>
      <c r="DI117" s="161">
        <f t="shared" si="96"/>
        <v>0</v>
      </c>
      <c r="DJ117" s="161">
        <f t="shared" si="97"/>
        <v>0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0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0</v>
      </c>
      <c r="ES117" s="139">
        <f t="shared" si="57"/>
        <v>0</v>
      </c>
      <c r="ET117" s="139">
        <f t="shared" si="58"/>
        <v>0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0</v>
      </c>
      <c r="FV117" s="149"/>
      <c r="FY117" s="210">
        <v>112</v>
      </c>
      <c r="FZ117">
        <v>3.0578881997582497</v>
      </c>
      <c r="GA117">
        <v>8.9642772899094414</v>
      </c>
      <c r="GB117">
        <v>2.6368105148493823</v>
      </c>
      <c r="GC117">
        <v>0.60079772149900545</v>
      </c>
      <c r="GD117">
        <v>0.55195176387061995</v>
      </c>
      <c r="GE117">
        <v>1.0600819149471092</v>
      </c>
      <c r="GF117">
        <v>1.3368487560310502</v>
      </c>
      <c r="GG117">
        <v>0.42416298142568709</v>
      </c>
      <c r="GH117">
        <v>0.58144353567374973</v>
      </c>
      <c r="GI117">
        <v>2.737219041143387</v>
      </c>
      <c r="GJ117"/>
      <c r="GK117"/>
      <c r="GL117"/>
      <c r="GM117"/>
    </row>
    <row r="118" spans="1:195" s="7" customFormat="1">
      <c r="A118" s="128"/>
      <c r="B118" s="76">
        <f ca="1">IF(C118="", "", RAND())</f>
        <v>0.59591996875180708</v>
      </c>
      <c r="C118">
        <v>3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10.845960259103643</v>
      </c>
      <c r="AO118">
        <v>16.57772722709009</v>
      </c>
      <c r="AP118">
        <v>140.21636554941739</v>
      </c>
      <c r="AQ118">
        <v>35.963602000030782</v>
      </c>
      <c r="AR118">
        <v>15.786219508149411</v>
      </c>
      <c r="AS118">
        <v>191.9415773417447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0.74828648821445864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0.71975237424522565</v>
      </c>
      <c r="CL118" s="179">
        <f t="shared" si="89"/>
        <v>1</v>
      </c>
      <c r="CM118" s="180">
        <f t="shared" si="90"/>
        <v>39747</v>
      </c>
      <c r="CN118">
        <v>0</v>
      </c>
      <c r="CO118"/>
      <c r="CP118"/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0.40639139652416745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0</v>
      </c>
      <c r="DK118" s="161">
        <f t="shared" si="98"/>
        <v>0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0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0</v>
      </c>
      <c r="EU118" s="139">
        <f t="shared" si="59"/>
        <v>0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0</v>
      </c>
      <c r="FV118" s="149"/>
      <c r="FY118" s="210">
        <v>113</v>
      </c>
      <c r="FZ118">
        <v>7.3799570713472793</v>
      </c>
      <c r="GA118">
        <v>14.082499727008848</v>
      </c>
      <c r="GB118">
        <v>5.2190247664467737</v>
      </c>
      <c r="GC118">
        <v>0.73816752810764463</v>
      </c>
      <c r="GD118">
        <v>1.0456075756818586</v>
      </c>
      <c r="GE118">
        <v>1.816641192741685</v>
      </c>
      <c r="GF118">
        <v>2.96286562827206</v>
      </c>
      <c r="GG118">
        <v>1.8100421704621514</v>
      </c>
      <c r="GH118">
        <v>0</v>
      </c>
      <c r="GI118">
        <v>5.0380880747584031</v>
      </c>
      <c r="GJ118"/>
      <c r="GK118"/>
      <c r="GL118"/>
      <c r="GM118"/>
    </row>
    <row r="119" spans="1:195" s="7" customFormat="1">
      <c r="A119" s="1"/>
      <c r="B119" s="76">
        <f ca="1">IF(C119="", "", RAND())</f>
        <v>0.42853213039601012</v>
      </c>
      <c r="C119">
        <v>7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10.416666666666666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8.4028799019607838</v>
      </c>
      <c r="AO119">
        <v>17.54617738069302</v>
      </c>
      <c r="AP119">
        <v>151.43152961587137</v>
      </c>
      <c r="AQ119">
        <v>51.894245288713947</v>
      </c>
      <c r="AR119">
        <v>16.755513194483022</v>
      </c>
      <c r="AS119">
        <v>78.817053601064003</v>
      </c>
      <c r="AT119" t="e">
        <v>#DIV/0!</v>
      </c>
      <c r="AU119" t="e">
        <v>#DIV/0!</v>
      </c>
      <c r="AV119"/>
      <c r="AW119"/>
      <c r="AX119" s="146"/>
      <c r="AY119" s="76">
        <f t="shared" ca="1" si="86"/>
        <v>0.63030410886140764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/>
      <c r="BF119">
        <v>1</v>
      </c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0.9442777101409876</v>
      </c>
      <c r="CL119" s="179">
        <f t="shared" si="89"/>
        <v>2</v>
      </c>
      <c r="CM119" s="180">
        <f t="shared" si="90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0.8734000578914527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0</v>
      </c>
      <c r="DJ119" s="161">
        <f t="shared" si="97"/>
        <v>26.041666666666668</v>
      </c>
      <c r="DK119" s="161">
        <f t="shared" si="98"/>
        <v>0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26.041666666666668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0</v>
      </c>
      <c r="ET119" s="139">
        <f t="shared" si="58"/>
        <v>2.8878104172782355</v>
      </c>
      <c r="EU119" s="139">
        <f t="shared" si="59"/>
        <v>0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2.8878104172782355</v>
      </c>
      <c r="FV119" s="149"/>
      <c r="FY119" s="210">
        <v>114</v>
      </c>
      <c r="FZ119">
        <v>4.9979327904442128</v>
      </c>
      <c r="GA119">
        <v>6.0390676390040312</v>
      </c>
      <c r="GB119">
        <v>1.047680319570375</v>
      </c>
      <c r="GC119">
        <v>0.97911238727491612</v>
      </c>
      <c r="GD119">
        <v>0.9549783783333049</v>
      </c>
      <c r="GE119">
        <v>1.1835470817347895</v>
      </c>
      <c r="GF119">
        <v>2.2458462481460439</v>
      </c>
      <c r="GG119">
        <v>2.0232707465509963</v>
      </c>
      <c r="GH119">
        <v>0.94317694059163226</v>
      </c>
      <c r="GI119">
        <v>3.8609586391881465</v>
      </c>
      <c r="GJ119"/>
      <c r="GK119"/>
      <c r="GL119"/>
      <c r="GM119"/>
    </row>
    <row r="120" spans="1:195" s="7" customFormat="1">
      <c r="A120" s="1"/>
      <c r="B120" s="76">
        <f ca="1">IF(C120="", "", RAND())</f>
        <v>0.15628283173172663</v>
      </c>
      <c r="C120">
        <v>10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10.416666666666666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8.9416943860877698</v>
      </c>
      <c r="AO120">
        <v>24.929003175677348</v>
      </c>
      <c r="AP120">
        <v>199.47626428269925</v>
      </c>
      <c r="AQ120">
        <v>11.951983219885793</v>
      </c>
      <c r="AR120">
        <v>23.545130271513415</v>
      </c>
      <c r="AS120">
        <v>360.60492516859733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0.36011574054769402</v>
      </c>
      <c r="AZ120">
        <v>3</v>
      </c>
      <c r="BA120" s="129">
        <f t="shared" si="129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0.37376985990129974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0.43262232335270046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0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</v>
      </c>
      <c r="FV120" s="149"/>
      <c r="FY120" s="210">
        <v>115</v>
      </c>
      <c r="FZ120">
        <v>11.407487190409626</v>
      </c>
      <c r="GA120">
        <v>14.174885544334561</v>
      </c>
      <c r="GB120">
        <v>1.7734039076139565</v>
      </c>
      <c r="GC120">
        <v>0.93600865982413517</v>
      </c>
      <c r="GD120">
        <v>0.63863578773102891</v>
      </c>
      <c r="GE120">
        <v>0.69049003419630783</v>
      </c>
      <c r="GF120">
        <v>2.6259138712221204</v>
      </c>
      <c r="GG120">
        <v>2.0935822149966103</v>
      </c>
      <c r="GH120">
        <v>0.88020735570664521</v>
      </c>
      <c r="GI120">
        <v>3.353697561173719</v>
      </c>
      <c r="GJ120"/>
      <c r="GK120"/>
      <c r="GL120"/>
      <c r="GM120"/>
    </row>
    <row r="121" spans="1:195" s="7" customFormat="1">
      <c r="A121" s="1"/>
      <c r="B121" s="76">
        <f ca="1">IF(C121="", "", RAND())</f>
        <v>0.56946655717789518</v>
      </c>
      <c r="C121">
        <v>4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11.272321428571427</v>
      </c>
      <c r="AO121">
        <v>15.29239682526674</v>
      </c>
      <c r="AP121">
        <v>92.85154781360157</v>
      </c>
      <c r="AQ121">
        <v>32.464790779954981</v>
      </c>
      <c r="AR121">
        <v>14.16271550759525</v>
      </c>
      <c r="AS121">
        <v>77.349834489444575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0.7919469404885735</v>
      </c>
      <c r="AZ121">
        <v>4</v>
      </c>
      <c r="BA121" s="129">
        <f t="shared" si="129"/>
        <v>39747</v>
      </c>
      <c r="BB121">
        <v>0</v>
      </c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0.88866643471449436</v>
      </c>
      <c r="CL121" s="179">
        <f t="shared" si="89"/>
        <v>4</v>
      </c>
      <c r="CM121" s="180">
        <f t="shared" si="90"/>
        <v>39747</v>
      </c>
      <c r="CN121">
        <v>0</v>
      </c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0.73888190743546378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0</v>
      </c>
      <c r="DH121" s="161">
        <f t="shared" si="95"/>
        <v>0</v>
      </c>
      <c r="DI121" s="161">
        <f t="shared" si="96"/>
        <v>0</v>
      </c>
      <c r="DJ121" s="161">
        <f t="shared" si="97"/>
        <v>0</v>
      </c>
      <c r="DK121" s="161">
        <f t="shared" si="98"/>
        <v>0</v>
      </c>
      <c r="DL121" s="161">
        <f t="shared" si="99"/>
        <v>0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0</v>
      </c>
      <c r="EL121" s="149"/>
      <c r="EN121" s="146"/>
      <c r="EO121" s="146"/>
      <c r="EP121" s="139">
        <f t="shared" si="131"/>
        <v>0</v>
      </c>
      <c r="EQ121" s="139">
        <f t="shared" si="132"/>
        <v>0</v>
      </c>
      <c r="ER121" s="139">
        <f t="shared" si="133"/>
        <v>0</v>
      </c>
      <c r="ES121" s="139">
        <f t="shared" si="134"/>
        <v>0</v>
      </c>
      <c r="ET121" s="139">
        <f t="shared" si="135"/>
        <v>0</v>
      </c>
      <c r="EU121" s="139">
        <f t="shared" si="136"/>
        <v>0</v>
      </c>
      <c r="EV121" s="139">
        <f t="shared" si="137"/>
        <v>0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0</v>
      </c>
      <c r="FV121" s="149"/>
      <c r="FY121" s="210">
        <v>116</v>
      </c>
      <c r="FZ121">
        <v>12.671287486201521</v>
      </c>
      <c r="GA121">
        <v>13.755790751445296</v>
      </c>
      <c r="GB121">
        <v>2.8414583366250548</v>
      </c>
      <c r="GC121">
        <v>1.114545968391244</v>
      </c>
      <c r="GD121">
        <v>0.74523450415424375</v>
      </c>
      <c r="GE121">
        <v>0.85988311676080831</v>
      </c>
      <c r="GF121">
        <v>3.9908124140637882</v>
      </c>
      <c r="GG121">
        <v>2.9849869541617733</v>
      </c>
      <c r="GH121">
        <v>0.64441312055873701</v>
      </c>
      <c r="GI121">
        <v>4.1848443175918577</v>
      </c>
      <c r="GJ121"/>
      <c r="GK121"/>
      <c r="GL121"/>
      <c r="GM121"/>
    </row>
    <row r="122" spans="1:195" s="7" customFormat="1">
      <c r="A122" s="1"/>
      <c r="B122" s="76">
        <f ca="1">IF(C122="", "", RAND())</f>
        <v>0.96816545147050714</v>
      </c>
      <c r="C122">
        <v>1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10.07328869047619</v>
      </c>
      <c r="AO122">
        <v>15.502800405209225</v>
      </c>
      <c r="AP122">
        <v>141.03810402108994</v>
      </c>
      <c r="AQ122">
        <v>32.353943908807999</v>
      </c>
      <c r="AR122">
        <v>14.795026850928746</v>
      </c>
      <c r="AS122">
        <v>74.558960009277286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0.44565431292115076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>
        <v>1</v>
      </c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0.33183061527527102</v>
      </c>
      <c r="CL122" s="179">
        <f t="shared" si="89"/>
        <v>5</v>
      </c>
      <c r="CM122" s="180">
        <f t="shared" si="90"/>
        <v>39747</v>
      </c>
      <c r="CN122">
        <v>0</v>
      </c>
      <c r="CO122"/>
      <c r="CP122"/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0.37764073054833536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0</v>
      </c>
      <c r="DK122" s="161">
        <f t="shared" si="98"/>
        <v>0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10.416666666666666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10.416666666666666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</v>
      </c>
      <c r="EU122" s="139">
        <f t="shared" si="136"/>
        <v>0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125.61606717330083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125.61606717330083</v>
      </c>
      <c r="FV122" s="149"/>
      <c r="FY122" s="210">
        <v>117</v>
      </c>
      <c r="FZ122">
        <v>8.7467450465685008</v>
      </c>
      <c r="GA122">
        <v>16.974652972063996</v>
      </c>
      <c r="GB122">
        <v>3.8462003046731956</v>
      </c>
      <c r="GC122">
        <v>0.47357771857914588</v>
      </c>
      <c r="GD122">
        <v>0.26571542237283341</v>
      </c>
      <c r="GE122">
        <v>0.67506325472878737</v>
      </c>
      <c r="GF122">
        <v>2.0786920034737602</v>
      </c>
      <c r="GG122">
        <v>1.2937904762934096</v>
      </c>
      <c r="GH122">
        <v>0.47158847029581613</v>
      </c>
      <c r="GI122">
        <v>4.6625161689173682</v>
      </c>
      <c r="GJ122"/>
      <c r="GK122"/>
      <c r="GL122"/>
      <c r="GM122"/>
    </row>
    <row r="123" spans="1:195" s="7" customFormat="1">
      <c r="A123" s="1"/>
      <c r="B123" s="76">
        <f ca="1">IF(C123="", "", RAND())</f>
        <v>0.37612504215422149</v>
      </c>
      <c r="C123">
        <v>8</v>
      </c>
      <c r="D123">
        <v>39747</v>
      </c>
      <c r="E123">
        <v>0</v>
      </c>
      <c r="F123">
        <v>0</v>
      </c>
      <c r="G123">
        <v>0</v>
      </c>
      <c r="H123">
        <v>10.416666666666666</v>
      </c>
      <c r="I123">
        <v>10.416666666666666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13.147277661064425</v>
      </c>
      <c r="AO123">
        <v>15.152214230935883</v>
      </c>
      <c r="AP123">
        <v>84.810459161789595</v>
      </c>
      <c r="AQ123">
        <v>31.029961982973791</v>
      </c>
      <c r="AR123">
        <v>14.533721199535089</v>
      </c>
      <c r="AS123">
        <v>135.27144550234252</v>
      </c>
      <c r="AT123">
        <v>6.8498519660875594</v>
      </c>
      <c r="AU123">
        <v>-25.509001887474302</v>
      </c>
      <c r="AV123"/>
      <c r="AW123"/>
      <c r="AX123" s="146"/>
      <c r="AY123" s="76">
        <f t="shared" ca="1" si="86"/>
        <v>0.68066122553462627</v>
      </c>
      <c r="AZ123">
        <v>6</v>
      </c>
      <c r="BA123" s="129">
        <f t="shared" si="129"/>
        <v>39747</v>
      </c>
      <c r="BB123">
        <v>0</v>
      </c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0.9127725459955085</v>
      </c>
      <c r="CL123" s="179">
        <f t="shared" si="89"/>
        <v>6</v>
      </c>
      <c r="CM123" s="180">
        <f t="shared" si="90"/>
        <v>39747</v>
      </c>
      <c r="CN123" s="217">
        <v>0</v>
      </c>
      <c r="CO123" s="217"/>
      <c r="CP123" s="217"/>
      <c r="CQ123" s="217"/>
      <c r="CR123" s="217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0.46437785755383865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0</v>
      </c>
      <c r="DJ123" s="161">
        <f t="shared" si="97"/>
        <v>0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0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0</v>
      </c>
      <c r="ET123" s="139">
        <f t="shared" si="135"/>
        <v>0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0</v>
      </c>
      <c r="FV123" s="149"/>
      <c r="FY123" s="210">
        <v>118</v>
      </c>
      <c r="FZ123">
        <v>9.0869406356370384</v>
      </c>
      <c r="GA123">
        <v>3.5436420867556286</v>
      </c>
      <c r="GB123">
        <v>1.0374061557410501</v>
      </c>
      <c r="GC123">
        <v>0.74444488081180182</v>
      </c>
      <c r="GD123">
        <v>0.71459996430063644</v>
      </c>
      <c r="GE123">
        <v>1.0896659157832533</v>
      </c>
      <c r="GF123">
        <v>2.793731833020705</v>
      </c>
      <c r="GG123">
        <v>1.8798779266266734</v>
      </c>
      <c r="GH123">
        <v>0.17282465026292085</v>
      </c>
      <c r="GI123">
        <v>3.3049911516680233</v>
      </c>
      <c r="GJ123"/>
      <c r="GK123"/>
      <c r="GL123"/>
      <c r="GM123"/>
    </row>
    <row r="124" spans="1:195" s="7" customFormat="1">
      <c r="A124" s="1"/>
      <c r="B124" s="76">
        <f ca="1">IF(C124="", "", RAND())</f>
        <v>0.76338012310092163</v>
      </c>
      <c r="C124">
        <v>6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7.8211805555555554</v>
      </c>
      <c r="AO124">
        <v>11.195680852440038</v>
      </c>
      <c r="AP124">
        <v>84.864875810213306</v>
      </c>
      <c r="AQ124">
        <v>20.646869040517757</v>
      </c>
      <c r="AR124">
        <v>10.78463583868311</v>
      </c>
      <c r="AS124">
        <v>51.593685860327248</v>
      </c>
      <c r="AT124" t="e">
        <v>#DIV/0!</v>
      </c>
      <c r="AU124" t="e">
        <v>#DIV/0!</v>
      </c>
      <c r="AV124"/>
      <c r="AW124"/>
      <c r="AX124" s="146"/>
      <c r="AY124" s="76">
        <f t="shared" ca="1" si="86"/>
        <v>0.32486861909573328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>
        <v>1</v>
      </c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0.73863008261796015</v>
      </c>
      <c r="CL124" s="179">
        <f t="shared" si="89"/>
        <v>7</v>
      </c>
      <c r="CM124" s="180">
        <f t="shared" si="90"/>
        <v>39747</v>
      </c>
      <c r="CN124">
        <v>0</v>
      </c>
      <c r="CO124"/>
      <c r="CP124"/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0.68262326135495499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10.416666666666666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10.416666666666666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1.1551241669112939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1.1551241669112939</v>
      </c>
      <c r="FV124" s="149"/>
      <c r="FY124" s="210">
        <v>119</v>
      </c>
      <c r="FZ124">
        <v>3.5428993474297403</v>
      </c>
      <c r="GA124">
        <v>11.732935904903778</v>
      </c>
      <c r="GB124">
        <v>3.5160419288841398</v>
      </c>
      <c r="GC124">
        <v>1.0929543546016114</v>
      </c>
      <c r="GD124">
        <v>0.99526106960591987</v>
      </c>
      <c r="GE124">
        <v>1.4655352741697083</v>
      </c>
      <c r="GF124">
        <v>6.4695952881135428</v>
      </c>
      <c r="GG124">
        <v>5.0635678815759242</v>
      </c>
      <c r="GH124">
        <v>0.58144353567374973</v>
      </c>
      <c r="GI124">
        <v>4.4396106202824956</v>
      </c>
      <c r="GJ124"/>
      <c r="GK124"/>
      <c r="GL124"/>
      <c r="GM124"/>
    </row>
    <row r="125" spans="1:195" s="7" customFormat="1">
      <c r="A125" s="1"/>
      <c r="B125" s="76">
        <f ca="1">IF(C125="", "", RAND())</f>
        <v>3.6531057541402401E-2</v>
      </c>
      <c r="C125">
        <v>2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26.041666666666668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8.8513144841269842</v>
      </c>
      <c r="AO125">
        <v>8.4900915623486934</v>
      </c>
      <c r="AP125">
        <v>61.037512645829281</v>
      </c>
      <c r="AQ125">
        <v>22.452043487700038</v>
      </c>
      <c r="AR125">
        <v>7.9020735208852315</v>
      </c>
      <c r="AS125">
        <v>52.427077108684443</v>
      </c>
      <c r="AT125" t="e">
        <v>#DIV/0!</v>
      </c>
      <c r="AU125" t="e">
        <v>#DIV/0!</v>
      </c>
      <c r="AV125"/>
      <c r="AW125"/>
      <c r="AX125" s="146"/>
      <c r="AY125" s="76">
        <f t="shared" ca="1" si="86"/>
        <v>0.54840758974165538</v>
      </c>
      <c r="AZ125">
        <v>8</v>
      </c>
      <c r="BA125" s="129">
        <f t="shared" si="129"/>
        <v>39747</v>
      </c>
      <c r="BB125">
        <v>0</v>
      </c>
      <c r="BC125"/>
      <c r="BD125"/>
      <c r="BE125">
        <v>1</v>
      </c>
      <c r="BF125">
        <v>1</v>
      </c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0.98530681698327727</v>
      </c>
      <c r="CL125" s="179">
        <f t="shared" si="89"/>
        <v>8</v>
      </c>
      <c r="CM125" s="180">
        <f t="shared" si="90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0.98803650329219561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0</v>
      </c>
      <c r="DI125" s="161">
        <f t="shared" si="96"/>
        <v>10.416666666666666</v>
      </c>
      <c r="DJ125" s="161">
        <f t="shared" si="97"/>
        <v>10.416666666666666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20.833333333333332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0</v>
      </c>
      <c r="ES125" s="139">
        <f t="shared" si="134"/>
        <v>0.53420693514059225</v>
      </c>
      <c r="ET125" s="139">
        <f t="shared" si="135"/>
        <v>1.1551241669112939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1.6893311020518862</v>
      </c>
      <c r="FV125" s="149"/>
      <c r="FY125" s="210">
        <v>120</v>
      </c>
      <c r="FZ125">
        <v>6.4555916125461508</v>
      </c>
      <c r="GA125">
        <v>7.0133887537262787</v>
      </c>
      <c r="GB125">
        <v>1.0152011867108739</v>
      </c>
      <c r="GC125">
        <v>1.0142963798787261</v>
      </c>
      <c r="GD125">
        <v>0.90422939310557426</v>
      </c>
      <c r="GE125">
        <v>0.91517964412312525</v>
      </c>
      <c r="GF125">
        <v>3.0112207002936189</v>
      </c>
      <c r="GG125">
        <v>2.4809666645423967</v>
      </c>
      <c r="GH125">
        <v>0.99006242108457876</v>
      </c>
      <c r="GI125">
        <v>3.2476806847331847</v>
      </c>
      <c r="GJ125"/>
      <c r="GK125"/>
      <c r="GL125"/>
      <c r="GM125"/>
    </row>
    <row r="126" spans="1:195" s="7" customFormat="1">
      <c r="A126" s="1"/>
      <c r="B126" s="76">
        <f ca="1">IF(C126="", "", RAND())</f>
        <v>0.16861038769709413</v>
      </c>
      <c r="C126">
        <v>9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6.4558312908496731</v>
      </c>
      <c r="AO126">
        <v>10.742497687498675</v>
      </c>
      <c r="AP126">
        <v>80.299260480765412</v>
      </c>
      <c r="AQ126">
        <v>34.792323391195396</v>
      </c>
      <c r="AR126">
        <v>10.517519534451896</v>
      </c>
      <c r="AS126">
        <v>55.027690250106488</v>
      </c>
      <c r="AT126">
        <v>4.7185174202374105</v>
      </c>
      <c r="AU126">
        <v>-15.33247598336979</v>
      </c>
      <c r="AV126"/>
      <c r="AW126"/>
      <c r="AX126" s="146"/>
      <c r="AY126" s="76">
        <f t="shared" ca="1" si="86"/>
        <v>0.75422229554096987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0.77999014141891632</v>
      </c>
      <c r="CL126" s="179">
        <f t="shared" si="89"/>
        <v>9</v>
      </c>
      <c r="CM126" s="180">
        <f t="shared" si="90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0.34684220474864969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0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0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0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0</v>
      </c>
      <c r="FV126" s="149"/>
      <c r="FY126" s="210">
        <v>121</v>
      </c>
      <c r="FZ126">
        <v>4.0558482172384656</v>
      </c>
      <c r="GA126">
        <v>7.0668646665438999</v>
      </c>
      <c r="GB126">
        <v>2.7007338095961346</v>
      </c>
      <c r="GC126">
        <v>0.34733576787421883</v>
      </c>
      <c r="GD126">
        <v>0.60790662709057464</v>
      </c>
      <c r="GE126">
        <v>1.4448430598370163</v>
      </c>
      <c r="GF126">
        <v>4.2863050193618211</v>
      </c>
      <c r="GG126">
        <v>2.9972183587111387</v>
      </c>
      <c r="GH126">
        <v>0.17282465026292085</v>
      </c>
      <c r="GI126">
        <v>3.444612218159004</v>
      </c>
      <c r="GJ126"/>
      <c r="GK126"/>
      <c r="GL126"/>
      <c r="GM126"/>
    </row>
    <row r="127" spans="1:195" s="7" customFormat="1">
      <c r="A127" s="1"/>
      <c r="B127" s="76">
        <f ca="1">IF(C127="", "", RAND())</f>
        <v>0.29044890242046684</v>
      </c>
      <c r="C127">
        <v>5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10.416666666666666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11.284948354341736</v>
      </c>
      <c r="AO127">
        <v>22.824849799417169</v>
      </c>
      <c r="AP127">
        <v>201.82186918808415</v>
      </c>
      <c r="AQ127">
        <v>26.399291992902882</v>
      </c>
      <c r="AR127">
        <v>22.073532821185204</v>
      </c>
      <c r="AS127">
        <v>104.30632571670105</v>
      </c>
      <c r="AT127">
        <v>14.620669614190257</v>
      </c>
      <c r="AU127">
        <v>-99.875874748161522</v>
      </c>
      <c r="AV127"/>
      <c r="AW127"/>
      <c r="AX127" s="146"/>
      <c r="AY127" s="76">
        <f t="shared" ca="1" si="86"/>
        <v>0.97461347717714464</v>
      </c>
      <c r="AZ127">
        <v>10</v>
      </c>
      <c r="BA127" s="129">
        <f t="shared" si="129"/>
        <v>39747</v>
      </c>
      <c r="BB127">
        <v>0</v>
      </c>
      <c r="BC127"/>
      <c r="BD127"/>
      <c r="BE127"/>
      <c r="BF127">
        <v>1</v>
      </c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0.2921433542459273</v>
      </c>
      <c r="CL127" s="179">
        <f t="shared" si="89"/>
        <v>10</v>
      </c>
      <c r="CM127" s="180">
        <f t="shared" si="90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0.51676064547067391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10.416666666666666</v>
      </c>
      <c r="DK127" s="161">
        <f t="shared" si="98"/>
        <v>0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10.416666666666666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1.1551241669112939</v>
      </c>
      <c r="EU127" s="139">
        <f t="shared" si="136"/>
        <v>0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1.1551241669112939</v>
      </c>
      <c r="FV127" s="149"/>
      <c r="FY127" s="210">
        <v>122</v>
      </c>
      <c r="FZ127">
        <v>4.7648717640480074</v>
      </c>
      <c r="GA127">
        <v>10.211831467377623</v>
      </c>
      <c r="GB127">
        <v>3.3438732399679685</v>
      </c>
      <c r="GC127">
        <v>0.92474477141069511</v>
      </c>
      <c r="GD127">
        <v>0.64398738088148011</v>
      </c>
      <c r="GE127">
        <v>0.65657982745455923</v>
      </c>
      <c r="GF127">
        <v>3.9327264806398237</v>
      </c>
      <c r="GG127">
        <v>3.0552984226073874</v>
      </c>
      <c r="GH127">
        <v>0.40861888541082891</v>
      </c>
      <c r="GI127">
        <v>3.3459865333454744</v>
      </c>
      <c r="GJ127"/>
      <c r="GK127"/>
      <c r="GL127"/>
      <c r="GM127"/>
    </row>
    <row r="128" spans="1:195" s="7" customFormat="1">
      <c r="A128" s="128"/>
      <c r="B128" s="76">
        <f ca="1">IF(C128="", "", RAND())</f>
        <v>0.33075693655161076</v>
      </c>
      <c r="C128">
        <v>10</v>
      </c>
      <c r="D128">
        <v>39775</v>
      </c>
      <c r="E128">
        <v>0</v>
      </c>
      <c r="F128">
        <v>0</v>
      </c>
      <c r="G128">
        <v>0</v>
      </c>
      <c r="H128">
        <v>10.416666666666666</v>
      </c>
      <c r="I128">
        <v>41.666666666666664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9.1405812324929965</v>
      </c>
      <c r="AO128">
        <v>12.897115653429577</v>
      </c>
      <c r="AP128">
        <v>94.73470827503003</v>
      </c>
      <c r="AQ128">
        <v>21.951481719107679</v>
      </c>
      <c r="AR128">
        <v>11.944342545466119</v>
      </c>
      <c r="AS128">
        <v>55.174429982469512</v>
      </c>
      <c r="AT128" t="e">
        <v>#DIV/0!</v>
      </c>
      <c r="AU128" t="e">
        <v>#DIV/0!</v>
      </c>
      <c r="AV128"/>
      <c r="AW128"/>
      <c r="AX128" s="128"/>
      <c r="AY128" s="76">
        <f t="shared" ca="1" si="86"/>
        <v>0.9245075002246006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0.76502679352242464</v>
      </c>
      <c r="CL128" s="179">
        <f t="shared" si="89"/>
        <v>1</v>
      </c>
      <c r="CM128" s="180">
        <f t="shared" si="90"/>
        <v>39775</v>
      </c>
      <c r="CN128">
        <v>0</v>
      </c>
      <c r="CO128"/>
      <c r="CP128"/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0.61535580116598165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0</v>
      </c>
      <c r="DI128" s="161">
        <f t="shared" si="96"/>
        <v>0</v>
      </c>
      <c r="DJ128" s="161">
        <f t="shared" si="97"/>
        <v>0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0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0</v>
      </c>
      <c r="ES128" s="139">
        <f t="shared" si="134"/>
        <v>0</v>
      </c>
      <c r="ET128" s="139">
        <f t="shared" si="135"/>
        <v>0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0</v>
      </c>
      <c r="FV128" s="149"/>
      <c r="FY128" s="210">
        <v>123</v>
      </c>
      <c r="FZ128">
        <v>0.88215720358861527</v>
      </c>
      <c r="GA128">
        <v>6.6681893806219925</v>
      </c>
      <c r="GB128">
        <v>2.4472794498935242</v>
      </c>
      <c r="GC128">
        <v>0.64660019401881819</v>
      </c>
      <c r="GD128">
        <v>0.54745344443025823</v>
      </c>
      <c r="GE128">
        <v>1.1050017953285818</v>
      </c>
      <c r="GF128">
        <v>4.8253374724513822</v>
      </c>
      <c r="GG128">
        <v>3.0670541148756616</v>
      </c>
      <c r="GH128">
        <v>0.17282465026292085</v>
      </c>
      <c r="GI128">
        <v>2.494415636716822</v>
      </c>
      <c r="GJ128"/>
      <c r="GK128"/>
      <c r="GL128"/>
      <c r="GM128"/>
    </row>
    <row r="129" spans="1:195" s="7" customFormat="1">
      <c r="A129" s="1"/>
      <c r="B129" s="76">
        <f ca="1">IF(C129="", "", RAND())</f>
        <v>0.41937449541048899</v>
      </c>
      <c r="C129">
        <v>8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9.921875</v>
      </c>
      <c r="AO129">
        <v>20.363526507027764</v>
      </c>
      <c r="AP129">
        <v>176.89613544383579</v>
      </c>
      <c r="AQ129">
        <v>40.09289373482671</v>
      </c>
      <c r="AR129">
        <v>19.748837769562478</v>
      </c>
      <c r="AS129">
        <v>88.638831642339298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0.13978222908956006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/>
      <c r="BE129"/>
      <c r="BF129">
        <v>1</v>
      </c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0.26104974109254009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0.8483515267587638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0</v>
      </c>
      <c r="DI129" s="161">
        <f t="shared" si="96"/>
        <v>0</v>
      </c>
      <c r="DJ129" s="161">
        <f t="shared" si="97"/>
        <v>10.416666666666666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10.416666666666666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</v>
      </c>
      <c r="ES129" s="139">
        <f t="shared" si="134"/>
        <v>0</v>
      </c>
      <c r="ET129" s="139">
        <f t="shared" si="135"/>
        <v>1.1551241669112939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1.1551241669112939</v>
      </c>
      <c r="FV129" s="149"/>
      <c r="FY129" s="210">
        <v>124</v>
      </c>
      <c r="FZ129">
        <v>0</v>
      </c>
      <c r="GA129">
        <v>17.081604797699242</v>
      </c>
      <c r="GB129">
        <v>7.6384919991959155</v>
      </c>
      <c r="GC129">
        <v>0.83256963977523069</v>
      </c>
      <c r="GD129">
        <v>1.2780415034987915</v>
      </c>
      <c r="GE129">
        <v>2.5859875023491767</v>
      </c>
      <c r="GF129">
        <v>4.363167831370852</v>
      </c>
      <c r="GG129">
        <v>2.749981133775488</v>
      </c>
      <c r="GH129">
        <v>0.17282465026292085</v>
      </c>
      <c r="GI129">
        <v>4.781046093898091</v>
      </c>
      <c r="GJ129"/>
      <c r="GK129"/>
      <c r="GL129"/>
      <c r="GM129"/>
    </row>
    <row r="130" spans="1:195" s="7" customFormat="1">
      <c r="A130" s="1"/>
      <c r="B130" s="76">
        <f ca="1">IF(C130="", "", RAND())</f>
        <v>0.90961114103357765</v>
      </c>
      <c r="C130">
        <v>6</v>
      </c>
      <c r="D130">
        <v>39775</v>
      </c>
      <c r="E130">
        <v>0</v>
      </c>
      <c r="F130">
        <v>0</v>
      </c>
      <c r="G130">
        <v>10.416666666666666</v>
      </c>
      <c r="H130">
        <v>0</v>
      </c>
      <c r="I130">
        <v>31.25</v>
      </c>
      <c r="J130">
        <v>41.666666666666664</v>
      </c>
      <c r="K130">
        <v>0</v>
      </c>
      <c r="L130">
        <v>0</v>
      </c>
      <c r="M130">
        <v>0</v>
      </c>
      <c r="N130">
        <v>10.416666666666666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8.9624255952380967</v>
      </c>
      <c r="AO130">
        <v>10.596337143262975</v>
      </c>
      <c r="AP130">
        <v>66.330327425452367</v>
      </c>
      <c r="AQ130">
        <v>24.27557117083845</v>
      </c>
      <c r="AR130">
        <v>9.9700888762369786</v>
      </c>
      <c r="AS130">
        <v>60.505737200120329</v>
      </c>
      <c r="AT130" t="e">
        <v>#DIV/0!</v>
      </c>
      <c r="AU130" t="e">
        <v>#DIV/0!</v>
      </c>
      <c r="AV130"/>
      <c r="AW130"/>
      <c r="AX130" s="146"/>
      <c r="AY130" s="76">
        <f t="shared" ca="1" si="86"/>
        <v>0.24844436147786197</v>
      </c>
      <c r="AZ130">
        <v>3</v>
      </c>
      <c r="BA130" s="129">
        <f t="shared" si="164"/>
        <v>39775</v>
      </c>
      <c r="BB130">
        <v>0</v>
      </c>
      <c r="BC130"/>
      <c r="BD130"/>
      <c r="BE130">
        <v>2</v>
      </c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0.41434855204072019</v>
      </c>
      <c r="CL130" s="179">
        <f t="shared" si="89"/>
        <v>3</v>
      </c>
      <c r="CM130" s="180">
        <f t="shared" si="90"/>
        <v>39775</v>
      </c>
      <c r="CN130" s="224">
        <v>0</v>
      </c>
      <c r="CO130" s="224"/>
      <c r="CP130" s="224"/>
      <c r="CQ130" s="224"/>
      <c r="CR130" s="224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0.78024946938156514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0</v>
      </c>
      <c r="DI130" s="161">
        <f t="shared" si="96"/>
        <v>20.833333333333332</v>
      </c>
      <c r="DJ130" s="161">
        <f t="shared" si="97"/>
        <v>0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20.833333333333332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0</v>
      </c>
      <c r="ES130" s="139">
        <f t="shared" si="134"/>
        <v>1.0684138702811845</v>
      </c>
      <c r="ET130" s="139">
        <f t="shared" si="135"/>
        <v>0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1.0684138702811845</v>
      </c>
      <c r="FV130" s="149"/>
      <c r="FY130" s="210">
        <v>125</v>
      </c>
      <c r="FZ130">
        <v>5.7763415625257331</v>
      </c>
      <c r="GA130">
        <v>10.306463591442004</v>
      </c>
      <c r="GB130">
        <v>1.5060434393391537</v>
      </c>
      <c r="GC130">
        <v>0.3091014650534375</v>
      </c>
      <c r="GD130">
        <v>0.70730881234859511</v>
      </c>
      <c r="GE130">
        <v>1.3345476369472538</v>
      </c>
      <c r="GF130">
        <v>4.189525410780786</v>
      </c>
      <c r="GG130">
        <v>3.818311629430688</v>
      </c>
      <c r="GH130">
        <v>0</v>
      </c>
      <c r="GI130">
        <v>3.5864310836204498</v>
      </c>
      <c r="GJ130"/>
      <c r="GK130"/>
      <c r="GL130"/>
      <c r="GM130"/>
    </row>
    <row r="131" spans="1:195" s="7" customFormat="1">
      <c r="A131" s="1"/>
      <c r="B131" s="76">
        <f ca="1">IF(C131="", "", RAND())</f>
        <v>0.96848882073720333</v>
      </c>
      <c r="C131">
        <v>2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10.416666666666666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11.523911647992529</v>
      </c>
      <c r="AO131">
        <v>17.929817901978755</v>
      </c>
      <c r="AP131">
        <v>150.22125661559249</v>
      </c>
      <c r="AQ131">
        <v>38.574312127208707</v>
      </c>
      <c r="AR131">
        <v>17.10052901240082</v>
      </c>
      <c r="AS131">
        <v>144.016357204164</v>
      </c>
      <c r="AT131">
        <v>7.5442713309872333</v>
      </c>
      <c r="AU131">
        <v>-4.4168812683043788</v>
      </c>
      <c r="AV131"/>
      <c r="AW131"/>
      <c r="AX131" s="146"/>
      <c r="AY131" s="76">
        <f t="shared" ca="1" si="86"/>
        <v>9.9540138370752373E-2</v>
      </c>
      <c r="AZ131">
        <v>4</v>
      </c>
      <c r="BA131" s="129">
        <f t="shared" si="164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0.93279108932362598</v>
      </c>
      <c r="CL131" s="179">
        <f t="shared" si="89"/>
        <v>4</v>
      </c>
      <c r="CM131" s="180">
        <f t="shared" si="90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0.25774055665884266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0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0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0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0</v>
      </c>
      <c r="FV131" s="149"/>
      <c r="FY131" s="210">
        <v>126</v>
      </c>
      <c r="FZ131">
        <v>4.6977293058974166</v>
      </c>
      <c r="GA131">
        <v>12.656027413547076</v>
      </c>
      <c r="GB131">
        <v>3.3648675607505218</v>
      </c>
      <c r="GC131">
        <v>0.68483449683959963</v>
      </c>
      <c r="GD131">
        <v>0.40909895059382706</v>
      </c>
      <c r="GE131">
        <v>0.52801290110543508</v>
      </c>
      <c r="GF131">
        <v>2.6392141842279875</v>
      </c>
      <c r="GG131">
        <v>1.9869679269521878</v>
      </c>
      <c r="GH131">
        <v>0.40861888541082891</v>
      </c>
      <c r="GI131">
        <v>2.8593974765200389</v>
      </c>
      <c r="GJ131"/>
      <c r="GK131"/>
      <c r="GL131"/>
      <c r="GM131"/>
    </row>
    <row r="132" spans="1:195" s="7" customFormat="1">
      <c r="A132" s="1"/>
      <c r="B132" s="76">
        <f ca="1">IF(C132="", "", RAND())</f>
        <v>0.24091889776671582</v>
      </c>
      <c r="C132">
        <v>7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10.975548552754434</v>
      </c>
      <c r="AO132">
        <v>21.515915866418744</v>
      </c>
      <c r="AP132">
        <v>175.57462208955619</v>
      </c>
      <c r="AQ132">
        <v>43.793256969954335</v>
      </c>
      <c r="AR132">
        <v>20.819527284493752</v>
      </c>
      <c r="AS132">
        <v>200.83947419302237</v>
      </c>
      <c r="AT132">
        <v>11.169818040863985</v>
      </c>
      <c r="AU132">
        <v>-20.067118078489582</v>
      </c>
      <c r="AV132"/>
      <c r="AW132"/>
      <c r="AX132" s="146"/>
      <c r="AY132" s="76">
        <f t="shared" ca="1" si="86"/>
        <v>0.37100472706290732</v>
      </c>
      <c r="AZ132">
        <v>5</v>
      </c>
      <c r="BA132" s="129">
        <f t="shared" si="164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0.49059282477587995</v>
      </c>
      <c r="CL132" s="179">
        <f t="shared" si="89"/>
        <v>5</v>
      </c>
      <c r="CM132" s="180">
        <f t="shared" si="90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2.4068672851113249E-2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0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0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0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0</v>
      </c>
      <c r="FV132" s="149"/>
      <c r="FY132" s="210">
        <v>127</v>
      </c>
      <c r="FZ132">
        <v>10.098410434114763</v>
      </c>
      <c r="GA132">
        <v>7.3608344335692344</v>
      </c>
      <c r="GB132">
        <v>1.0850020454203657</v>
      </c>
      <c r="GC132">
        <v>0.40500992635410971</v>
      </c>
      <c r="GD132">
        <v>0.53631894503383615</v>
      </c>
      <c r="GE132">
        <v>0.93114542504061126</v>
      </c>
      <c r="GF132">
        <v>0.64464285439207381</v>
      </c>
      <c r="GG132">
        <v>0.60108873791572359</v>
      </c>
      <c r="GH132">
        <v>0.64441312055873701</v>
      </c>
      <c r="GI132">
        <v>3.7444371270440477</v>
      </c>
      <c r="GJ132"/>
      <c r="GK132"/>
      <c r="GL132"/>
      <c r="GM132"/>
    </row>
    <row r="133" spans="1:195" s="7" customFormat="1">
      <c r="A133" s="1"/>
      <c r="B133" s="76">
        <f ca="1">IF(C133="", "", RAND())</f>
        <v>0.42178334866458989</v>
      </c>
      <c r="C133">
        <v>3</v>
      </c>
      <c r="D133">
        <v>39775</v>
      </c>
      <c r="E133">
        <v>0</v>
      </c>
      <c r="F133">
        <v>0</v>
      </c>
      <c r="G133">
        <v>0</v>
      </c>
      <c r="H133">
        <v>20.833333333333332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8.7555803571428577</v>
      </c>
      <c r="AO133">
        <v>16.998248699083785</v>
      </c>
      <c r="AP133">
        <v>127.76956436272529</v>
      </c>
      <c r="AQ133">
        <v>39.488541837966814</v>
      </c>
      <c r="AR133">
        <v>16.172008618974758</v>
      </c>
      <c r="AS133">
        <v>81.431994261591385</v>
      </c>
      <c r="AT133" t="e">
        <v>#DIV/0!</v>
      </c>
      <c r="AU133" t="e">
        <v>#DIV/0!</v>
      </c>
      <c r="AV133"/>
      <c r="AW133"/>
      <c r="AX133" s="146"/>
      <c r="AY133" s="76">
        <f t="shared" ca="1" si="86"/>
        <v>0.81501516730875267</v>
      </c>
      <c r="AZ133">
        <v>6</v>
      </c>
      <c r="BA133" s="129">
        <f t="shared" si="164"/>
        <v>39775</v>
      </c>
      <c r="BB133">
        <v>0</v>
      </c>
      <c r="BC133"/>
      <c r="BD133">
        <v>1</v>
      </c>
      <c r="BE133"/>
      <c r="BF133">
        <v>3</v>
      </c>
      <c r="BG133">
        <v>4</v>
      </c>
      <c r="BH133"/>
      <c r="BI133"/>
      <c r="BJ133"/>
      <c r="BK133">
        <v>1</v>
      </c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0.25596818990009051</v>
      </c>
      <c r="CL133" s="179">
        <f t="shared" si="89"/>
        <v>6</v>
      </c>
      <c r="CM133" s="180">
        <f t="shared" si="90"/>
        <v>39775</v>
      </c>
      <c r="CN133">
        <v>0</v>
      </c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0.24295508732591298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10.416666666666666</v>
      </c>
      <c r="DI133" s="161">
        <f t="shared" si="96"/>
        <v>0</v>
      </c>
      <c r="DJ133" s="161">
        <f t="shared" si="97"/>
        <v>31.25</v>
      </c>
      <c r="DK133" s="161">
        <f t="shared" si="98"/>
        <v>41.666666666666664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10.416666666666666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93.75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0.18016378393583207</v>
      </c>
      <c r="ES133" s="139">
        <f t="shared" si="134"/>
        <v>0</v>
      </c>
      <c r="ET133" s="139">
        <f t="shared" si="135"/>
        <v>3.4653725007338823</v>
      </c>
      <c r="EU133" s="139">
        <f t="shared" si="136"/>
        <v>8.4037308613595894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10.155766903041346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22.205034049070651</v>
      </c>
      <c r="FV133" s="149"/>
      <c r="FY133" s="210">
        <v>128</v>
      </c>
      <c r="FZ133">
        <v>9.5711910312307573</v>
      </c>
      <c r="GA133">
        <v>29.536048261546689</v>
      </c>
      <c r="GB133">
        <v>8.7733261759574326</v>
      </c>
      <c r="GC133">
        <v>0.14515350894588261</v>
      </c>
      <c r="GD133">
        <v>0.17006838256646742</v>
      </c>
      <c r="GE133">
        <v>1.7096294542190433</v>
      </c>
      <c r="GF133">
        <v>2.5055247975470061</v>
      </c>
      <c r="GG133">
        <v>0.24723722493565062</v>
      </c>
      <c r="GH133">
        <v>0</v>
      </c>
      <c r="GI133">
        <v>5.5693809291682843</v>
      </c>
      <c r="GJ133"/>
      <c r="GK133"/>
      <c r="GL133"/>
      <c r="GM133"/>
    </row>
    <row r="134" spans="1:195" s="7" customFormat="1">
      <c r="A134" s="1"/>
      <c r="B134" s="76">
        <f ca="1">IF(C134="", "", RAND())</f>
        <v>0.63083859142555632</v>
      </c>
      <c r="C134">
        <v>4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9.6734652194211002</v>
      </c>
      <c r="AO134">
        <v>21.252200435666346</v>
      </c>
      <c r="AP134">
        <v>177.34772541272895</v>
      </c>
      <c r="AQ134">
        <v>24.368125200607729</v>
      </c>
      <c r="AR134">
        <v>21.113671088579892</v>
      </c>
      <c r="AS134">
        <v>335.83411774878493</v>
      </c>
      <c r="AT134">
        <v>13.242375044887469</v>
      </c>
      <c r="AU134">
        <v>-37.685433864000089</v>
      </c>
      <c r="AV134"/>
      <c r="AW134"/>
      <c r="AX134" s="146"/>
      <c r="AY134" s="76">
        <f t="shared" ca="1" si="86"/>
        <v>0.54461049718621624</v>
      </c>
      <c r="AZ134">
        <v>7</v>
      </c>
      <c r="BA134" s="129">
        <f t="shared" si="164"/>
        <v>39775</v>
      </c>
      <c r="BB134">
        <v>0</v>
      </c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0.42320075698606185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/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0.4784666768403163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0</v>
      </c>
      <c r="DI134" s="161">
        <f t="shared" si="96"/>
        <v>0</v>
      </c>
      <c r="DJ134" s="161">
        <f t="shared" si="97"/>
        <v>0</v>
      </c>
      <c r="DK134" s="161">
        <f t="shared" si="98"/>
        <v>0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0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0</v>
      </c>
      <c r="ES134" s="139">
        <f t="shared" si="134"/>
        <v>0</v>
      </c>
      <c r="ET134" s="139">
        <f t="shared" si="135"/>
        <v>0</v>
      </c>
      <c r="EU134" s="139">
        <f t="shared" si="136"/>
        <v>0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0</v>
      </c>
      <c r="FV134" s="149"/>
      <c r="FY134" s="210">
        <v>129</v>
      </c>
      <c r="FZ134">
        <v>11.999632900753447</v>
      </c>
      <c r="GA134">
        <v>18.076345419388844</v>
      </c>
      <c r="GB134">
        <v>6.3283801839214657</v>
      </c>
      <c r="GC134">
        <v>1.1255567132156727</v>
      </c>
      <c r="GD134">
        <v>0.76814178996925131</v>
      </c>
      <c r="GE134">
        <v>0.85988311676080831</v>
      </c>
      <c r="GF134">
        <v>7.7265441066593583</v>
      </c>
      <c r="GG134">
        <v>6.2022098456767374</v>
      </c>
      <c r="GH134">
        <v>0.17282465026292085</v>
      </c>
      <c r="GI134">
        <v>7.2955350082362092</v>
      </c>
      <c r="GJ134"/>
      <c r="GK134"/>
      <c r="GL134"/>
      <c r="GM134"/>
    </row>
    <row r="135" spans="1:195" s="7" customFormat="1">
      <c r="A135" s="1"/>
      <c r="B135" s="76">
        <f ca="1">IF(C135="", "", RAND())</f>
        <v>0.89675018636424975</v>
      </c>
      <c r="C135">
        <v>9</v>
      </c>
      <c r="D135">
        <v>39775</v>
      </c>
      <c r="E135">
        <v>0</v>
      </c>
      <c r="F135">
        <v>0</v>
      </c>
      <c r="G135">
        <v>0</v>
      </c>
      <c r="H135">
        <v>10.416666666666666</v>
      </c>
      <c r="I135">
        <v>0</v>
      </c>
      <c r="J135">
        <v>0</v>
      </c>
      <c r="K135">
        <v>0</v>
      </c>
      <c r="L135">
        <v>10.416666666666666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13.614539565826329</v>
      </c>
      <c r="AO135">
        <v>20.284266252469958</v>
      </c>
      <c r="AP135">
        <v>153.5582984125968</v>
      </c>
      <c r="AQ135">
        <v>38.899845205240609</v>
      </c>
      <c r="AR135">
        <v>18.827936518301577</v>
      </c>
      <c r="AS135">
        <v>150.57567811094134</v>
      </c>
      <c r="AT135">
        <v>8.888935452589962</v>
      </c>
      <c r="AU135">
        <v>-4.2473750186651369</v>
      </c>
      <c r="AV135"/>
      <c r="AW135"/>
      <c r="AX135" s="146"/>
      <c r="AY135" s="76">
        <f t="shared" ca="1" si="86"/>
        <v>0.81337562449872913</v>
      </c>
      <c r="AZ135">
        <v>8</v>
      </c>
      <c r="BA135" s="129">
        <f t="shared" si="164"/>
        <v>39775</v>
      </c>
      <c r="BB135">
        <v>0</v>
      </c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0.61711739335801985</v>
      </c>
      <c r="CL135" s="179">
        <f t="shared" si="89"/>
        <v>8</v>
      </c>
      <c r="CM135" s="180">
        <f t="shared" si="90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0.61672582005886456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0</v>
      </c>
      <c r="DI135" s="161">
        <f t="shared" si="96"/>
        <v>0</v>
      </c>
      <c r="DJ135" s="161">
        <f t="shared" si="97"/>
        <v>0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0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0</v>
      </c>
      <c r="ES135" s="139">
        <f t="shared" si="134"/>
        <v>0</v>
      </c>
      <c r="ET135" s="139">
        <f t="shared" si="135"/>
        <v>0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0</v>
      </c>
      <c r="FV135" s="149"/>
      <c r="FY135" s="210">
        <v>130</v>
      </c>
      <c r="FZ135">
        <v>3.0160603205846201</v>
      </c>
      <c r="GA135">
        <v>17.079358490960569</v>
      </c>
      <c r="GB135">
        <v>5.8237196613586804</v>
      </c>
      <c r="GC135">
        <v>1.020573732582883</v>
      </c>
      <c r="GD135">
        <v>1.2267446787308334</v>
      </c>
      <c r="GE135">
        <v>1.3479960444803532</v>
      </c>
      <c r="GF135">
        <v>3.4182259003888924</v>
      </c>
      <c r="GG135">
        <v>3.0552984226073874</v>
      </c>
      <c r="GH135">
        <v>0.40861888541082891</v>
      </c>
      <c r="GI135">
        <v>4.8673211443826663</v>
      </c>
      <c r="GJ135"/>
      <c r="GK135"/>
      <c r="GL135"/>
      <c r="GM135"/>
    </row>
    <row r="136" spans="1:195" s="7" customFormat="1">
      <c r="A136" s="1"/>
      <c r="B136" s="76">
        <f ca="1">IF(C136="", "", RAND())</f>
        <v>7.3646303003814806E-2</v>
      </c>
      <c r="C136">
        <v>5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11.660400618580766</v>
      </c>
      <c r="AO136">
        <v>20.74617741925217</v>
      </c>
      <c r="AP136">
        <v>144.06432854645882</v>
      </c>
      <c r="AQ136">
        <v>27.04781744074451</v>
      </c>
      <c r="AR136">
        <v>19.715657355698934</v>
      </c>
      <c r="AS136">
        <v>185.08000679969825</v>
      </c>
      <c r="AT136">
        <v>8.9111994650589157</v>
      </c>
      <c r="AU136">
        <v>-164.59414365076867</v>
      </c>
      <c r="AV136"/>
      <c r="AW136"/>
      <c r="AX136" s="146"/>
      <c r="AY136" s="76">
        <f t="shared" ca="1" si="86"/>
        <v>0.67274729319800031</v>
      </c>
      <c r="AZ136">
        <v>9</v>
      </c>
      <c r="BA136" s="129">
        <f t="shared" si="164"/>
        <v>39775</v>
      </c>
      <c r="BB136">
        <v>0</v>
      </c>
      <c r="BC136"/>
      <c r="BD136"/>
      <c r="BE136">
        <v>1</v>
      </c>
      <c r="BF136"/>
      <c r="BG136"/>
      <c r="BH136"/>
      <c r="BI136">
        <v>1</v>
      </c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0.75194374205124337</v>
      </c>
      <c r="CL136" s="179">
        <f t="shared" si="89"/>
        <v>9</v>
      </c>
      <c r="CM136" s="180">
        <f t="shared" si="90"/>
        <v>39775</v>
      </c>
      <c r="CN136" s="224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0.72827071157699397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0</v>
      </c>
      <c r="DI136" s="161">
        <f t="shared" si="96"/>
        <v>10.416666666666666</v>
      </c>
      <c r="DJ136" s="161">
        <f t="shared" si="97"/>
        <v>0</v>
      </c>
      <c r="DK136" s="161">
        <f t="shared" si="98"/>
        <v>0</v>
      </c>
      <c r="DL136" s="161">
        <f t="shared" si="99"/>
        <v>0</v>
      </c>
      <c r="DM136" s="161">
        <f t="shared" si="100"/>
        <v>10.416666666666666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20.833333333333332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</v>
      </c>
      <c r="ES136" s="139">
        <f t="shared" si="134"/>
        <v>0.53420693514059225</v>
      </c>
      <c r="ET136" s="139">
        <f t="shared" si="135"/>
        <v>0</v>
      </c>
      <c r="EU136" s="139">
        <f t="shared" si="136"/>
        <v>0</v>
      </c>
      <c r="EV136" s="139">
        <f t="shared" si="137"/>
        <v>0</v>
      </c>
      <c r="EW136" s="139">
        <f t="shared" si="138"/>
        <v>5.1776506836214296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5.7118576187620214</v>
      </c>
      <c r="FV136" s="149"/>
      <c r="FY136" s="210">
        <v>131</v>
      </c>
      <c r="FZ136">
        <v>3.6006105663560986</v>
      </c>
      <c r="GA136">
        <v>6.0390676390040312</v>
      </c>
      <c r="GB136">
        <v>0.87681011753951243</v>
      </c>
      <c r="GC136">
        <v>0.16201173061524352</v>
      </c>
      <c r="GD136">
        <v>0.38114020731544523</v>
      </c>
      <c r="GE136">
        <v>1.8055553267274169</v>
      </c>
      <c r="GF136">
        <v>2.2006502320879995</v>
      </c>
      <c r="GG136">
        <v>0.42416298142568709</v>
      </c>
      <c r="GH136">
        <v>0.40861888541082891</v>
      </c>
      <c r="GI136">
        <v>1.7633253453179152</v>
      </c>
      <c r="GJ136"/>
      <c r="GK136"/>
      <c r="GL136"/>
      <c r="GM136"/>
    </row>
    <row r="137" spans="1:195" s="7" customFormat="1">
      <c r="A137" s="1"/>
      <c r="B137" s="76">
        <f ca="1">IF(C137="", "", RAND())</f>
        <v>0.96634051441496038</v>
      </c>
      <c r="C137">
        <v>1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9.3965554971988787</v>
      </c>
      <c r="AO137">
        <v>13.513864805459821</v>
      </c>
      <c r="AP137">
        <v>102.44767510877506</v>
      </c>
      <c r="AQ137">
        <v>27.124492394675194</v>
      </c>
      <c r="AR137">
        <v>13.012128230296913</v>
      </c>
      <c r="AS137">
        <v>68.492010711898601</v>
      </c>
      <c r="AT137">
        <v>6.865401484647836</v>
      </c>
      <c r="AU137">
        <v>16.108490770003126</v>
      </c>
      <c r="AV137"/>
      <c r="AW137"/>
      <c r="AX137" s="146"/>
      <c r="AY137" s="76">
        <f t="shared" ca="1" si="86"/>
        <v>0.42169773297252711</v>
      </c>
      <c r="AZ137">
        <v>10</v>
      </c>
      <c r="BA137" s="129">
        <f t="shared" si="164"/>
        <v>39775</v>
      </c>
      <c r="BB137">
        <v>0</v>
      </c>
      <c r="BC137"/>
      <c r="BD137"/>
      <c r="BE137">
        <v>1</v>
      </c>
      <c r="BF137">
        <v>4</v>
      </c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0.97705690259002331</v>
      </c>
      <c r="CL137" s="179">
        <f t="shared" si="89"/>
        <v>10</v>
      </c>
      <c r="CM137" s="180">
        <f t="shared" si="90"/>
        <v>39775</v>
      </c>
      <c r="CN137" s="227">
        <v>0</v>
      </c>
      <c r="CO137" s="227"/>
      <c r="CP137" s="227"/>
      <c r="CQ137" s="227"/>
      <c r="CR137" s="223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0.9984725927250766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0</v>
      </c>
      <c r="DH137" s="161">
        <f t="shared" si="95"/>
        <v>0</v>
      </c>
      <c r="DI137" s="161">
        <f t="shared" si="96"/>
        <v>10.416666666666666</v>
      </c>
      <c r="DJ137" s="161">
        <f t="shared" si="97"/>
        <v>41.666666666666664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52.083333333333329</v>
      </c>
      <c r="EL137" s="149"/>
      <c r="EN137" s="146"/>
      <c r="EO137" s="146"/>
      <c r="EP137" s="139">
        <f t="shared" si="131"/>
        <v>0</v>
      </c>
      <c r="EQ137" s="139">
        <f t="shared" si="132"/>
        <v>0</v>
      </c>
      <c r="ER137" s="139">
        <f t="shared" si="133"/>
        <v>0</v>
      </c>
      <c r="ES137" s="139">
        <f t="shared" si="134"/>
        <v>0.53420693514059225</v>
      </c>
      <c r="ET137" s="139">
        <f t="shared" si="135"/>
        <v>4.6204966676451757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5.1547036027857676</v>
      </c>
      <c r="FV137" s="149"/>
      <c r="FY137" s="210">
        <v>132</v>
      </c>
      <c r="FZ137">
        <v>3.3977034127879011</v>
      </c>
      <c r="GA137">
        <v>6.1129630587890107</v>
      </c>
      <c r="GB137">
        <v>1.671036077407277</v>
      </c>
      <c r="GC137">
        <v>1.019282915588009</v>
      </c>
      <c r="GD137">
        <v>1.2305880261752142</v>
      </c>
      <c r="GE137">
        <v>1.5448892499973481</v>
      </c>
      <c r="GF137">
        <v>3.6237249189768148</v>
      </c>
      <c r="GG137">
        <v>3.0552984226073874</v>
      </c>
      <c r="GH137">
        <v>0.23579423514790807</v>
      </c>
      <c r="GI137">
        <v>3.4948526219217664</v>
      </c>
      <c r="GJ137"/>
      <c r="GK137"/>
      <c r="GL137"/>
      <c r="GM137"/>
    </row>
    <row r="138" spans="1:195" s="7" customFormat="1">
      <c r="A138" s="128"/>
      <c r="B138" s="76">
        <f ca="1">IF(C138="", "", RAND())</f>
        <v>0.72809620738509739</v>
      </c>
      <c r="C138">
        <v>6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11.166272759103641</v>
      </c>
      <c r="AO138">
        <v>17.292732830342182</v>
      </c>
      <c r="AP138">
        <v>132.91995205409785</v>
      </c>
      <c r="AQ138">
        <v>31.288518773143846</v>
      </c>
      <c r="AR138">
        <v>16.519046489146724</v>
      </c>
      <c r="AS138">
        <v>130.79307765108979</v>
      </c>
      <c r="AT138">
        <v>9.0200868922663986</v>
      </c>
      <c r="AU138">
        <v>27.099663527675673</v>
      </c>
      <c r="AV138"/>
      <c r="AW138"/>
      <c r="AX138" s="128"/>
      <c r="AY138" s="76">
        <f t="shared" ca="1" si="86"/>
        <v>0.2359126927321169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>
        <v>1</v>
      </c>
      <c r="CD138"/>
      <c r="CE138"/>
      <c r="CF138"/>
      <c r="CG138" s="147"/>
      <c r="CH138" s="176"/>
      <c r="CJ138" s="128"/>
      <c r="CK138" s="76">
        <f t="shared" ca="1" si="88"/>
        <v>0.42433120470362962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0.18583961177879993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10.416666666666666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10.416666666666666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193.07050246692469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193.07050246692469</v>
      </c>
      <c r="FV138" s="149"/>
      <c r="FY138" s="210">
        <v>133</v>
      </c>
      <c r="FZ138">
        <v>6.6584987661143487</v>
      </c>
      <c r="GA138">
        <v>12.633361599841045</v>
      </c>
      <c r="GB138">
        <v>2.7530844536282535</v>
      </c>
      <c r="GC138">
        <v>1.3770824413481484</v>
      </c>
      <c r="GD138">
        <v>0.99190412422747709</v>
      </c>
      <c r="GE138">
        <v>0.84868266761298483</v>
      </c>
      <c r="GF138">
        <v>5.0166351013233594</v>
      </c>
      <c r="GG138">
        <v>3.4426828721531746</v>
      </c>
      <c r="GH138">
        <v>0.3456493005258417</v>
      </c>
      <c r="GI138">
        <v>4.2998601481467551</v>
      </c>
      <c r="GJ138"/>
      <c r="GK138"/>
      <c r="GL138"/>
      <c r="GM138"/>
    </row>
    <row r="139" spans="1:195" s="7" customFormat="1">
      <c r="A139" s="1"/>
      <c r="B139" s="76">
        <f ca="1">IF(C139="", "", RAND())</f>
        <v>0.40275946705260424</v>
      </c>
      <c r="C139">
        <v>5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10.416666666666666</v>
      </c>
      <c r="K139">
        <v>10.416666666666666</v>
      </c>
      <c r="L139">
        <v>0</v>
      </c>
      <c r="M139">
        <v>10.416666666666666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10.416666666666666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9.7290207749766573</v>
      </c>
      <c r="AO139">
        <v>15.553900184800801</v>
      </c>
      <c r="AP139">
        <v>113.64188292264124</v>
      </c>
      <c r="AQ139">
        <v>22.856313342188582</v>
      </c>
      <c r="AR139">
        <v>14.370101349443567</v>
      </c>
      <c r="AS139">
        <v>127.97459674140723</v>
      </c>
      <c r="AT139">
        <v>8.7457292175847865</v>
      </c>
      <c r="AU139">
        <v>28.828055333785638</v>
      </c>
      <c r="AV139"/>
      <c r="AW139"/>
      <c r="AX139" s="146"/>
      <c r="AY139" s="76">
        <f t="shared" ca="1" si="86"/>
        <v>0.53452113267756118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0.16260087158570524</v>
      </c>
      <c r="CL139" s="179">
        <f t="shared" si="89"/>
        <v>2</v>
      </c>
      <c r="CM139" s="180">
        <f t="shared" si="90"/>
        <v>39799</v>
      </c>
      <c r="CN139">
        <v>0</v>
      </c>
      <c r="CO139"/>
      <c r="CP139"/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0.90341014410319787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0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0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0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0</v>
      </c>
      <c r="FV139" s="149"/>
      <c r="FY139" s="210">
        <v>134</v>
      </c>
      <c r="FZ139">
        <v>2.3488646529487083</v>
      </c>
      <c r="GA139">
        <v>16.253145413120322</v>
      </c>
      <c r="GB139">
        <v>5.9656548366352222</v>
      </c>
      <c r="GC139">
        <v>0.31753057588811789</v>
      </c>
      <c r="GD139">
        <v>0.12529711268303184</v>
      </c>
      <c r="GE139">
        <v>0.92820939592867879</v>
      </c>
      <c r="GF139">
        <v>4.6393840101304091</v>
      </c>
      <c r="GG139">
        <v>3.7262229166876337</v>
      </c>
      <c r="GH139">
        <v>0.88020735570664521</v>
      </c>
      <c r="GI139">
        <v>3.9550571703620392</v>
      </c>
      <c r="GJ139"/>
      <c r="GK139"/>
      <c r="GL139"/>
      <c r="GM139"/>
    </row>
    <row r="140" spans="1:195" s="7" customFormat="1">
      <c r="A140" s="1"/>
      <c r="B140" s="76">
        <f ca="1">IF(C140="", "", RAND())</f>
        <v>0.25379869468248017</v>
      </c>
      <c r="C140">
        <v>4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12.450622957516341</v>
      </c>
      <c r="AO140">
        <v>21.138132052465537</v>
      </c>
      <c r="AP140">
        <v>164.07110061412362</v>
      </c>
      <c r="AQ140">
        <v>41.483715151825699</v>
      </c>
      <c r="AR140">
        <v>19.547140668236132</v>
      </c>
      <c r="AS140">
        <v>101.97170586487813</v>
      </c>
      <c r="AT140" t="e">
        <v>#DIV/0!</v>
      </c>
      <c r="AU140" t="e">
        <v>#DIV/0!</v>
      </c>
      <c r="AV140"/>
      <c r="AW140"/>
      <c r="AX140" s="146"/>
      <c r="AY140" s="76">
        <f t="shared" ca="1" si="86"/>
        <v>0.75765036069048453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8.8192750724508606E-2</v>
      </c>
      <c r="CL140" s="179">
        <f t="shared" si="89"/>
        <v>3</v>
      </c>
      <c r="CM140" s="180">
        <f t="shared" si="90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0.16518185372343774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0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0</v>
      </c>
      <c r="FV140" s="149"/>
      <c r="FY140" s="210">
        <v>135</v>
      </c>
      <c r="FZ140">
        <v>2.7343367025202121</v>
      </c>
      <c r="GA140">
        <v>13.535716404204939</v>
      </c>
      <c r="GB140">
        <v>5.2213582243043319</v>
      </c>
      <c r="GC140">
        <v>1.0715782734501909</v>
      </c>
      <c r="GD140">
        <v>1.0706156143912187</v>
      </c>
      <c r="GE140">
        <v>1.217090259823761</v>
      </c>
      <c r="GF140">
        <v>2.6245643018469234</v>
      </c>
      <c r="GG140">
        <v>1.9869679269521878</v>
      </c>
      <c r="GH140">
        <v>0.40861888541082891</v>
      </c>
      <c r="GI140">
        <v>3.7976262343549672</v>
      </c>
      <c r="GJ140"/>
      <c r="GK140"/>
      <c r="GL140"/>
      <c r="GM140"/>
    </row>
    <row r="141" spans="1:195" s="7" customFormat="1">
      <c r="A141" s="1"/>
      <c r="B141" s="76">
        <f ca="1">IF(C141="", "", RAND())</f>
        <v>0.68291397656738417</v>
      </c>
      <c r="C141">
        <v>9</v>
      </c>
      <c r="D141">
        <v>39799</v>
      </c>
      <c r="E141">
        <v>0</v>
      </c>
      <c r="F141">
        <v>0</v>
      </c>
      <c r="G141">
        <v>0</v>
      </c>
      <c r="H141">
        <v>10.416666666666666</v>
      </c>
      <c r="I141">
        <v>0</v>
      </c>
      <c r="J141">
        <v>10.416666666666666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7.9155505952380931</v>
      </c>
      <c r="AO141">
        <v>13.968096693979948</v>
      </c>
      <c r="AP141">
        <v>94.950731395865589</v>
      </c>
      <c r="AQ141">
        <v>31.534074631488103</v>
      </c>
      <c r="AR141">
        <v>12.995682517734821</v>
      </c>
      <c r="AS141">
        <v>64.732028749828146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0.35904400619483123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0.52542887228596946</v>
      </c>
      <c r="CL141" s="179">
        <f t="shared" si="89"/>
        <v>4</v>
      </c>
      <c r="CM141" s="180">
        <f t="shared" si="90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0.52234199040447415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0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0</v>
      </c>
      <c r="FV141" s="149"/>
      <c r="FY141" s="210">
        <v>136</v>
      </c>
      <c r="FZ141">
        <v>0.54272236659784878</v>
      </c>
      <c r="GA141">
        <v>14.355732789754782</v>
      </c>
      <c r="GB141">
        <v>5.8725261992856179</v>
      </c>
      <c r="GC141">
        <v>0.90328919013079023</v>
      </c>
      <c r="GD141">
        <v>0.97376740871013578</v>
      </c>
      <c r="GE141">
        <v>1.4694919165179392</v>
      </c>
      <c r="GF141">
        <v>3.949202615599904</v>
      </c>
      <c r="GG141">
        <v>2.8080611976717367</v>
      </c>
      <c r="GH141">
        <v>0.23579423514790807</v>
      </c>
      <c r="GI141">
        <v>5.3864498618949987</v>
      </c>
      <c r="GJ141"/>
      <c r="GK141"/>
      <c r="GL141"/>
      <c r="GM141"/>
    </row>
    <row r="142" spans="1:195" s="7" customFormat="1">
      <c r="A142" s="1"/>
      <c r="B142" s="76">
        <f ca="1">IF(C142="", "", RAND())</f>
        <v>0.29798660024651658</v>
      </c>
      <c r="C142">
        <v>2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7.8308312908496731</v>
      </c>
      <c r="AO142">
        <v>15.213396730583359</v>
      </c>
      <c r="AP142">
        <v>135.53856629286531</v>
      </c>
      <c r="AQ142">
        <v>30.234769101844918</v>
      </c>
      <c r="AR142">
        <v>14.114081235491994</v>
      </c>
      <c r="AS142">
        <v>66.04842788487349</v>
      </c>
      <c r="AT142">
        <v>7.497263698679153</v>
      </c>
      <c r="AU142">
        <v>-22.986603828117705</v>
      </c>
      <c r="AV142"/>
      <c r="AW142"/>
      <c r="AX142" s="146"/>
      <c r="AY142" s="76">
        <f t="shared" ca="1" si="86"/>
        <v>0.37434674994213868</v>
      </c>
      <c r="AZ142">
        <v>5</v>
      </c>
      <c r="BA142" s="129">
        <f t="shared" si="166"/>
        <v>39799</v>
      </c>
      <c r="BB142">
        <v>0</v>
      </c>
      <c r="BC142"/>
      <c r="BD142"/>
      <c r="BE142"/>
      <c r="BF142"/>
      <c r="BG142">
        <v>1</v>
      </c>
      <c r="BH142">
        <v>1</v>
      </c>
      <c r="BI142"/>
      <c r="BJ142">
        <v>1</v>
      </c>
      <c r="BK142"/>
      <c r="BL142"/>
      <c r="BM142"/>
      <c r="BN142"/>
      <c r="BO142"/>
      <c r="BP142"/>
      <c r="BQ142"/>
      <c r="BR142"/>
      <c r="BS142"/>
      <c r="BT142">
        <v>1</v>
      </c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0.49502602538878793</v>
      </c>
      <c r="CL142" s="179">
        <f t="shared" si="89"/>
        <v>5</v>
      </c>
      <c r="CM142" s="180">
        <f t="shared" si="90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0.91020677429144237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0</v>
      </c>
      <c r="DK142" s="161">
        <f t="shared" si="98"/>
        <v>10.416666666666666</v>
      </c>
      <c r="DL142" s="161">
        <f t="shared" si="99"/>
        <v>10.416666666666666</v>
      </c>
      <c r="DM142" s="161">
        <f t="shared" si="100"/>
        <v>0</v>
      </c>
      <c r="DN142" s="161">
        <f t="shared" si="101"/>
        <v>10.416666666666666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10.416666666666666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41.666666666666664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</v>
      </c>
      <c r="EU142" s="139">
        <f t="shared" si="136"/>
        <v>2.1009327153398973</v>
      </c>
      <c r="EV142" s="139">
        <f t="shared" si="137"/>
        <v>3.4250798214378757</v>
      </c>
      <c r="EW142" s="139">
        <f t="shared" si="138"/>
        <v>0</v>
      </c>
      <c r="EX142" s="139">
        <f t="shared" si="139"/>
        <v>7.4061046667278276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65.113928709441069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78.046045912946667</v>
      </c>
      <c r="FV142" s="149"/>
      <c r="FY142" s="210">
        <v>137</v>
      </c>
      <c r="FZ142">
        <v>7.4376682902736375</v>
      </c>
      <c r="GA142">
        <v>10.559277147220579</v>
      </c>
      <c r="GB142">
        <v>3.3787736693227144</v>
      </c>
      <c r="GC142">
        <v>0.97197409343510976</v>
      </c>
      <c r="GD142">
        <v>0.91720189430166776</v>
      </c>
      <c r="GE142">
        <v>1.4103938516453021</v>
      </c>
      <c r="GF142">
        <v>5.9406372285359268</v>
      </c>
      <c r="GG142">
        <v>4.6181033681338892</v>
      </c>
      <c r="GH142">
        <v>0.23579423514790807</v>
      </c>
      <c r="GI142">
        <v>5.2605594212036193</v>
      </c>
      <c r="GJ142"/>
      <c r="GK142"/>
      <c r="GL142"/>
      <c r="GM142"/>
    </row>
    <row r="143" spans="1:195" s="7" customFormat="1">
      <c r="A143" s="1"/>
      <c r="B143" s="76">
        <f ca="1">IF(C143="", "", RAND())</f>
        <v>0.50193858700251881</v>
      </c>
      <c r="C143">
        <v>3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6.7179840686274499</v>
      </c>
      <c r="AO143">
        <v>21.1622483265831</v>
      </c>
      <c r="AP143">
        <v>180.41371027863153</v>
      </c>
      <c r="AQ143">
        <v>26.051303049443511</v>
      </c>
      <c r="AR143">
        <v>20.58913288768386</v>
      </c>
      <c r="AS143">
        <v>77.02962871366195</v>
      </c>
      <c r="AT143">
        <v>11.36127956347581</v>
      </c>
      <c r="AU143">
        <v>-29.076220694785828</v>
      </c>
      <c r="AV143"/>
      <c r="AW143"/>
      <c r="AX143" s="146"/>
      <c r="AY143" s="76">
        <f t="shared" ca="1" si="86"/>
        <v>0.86926724453524606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0.93564431667041381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0.91033486020884968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0">
        <v>138</v>
      </c>
      <c r="FZ143">
        <v>3.9981369983121078</v>
      </c>
      <c r="GA143">
        <v>6.8675270235829462</v>
      </c>
      <c r="GB143">
        <v>2.6705881345941922</v>
      </c>
      <c r="GC143">
        <v>0.87782512535653501</v>
      </c>
      <c r="GD143">
        <v>1.6041097496401</v>
      </c>
      <c r="GE143">
        <v>3.7857786234387354</v>
      </c>
      <c r="GF143">
        <v>4.9259005451268836</v>
      </c>
      <c r="GG143">
        <v>2.2342051518878385</v>
      </c>
      <c r="GH143">
        <v>0.58144353567374973</v>
      </c>
      <c r="GI143">
        <v>5.0881957315318092</v>
      </c>
      <c r="GJ143"/>
      <c r="GK143"/>
      <c r="GL143"/>
      <c r="GM143"/>
    </row>
    <row r="144" spans="1:195" s="7" customFormat="1">
      <c r="A144" s="1"/>
      <c r="B144" s="76">
        <f ca="1">IF(C144="", "", RAND())</f>
        <v>0.59178826734650913</v>
      </c>
      <c r="C144">
        <v>1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10.416666666666666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12.187624007936508</v>
      </c>
      <c r="AO144">
        <v>23.09863296658278</v>
      </c>
      <c r="AP144">
        <v>214.93764257371831</v>
      </c>
      <c r="AQ144">
        <v>58.227559766117217</v>
      </c>
      <c r="AR144">
        <v>21.764767719974031</v>
      </c>
      <c r="AS144">
        <v>114.90418247956993</v>
      </c>
      <c r="AT144" t="e">
        <v>#DIV/0!</v>
      </c>
      <c r="AU144" t="e">
        <v>#DIV/0!</v>
      </c>
      <c r="AV144"/>
      <c r="AW144"/>
      <c r="AX144" s="146"/>
      <c r="AY144" s="76">
        <f t="shared" ca="1" si="86"/>
        <v>0.34783555536826594</v>
      </c>
      <c r="AZ144">
        <v>7</v>
      </c>
      <c r="BA144" s="129">
        <f t="shared" si="166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0.31288542516977502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0.40698580516851735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0</v>
      </c>
      <c r="DJ144" s="161">
        <f t="shared" si="97"/>
        <v>0</v>
      </c>
      <c r="DK144" s="161">
        <f t="shared" si="98"/>
        <v>0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0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0</v>
      </c>
      <c r="ET144" s="139">
        <f t="shared" si="135"/>
        <v>0</v>
      </c>
      <c r="EU144" s="139">
        <f t="shared" si="136"/>
        <v>0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0</v>
      </c>
      <c r="FV144" s="149"/>
      <c r="FY144" s="210">
        <v>139</v>
      </c>
      <c r="FZ144">
        <v>3.94042577938575</v>
      </c>
      <c r="GA144">
        <v>18.255263555382442</v>
      </c>
      <c r="GB144">
        <v>7.4754746644991323</v>
      </c>
      <c r="GC144">
        <v>0.54643010563478445</v>
      </c>
      <c r="GD144">
        <v>0.67965471677727929</v>
      </c>
      <c r="GE144">
        <v>1.6666548100064003</v>
      </c>
      <c r="GF144">
        <v>4.5938454699919777</v>
      </c>
      <c r="GG144">
        <v>2.8783726661173508</v>
      </c>
      <c r="GH144">
        <v>0.3456493005258417</v>
      </c>
      <c r="GI144">
        <v>4.6496728582442683</v>
      </c>
      <c r="GJ144"/>
      <c r="GK144"/>
      <c r="GL144"/>
      <c r="GM144"/>
    </row>
    <row r="145" spans="1:195" s="7" customFormat="1">
      <c r="A145" s="1"/>
      <c r="B145" s="76">
        <f ca="1">IF(C145="", "", RAND())</f>
        <v>0.79042191431596454</v>
      </c>
      <c r="C145">
        <v>8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10.416666666666666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15.034328314659197</v>
      </c>
      <c r="AO145">
        <v>35.990743006980871</v>
      </c>
      <c r="AP145">
        <v>278.69017735403503</v>
      </c>
      <c r="AQ145">
        <v>60.555053734844705</v>
      </c>
      <c r="AR145">
        <v>35.165466009347348</v>
      </c>
      <c r="AS145">
        <v>261.42711170890169</v>
      </c>
      <c r="AT145">
        <v>23.039382777843027</v>
      </c>
      <c r="AU145">
        <v>97.224949959125581</v>
      </c>
      <c r="AV145"/>
      <c r="AW145"/>
      <c r="AX145" s="146"/>
      <c r="AY145" s="76">
        <f t="shared" ca="1" si="86"/>
        <v>0.72074032181254499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>
        <v>1</v>
      </c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0.46938047271447969</v>
      </c>
      <c r="CL145" s="179">
        <f t="shared" si="89"/>
        <v>8</v>
      </c>
      <c r="CM145" s="180">
        <f t="shared" si="90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0.76146006125860066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0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10.416666666666666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10.416666666666666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98.431918399549005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98.431918399549005</v>
      </c>
      <c r="FV145" s="149"/>
      <c r="FY145" s="210">
        <v>140</v>
      </c>
      <c r="FZ145">
        <v>4.4827677699447133</v>
      </c>
      <c r="GA145">
        <v>9.9385984046316889</v>
      </c>
      <c r="GB145">
        <v>2.6368105148493823</v>
      </c>
      <c r="GC145">
        <v>0.96465906732508966</v>
      </c>
      <c r="GD145">
        <v>1.0151700080090178</v>
      </c>
      <c r="GE145">
        <v>1.4635483317694706</v>
      </c>
      <c r="GF145">
        <v>5.3924484285762277</v>
      </c>
      <c r="GG145">
        <v>4.006993078188998</v>
      </c>
      <c r="GH145">
        <v>0</v>
      </c>
      <c r="GI145">
        <v>3.8995784655963481</v>
      </c>
      <c r="GJ145"/>
      <c r="GK145"/>
      <c r="GL145"/>
      <c r="GM145"/>
    </row>
    <row r="146" spans="1:195" s="7" customFormat="1">
      <c r="A146" s="1"/>
      <c r="B146" s="76">
        <f ca="1">IF(C146="", "", RAND())</f>
        <v>0.32329585410033257</v>
      </c>
      <c r="C146">
        <v>10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20.833333333333332</v>
      </c>
      <c r="J146">
        <v>20.833333333333332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10.416666666666666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14.965503909897294</v>
      </c>
      <c r="AO146">
        <v>14.634618676555434</v>
      </c>
      <c r="AP146">
        <v>128.46158774206481</v>
      </c>
      <c r="AQ146">
        <v>41.263917281487714</v>
      </c>
      <c r="AR146">
        <v>13.624367922711457</v>
      </c>
      <c r="AS146">
        <v>89.725589707216713</v>
      </c>
      <c r="AT146">
        <v>6.8962391520985875</v>
      </c>
      <c r="AU146">
        <v>16.292102459943212</v>
      </c>
      <c r="AV146"/>
      <c r="AW146"/>
      <c r="AX146" s="146"/>
      <c r="AY146" s="76">
        <f t="shared" ca="1" si="86"/>
        <v>0.13758192259611235</v>
      </c>
      <c r="AZ146">
        <v>9</v>
      </c>
      <c r="BA146" s="129">
        <f t="shared" si="166"/>
        <v>39799</v>
      </c>
      <c r="BB146">
        <v>0</v>
      </c>
      <c r="BC146"/>
      <c r="BD146"/>
      <c r="BE146">
        <v>1</v>
      </c>
      <c r="BF146"/>
      <c r="BG146">
        <v>1</v>
      </c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0.91861890871476426</v>
      </c>
      <c r="CL146" s="179">
        <f t="shared" si="89"/>
        <v>9</v>
      </c>
      <c r="CM146" s="180">
        <f t="shared" si="90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0.1042574697408023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10.416666666666666</v>
      </c>
      <c r="DJ146" s="161">
        <f t="shared" si="97"/>
        <v>0</v>
      </c>
      <c r="DK146" s="161">
        <f t="shared" si="98"/>
        <v>10.416666666666666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20.833333333333332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0.53420693514059225</v>
      </c>
      <c r="ET146" s="139">
        <f t="shared" si="135"/>
        <v>0</v>
      </c>
      <c r="EU146" s="139">
        <f t="shared" si="136"/>
        <v>2.1009327153398973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2.6351396504804896</v>
      </c>
      <c r="FV146" s="149"/>
      <c r="FY146" s="210">
        <v>141</v>
      </c>
      <c r="FZ146">
        <v>7.9222990619062443</v>
      </c>
      <c r="GA146">
        <v>5.7658345762580989</v>
      </c>
      <c r="GB146">
        <v>0.37914996854940219</v>
      </c>
      <c r="GC146">
        <v>0.57856069921193565</v>
      </c>
      <c r="GD146">
        <v>0.54613523468988268</v>
      </c>
      <c r="GE146">
        <v>1.1936838610373628</v>
      </c>
      <c r="GF146">
        <v>5.7410465022016233</v>
      </c>
      <c r="GG146">
        <v>4.8435633487720988</v>
      </c>
      <c r="GH146">
        <v>0.88020735570664521</v>
      </c>
      <c r="GI146">
        <v>3.0937778820928248</v>
      </c>
      <c r="GJ146"/>
      <c r="GK146"/>
      <c r="GL146"/>
      <c r="GM146"/>
    </row>
    <row r="147" spans="1:195" s="7" customFormat="1">
      <c r="A147" s="1"/>
      <c r="B147" s="76">
        <f ca="1">IF(C147="", "", RAND())</f>
        <v>0.90615159476325235</v>
      </c>
      <c r="C147">
        <v>7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7.0415207749766564</v>
      </c>
      <c r="AO147">
        <v>9.9477971430377501</v>
      </c>
      <c r="AP147">
        <v>96.201403486481567</v>
      </c>
      <c r="AQ147">
        <v>17.661953031800181</v>
      </c>
      <c r="AR147">
        <v>9.1937785528088725</v>
      </c>
      <c r="AS147">
        <v>45.169724604510591</v>
      </c>
      <c r="AT147">
        <v>5.2584167751064363</v>
      </c>
      <c r="AU147">
        <v>-23.223047997355302</v>
      </c>
      <c r="AV147"/>
      <c r="AW147"/>
      <c r="AX147" s="146"/>
      <c r="AY147" s="76">
        <f t="shared" ca="1" si="86"/>
        <v>0.69662617695077778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>
        <v>2</v>
      </c>
      <c r="BG147">
        <v>2</v>
      </c>
      <c r="BH147"/>
      <c r="BI147"/>
      <c r="BJ147"/>
      <c r="BK147"/>
      <c r="BL147"/>
      <c r="BM147"/>
      <c r="BN147"/>
      <c r="BO147"/>
      <c r="BP147"/>
      <c r="BQ147"/>
      <c r="BR147">
        <v>1</v>
      </c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0.45979710010883612</v>
      </c>
      <c r="CL147" s="179">
        <f t="shared" si="89"/>
        <v>10</v>
      </c>
      <c r="CM147" s="180">
        <f t="shared" si="90"/>
        <v>39799</v>
      </c>
      <c r="CN147">
        <v>0</v>
      </c>
      <c r="CO147"/>
      <c r="CP147"/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0.75530240476812693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0</v>
      </c>
      <c r="DI147" s="161">
        <f t="shared" si="96"/>
        <v>0</v>
      </c>
      <c r="DJ147" s="161">
        <f t="shared" si="97"/>
        <v>20.833333333333332</v>
      </c>
      <c r="DK147" s="161">
        <f t="shared" si="98"/>
        <v>20.833333333333332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10.416666666666666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52.083333333333329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</v>
      </c>
      <c r="ES147" s="139">
        <f t="shared" si="134"/>
        <v>0</v>
      </c>
      <c r="ET147" s="139">
        <f t="shared" si="135"/>
        <v>2.3102483338225879</v>
      </c>
      <c r="EU147" s="139">
        <f t="shared" si="136"/>
        <v>4.2018654306797947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47.484407222812386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53.996520987314767</v>
      </c>
      <c r="FV147" s="149"/>
      <c r="FY147" s="210">
        <v>142</v>
      </c>
      <c r="FZ147">
        <v>7.9226794379451286</v>
      </c>
      <c r="GA147">
        <v>5.0647465242817846</v>
      </c>
      <c r="GB147">
        <v>1.1373526894524848</v>
      </c>
      <c r="GC147">
        <v>0.82345750949231422</v>
      </c>
      <c r="GD147">
        <v>0.9596814182818959</v>
      </c>
      <c r="GE147">
        <v>2.1437460766273961</v>
      </c>
      <c r="GF147">
        <v>4.127764057168628</v>
      </c>
      <c r="GG147">
        <v>2.4809666645423967</v>
      </c>
      <c r="GH147">
        <v>0.64441312055873701</v>
      </c>
      <c r="GI147">
        <v>3.9104955528268652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9.662946428571427</v>
      </c>
      <c r="AO148">
        <v>15.171184281424193</v>
      </c>
      <c r="AP148">
        <v>116.63405142718638</v>
      </c>
      <c r="AQ148">
        <v>25.386132939398632</v>
      </c>
      <c r="AR148">
        <v>14.497693517387761</v>
      </c>
      <c r="AS148">
        <v>72.842705141678678</v>
      </c>
      <c r="AT148" t="e">
        <v>#DIV/0!</v>
      </c>
      <c r="AU148" t="e">
        <v>#DIV/0!</v>
      </c>
      <c r="AV148"/>
      <c r="AW148"/>
      <c r="AX148" s="128"/>
      <c r="AY148" s="76">
        <f t="shared" ca="1" si="86"/>
        <v>0.3619979403046889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/>
      <c r="BJ148"/>
      <c r="BK148">
        <v>1</v>
      </c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8"/>
        <v>0.60166317613252218</v>
      </c>
      <c r="CL148" s="179">
        <f t="shared" si="89"/>
        <v>1</v>
      </c>
      <c r="CM148" s="180">
        <f t="shared" si="90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0.18815281150003793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0</v>
      </c>
      <c r="DI148" s="161">
        <f t="shared" si="96"/>
        <v>0</v>
      </c>
      <c r="DJ148" s="161">
        <f t="shared" si="97"/>
        <v>0</v>
      </c>
      <c r="DK148" s="161">
        <f t="shared" si="98"/>
        <v>0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10.416666666666666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10.416666666666666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0</v>
      </c>
      <c r="ES148" s="139">
        <f t="shared" si="134"/>
        <v>0</v>
      </c>
      <c r="ET148" s="139">
        <f t="shared" si="135"/>
        <v>0</v>
      </c>
      <c r="EU148" s="139">
        <f t="shared" si="136"/>
        <v>0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10.155766903041346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10.155766903041346</v>
      </c>
      <c r="FV148" s="149"/>
      <c r="FY148" s="210">
        <v>143</v>
      </c>
      <c r="FZ148">
        <v>5.2495025356806124</v>
      </c>
      <c r="GA148">
        <v>11.112257162314888</v>
      </c>
      <c r="GB148">
        <v>2.8962302771524184</v>
      </c>
      <c r="GC148">
        <v>0.94780084565572875</v>
      </c>
      <c r="GD148">
        <v>1.3085253844811784</v>
      </c>
      <c r="GE148">
        <v>2.1956580988570398</v>
      </c>
      <c r="GF148">
        <v>2.6716506658900068</v>
      </c>
      <c r="GG148">
        <v>1.7397307020165371</v>
      </c>
      <c r="GH148">
        <v>0.40861888541082891</v>
      </c>
      <c r="GI148">
        <v>4.4971636372880193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12.993631827731093</v>
      </c>
      <c r="AO149">
        <v>19.759191917440589</v>
      </c>
      <c r="AP149">
        <v>126.47469701355629</v>
      </c>
      <c r="AQ149">
        <v>38.367441474921392</v>
      </c>
      <c r="AR149">
        <v>18.338239847954551</v>
      </c>
      <c r="AS149">
        <v>140.06098912246952</v>
      </c>
      <c r="AT149">
        <v>12.451583228628754</v>
      </c>
      <c r="AU149">
        <v>208.93599011007268</v>
      </c>
      <c r="AV149"/>
      <c r="AW149"/>
      <c r="AX149" s="151"/>
      <c r="AY149" s="76">
        <f t="shared" ca="1" si="86"/>
        <v>0.79161565513812704</v>
      </c>
      <c r="AZ149">
        <v>2</v>
      </c>
      <c r="BA149" s="129">
        <f t="shared" ref="BA149:BA157" si="168">IF(AZ149="", "",$C$10)</f>
        <v>39847</v>
      </c>
      <c r="BB149">
        <v>0</v>
      </c>
      <c r="BC149"/>
      <c r="BD149"/>
      <c r="BE149"/>
      <c r="BF149"/>
      <c r="BG149">
        <v>1</v>
      </c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8"/>
        <v>0.57858292656470445</v>
      </c>
      <c r="CL149" s="179">
        <f t="shared" si="89"/>
        <v>2</v>
      </c>
      <c r="CM149" s="180">
        <f t="shared" si="90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0.8791911900033087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34.722222222222221</v>
      </c>
      <c r="DL149" s="161">
        <f t="shared" si="99"/>
        <v>0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34.722222222222221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7.0031090511329914</v>
      </c>
      <c r="EV149" s="139">
        <f t="shared" si="137"/>
        <v>0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7.0031090511329914</v>
      </c>
      <c r="FV149" s="149"/>
      <c r="FY149" s="210">
        <v>144</v>
      </c>
      <c r="FZ149">
        <v>1.3671683512601061</v>
      </c>
      <c r="GA149">
        <v>6.8675270235829462</v>
      </c>
      <c r="GB149">
        <v>2.5833370612073274</v>
      </c>
      <c r="GC149">
        <v>0.73589865889783779</v>
      </c>
      <c r="GD149">
        <v>0.72028825768896498</v>
      </c>
      <c r="GE149">
        <v>0.89143935244954209</v>
      </c>
      <c r="GF149">
        <v>3.6503869891064937</v>
      </c>
      <c r="GG149">
        <v>2.7985153579236619</v>
      </c>
      <c r="GH149">
        <v>0.40861888541082891</v>
      </c>
      <c r="GI149">
        <v>2.7505591305032158</v>
      </c>
      <c r="GJ149"/>
      <c r="GK149"/>
      <c r="GL149"/>
      <c r="GM149"/>
    </row>
    <row r="150" spans="1:195" s="7" customFormat="1">
      <c r="A150" s="77"/>
      <c r="B150" s="76">
        <f ca="1">IF(C150="", "", RAND())</f>
        <v>0.3650250264495023</v>
      </c>
      <c r="C150">
        <v>5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8.0782271241830053</v>
      </c>
      <c r="AO150">
        <v>15.642386419269741</v>
      </c>
      <c r="AP150">
        <v>135.26933699422111</v>
      </c>
      <c r="AQ150">
        <v>39.139573440090807</v>
      </c>
      <c r="AR150">
        <v>14.468602062345902</v>
      </c>
      <c r="AS150">
        <v>134.44457213520874</v>
      </c>
      <c r="AT150">
        <v>6.1516164846502379</v>
      </c>
      <c r="AU150">
        <v>-61.783369582325598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0">
        <v>145</v>
      </c>
      <c r="FZ150">
        <v>11.56027858962381</v>
      </c>
      <c r="GA150">
        <v>6.2672677879614156</v>
      </c>
      <c r="GB150">
        <v>1.0048391842438626</v>
      </c>
      <c r="GC150">
        <v>0.42010865480137322</v>
      </c>
      <c r="GD150">
        <v>0.93307051307961841</v>
      </c>
      <c r="GE150">
        <v>2.625538470102335</v>
      </c>
      <c r="GF150">
        <v>6.2759519590871822</v>
      </c>
      <c r="GG150">
        <v>4.7364733484465837</v>
      </c>
      <c r="GH150">
        <v>0.64441312055873701</v>
      </c>
      <c r="GI150">
        <v>5.3098585784147403</v>
      </c>
      <c r="GJ150"/>
      <c r="GK150"/>
      <c r="GL150"/>
      <c r="GM150"/>
    </row>
    <row r="151" spans="1:195" s="7" customFormat="1">
      <c r="A151" s="77"/>
      <c r="B151" s="76">
        <f ca="1">IF(C151="", "", RAND())</f>
        <v>7.101593550635954E-2</v>
      </c>
      <c r="C151">
        <v>9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14.303425536881416</v>
      </c>
      <c r="AO151">
        <v>15.889569860591308</v>
      </c>
      <c r="AP151">
        <v>130.76081087257819</v>
      </c>
      <c r="AQ151">
        <v>33.668472827259556</v>
      </c>
      <c r="AR151">
        <v>14.826059649013894</v>
      </c>
      <c r="AS151">
        <v>204.8004522685012</v>
      </c>
      <c r="AT151">
        <v>7.908244727377288</v>
      </c>
      <c r="AU151">
        <v>4.6577357001688249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0">
        <v>146</v>
      </c>
      <c r="FZ151">
        <v>6.5713944264377515</v>
      </c>
      <c r="GA151">
        <v>23.194567856488252</v>
      </c>
      <c r="GB151">
        <v>8.893144220841485</v>
      </c>
      <c r="GC151">
        <v>0.85124697585761955</v>
      </c>
      <c r="GD151">
        <v>1.1083467661403883</v>
      </c>
      <c r="GE151">
        <v>2.1700454479167748</v>
      </c>
      <c r="GF151">
        <v>3.9862369251946674</v>
      </c>
      <c r="GG151">
        <v>2.4324324403942232</v>
      </c>
      <c r="GH151">
        <v>0.58144353567374973</v>
      </c>
      <c r="GI151">
        <v>6.3566553260105474</v>
      </c>
      <c r="GJ151"/>
      <c r="GK151"/>
      <c r="GL151"/>
      <c r="GM151"/>
    </row>
    <row r="152" spans="1:195" s="7" customFormat="1">
      <c r="A152" s="77"/>
      <c r="B152" s="76">
        <f ca="1">IF(C152="", "", RAND())</f>
        <v>0.37301319840246894</v>
      </c>
      <c r="C152">
        <v>2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34.722222222222221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9.8454861111111107</v>
      </c>
      <c r="AO152">
        <v>20.45387313692185</v>
      </c>
      <c r="AP152">
        <v>132.34223083000313</v>
      </c>
      <c r="AQ152">
        <v>36.497037781311661</v>
      </c>
      <c r="AR152">
        <v>18.961786217113186</v>
      </c>
      <c r="AS152">
        <v>88.799660729357456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69">IF(AZ152="", "", RAND())</f>
        <v>0.57673333032859286</v>
      </c>
      <c r="AZ152">
        <v>5</v>
      </c>
      <c r="BA152" s="129">
        <f t="shared" si="168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8"/>
        <v>0.85088899964379117</v>
      </c>
      <c r="CL152" s="179">
        <f t="shared" si="89"/>
        <v>5</v>
      </c>
      <c r="CM152" s="180">
        <f t="shared" si="9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0.18671940413507504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0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0</v>
      </c>
      <c r="FV152" s="149"/>
      <c r="FY152" s="210">
        <v>147</v>
      </c>
      <c r="FZ152">
        <v>4.5408593649099567</v>
      </c>
      <c r="GA152">
        <v>1.1736587576831998</v>
      </c>
      <c r="GB152">
        <v>0.44774017901127183</v>
      </c>
      <c r="GC152">
        <v>0.61937663602246562</v>
      </c>
      <c r="GD152">
        <v>0.76705792907283343</v>
      </c>
      <c r="GE152">
        <v>1.6573267201252588</v>
      </c>
      <c r="GF152">
        <v>4.1959912476349466</v>
      </c>
      <c r="GG152">
        <v>3.0552984226073874</v>
      </c>
      <c r="GH152">
        <v>0.23579423514790807</v>
      </c>
      <c r="GI152">
        <v>3.1221274266633605</v>
      </c>
      <c r="GJ152"/>
      <c r="GK152"/>
      <c r="GL152"/>
      <c r="GM152"/>
    </row>
    <row r="153" spans="1:195" s="7" customFormat="1">
      <c r="A153" s="77"/>
      <c r="B153" s="76">
        <f ca="1">IF(C153="", "", RAND())</f>
        <v>0.52441077151682602</v>
      </c>
      <c r="C153">
        <v>7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9.5451388888888875</v>
      </c>
      <c r="AO153">
        <v>19.230685449217088</v>
      </c>
      <c r="AP153">
        <v>159.05470586575333</v>
      </c>
      <c r="AQ153">
        <v>40.730383199220348</v>
      </c>
      <c r="AR153">
        <v>18.688913209607769</v>
      </c>
      <c r="AS153">
        <v>88.589683341658699</v>
      </c>
      <c r="AT153" t="e">
        <v>#DIV/0!</v>
      </c>
      <c r="AU153" t="e">
        <v>#DIV/0!</v>
      </c>
      <c r="AV153"/>
      <c r="AW153"/>
      <c r="AX153" s="151"/>
      <c r="AY153" s="76">
        <f t="shared" ca="1" si="169"/>
        <v>0.79420563725061211</v>
      </c>
      <c r="AZ153">
        <v>6</v>
      </c>
      <c r="BA153" s="129">
        <f t="shared" si="168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4">IF(AZ153="", "", RAND())</f>
        <v>0.11199554650199772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0.27920924274799308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0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0</v>
      </c>
      <c r="FV153" s="149"/>
      <c r="FY153" s="210">
        <v>148</v>
      </c>
      <c r="FZ153">
        <v>0.60043358552420678</v>
      </c>
      <c r="GA153">
        <v>5.8932059088606996</v>
      </c>
      <c r="GB153">
        <v>2.5484366318525815</v>
      </c>
      <c r="GC153">
        <v>0.2166355788781627</v>
      </c>
      <c r="GD153">
        <v>0.58909040050230277</v>
      </c>
      <c r="GE153">
        <v>1.6535668888463477</v>
      </c>
      <c r="GF153">
        <v>3.3698931674309573</v>
      </c>
      <c r="GG153">
        <v>2.2342051518878385</v>
      </c>
      <c r="GH153">
        <v>0.92709283619959149</v>
      </c>
      <c r="GI153">
        <v>2.9350260850184733</v>
      </c>
      <c r="GJ153"/>
      <c r="GK153"/>
      <c r="GL153"/>
      <c r="GM153"/>
    </row>
    <row r="154" spans="1:195" s="7" customFormat="1">
      <c r="A154" s="77"/>
      <c r="B154" s="76">
        <f ca="1">IF(C154="", "", RAND())</f>
        <v>2.4218721996250636E-2</v>
      </c>
      <c r="C154">
        <v>8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13.773393732492996</v>
      </c>
      <c r="AO154">
        <v>16.810330486767675</v>
      </c>
      <c r="AP154">
        <v>122.09442711905045</v>
      </c>
      <c r="AQ154">
        <v>32.633710619144892</v>
      </c>
      <c r="AR154">
        <v>15.994903114789963</v>
      </c>
      <c r="AS154">
        <v>89.993652395911056</v>
      </c>
      <c r="AT154">
        <v>8.3007300812431737</v>
      </c>
      <c r="AU154">
        <v>-35.52927700822579</v>
      </c>
      <c r="AV154"/>
      <c r="AW154"/>
      <c r="AX154" s="151"/>
      <c r="AY154" s="76">
        <f t="shared" ca="1" si="169"/>
        <v>0.88400530367102803</v>
      </c>
      <c r="AZ154">
        <v>7</v>
      </c>
      <c r="BA154" s="129">
        <f t="shared" si="168"/>
        <v>39847</v>
      </c>
      <c r="BB154">
        <v>0</v>
      </c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4"/>
        <v>9.2114638356986411E-2</v>
      </c>
      <c r="CL154" s="179">
        <f t="shared" si="205"/>
        <v>7</v>
      </c>
      <c r="CM154" s="180">
        <f t="shared" si="206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0.40550518666938551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0</v>
      </c>
      <c r="DK154" s="161">
        <f t="shared" si="214"/>
        <v>0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0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</v>
      </c>
      <c r="EU154" s="139">
        <f t="shared" si="177"/>
        <v>0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0</v>
      </c>
      <c r="FV154" s="149"/>
      <c r="FY154" s="210">
        <v>149</v>
      </c>
      <c r="FZ154">
        <v>5.6311456278838934</v>
      </c>
      <c r="GA154">
        <v>8.0103756821545531</v>
      </c>
      <c r="GB154">
        <v>1.314091077888051</v>
      </c>
      <c r="GC154">
        <v>0.97477126006307035</v>
      </c>
      <c r="GD154">
        <v>0.76669933110630006</v>
      </c>
      <c r="GE154">
        <v>0.6912987236177397</v>
      </c>
      <c r="GF154">
        <v>1.1578329703221295</v>
      </c>
      <c r="GG154">
        <v>0.24723722493565062</v>
      </c>
      <c r="GH154">
        <v>0.17282465026292085</v>
      </c>
      <c r="GI154">
        <v>2.4082646424756806</v>
      </c>
      <c r="GJ154"/>
      <c r="GK154"/>
      <c r="GL154"/>
      <c r="GM154"/>
    </row>
    <row r="155" spans="1:195" s="7" customFormat="1">
      <c r="A155" s="77"/>
      <c r="B155" s="76">
        <f ca="1">IF(C155="", "", RAND())</f>
        <v>0.56602565798907412</v>
      </c>
      <c r="C155">
        <v>6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12.374088176937443</v>
      </c>
      <c r="AO155">
        <v>17.256849547520577</v>
      </c>
      <c r="AP155">
        <v>165.72981201644382</v>
      </c>
      <c r="AQ155">
        <v>45.031443926565217</v>
      </c>
      <c r="AR155">
        <v>16.467542748238646</v>
      </c>
      <c r="AS155">
        <v>96.095072845689799</v>
      </c>
      <c r="AT155">
        <v>10.661376370581332</v>
      </c>
      <c r="AU155">
        <v>-66.035862386400467</v>
      </c>
      <c r="AV155"/>
      <c r="AW155"/>
      <c r="AX155" s="151"/>
      <c r="AY155" s="76">
        <f t="shared" ca="1" si="169"/>
        <v>0.92928296871053995</v>
      </c>
      <c r="AZ155">
        <v>8</v>
      </c>
      <c r="BA155" s="129">
        <f t="shared" si="168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4"/>
        <v>3.4057274810556315E-2</v>
      </c>
      <c r="CL155" s="179">
        <f t="shared" si="205"/>
        <v>8</v>
      </c>
      <c r="CM155" s="180">
        <f t="shared" si="206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0.11123088836017825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0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</v>
      </c>
      <c r="FV155" s="149"/>
      <c r="FY155" s="210">
        <v>150</v>
      </c>
      <c r="FZ155">
        <v>6.2315792134081001</v>
      </c>
      <c r="GA155">
        <v>5.8397299960430775</v>
      </c>
      <c r="GB155">
        <v>0.89417249357919903</v>
      </c>
      <c r="GC155">
        <v>0.26570389425315916</v>
      </c>
      <c r="GD155">
        <v>0.53144203667241685</v>
      </c>
      <c r="GE155">
        <v>1.0640381520974413</v>
      </c>
      <c r="GF155">
        <v>3.3591496876608171</v>
      </c>
      <c r="GG155">
        <v>2.8783726661173508</v>
      </c>
      <c r="GH155">
        <v>0.17282465026292085</v>
      </c>
      <c r="GI155">
        <v>3.6167103131998699</v>
      </c>
      <c r="GJ155"/>
      <c r="GK155"/>
      <c r="GL155"/>
      <c r="GM155"/>
    </row>
    <row r="156" spans="1:195" s="7" customFormat="1">
      <c r="A156" s="77"/>
      <c r="B156" s="76">
        <f ca="1">IF(C156="", "", RAND())</f>
        <v>0.90659605552059674</v>
      </c>
      <c r="C156">
        <v>1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10.416666666666666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12.532490079365079</v>
      </c>
      <c r="AO156">
        <v>13.43593007560051</v>
      </c>
      <c r="AP156">
        <v>98.417864399165055</v>
      </c>
      <c r="AQ156">
        <v>33.800574068890938</v>
      </c>
      <c r="AR156">
        <v>12.465508494710829</v>
      </c>
      <c r="AS156">
        <v>83.179240234207185</v>
      </c>
      <c r="AT156" t="e">
        <v>#DIV/0!</v>
      </c>
      <c r="AU156" t="e">
        <v>#DIV/0!</v>
      </c>
      <c r="AV156"/>
      <c r="AW156"/>
      <c r="AX156" s="151"/>
      <c r="AY156" s="76">
        <f t="shared" ca="1" si="169"/>
        <v>0.37077899050092444</v>
      </c>
      <c r="AZ156">
        <v>9</v>
      </c>
      <c r="BA156" s="129">
        <f t="shared" si="168"/>
        <v>39847</v>
      </c>
      <c r="BB156">
        <v>0</v>
      </c>
      <c r="BC156"/>
      <c r="BD156"/>
      <c r="BE156"/>
      <c r="BF156">
        <v>1</v>
      </c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4"/>
        <v>0.7332900565501701</v>
      </c>
      <c r="CL156" s="179">
        <f t="shared" si="205"/>
        <v>9</v>
      </c>
      <c r="CM156" s="180">
        <f t="shared" si="206"/>
        <v>39847</v>
      </c>
      <c r="CN156" s="219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0.49398803938801428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0</v>
      </c>
      <c r="DJ156" s="161">
        <f t="shared" si="213"/>
        <v>10.416666666666666</v>
      </c>
      <c r="DK156" s="161">
        <f t="shared" si="214"/>
        <v>0</v>
      </c>
      <c r="DL156" s="161">
        <f t="shared" si="215"/>
        <v>0</v>
      </c>
      <c r="DM156" s="161">
        <f t="shared" si="216"/>
        <v>0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10.416666666666666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0</v>
      </c>
      <c r="ET156" s="139">
        <f t="shared" si="176"/>
        <v>1.1551241669112939</v>
      </c>
      <c r="EU156" s="139">
        <f t="shared" si="177"/>
        <v>0</v>
      </c>
      <c r="EV156" s="139">
        <f t="shared" si="178"/>
        <v>0</v>
      </c>
      <c r="EW156" s="139">
        <f t="shared" si="179"/>
        <v>0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1.1551241669112939</v>
      </c>
      <c r="FV156" s="149"/>
      <c r="FY156" s="210">
        <v>151</v>
      </c>
      <c r="FZ156">
        <v>3.4433602493297526</v>
      </c>
      <c r="GA156">
        <v>8.8161692530274394</v>
      </c>
      <c r="GB156">
        <v>2.6182374905620733</v>
      </c>
      <c r="GC156">
        <v>0.31405038981192124</v>
      </c>
      <c r="GD156">
        <v>0.19573537994164167</v>
      </c>
      <c r="GE156">
        <v>0.7232887277795661</v>
      </c>
      <c r="GF156">
        <v>3.5051631059098671</v>
      </c>
      <c r="GG156">
        <v>2.4324324403942232</v>
      </c>
      <c r="GH156">
        <v>0.23579423514790807</v>
      </c>
      <c r="GI156">
        <v>2.7822009320893555</v>
      </c>
      <c r="GJ156"/>
      <c r="GK156"/>
      <c r="GL156"/>
      <c r="GM156"/>
    </row>
    <row r="157" spans="1:195" s="7" customFormat="1">
      <c r="A157" s="77"/>
      <c r="B157" s="76">
        <f ca="1">IF(C157="", "", RAND())</f>
        <v>0.32641031864236925</v>
      </c>
      <c r="C157">
        <v>10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10.416666666666666</v>
      </c>
      <c r="J157">
        <v>0</v>
      </c>
      <c r="K157">
        <v>0</v>
      </c>
      <c r="L157">
        <v>10.416666666666666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9.4859652194211002</v>
      </c>
      <c r="AO157">
        <v>18.67105371977733</v>
      </c>
      <c r="AP157">
        <v>163.04850698453976</v>
      </c>
      <c r="AQ157">
        <v>30.944258490426115</v>
      </c>
      <c r="AR157">
        <v>17.736123313140126</v>
      </c>
      <c r="AS157">
        <v>78.162781690618942</v>
      </c>
      <c r="AT157">
        <v>8.6276513269981141</v>
      </c>
      <c r="AU157">
        <v>3.6817928223520444</v>
      </c>
      <c r="AV157"/>
      <c r="AW157"/>
      <c r="AX157" s="151"/>
      <c r="AY157" s="76">
        <f t="shared" ca="1" si="169"/>
        <v>0.58253469499089316</v>
      </c>
      <c r="AZ157">
        <v>10</v>
      </c>
      <c r="BA157" s="129">
        <f t="shared" si="168"/>
        <v>39847</v>
      </c>
      <c r="BB157">
        <v>0</v>
      </c>
      <c r="BC157"/>
      <c r="BD157"/>
      <c r="BE157"/>
      <c r="BF157">
        <v>1</v>
      </c>
      <c r="BG157"/>
      <c r="BH157"/>
      <c r="BI157">
        <v>1</v>
      </c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4"/>
        <v>0.98694199639225477</v>
      </c>
      <c r="CL157" s="179">
        <f t="shared" si="205"/>
        <v>10</v>
      </c>
      <c r="CM157" s="180">
        <f t="shared" si="206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0.60491195286991295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10.416666666666666</v>
      </c>
      <c r="DK157" s="161">
        <f t="shared" si="214"/>
        <v>0</v>
      </c>
      <c r="DL157" s="161">
        <f t="shared" si="215"/>
        <v>0</v>
      </c>
      <c r="DM157" s="161">
        <f t="shared" si="216"/>
        <v>10.416666666666666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20.833333333333332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1.1551241669112939</v>
      </c>
      <c r="EU157" s="139">
        <f t="shared" si="177"/>
        <v>0</v>
      </c>
      <c r="EV157" s="139">
        <f t="shared" si="178"/>
        <v>0</v>
      </c>
      <c r="EW157" s="139">
        <f t="shared" si="179"/>
        <v>5.1776506836214296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6.3327748505327239</v>
      </c>
      <c r="FV157" s="149"/>
      <c r="FY157" s="210">
        <v>152</v>
      </c>
      <c r="FZ157">
        <v>7.8649682190187704</v>
      </c>
      <c r="GA157">
        <v>13.883162084047894</v>
      </c>
      <c r="GB157">
        <v>5.1690075802722131</v>
      </c>
      <c r="GC157">
        <v>1.1123942102607207</v>
      </c>
      <c r="GD157">
        <v>1.0668487516626584</v>
      </c>
      <c r="GE157">
        <v>1.4030527041643988</v>
      </c>
      <c r="GF157">
        <v>3.5467729043737508</v>
      </c>
      <c r="GG157">
        <v>2.4324324403942232</v>
      </c>
      <c r="GH157">
        <v>0.58144353567374973</v>
      </c>
      <c r="GI157">
        <v>4.1662499443838392</v>
      </c>
      <c r="GJ157"/>
      <c r="GK157"/>
      <c r="GL157"/>
      <c r="GM157"/>
    </row>
    <row r="158" spans="1:195" s="7" customFormat="1">
      <c r="A158" s="128"/>
      <c r="B158" s="76">
        <f ca="1">IF(C158="", "", RAND())</f>
        <v>0.99386019126734659</v>
      </c>
      <c r="C158">
        <v>7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8.6806576797385624</v>
      </c>
      <c r="AO158">
        <v>12.916849917821732</v>
      </c>
      <c r="AP158">
        <v>101.79234202295936</v>
      </c>
      <c r="AQ158">
        <v>29.215303051177631</v>
      </c>
      <c r="AR158">
        <v>12.867905264742884</v>
      </c>
      <c r="AS158">
        <v>66.800681594462148</v>
      </c>
      <c r="AT158">
        <v>6.2372486468091921</v>
      </c>
      <c r="AU158">
        <v>4.3902130176601677</v>
      </c>
      <c r="AV158"/>
      <c r="AW158"/>
      <c r="AX158" s="128"/>
      <c r="AY158" s="76">
        <f t="shared" ca="1" si="169"/>
        <v>0.26503782378100604</v>
      </c>
      <c r="AZ158">
        <v>1</v>
      </c>
      <c r="BA158" s="129">
        <f>IF(AZ158="", "",$C$11)</f>
        <v>39910</v>
      </c>
      <c r="BB158">
        <v>0</v>
      </c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4"/>
        <v>0.43415285786819546</v>
      </c>
      <c r="CL158" s="179">
        <f t="shared" si="205"/>
        <v>1</v>
      </c>
      <c r="CM158" s="180">
        <f t="shared" si="206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0.3559108390321104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0</v>
      </c>
      <c r="DJ158" s="161">
        <f t="shared" si="213"/>
        <v>0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0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</v>
      </c>
      <c r="ET158" s="139">
        <f t="shared" si="176"/>
        <v>0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0</v>
      </c>
      <c r="FV158" s="149"/>
      <c r="FY158" s="210">
        <v>153</v>
      </c>
      <c r="FZ158">
        <v>10.83537170306154</v>
      </c>
      <c r="GA158">
        <v>13.903581591015254</v>
      </c>
      <c r="GB158">
        <v>3.8089664174608906</v>
      </c>
      <c r="GC158">
        <v>0.19719572321905338</v>
      </c>
      <c r="GD158">
        <v>0.52210471881318754</v>
      </c>
      <c r="GE158">
        <v>1.1397055787462154</v>
      </c>
      <c r="GF158">
        <v>2.1127237552920644</v>
      </c>
      <c r="GG158">
        <v>1.7397307020165371</v>
      </c>
      <c r="GH158">
        <v>0.23579423514790807</v>
      </c>
      <c r="GI158">
        <v>4.8438962389549722</v>
      </c>
      <c r="GJ158"/>
      <c r="GK158"/>
      <c r="GL158"/>
      <c r="GM158"/>
    </row>
    <row r="159" spans="1:195" s="7" customFormat="1">
      <c r="A159" s="1"/>
      <c r="B159" s="76">
        <f ca="1">IF(C159="", "", RAND())</f>
        <v>0.15590736571981534</v>
      </c>
      <c r="C159">
        <v>5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15.080087243230626</v>
      </c>
      <c r="AO159">
        <v>21.207446995879383</v>
      </c>
      <c r="AP159">
        <v>161.51991110752863</v>
      </c>
      <c r="AQ159">
        <v>33.027138194747259</v>
      </c>
      <c r="AR159">
        <v>19.689301185833919</v>
      </c>
      <c r="AS159">
        <v>278.12041109576762</v>
      </c>
      <c r="AT159">
        <v>10.100227360357332</v>
      </c>
      <c r="AU159">
        <v>-7.9045712174010587</v>
      </c>
      <c r="AV159"/>
      <c r="AW159"/>
      <c r="AX159" s="146"/>
      <c r="AY159" s="76">
        <f t="shared" ca="1" si="169"/>
        <v>0.89211508176882992</v>
      </c>
      <c r="AZ159">
        <v>2</v>
      </c>
      <c r="BA159" s="129">
        <f t="shared" ref="BA159:BA167" si="241">IF(AZ159="", "",$C$11)</f>
        <v>39910</v>
      </c>
      <c r="BB159">
        <v>0</v>
      </c>
      <c r="BC159"/>
      <c r="BD159"/>
      <c r="BE159"/>
      <c r="BF159"/>
      <c r="BG159"/>
      <c r="BH159"/>
      <c r="BI159"/>
      <c r="BJ159">
        <v>1</v>
      </c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4"/>
        <v>0.24375279422731655</v>
      </c>
      <c r="CL159" s="179">
        <f t="shared" si="205"/>
        <v>2</v>
      </c>
      <c r="CM159" s="180">
        <f t="shared" si="206"/>
        <v>39910</v>
      </c>
      <c r="CN159" s="220">
        <v>0</v>
      </c>
      <c r="CO159" s="220"/>
      <c r="CP159" s="220"/>
      <c r="CQ159" s="220"/>
      <c r="CR159" s="220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0.8828493026481492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0</v>
      </c>
      <c r="DJ159" s="161">
        <f t="shared" si="213"/>
        <v>0</v>
      </c>
      <c r="DK159" s="161">
        <f t="shared" si="214"/>
        <v>0</v>
      </c>
      <c r="DL159" s="161">
        <f t="shared" si="215"/>
        <v>0</v>
      </c>
      <c r="DM159" s="161">
        <f t="shared" si="216"/>
        <v>0</v>
      </c>
      <c r="DN159" s="161">
        <f t="shared" si="217"/>
        <v>10.416666666666666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10.416666666666666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0</v>
      </c>
      <c r="ET159" s="139">
        <f t="shared" si="176"/>
        <v>0</v>
      </c>
      <c r="EU159" s="139">
        <f t="shared" si="177"/>
        <v>0</v>
      </c>
      <c r="EV159" s="139">
        <f t="shared" si="178"/>
        <v>0</v>
      </c>
      <c r="EW159" s="139">
        <f t="shared" si="179"/>
        <v>0</v>
      </c>
      <c r="EX159" s="139">
        <f t="shared" si="180"/>
        <v>7.4061046667278276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7.4061046667278276</v>
      </c>
      <c r="FV159" s="149"/>
      <c r="FY159" s="210">
        <v>154</v>
      </c>
      <c r="FZ159">
        <v>12.244367933495276</v>
      </c>
      <c r="GA159">
        <v>9.3321424767197563</v>
      </c>
      <c r="GB159">
        <v>1.2966408632106781</v>
      </c>
      <c r="GC159">
        <v>1.4044827316147148</v>
      </c>
      <c r="GD159">
        <v>1.3208250105516728</v>
      </c>
      <c r="GE159">
        <v>1.6473045239562412</v>
      </c>
      <c r="GF159">
        <v>3.3153032409779692</v>
      </c>
      <c r="GG159">
        <v>1.7397307020165371</v>
      </c>
      <c r="GH159">
        <v>0.40861888541082891</v>
      </c>
      <c r="GI159">
        <v>4.1461189487870511</v>
      </c>
      <c r="GJ159"/>
      <c r="GK159"/>
      <c r="GL159"/>
      <c r="GM159"/>
    </row>
    <row r="160" spans="1:195" s="7" customFormat="1">
      <c r="A160" s="1"/>
      <c r="B160" s="76">
        <f ca="1">IF(C160="", "", RAND())</f>
        <v>0.51355365966554611</v>
      </c>
      <c r="C160">
        <v>10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10.416666666666666</v>
      </c>
      <c r="P160">
        <v>10.416666666666666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8.769819386087768</v>
      </c>
      <c r="AO160">
        <v>20.784871576538755</v>
      </c>
      <c r="AP160">
        <v>131.19734307693915</v>
      </c>
      <c r="AQ160">
        <v>22.773739068030928</v>
      </c>
      <c r="AR160">
        <v>19.306650976940553</v>
      </c>
      <c r="AS160">
        <v>244.35495503358837</v>
      </c>
      <c r="AT160">
        <v>9.6850011857111973</v>
      </c>
      <c r="AU160">
        <v>23.423196796201346</v>
      </c>
      <c r="AV160"/>
      <c r="AW160"/>
      <c r="AX160" s="146"/>
      <c r="AY160" s="76">
        <f t="shared" ca="1" si="169"/>
        <v>0.63870488774342071</v>
      </c>
      <c r="AZ160">
        <v>3</v>
      </c>
      <c r="BA160" s="129">
        <f t="shared" si="241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4"/>
        <v>0.4470058121752607</v>
      </c>
      <c r="CL160" s="179">
        <f t="shared" si="205"/>
        <v>3</v>
      </c>
      <c r="CM160" s="180">
        <f t="shared" si="206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0.29691013612603756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0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0</v>
      </c>
      <c r="FV160" s="149"/>
      <c r="FY160" s="210">
        <v>155</v>
      </c>
      <c r="FZ160">
        <v>3.8827145604593918</v>
      </c>
      <c r="GA160">
        <v>3.5436420867556286</v>
      </c>
      <c r="GB160">
        <v>1.0012950781386818</v>
      </c>
      <c r="GC160">
        <v>0.44453504616976541</v>
      </c>
      <c r="GD160">
        <v>0.90950825526862966</v>
      </c>
      <c r="GE160">
        <v>2.2976396043428404</v>
      </c>
      <c r="GF160">
        <v>2.7443864816950354</v>
      </c>
      <c r="GG160">
        <v>1.3155677205908503</v>
      </c>
      <c r="GH160">
        <v>0.3456493005258417</v>
      </c>
      <c r="GI160">
        <v>2.9694502202560913</v>
      </c>
      <c r="GJ160"/>
      <c r="GK160"/>
      <c r="GL160"/>
      <c r="GM160"/>
    </row>
    <row r="161" spans="1:195" s="7" customFormat="1">
      <c r="A161" s="1"/>
      <c r="B161" s="76">
        <f ca="1">IF(C161="", "", RAND())</f>
        <v>0.77896885577142716</v>
      </c>
      <c r="C161">
        <v>3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15.176193394024276</v>
      </c>
      <c r="AO161">
        <v>17.965664129820585</v>
      </c>
      <c r="AP161">
        <v>133.07823473615423</v>
      </c>
      <c r="AQ161">
        <v>39.777800206319661</v>
      </c>
      <c r="AR161">
        <v>18.01730442814749</v>
      </c>
      <c r="AS161">
        <v>98.12903881853066</v>
      </c>
      <c r="AT161">
        <v>8.3451283160379166</v>
      </c>
      <c r="AU161">
        <v>66.898934338575771</v>
      </c>
      <c r="AV161"/>
      <c r="AW161"/>
      <c r="AX161" s="146"/>
      <c r="AY161" s="76">
        <f t="shared" ca="1" si="169"/>
        <v>2.7604236907323276E-2</v>
      </c>
      <c r="AZ161">
        <v>4</v>
      </c>
      <c r="BA161" s="129">
        <f t="shared" si="241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4"/>
        <v>0.25043224565134814</v>
      </c>
      <c r="CL161" s="179">
        <f t="shared" si="205"/>
        <v>4</v>
      </c>
      <c r="CM161" s="180">
        <f t="shared" si="206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0.84056801089019118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0">
        <v>156</v>
      </c>
      <c r="FZ161">
        <v>3.6583217852824563</v>
      </c>
      <c r="GA161">
        <v>8.0103756821545531</v>
      </c>
      <c r="GB161">
        <v>1.4524821470594125</v>
      </c>
      <c r="GC161">
        <v>0.44170026859100586</v>
      </c>
      <c r="GD161">
        <v>0.70623588226628686</v>
      </c>
      <c r="GE161">
        <v>1.7411852847098785</v>
      </c>
      <c r="GF161">
        <v>1.7703595280689481</v>
      </c>
      <c r="GG161">
        <v>0.49447444987130124</v>
      </c>
      <c r="GH161">
        <v>0.17282465026292085</v>
      </c>
      <c r="GI161">
        <v>2.9572989366610134</v>
      </c>
      <c r="GJ161"/>
      <c r="GK161"/>
      <c r="GL161"/>
      <c r="GM161"/>
    </row>
    <row r="162" spans="1:195" s="7" customFormat="1">
      <c r="A162" s="1"/>
      <c r="B162" s="76">
        <f ca="1">IF(C162="", "", RAND())</f>
        <v>0.56920937114035919</v>
      </c>
      <c r="C162">
        <v>8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10.416666666666666</v>
      </c>
      <c r="M162">
        <v>0</v>
      </c>
      <c r="N162">
        <v>0</v>
      </c>
      <c r="O162">
        <v>10.416666666666666</v>
      </c>
      <c r="P162">
        <v>0</v>
      </c>
      <c r="Q162">
        <v>0</v>
      </c>
      <c r="R162">
        <v>10.416666666666666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13.558984010270771</v>
      </c>
      <c r="AO162">
        <v>19.62336391693405</v>
      </c>
      <c r="AP162">
        <v>150.82695540201027</v>
      </c>
      <c r="AQ162">
        <v>56.145513920955459</v>
      </c>
      <c r="AR162">
        <v>19.120872559944942</v>
      </c>
      <c r="AS162">
        <v>98.482984833662144</v>
      </c>
      <c r="AT162">
        <v>7.951035912350469</v>
      </c>
      <c r="AU162">
        <v>-18.572610491732682</v>
      </c>
      <c r="AV162"/>
      <c r="AW162"/>
      <c r="AX162" s="146"/>
      <c r="AY162" s="76">
        <f t="shared" ca="1" si="169"/>
        <v>0.69657711728761385</v>
      </c>
      <c r="AZ162">
        <v>5</v>
      </c>
      <c r="BA162" s="129">
        <f t="shared" si="241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4"/>
        <v>0.93363663681544695</v>
      </c>
      <c r="CL162" s="179">
        <f t="shared" si="205"/>
        <v>5</v>
      </c>
      <c r="CM162" s="180">
        <f t="shared" si="206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0.66631142689958001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0">
        <v>157</v>
      </c>
      <c r="FZ162">
        <v>7.7654291209187836</v>
      </c>
      <c r="GA162">
        <v>8.0411857812661456</v>
      </c>
      <c r="GB162">
        <v>2.8391248787674961</v>
      </c>
      <c r="GC162">
        <v>0.76449253401754913</v>
      </c>
      <c r="GD162">
        <v>0.70697905625499424</v>
      </c>
      <c r="GE162">
        <v>1.4238422591784017</v>
      </c>
      <c r="GF162">
        <v>2.8936258194380091</v>
      </c>
      <c r="GG162">
        <v>1.4924934770808866</v>
      </c>
      <c r="GH162">
        <v>0.58144353567374973</v>
      </c>
      <c r="GI162">
        <v>3.3687556794100839</v>
      </c>
      <c r="GJ162"/>
      <c r="GK162"/>
      <c r="GL162"/>
      <c r="GM162"/>
    </row>
    <row r="163" spans="1:195" s="7" customFormat="1">
      <c r="A163" s="1"/>
      <c r="B163" s="76">
        <f ca="1">IF(C163="", "", RAND())</f>
        <v>0.19194638321106638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8.7436755952380967</v>
      </c>
      <c r="AO163">
        <v>11.52408327172073</v>
      </c>
      <c r="AP163">
        <v>87.885565286435082</v>
      </c>
      <c r="AQ163">
        <v>19.815230918878587</v>
      </c>
      <c r="AR163">
        <v>11.192964370754407</v>
      </c>
      <c r="AS163">
        <v>63.525283344694913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0.12012216293619349</v>
      </c>
      <c r="AZ163">
        <v>6</v>
      </c>
      <c r="BA163" s="129">
        <f t="shared" si="241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4"/>
        <v>0.5578963428678485</v>
      </c>
      <c r="CL163" s="179">
        <f t="shared" si="205"/>
        <v>6</v>
      </c>
      <c r="CM163" s="180">
        <f t="shared" si="206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0.34593573170720004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0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0</v>
      </c>
      <c r="FV163" s="149"/>
      <c r="FY163" s="210">
        <v>158</v>
      </c>
      <c r="FZ163">
        <v>8.4947949252932151</v>
      </c>
      <c r="GA163">
        <v>15.92643643755677</v>
      </c>
      <c r="GB163">
        <v>3.3636569125028997</v>
      </c>
      <c r="GC163">
        <v>0.75416480864135649</v>
      </c>
      <c r="GD163">
        <v>0.90081042254164145</v>
      </c>
      <c r="GE163">
        <v>1.7894107577606571</v>
      </c>
      <c r="GF163">
        <v>6.6559972430996348</v>
      </c>
      <c r="GG163">
        <v>5.3108051065115749</v>
      </c>
      <c r="GH163">
        <v>0.40861888541082891</v>
      </c>
      <c r="GI163">
        <v>4.893138911378081</v>
      </c>
      <c r="GJ163"/>
      <c r="GK163"/>
      <c r="GL163"/>
      <c r="GM163"/>
    </row>
    <row r="164" spans="1:195" s="7" customFormat="1">
      <c r="A164" s="1"/>
      <c r="B164" s="76">
        <f ca="1">IF(C164="", "", RAND())</f>
        <v>8.2139451291648236E-2</v>
      </c>
      <c r="C164">
        <v>4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7.7660334967320264</v>
      </c>
      <c r="AO164">
        <v>14.825827852600487</v>
      </c>
      <c r="AP164">
        <v>111.98483064854516</v>
      </c>
      <c r="AQ164">
        <v>20.967586235001161</v>
      </c>
      <c r="AR164">
        <v>13.816049924046707</v>
      </c>
      <c r="AS164">
        <v>62.359208747394405</v>
      </c>
      <c r="AT164" t="e">
        <v>#DIV/0!</v>
      </c>
      <c r="AU164" t="e">
        <v>#DIV/0!</v>
      </c>
      <c r="AV164"/>
      <c r="AW164"/>
      <c r="AX164" s="146"/>
      <c r="AY164" s="76">
        <f t="shared" ca="1" si="169"/>
        <v>0.94161442023363318</v>
      </c>
      <c r="AZ164">
        <v>7</v>
      </c>
      <c r="BA164" s="129">
        <f t="shared" si="241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4"/>
        <v>0.19372744132854569</v>
      </c>
      <c r="CL164" s="179">
        <f t="shared" si="205"/>
        <v>7</v>
      </c>
      <c r="CM164" s="180">
        <f t="shared" si="206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0.13948447839323963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0">
        <v>159</v>
      </c>
      <c r="FZ164">
        <v>6.1734876184428575</v>
      </c>
      <c r="GA164">
        <v>14.604669642991567</v>
      </c>
      <c r="GB164">
        <v>3.2252658433315382</v>
      </c>
      <c r="GC164">
        <v>0.68113877812519097</v>
      </c>
      <c r="GD164">
        <v>0.65078385708996533</v>
      </c>
      <c r="GE164">
        <v>1.0734304468943012</v>
      </c>
      <c r="GF164">
        <v>2.5311361522837794</v>
      </c>
      <c r="GG164">
        <v>1.788264926164711</v>
      </c>
      <c r="GH164">
        <v>0.47158847029581613</v>
      </c>
      <c r="GI164">
        <v>3.6398891990312783</v>
      </c>
      <c r="GJ164"/>
      <c r="GK164"/>
      <c r="GL164"/>
      <c r="GM164"/>
    </row>
    <row r="165" spans="1:195" s="7" customFormat="1">
      <c r="A165" s="1"/>
      <c r="B165" s="76">
        <f ca="1">IF(C165="", "", RAND())</f>
        <v>0.91006106669027642</v>
      </c>
      <c r="C165">
        <v>2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10.416666666666666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7.7715554971988796</v>
      </c>
      <c r="AO165">
        <v>18.936264702127595</v>
      </c>
      <c r="AP165">
        <v>148.15306567609852</v>
      </c>
      <c r="AQ165">
        <v>21.374541190709991</v>
      </c>
      <c r="AR165">
        <v>17.991705242590324</v>
      </c>
      <c r="AS165">
        <v>201.20168347255185</v>
      </c>
      <c r="AT165">
        <v>11.640407693857233</v>
      </c>
      <c r="AU165">
        <v>-60.9271758464741</v>
      </c>
      <c r="AV165"/>
      <c r="AW165"/>
      <c r="AX165" s="146"/>
      <c r="AY165" s="76">
        <f t="shared" ca="1" si="169"/>
        <v>0.95255207552367649</v>
      </c>
      <c r="AZ165">
        <v>8</v>
      </c>
      <c r="BA165" s="129">
        <f t="shared" si="241"/>
        <v>39910</v>
      </c>
      <c r="BB165">
        <v>0</v>
      </c>
      <c r="BC165"/>
      <c r="BD165"/>
      <c r="BE165"/>
      <c r="BF165"/>
      <c r="BG165"/>
      <c r="BH165"/>
      <c r="BI165">
        <v>1</v>
      </c>
      <c r="BJ165"/>
      <c r="BK165"/>
      <c r="BL165">
        <v>1</v>
      </c>
      <c r="BM165"/>
      <c r="BN165"/>
      <c r="BO165">
        <v>1</v>
      </c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4"/>
        <v>0.50499976386822354</v>
      </c>
      <c r="CL165" s="179">
        <f t="shared" si="205"/>
        <v>8</v>
      </c>
      <c r="CM165" s="180">
        <f t="shared" si="206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0.26526510644259305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0</v>
      </c>
      <c r="DK165" s="161">
        <f t="shared" si="214"/>
        <v>0</v>
      </c>
      <c r="DL165" s="161">
        <f t="shared" si="215"/>
        <v>0</v>
      </c>
      <c r="DM165" s="161">
        <f t="shared" si="216"/>
        <v>10.416666666666666</v>
      </c>
      <c r="DN165" s="161">
        <f t="shared" si="217"/>
        <v>0</v>
      </c>
      <c r="DO165" s="161">
        <f t="shared" si="218"/>
        <v>0</v>
      </c>
      <c r="DP165" s="161">
        <f t="shared" si="219"/>
        <v>10.416666666666666</v>
      </c>
      <c r="DQ165" s="161">
        <f t="shared" si="220"/>
        <v>0</v>
      </c>
      <c r="DR165" s="161">
        <f t="shared" si="221"/>
        <v>0</v>
      </c>
      <c r="DS165" s="161">
        <f t="shared" si="222"/>
        <v>10.416666666666666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31.25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0</v>
      </c>
      <c r="EU165" s="139">
        <f t="shared" si="177"/>
        <v>0</v>
      </c>
      <c r="EV165" s="139">
        <f t="shared" si="178"/>
        <v>0</v>
      </c>
      <c r="EW165" s="139">
        <f t="shared" si="179"/>
        <v>5.1776506836214296</v>
      </c>
      <c r="EX165" s="139">
        <f t="shared" si="180"/>
        <v>0</v>
      </c>
      <c r="EY165" s="139">
        <f t="shared" si="181"/>
        <v>0</v>
      </c>
      <c r="EZ165" s="139">
        <f t="shared" si="182"/>
        <v>13.470177521404837</v>
      </c>
      <c r="FA165" s="139">
        <f t="shared" si="183"/>
        <v>0</v>
      </c>
      <c r="FB165" s="139">
        <f t="shared" si="184"/>
        <v>0</v>
      </c>
      <c r="FC165" s="139">
        <f t="shared" si="185"/>
        <v>27.215574329837107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45.863402534863368</v>
      </c>
      <c r="FV165" s="149"/>
      <c r="FY165" s="210">
        <v>160</v>
      </c>
      <c r="FZ165">
        <v>7.8649682190187704</v>
      </c>
      <c r="GA165">
        <v>20.793774428304232</v>
      </c>
      <c r="GB165">
        <v>6.7248831509525182</v>
      </c>
      <c r="GC165">
        <v>0.92272904578989945</v>
      </c>
      <c r="GD165">
        <v>1.2944329752588177</v>
      </c>
      <c r="GE165">
        <v>1.6411821511584987</v>
      </c>
      <c r="GF165">
        <v>2.1864498504012042</v>
      </c>
      <c r="GG165">
        <v>1.7397307020165371</v>
      </c>
      <c r="GH165">
        <v>0.23579423514790807</v>
      </c>
      <c r="GI165">
        <v>6.1411898489304662</v>
      </c>
      <c r="GJ165"/>
      <c r="GK165"/>
      <c r="GL165"/>
      <c r="GM165"/>
    </row>
    <row r="166" spans="1:195" s="7" customFormat="1">
      <c r="A166" s="1"/>
      <c r="B166" s="76">
        <f ca="1">IF(C166="", "", RAND())</f>
        <v>0.69732235378602603</v>
      </c>
      <c r="C166">
        <v>6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8.4078402194211019</v>
      </c>
      <c r="AO166">
        <v>22.030132630208065</v>
      </c>
      <c r="AP166">
        <v>158.26785908711483</v>
      </c>
      <c r="AQ166">
        <v>24.853723103294353</v>
      </c>
      <c r="AR166">
        <v>20.949623727854256</v>
      </c>
      <c r="AS166">
        <v>194.73365398951358</v>
      </c>
      <c r="AT166">
        <v>11.495419150200284</v>
      </c>
      <c r="AU166">
        <v>10.941763952102448</v>
      </c>
      <c r="AV166"/>
      <c r="AW166"/>
      <c r="AX166" s="146"/>
      <c r="AY166" s="76">
        <f t="shared" ca="1" si="169"/>
        <v>0.76847767867379257</v>
      </c>
      <c r="AZ166">
        <v>9</v>
      </c>
      <c r="BA166" s="129">
        <f t="shared" si="241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4"/>
        <v>0.48759796416340562</v>
      </c>
      <c r="CL166" s="179">
        <f t="shared" si="205"/>
        <v>9</v>
      </c>
      <c r="CM166" s="180">
        <f t="shared" si="206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0.14299152370373935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0</v>
      </c>
      <c r="DI166" s="161">
        <f t="shared" si="212"/>
        <v>0</v>
      </c>
      <c r="DJ166" s="161">
        <f t="shared" si="213"/>
        <v>0</v>
      </c>
      <c r="DK166" s="161">
        <f t="shared" si="214"/>
        <v>0</v>
      </c>
      <c r="DL166" s="161">
        <f t="shared" si="215"/>
        <v>0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0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0</v>
      </c>
      <c r="ES166" s="139">
        <f t="shared" si="175"/>
        <v>0</v>
      </c>
      <c r="ET166" s="139">
        <f t="shared" si="176"/>
        <v>0</v>
      </c>
      <c r="EU166" s="139">
        <f t="shared" si="177"/>
        <v>0</v>
      </c>
      <c r="EV166" s="139">
        <f t="shared" si="178"/>
        <v>0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0</v>
      </c>
      <c r="FV166" s="149"/>
      <c r="FY166" s="210">
        <v>161</v>
      </c>
      <c r="FZ166">
        <v>8.0101641536606092</v>
      </c>
      <c r="GA166">
        <v>18.549233322407773</v>
      </c>
      <c r="GB166">
        <v>5.6004109766580115</v>
      </c>
      <c r="GC166">
        <v>0.62626178627326068</v>
      </c>
      <c r="GD166">
        <v>0.82255051339899321</v>
      </c>
      <c r="GE166">
        <v>1.814710664120504</v>
      </c>
      <c r="GF166">
        <v>7.0482184016904119</v>
      </c>
      <c r="GG166">
        <v>5.4877308630016106</v>
      </c>
      <c r="GH166">
        <v>0.64441312055873701</v>
      </c>
      <c r="GI166">
        <v>6.5493335542745132</v>
      </c>
      <c r="GJ166"/>
      <c r="GK166"/>
      <c r="GL166"/>
      <c r="GM166"/>
    </row>
    <row r="167" spans="1:195" s="7" customFormat="1">
      <c r="A167" s="1"/>
      <c r="B167" s="76">
        <f ca="1">IF(C167="", "", RAND())</f>
        <v>0.94210266735595383</v>
      </c>
      <c r="C167">
        <v>1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10.573908730158731</v>
      </c>
      <c r="AO167">
        <v>12.274980206415103</v>
      </c>
      <c r="AP167">
        <v>108.32289822193374</v>
      </c>
      <c r="AQ167">
        <v>25.066432203993745</v>
      </c>
      <c r="AR167">
        <v>11.423239760581918</v>
      </c>
      <c r="AS167">
        <v>69.238015275084564</v>
      </c>
      <c r="AT167" t="e">
        <v>#DIV/0!</v>
      </c>
      <c r="AU167" t="e">
        <v>#DIV/0!</v>
      </c>
      <c r="AV167"/>
      <c r="AW167"/>
      <c r="AX167" s="146"/>
      <c r="AY167" s="76">
        <f t="shared" ca="1" si="169"/>
        <v>1.0328287577433315E-2</v>
      </c>
      <c r="AZ167">
        <v>10</v>
      </c>
      <c r="BA167" s="129">
        <f t="shared" si="241"/>
        <v>39910</v>
      </c>
      <c r="BB167">
        <v>0</v>
      </c>
      <c r="BC167"/>
      <c r="BD167"/>
      <c r="BE167"/>
      <c r="BF167"/>
      <c r="BG167"/>
      <c r="BH167"/>
      <c r="BI167"/>
      <c r="BJ167"/>
      <c r="BK167"/>
      <c r="BL167">
        <v>1</v>
      </c>
      <c r="BM167">
        <v>1</v>
      </c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4"/>
        <v>0.24011321245428086</v>
      </c>
      <c r="CL167" s="179">
        <f t="shared" si="205"/>
        <v>10</v>
      </c>
      <c r="CM167" s="180">
        <f t="shared" si="206"/>
        <v>39910</v>
      </c>
      <c r="CN167" s="221">
        <v>0</v>
      </c>
      <c r="CO167" s="221"/>
      <c r="CP167" s="221"/>
      <c r="CQ167" s="221"/>
      <c r="CR167" s="221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0.50098951532187552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0</v>
      </c>
      <c r="DK167" s="161">
        <f t="shared" si="214"/>
        <v>0</v>
      </c>
      <c r="DL167" s="161">
        <f t="shared" si="215"/>
        <v>0</v>
      </c>
      <c r="DM167" s="161">
        <f t="shared" si="216"/>
        <v>0</v>
      </c>
      <c r="DN167" s="161">
        <f t="shared" si="217"/>
        <v>0</v>
      </c>
      <c r="DO167" s="161">
        <f t="shared" si="218"/>
        <v>0</v>
      </c>
      <c r="DP167" s="161">
        <f t="shared" si="219"/>
        <v>10.416666666666666</v>
      </c>
      <c r="DQ167" s="161">
        <f t="shared" si="220"/>
        <v>10.416666666666666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20.833333333333332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0</v>
      </c>
      <c r="EU167" s="139">
        <f t="shared" si="177"/>
        <v>0</v>
      </c>
      <c r="EV167" s="139">
        <f t="shared" si="178"/>
        <v>0</v>
      </c>
      <c r="EW167" s="139">
        <f t="shared" si="179"/>
        <v>0</v>
      </c>
      <c r="EX167" s="139">
        <f t="shared" si="180"/>
        <v>0</v>
      </c>
      <c r="EY167" s="139">
        <f t="shared" si="181"/>
        <v>0</v>
      </c>
      <c r="EZ167" s="139">
        <f t="shared" si="182"/>
        <v>13.470177521404837</v>
      </c>
      <c r="FA167" s="139">
        <f t="shared" si="183"/>
        <v>17.391351164280781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30.86152868568562</v>
      </c>
      <c r="FV167" s="149"/>
      <c r="FY167" s="210">
        <v>162</v>
      </c>
      <c r="FZ167">
        <v>4.9221220810743525</v>
      </c>
      <c r="GA167">
        <v>15.299243805365437</v>
      </c>
      <c r="GB167">
        <v>4.519573248684658</v>
      </c>
      <c r="GC167">
        <v>0.73816752810764463</v>
      </c>
      <c r="GD167">
        <v>0.76909688972310453</v>
      </c>
      <c r="GE167">
        <v>1.0139984891344793</v>
      </c>
      <c r="GF167">
        <v>3.3101478684446848</v>
      </c>
      <c r="GG167">
        <v>2.8565954218199106</v>
      </c>
      <c r="GH167">
        <v>0.64441312055873701</v>
      </c>
      <c r="GI167">
        <v>4.3507981375547642</v>
      </c>
      <c r="GJ167"/>
      <c r="GK167"/>
      <c r="GL167"/>
      <c r="GM167"/>
    </row>
    <row r="168" spans="1:195" s="7" customFormat="1">
      <c r="A168" s="128"/>
      <c r="B168" s="76">
        <f ca="1">IF(C168="", "", RAND())</f>
        <v>0.14998316594210426</v>
      </c>
      <c r="C168">
        <v>2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10.416666666666666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11.548815359477123</v>
      </c>
      <c r="AO168">
        <v>16.409322184251582</v>
      </c>
      <c r="AP168">
        <v>128.27108625788492</v>
      </c>
      <c r="AQ168">
        <v>41.226332374252223</v>
      </c>
      <c r="AR168">
        <v>16.153342144568718</v>
      </c>
      <c r="AS168">
        <v>80.5274684832834</v>
      </c>
      <c r="AT168">
        <v>7.9697238562773478</v>
      </c>
      <c r="AU168">
        <v>-76.42510814312331</v>
      </c>
      <c r="AV168"/>
      <c r="AW168"/>
      <c r="AX168" s="128"/>
      <c r="AY168" s="76">
        <f t="shared" ca="1" si="169"/>
        <v>0.28219130402405312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>
        <v>1</v>
      </c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4"/>
        <v>0.88244203518130715</v>
      </c>
      <c r="CL168" s="179">
        <f t="shared" si="205"/>
        <v>1</v>
      </c>
      <c r="CM168" s="180">
        <f t="shared" si="206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0.83984944588920007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10.416666666666666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10.416666666666666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5.1776506836214296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5.1776506836214296</v>
      </c>
      <c r="FV168" s="149"/>
      <c r="FY168" s="210">
        <v>163</v>
      </c>
      <c r="FZ168">
        <v>5.2917107908931271</v>
      </c>
      <c r="GA168">
        <v>21.947013679020074</v>
      </c>
      <c r="GB168">
        <v>8.2907827837871366</v>
      </c>
      <c r="GC168">
        <v>1.054074643283393</v>
      </c>
      <c r="GD168">
        <v>0.81212556505651201</v>
      </c>
      <c r="GE168">
        <v>0.78228691706629527</v>
      </c>
      <c r="GF168">
        <v>6.1130306792036313</v>
      </c>
      <c r="GG168">
        <v>5.3108051065115749</v>
      </c>
      <c r="GH168">
        <v>0.40861888541082891</v>
      </c>
      <c r="GI168">
        <v>5.7569087605225189</v>
      </c>
      <c r="GJ168"/>
      <c r="GK168"/>
      <c r="GL168"/>
      <c r="GM168"/>
    </row>
    <row r="169" spans="1:195" s="7" customFormat="1">
      <c r="A169" s="1"/>
      <c r="B169" s="76">
        <f ca="1">IF(C169="", "", RAND())</f>
        <v>0.90765687004363382</v>
      </c>
      <c r="C169">
        <v>4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7.8070436507936503</v>
      </c>
      <c r="AO169">
        <v>23.034233217906486</v>
      </c>
      <c r="AP169">
        <v>161.44423644945778</v>
      </c>
      <c r="AQ169">
        <v>39.339070663727625</v>
      </c>
      <c r="AR169">
        <v>22.718808795849402</v>
      </c>
      <c r="AS169">
        <v>88.581642905923516</v>
      </c>
      <c r="AT169" t="e">
        <v>#DIV/0!</v>
      </c>
      <c r="AU169" t="e">
        <v>#DIV/0!</v>
      </c>
      <c r="AV169"/>
      <c r="AW169"/>
      <c r="AX169" s="146"/>
      <c r="AY169" s="76">
        <f t="shared" ca="1" si="169"/>
        <v>0.33229728057463248</v>
      </c>
      <c r="AZ169">
        <v>2</v>
      </c>
      <c r="BA169" s="129">
        <f t="shared" ref="BA169:BA177" si="243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>
        <v>1</v>
      </c>
      <c r="CC169"/>
      <c r="CD169"/>
      <c r="CE169"/>
      <c r="CF169"/>
      <c r="CG169" s="147"/>
      <c r="CH169" s="176"/>
      <c r="CJ169" s="146"/>
      <c r="CK169" s="76">
        <f t="shared" ca="1" si="204"/>
        <v>0.62378817300761757</v>
      </c>
      <c r="CL169" s="179">
        <f t="shared" si="205"/>
        <v>2</v>
      </c>
      <c r="CM169" s="180">
        <f t="shared" si="206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0.91267066264644914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10.416666666666666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10.416666666666666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174.49326905768331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174.49326905768331</v>
      </c>
      <c r="FV169" s="149"/>
      <c r="FY169" s="210">
        <v>164</v>
      </c>
      <c r="FZ169">
        <v>2.2911534340223501</v>
      </c>
      <c r="GA169">
        <v>2.2960879092874493</v>
      </c>
      <c r="GB169">
        <v>0.27799278659034521</v>
      </c>
      <c r="GC169">
        <v>0.71743685545366109</v>
      </c>
      <c r="GD169">
        <v>0.71629823804319703</v>
      </c>
      <c r="GE169">
        <v>1.7758714503053654</v>
      </c>
      <c r="GF169">
        <v>8.3445472299853769</v>
      </c>
      <c r="GG169">
        <v>6.2022098456767374</v>
      </c>
      <c r="GH169">
        <v>0.3456493005258417</v>
      </c>
      <c r="GI169">
        <v>3.3609922621567443</v>
      </c>
      <c r="GJ169"/>
      <c r="GK169"/>
      <c r="GL169"/>
      <c r="GM169"/>
    </row>
    <row r="170" spans="1:195" s="7" customFormat="1">
      <c r="A170" s="1"/>
      <c r="B170" s="76">
        <f ca="1">IF(C170="", "", RAND())</f>
        <v>3.2693043864355786E-3</v>
      </c>
      <c r="C170">
        <v>9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10.416666666666666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8.8811785130718945</v>
      </c>
      <c r="AO170">
        <v>13.496027027449202</v>
      </c>
      <c r="AP170">
        <v>107.23727923224463</v>
      </c>
      <c r="AQ170">
        <v>36.855535316740728</v>
      </c>
      <c r="AR170">
        <v>13.821021934320408</v>
      </c>
      <c r="AS170">
        <v>68.308537287136872</v>
      </c>
      <c r="AT170">
        <v>7.286401145629454</v>
      </c>
      <c r="AU170">
        <v>-7.6697819189802381</v>
      </c>
      <c r="AV170"/>
      <c r="AW170"/>
      <c r="AX170" s="146"/>
      <c r="AY170" s="76">
        <f t="shared" ca="1" si="169"/>
        <v>0.21980404843448653</v>
      </c>
      <c r="AZ170">
        <v>3</v>
      </c>
      <c r="BA170" s="129">
        <f t="shared" si="243"/>
        <v>39949</v>
      </c>
      <c r="BB170">
        <v>0</v>
      </c>
      <c r="BC170" s="224"/>
      <c r="BD170" s="224"/>
      <c r="BE170" s="224"/>
      <c r="BF170" s="224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>
        <v>1</v>
      </c>
      <c r="CE170"/>
      <c r="CF170"/>
      <c r="CG170" s="147"/>
      <c r="CH170" s="176"/>
      <c r="CJ170" s="146"/>
      <c r="CK170" s="76">
        <f t="shared" ca="1" si="204"/>
        <v>0.7913099277033222</v>
      </c>
      <c r="CL170" s="179">
        <f t="shared" si="205"/>
        <v>3</v>
      </c>
      <c r="CM170" s="180">
        <f t="shared" si="206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0.9505621678279832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10.416666666666666</v>
      </c>
      <c r="EI170" s="161">
        <f t="shared" si="238"/>
        <v>0</v>
      </c>
      <c r="EJ170" s="161">
        <f t="shared" si="239"/>
        <v>0</v>
      </c>
      <c r="EK170" s="147">
        <f t="shared" si="171"/>
        <v>10.416666666666666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212.8409053859169</v>
      </c>
      <c r="FS170" s="139">
        <f t="shared" si="201"/>
        <v>0</v>
      </c>
      <c r="FT170" s="139">
        <f t="shared" si="202"/>
        <v>0</v>
      </c>
      <c r="FU170" s="148">
        <f t="shared" si="203"/>
        <v>212.8409053859169</v>
      </c>
      <c r="FV170" s="149"/>
      <c r="FY170" s="210">
        <v>165</v>
      </c>
      <c r="FZ170">
        <v>3.4554146317142589</v>
      </c>
      <c r="GA170">
        <v>9.2375103526553755</v>
      </c>
      <c r="GB170">
        <v>3.2042715225489844</v>
      </c>
      <c r="GC170">
        <v>0.50273750206780976</v>
      </c>
      <c r="GD170">
        <v>0.72151826543661435</v>
      </c>
      <c r="GE170">
        <v>0.96602799650751914</v>
      </c>
      <c r="GF170">
        <v>1.6735799194879128</v>
      </c>
      <c r="GG170">
        <v>1.3155677205908503</v>
      </c>
      <c r="GH170">
        <v>0.17282465026292085</v>
      </c>
      <c r="GI170">
        <v>3.6957922458007948</v>
      </c>
      <c r="GJ170"/>
      <c r="GK170"/>
      <c r="GL170"/>
      <c r="GM170"/>
    </row>
    <row r="171" spans="1:195" s="7" customFormat="1">
      <c r="A171" s="1"/>
      <c r="B171" s="76">
        <f ca="1">IF(C171="", "", RAND())</f>
        <v>0.33201502366654134</v>
      </c>
      <c r="C171">
        <v>1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10.416666666666666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10.201345121381888</v>
      </c>
      <c r="AO171">
        <v>19.663875801061543</v>
      </c>
      <c r="AP171">
        <v>175.64406266936635</v>
      </c>
      <c r="AQ171">
        <v>19.454388354202756</v>
      </c>
      <c r="AR171">
        <v>18.70316051674758</v>
      </c>
      <c r="AS171">
        <v>77.568344317332887</v>
      </c>
      <c r="AT171">
        <v>12.91564150003722</v>
      </c>
      <c r="AU171">
        <v>-122.58876950724238</v>
      </c>
      <c r="AV171"/>
      <c r="AW171"/>
      <c r="AX171" s="146"/>
      <c r="AY171" s="76">
        <f t="shared" ca="1" si="169"/>
        <v>0.33866779955686832</v>
      </c>
      <c r="AZ171">
        <v>4</v>
      </c>
      <c r="BA171" s="129">
        <f t="shared" si="243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4"/>
        <v>0.24346676581179416</v>
      </c>
      <c r="CL171" s="179">
        <f t="shared" si="205"/>
        <v>4</v>
      </c>
      <c r="CM171" s="180">
        <f t="shared" si="206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0.1948051749878994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0">
        <v>166</v>
      </c>
      <c r="FZ171">
        <v>10.21383287196748</v>
      </c>
      <c r="GA171">
        <v>18.349895679446821</v>
      </c>
      <c r="GB171">
        <v>5.6364342156226943</v>
      </c>
      <c r="GC171">
        <v>0.22571009821028021</v>
      </c>
      <c r="GD171">
        <v>0.33709065331427002</v>
      </c>
      <c r="GE171">
        <v>1.3613596891730915</v>
      </c>
      <c r="GF171">
        <v>4.6176686691749067</v>
      </c>
      <c r="GG171">
        <v>3.3025356475430381</v>
      </c>
      <c r="GH171">
        <v>0.23579423514790807</v>
      </c>
      <c r="GI171">
        <v>4.510641455817006</v>
      </c>
      <c r="GJ171"/>
      <c r="GK171"/>
      <c r="GL171"/>
      <c r="GM171"/>
    </row>
    <row r="172" spans="1:195" s="7" customFormat="1">
      <c r="A172" s="1"/>
      <c r="B172" s="76">
        <f ca="1">IF(C172="", "", RAND())</f>
        <v>0.63860622906866116</v>
      </c>
      <c r="C172">
        <v>10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7.8106179971988796</v>
      </c>
      <c r="AO172">
        <v>17.924440363289904</v>
      </c>
      <c r="AP172">
        <v>140.12176114260521</v>
      </c>
      <c r="AQ172">
        <v>21.405258614927781</v>
      </c>
      <c r="AR172">
        <v>16.634349926526813</v>
      </c>
      <c r="AS172">
        <v>83.132547183280224</v>
      </c>
      <c r="AT172">
        <v>10.460331652533378</v>
      </c>
      <c r="AU172">
        <v>-14.218353250739103</v>
      </c>
      <c r="AV172"/>
      <c r="AW172"/>
      <c r="AX172" s="146"/>
      <c r="AY172" s="76">
        <f t="shared" ca="1" si="169"/>
        <v>0.23343495595852826</v>
      </c>
      <c r="AZ172">
        <v>5</v>
      </c>
      <c r="BA172" s="129">
        <f t="shared" si="243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4"/>
        <v>0.12835479307343878</v>
      </c>
      <c r="CL172" s="179">
        <f t="shared" si="205"/>
        <v>5</v>
      </c>
      <c r="CM172" s="180">
        <f t="shared" si="206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0.74971684351611967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0">
        <v>167</v>
      </c>
      <c r="FZ172">
        <v>13.156679009911898</v>
      </c>
      <c r="GA172">
        <v>10.485381727435598</v>
      </c>
      <c r="GB172">
        <v>2.6531379199168192</v>
      </c>
      <c r="GC172">
        <v>0.9873259654713844</v>
      </c>
      <c r="GD172">
        <v>0.947558196196854</v>
      </c>
      <c r="GE172">
        <v>1.2960840222507091</v>
      </c>
      <c r="GF172">
        <v>4.874339291667515</v>
      </c>
      <c r="GG172">
        <v>3.9734601416232844</v>
      </c>
      <c r="GH172">
        <v>0.70738270544372439</v>
      </c>
      <c r="GI172">
        <v>4.62945721125228</v>
      </c>
      <c r="GJ172"/>
      <c r="GK172"/>
      <c r="GL172"/>
      <c r="GM172"/>
    </row>
    <row r="173" spans="1:195" s="7" customFormat="1">
      <c r="A173" s="1"/>
      <c r="B173" s="76">
        <f ca="1">IF(C173="", "", RAND())</f>
        <v>0.20051854366773791</v>
      </c>
      <c r="C173">
        <v>7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11.581305438842206</v>
      </c>
      <c r="AO173">
        <v>16.028298156046695</v>
      </c>
      <c r="AP173">
        <v>150.72452522488186</v>
      </c>
      <c r="AQ173">
        <v>29.877372142006095</v>
      </c>
      <c r="AR173">
        <v>15.829127169076791</v>
      </c>
      <c r="AS173">
        <v>74.90283601028554</v>
      </c>
      <c r="AT173">
        <v>9.3692456881269717</v>
      </c>
      <c r="AU173">
        <v>-109.94275189830951</v>
      </c>
      <c r="AV173"/>
      <c r="AW173"/>
      <c r="AX173" s="146"/>
      <c r="AY173" s="76">
        <f t="shared" ca="1" si="169"/>
        <v>0.93073308385444697</v>
      </c>
      <c r="AZ173">
        <v>6</v>
      </c>
      <c r="BA173" s="129">
        <f t="shared" si="243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4"/>
        <v>0.58478800106178586</v>
      </c>
      <c r="CL173" s="179">
        <f t="shared" si="205"/>
        <v>6</v>
      </c>
      <c r="CM173" s="180">
        <f t="shared" si="206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0.28941499499153611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0">
        <v>168</v>
      </c>
      <c r="FZ173">
        <v>6.2311988373692149</v>
      </c>
      <c r="GA173">
        <v>9.3094766630137276</v>
      </c>
      <c r="GB173">
        <v>1.0152011867108739</v>
      </c>
      <c r="GC173">
        <v>0.3272505037176725</v>
      </c>
      <c r="GD173">
        <v>0.5702725282525396</v>
      </c>
      <c r="GE173">
        <v>1.5808506040550527</v>
      </c>
      <c r="GF173">
        <v>4.181341365253882</v>
      </c>
      <c r="GG173">
        <v>3.0552984226073874</v>
      </c>
      <c r="GH173">
        <v>0.40861888541082891</v>
      </c>
      <c r="GI173">
        <v>3.9033373602269537</v>
      </c>
      <c r="GJ173"/>
      <c r="GK173"/>
      <c r="GL173"/>
      <c r="GM173"/>
    </row>
    <row r="174" spans="1:195" s="7" customFormat="1">
      <c r="A174" s="1"/>
      <c r="B174" s="76">
        <f ca="1">IF(C174="", "", RAND())</f>
        <v>0.92708691232820861</v>
      </c>
      <c r="C174">
        <v>3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10.416666666666666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11.939958274976656</v>
      </c>
      <c r="AO174">
        <v>14.187911685526439</v>
      </c>
      <c r="AP174">
        <v>117.04911129614003</v>
      </c>
      <c r="AQ174">
        <v>48.497834410696662</v>
      </c>
      <c r="AR174">
        <v>13.205010522264953</v>
      </c>
      <c r="AS174">
        <v>80.111892098720489</v>
      </c>
      <c r="AT174">
        <v>5.4353216613664861</v>
      </c>
      <c r="AU174">
        <v>15.379596646724313</v>
      </c>
      <c r="AV174"/>
      <c r="AW174"/>
      <c r="AX174" s="146"/>
      <c r="AY174" s="76">
        <f t="shared" ca="1" si="169"/>
        <v>0.48087152130591981</v>
      </c>
      <c r="AZ174">
        <v>7</v>
      </c>
      <c r="BA174" s="129">
        <f t="shared" si="243"/>
        <v>39949</v>
      </c>
      <c r="BB174" s="216">
        <v>0</v>
      </c>
      <c r="BC174" s="216"/>
      <c r="BD174" s="216"/>
      <c r="BE174" s="216"/>
      <c r="BF174" s="216"/>
      <c r="BG174" s="216"/>
      <c r="BH174" s="216"/>
      <c r="BI174" s="216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4"/>
        <v>0.60574198187180794</v>
      </c>
      <c r="CL174" s="179">
        <f t="shared" si="205"/>
        <v>7</v>
      </c>
      <c r="CM174" s="180">
        <f t="shared" si="206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0.64318735841648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0</v>
      </c>
      <c r="DL174" s="161">
        <f t="shared" si="215"/>
        <v>0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0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0</v>
      </c>
      <c r="EV174" s="139">
        <f t="shared" si="178"/>
        <v>0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0</v>
      </c>
      <c r="FV174" s="149"/>
      <c r="FY174" s="210">
        <v>169</v>
      </c>
      <c r="FZ174">
        <v>6.1738679944817427</v>
      </c>
      <c r="GA174">
        <v>11.732935904903778</v>
      </c>
      <c r="GB174">
        <v>3.4450304219270254</v>
      </c>
      <c r="GC174">
        <v>0.84508673423274572</v>
      </c>
      <c r="GD174">
        <v>0.92449449735091793</v>
      </c>
      <c r="GE174">
        <v>1.4828404484651307</v>
      </c>
      <c r="GF174">
        <v>2.1377682162018363</v>
      </c>
      <c r="GG174">
        <v>1.1168647198033732</v>
      </c>
      <c r="GH174">
        <v>0.40861888541082891</v>
      </c>
      <c r="GI174">
        <v>4.0983246500808992</v>
      </c>
      <c r="GJ174"/>
      <c r="GK174"/>
      <c r="GL174"/>
      <c r="GM174"/>
    </row>
    <row r="175" spans="1:195" s="7" customFormat="1">
      <c r="A175" s="1"/>
      <c r="B175" s="76">
        <f ca="1">IF(C175="", "", RAND())</f>
        <v>0.5203214547698396</v>
      </c>
      <c r="C175">
        <v>6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10.402281746031747</v>
      </c>
      <c r="AO175">
        <v>15.226279574009009</v>
      </c>
      <c r="AP175">
        <v>123.32888155479938</v>
      </c>
      <c r="AQ175">
        <v>34.839654934651008</v>
      </c>
      <c r="AR175">
        <v>14.07974618114566</v>
      </c>
      <c r="AS175">
        <v>132.51778932822276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0.97636967199810343</v>
      </c>
      <c r="AZ175">
        <v>8</v>
      </c>
      <c r="BA175" s="129">
        <f t="shared" si="243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4"/>
        <v>0.83951477200640956</v>
      </c>
      <c r="CL175" s="179">
        <f t="shared" si="205"/>
        <v>8</v>
      </c>
      <c r="CM175" s="180">
        <f t="shared" si="206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6.7899406428944431E-2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0</v>
      </c>
      <c r="DK175" s="161">
        <f t="shared" si="214"/>
        <v>0</v>
      </c>
      <c r="DL175" s="161">
        <f t="shared" si="215"/>
        <v>0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0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0</v>
      </c>
      <c r="EU175" s="139">
        <f t="shared" si="177"/>
        <v>0</v>
      </c>
      <c r="EV175" s="139">
        <f t="shared" si="178"/>
        <v>0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0</v>
      </c>
      <c r="FV175" s="149"/>
      <c r="FY175" s="210">
        <v>170</v>
      </c>
      <c r="FZ175">
        <v>14.096167056387984</v>
      </c>
      <c r="GA175">
        <v>20.423980132067289</v>
      </c>
      <c r="GB175">
        <v>5.1328965026698441</v>
      </c>
      <c r="GC175">
        <v>0.69864240829198887</v>
      </c>
      <c r="GD175">
        <v>1.1364220279342729</v>
      </c>
      <c r="GE175">
        <v>1.6605737382421677</v>
      </c>
      <c r="GF175">
        <v>1.718006249834924</v>
      </c>
      <c r="GG175">
        <v>1.3155677205908503</v>
      </c>
      <c r="GH175">
        <v>0</v>
      </c>
      <c r="GI175">
        <v>5.5145002920537429</v>
      </c>
      <c r="GJ175"/>
      <c r="GK175"/>
      <c r="GL175"/>
      <c r="GM175"/>
    </row>
    <row r="176" spans="1:195" s="7" customFormat="1">
      <c r="A176" s="1"/>
      <c r="B176" s="76">
        <f ca="1">IF(C176="", "", RAND())</f>
        <v>0.33395284979688733</v>
      </c>
      <c r="C176">
        <v>5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9.640625</v>
      </c>
      <c r="AO176">
        <v>16.474966871675978</v>
      </c>
      <c r="AP176">
        <v>140.44160616871216</v>
      </c>
      <c r="AQ176">
        <v>49.545134606978841</v>
      </c>
      <c r="AR176">
        <v>16.215160847413433</v>
      </c>
      <c r="AS176">
        <v>102.75528037529442</v>
      </c>
      <c r="AT176" t="e">
        <v>#DIV/0!</v>
      </c>
      <c r="AU176" t="e">
        <v>#DIV/0!</v>
      </c>
      <c r="AV176"/>
      <c r="AW176"/>
      <c r="AX176" s="146"/>
      <c r="AY176" s="76">
        <f t="shared" ca="1" si="169"/>
        <v>1.9845608728620512E-2</v>
      </c>
      <c r="AZ176">
        <v>9</v>
      </c>
      <c r="BA176" s="129">
        <f t="shared" si="243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>
        <v>1</v>
      </c>
      <c r="CE176"/>
      <c r="CF176"/>
      <c r="CG176" s="147"/>
      <c r="CH176" s="176"/>
      <c r="CJ176" s="146"/>
      <c r="CK176" s="76">
        <f t="shared" ca="1" si="204"/>
        <v>0.12295423656977889</v>
      </c>
      <c r="CL176" s="179">
        <f t="shared" si="205"/>
        <v>9</v>
      </c>
      <c r="CM176" s="180">
        <f t="shared" si="206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0.62550653799058087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10.416666666666666</v>
      </c>
      <c r="EI176" s="161">
        <f t="shared" si="238"/>
        <v>0</v>
      </c>
      <c r="EJ176" s="161">
        <f t="shared" si="239"/>
        <v>0</v>
      </c>
      <c r="EK176" s="147">
        <f t="shared" si="171"/>
        <v>10.416666666666666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212.8409053859169</v>
      </c>
      <c r="FS176" s="139">
        <f t="shared" si="201"/>
        <v>0</v>
      </c>
      <c r="FT176" s="139">
        <f t="shared" si="202"/>
        <v>0</v>
      </c>
      <c r="FU176" s="148">
        <f t="shared" si="203"/>
        <v>212.8409053859169</v>
      </c>
      <c r="FV176" s="149"/>
      <c r="FY176" s="210">
        <v>171</v>
      </c>
      <c r="FZ176">
        <v>4.806699643221636</v>
      </c>
      <c r="GA176">
        <v>10.359939504259625</v>
      </c>
      <c r="GB176">
        <v>3.1043249888375497</v>
      </c>
      <c r="GC176">
        <v>0.57856069921193576</v>
      </c>
      <c r="GD176">
        <v>0.65795796517634786</v>
      </c>
      <c r="GE176">
        <v>1.4135086688065088</v>
      </c>
      <c r="GF176">
        <v>3.7697383372258644</v>
      </c>
      <c r="GG176">
        <v>2.4324324403942232</v>
      </c>
      <c r="GH176">
        <v>0.58144353567374973</v>
      </c>
      <c r="GI176">
        <v>3.5994117156461609</v>
      </c>
      <c r="GJ176"/>
      <c r="GK176"/>
      <c r="GL176"/>
      <c r="GM176"/>
    </row>
    <row r="177" spans="1:195" s="7" customFormat="1">
      <c r="A177" s="1"/>
      <c r="B177" s="76">
        <f ca="1">IF(C177="", "", RAND())</f>
        <v>0.59617204116787925</v>
      </c>
      <c r="C177">
        <v>8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9.9263174019607838</v>
      </c>
      <c r="AO177">
        <v>30.269818757478237</v>
      </c>
      <c r="AP177">
        <v>240.65256415639337</v>
      </c>
      <c r="AQ177">
        <v>55.153027356044426</v>
      </c>
      <c r="AR177">
        <v>28.553493915440363</v>
      </c>
      <c r="AS177">
        <v>123.03898279672265</v>
      </c>
      <c r="AT177">
        <v>15.168268655400048</v>
      </c>
      <c r="AU177">
        <v>-10.260957278154549</v>
      </c>
      <c r="AV177"/>
      <c r="AW177"/>
      <c r="AX177" s="146"/>
      <c r="AY177" s="76">
        <f t="shared" ca="1" si="169"/>
        <v>0.8385182190787539</v>
      </c>
      <c r="AZ177">
        <v>10</v>
      </c>
      <c r="BA177" s="129">
        <f t="shared" si="243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4"/>
        <v>0.73512632750383511</v>
      </c>
      <c r="CL177" s="179">
        <f t="shared" si="205"/>
        <v>10</v>
      </c>
      <c r="CM177" s="180">
        <f t="shared" si="206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0.42991628527949466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0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</v>
      </c>
      <c r="FV177" s="149"/>
      <c r="FY177" s="210">
        <v>172</v>
      </c>
      <c r="FZ177">
        <v>2.7761645816938412</v>
      </c>
      <c r="GA177">
        <v>12.729922833332054</v>
      </c>
      <c r="GB177">
        <v>3.8823113822755637</v>
      </c>
      <c r="GC177">
        <v>1.0352801961217208</v>
      </c>
      <c r="GD177">
        <v>0.71364486454678322</v>
      </c>
      <c r="GE177">
        <v>0.29409467168548509</v>
      </c>
      <c r="GF177">
        <v>1.9131330289577615</v>
      </c>
      <c r="GG177">
        <v>1.788264926164711</v>
      </c>
      <c r="GH177">
        <v>0.47158847029581613</v>
      </c>
      <c r="GI177">
        <v>3.3045779207965813</v>
      </c>
      <c r="GJ177"/>
      <c r="GK177"/>
      <c r="GL177"/>
      <c r="GM177"/>
    </row>
    <row r="178" spans="1:195" s="7" customFormat="1">
      <c r="A178" s="128"/>
      <c r="B178" s="76">
        <f ca="1">IF(C178="", "", RAND())</f>
        <v>0.14513157341511174</v>
      </c>
      <c r="C178">
        <v>5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9.0001021241830053</v>
      </c>
      <c r="AO178">
        <v>21.573703615533606</v>
      </c>
      <c r="AP178">
        <v>188.47247468907827</v>
      </c>
      <c r="AQ178">
        <v>38.424156590467774</v>
      </c>
      <c r="AR178">
        <v>20.462960481074454</v>
      </c>
      <c r="AS178">
        <v>299.91413533416596</v>
      </c>
      <c r="AT178">
        <v>9.7209102905090017</v>
      </c>
      <c r="AU178">
        <v>-33.4928478554002</v>
      </c>
      <c r="AV178"/>
      <c r="AW178"/>
      <c r="AX178" s="128"/>
      <c r="AY178" s="76">
        <f t="shared" ca="1" si="169"/>
        <v>7.1229543049981636E-2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4"/>
        <v>0.65977068544064132</v>
      </c>
      <c r="CL178" s="179">
        <f t="shared" si="205"/>
        <v>1</v>
      </c>
      <c r="CM178" s="180">
        <f t="shared" si="206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0.22622549367586675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0">
        <v>173</v>
      </c>
      <c r="FZ178">
        <v>4.9518955778634757</v>
      </c>
      <c r="GA178">
        <v>23.089862337591679</v>
      </c>
      <c r="GB178">
        <v>6.759783580307265</v>
      </c>
      <c r="GC178">
        <v>0.59774741128203379</v>
      </c>
      <c r="GD178">
        <v>0.91000536313647329</v>
      </c>
      <c r="GE178">
        <v>1.7523857338577016</v>
      </c>
      <c r="GF178">
        <v>2.3996834138217613</v>
      </c>
      <c r="GG178">
        <v>1.1871761882489873</v>
      </c>
      <c r="GH178">
        <v>0.51847395078876257</v>
      </c>
      <c r="GI178">
        <v>5.9199471756664517</v>
      </c>
      <c r="GJ178"/>
      <c r="GK178"/>
      <c r="GL178"/>
      <c r="GM178"/>
    </row>
    <row r="179" spans="1:195" s="7" customFormat="1">
      <c r="A179" s="1"/>
      <c r="B179" s="76">
        <f ca="1">IF(C179="", "", RAND())</f>
        <v>0.97977456312272415</v>
      </c>
      <c r="C179">
        <v>6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12.012254901960784</v>
      </c>
      <c r="AO179">
        <v>23.396428811281066</v>
      </c>
      <c r="AP179">
        <v>210.63442691380769</v>
      </c>
      <c r="AQ179">
        <v>55.767357810755094</v>
      </c>
      <c r="AR179">
        <v>22.186005958557928</v>
      </c>
      <c r="AS179">
        <v>124.60696559101697</v>
      </c>
      <c r="AT179">
        <v>13.432155614329368</v>
      </c>
      <c r="AU179">
        <v>-21.278794861655545</v>
      </c>
      <c r="AV179"/>
      <c r="AW179"/>
      <c r="AX179" s="146"/>
      <c r="AY179" s="76">
        <f t="shared" ca="1" si="169"/>
        <v>0.49555333045074068</v>
      </c>
      <c r="AZ179">
        <v>2</v>
      </c>
      <c r="BA179" s="129">
        <f t="shared" ref="BA179:BA187" si="245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4"/>
        <v>0.29612412899223983</v>
      </c>
      <c r="CL179" s="179">
        <f t="shared" si="205"/>
        <v>2</v>
      </c>
      <c r="CM179" s="180">
        <f t="shared" si="206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0.19215155043683851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0">
        <v>174</v>
      </c>
      <c r="FZ179">
        <v>5.6311456278838934</v>
      </c>
      <c r="GA179">
        <v>3.2704090240096959</v>
      </c>
      <c r="GB179">
        <v>0.24067106074035452</v>
      </c>
      <c r="GC179">
        <v>0.23912574475424356</v>
      </c>
      <c r="GD179">
        <v>0.70752768225801765</v>
      </c>
      <c r="GE179">
        <v>1.9198500433764631</v>
      </c>
      <c r="GF179">
        <v>2.269220954663854</v>
      </c>
      <c r="GG179">
        <v>1.3641019447390237</v>
      </c>
      <c r="GH179">
        <v>0.40861888541082891</v>
      </c>
      <c r="GI179">
        <v>2.3712942586302583</v>
      </c>
      <c r="GJ179"/>
      <c r="GK179"/>
      <c r="GL179"/>
      <c r="GM179"/>
    </row>
    <row r="180" spans="1:195" s="7" customFormat="1">
      <c r="A180" s="1"/>
      <c r="B180" s="76">
        <f ca="1">IF(C180="", "", RAND())</f>
        <v>0.98874927594199402</v>
      </c>
      <c r="C180">
        <v>3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9.189440359477123</v>
      </c>
      <c r="AO180">
        <v>20.904976721375952</v>
      </c>
      <c r="AP180">
        <v>187.81866212201663</v>
      </c>
      <c r="AQ180">
        <v>26.328239312047067</v>
      </c>
      <c r="AR180">
        <v>19.329747748543582</v>
      </c>
      <c r="AS180">
        <v>85.026462853756257</v>
      </c>
      <c r="AT180" t="e">
        <v>#DIV/0!</v>
      </c>
      <c r="AU180" t="e">
        <v>#DIV/0!</v>
      </c>
      <c r="AV180"/>
      <c r="AW180"/>
      <c r="AX180" s="146"/>
      <c r="AY180" s="76">
        <f t="shared" ca="1" si="169"/>
        <v>0.51885047178285415</v>
      </c>
      <c r="AZ180">
        <v>3</v>
      </c>
      <c r="BA180" s="129">
        <f t="shared" si="245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4"/>
        <v>8.084691633531671E-2</v>
      </c>
      <c r="CL180" s="179">
        <f t="shared" si="205"/>
        <v>3</v>
      </c>
      <c r="CM180" s="180">
        <f t="shared" si="206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0.88206092204555264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0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0</v>
      </c>
      <c r="FV180" s="149"/>
      <c r="FY180" s="210">
        <v>175</v>
      </c>
      <c r="FZ180">
        <v>14.096167056387984</v>
      </c>
      <c r="GA180">
        <v>9.0362436002677953</v>
      </c>
      <c r="GB180">
        <v>0.30934910983991032</v>
      </c>
      <c r="GC180">
        <v>0.82001493436691653</v>
      </c>
      <c r="GD180">
        <v>1.009804273386578</v>
      </c>
      <c r="GE180">
        <v>1.7411852847098785</v>
      </c>
      <c r="GF180">
        <v>3.1349378858938524</v>
      </c>
      <c r="GG180">
        <v>2.1638936834422244</v>
      </c>
      <c r="GH180">
        <v>0.64441312055873701</v>
      </c>
      <c r="GI180">
        <v>3.6259282269346187</v>
      </c>
      <c r="GJ180"/>
      <c r="GK180"/>
      <c r="GL180"/>
      <c r="GM180"/>
    </row>
    <row r="181" spans="1:195" s="7" customFormat="1">
      <c r="A181" s="1"/>
      <c r="B181" s="76">
        <f ca="1">IF(C181="", "", RAND())</f>
        <v>0.44977426778797813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7.7481179971988805</v>
      </c>
      <c r="AO181">
        <v>13.025501934542737</v>
      </c>
      <c r="AP181">
        <v>85.117229905352559</v>
      </c>
      <c r="AQ181">
        <v>24.945244807073042</v>
      </c>
      <c r="AR181">
        <v>12.545781675940118</v>
      </c>
      <c r="AS181">
        <v>64.260885717984721</v>
      </c>
      <c r="AT181">
        <v>5.8932604005328848</v>
      </c>
      <c r="AU181">
        <v>-31.259905705330894</v>
      </c>
      <c r="AV181"/>
      <c r="AW181"/>
      <c r="AX181" s="146"/>
      <c r="AY181" s="76">
        <f t="shared" ca="1" si="169"/>
        <v>7.2351997296580706E-2</v>
      </c>
      <c r="AZ181">
        <v>4</v>
      </c>
      <c r="BA181" s="129">
        <f t="shared" si="245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4"/>
        <v>0.62323938548084667</v>
      </c>
      <c r="CL181" s="179">
        <f t="shared" si="205"/>
        <v>4</v>
      </c>
      <c r="CM181" s="180">
        <f t="shared" si="206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0.34852049048931999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0">
        <v>176</v>
      </c>
      <c r="FZ181">
        <v>5.6315260039227786</v>
      </c>
      <c r="GA181">
        <v>13.957057503832875</v>
      </c>
      <c r="GB181">
        <v>5.7538309640115024</v>
      </c>
      <c r="GC181">
        <v>1.2076572630639557</v>
      </c>
      <c r="GD181">
        <v>1.0172468706726359</v>
      </c>
      <c r="GE181">
        <v>0.86175547602749047</v>
      </c>
      <c r="GF181">
        <v>3.0528304987575035</v>
      </c>
      <c r="GG181">
        <v>2.1271151515623243</v>
      </c>
      <c r="GH181">
        <v>0.17282465026292085</v>
      </c>
      <c r="GI181">
        <v>4.6562328954190901</v>
      </c>
      <c r="GJ181"/>
      <c r="GK181"/>
      <c r="GL181"/>
      <c r="GM181"/>
    </row>
    <row r="182" spans="1:195" s="7" customFormat="1">
      <c r="A182" s="1"/>
      <c r="B182" s="76">
        <f ca="1">IF(C182="", "", RAND())</f>
        <v>0.33029488988534106</v>
      </c>
      <c r="C182">
        <v>9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7.244791666666667</v>
      </c>
      <c r="AO182">
        <v>22.301601568752307</v>
      </c>
      <c r="AP182">
        <v>227.65273825721982</v>
      </c>
      <c r="AQ182">
        <v>48.790963215417491</v>
      </c>
      <c r="AR182">
        <v>21.584996101306501</v>
      </c>
      <c r="AS182">
        <v>91.986935022006335</v>
      </c>
      <c r="AT182" t="e">
        <v>#DIV/0!</v>
      </c>
      <c r="AU182" t="e">
        <v>#DIV/0!</v>
      </c>
      <c r="AV182"/>
      <c r="AW182"/>
      <c r="AX182" s="146"/>
      <c r="AY182" s="76">
        <f t="shared" ca="1" si="169"/>
        <v>0.1602911354086225</v>
      </c>
      <c r="AZ182">
        <v>5</v>
      </c>
      <c r="BA182" s="129">
        <f t="shared" si="245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4"/>
        <v>0.91349962471986279</v>
      </c>
      <c r="CL182" s="179">
        <f t="shared" si="205"/>
        <v>5</v>
      </c>
      <c r="CM182" s="180">
        <f t="shared" si="206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0.143108560927387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0">
        <v>177</v>
      </c>
      <c r="FZ182">
        <v>7.0560251980703566</v>
      </c>
      <c r="GA182">
        <v>15.632466670531434</v>
      </c>
      <c r="GB182">
        <v>4.9619384620012958</v>
      </c>
      <c r="GC182">
        <v>0.70900774461898075</v>
      </c>
      <c r="GD182">
        <v>0.70260498593720788</v>
      </c>
      <c r="GE182">
        <v>1.103114323316353</v>
      </c>
      <c r="GF182">
        <v>4.6701507374004683</v>
      </c>
      <c r="GG182">
        <v>3.6196086286432112</v>
      </c>
      <c r="GH182">
        <v>0.23579423514790807</v>
      </c>
      <c r="GI182">
        <v>4.7703839927037679</v>
      </c>
      <c r="GJ182"/>
      <c r="GK182"/>
      <c r="GL182"/>
      <c r="GM182"/>
    </row>
    <row r="183" spans="1:195" s="7" customFormat="1">
      <c r="A183" s="1"/>
      <c r="B183" s="76">
        <f ca="1">IF(C183="", "", RAND())</f>
        <v>0.37533180491608165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9.4600694444444429</v>
      </c>
      <c r="AO183">
        <v>18.058443224776557</v>
      </c>
      <c r="AP183">
        <v>151.50513378458282</v>
      </c>
      <c r="AQ183">
        <v>43.710806191170072</v>
      </c>
      <c r="AR183">
        <v>18.151073858605383</v>
      </c>
      <c r="AS183">
        <v>201.60688622943087</v>
      </c>
      <c r="AT183" t="e">
        <v>#DIV/0!</v>
      </c>
      <c r="AU183" t="e">
        <v>#DIV/0!</v>
      </c>
      <c r="AV183"/>
      <c r="AW183"/>
      <c r="AX183" s="146"/>
      <c r="AY183" s="76">
        <f t="shared" ca="1" si="169"/>
        <v>0.94751748496528898</v>
      </c>
      <c r="AZ183">
        <v>6</v>
      </c>
      <c r="BA183" s="129">
        <f t="shared" si="245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4"/>
        <v>0.29998975720485577</v>
      </c>
      <c r="CL183" s="179">
        <f t="shared" si="205"/>
        <v>6</v>
      </c>
      <c r="CM183" s="180">
        <f t="shared" si="206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0.17769125665632957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0">
        <v>178</v>
      </c>
      <c r="FZ183">
        <v>0.54272236659784878</v>
      </c>
      <c r="GA183">
        <v>7.3092876301782415</v>
      </c>
      <c r="GB183">
        <v>2.2455852973172412</v>
      </c>
      <c r="GC183">
        <v>0.63752567468670063</v>
      </c>
      <c r="GD183">
        <v>0.81181849315436339</v>
      </c>
      <c r="GE183">
        <v>1.8441830219255884</v>
      </c>
      <c r="GF183">
        <v>4.8032732302544474</v>
      </c>
      <c r="GG183">
        <v>3.1954456472175239</v>
      </c>
      <c r="GH183">
        <v>0</v>
      </c>
      <c r="GI183">
        <v>3.8172762255575519</v>
      </c>
      <c r="GJ183"/>
      <c r="GK183"/>
      <c r="GL183"/>
      <c r="GM183"/>
    </row>
    <row r="184" spans="1:195" s="7" customFormat="1">
      <c r="A184" s="1"/>
      <c r="B184" s="76">
        <f ca="1">IF(C184="", "", RAND())</f>
        <v>9.7958178778860816E-2</v>
      </c>
      <c r="C184">
        <v>7</v>
      </c>
      <c r="D184">
        <v>39987</v>
      </c>
      <c r="E184">
        <v>0</v>
      </c>
      <c r="F184">
        <v>0</v>
      </c>
      <c r="G184">
        <v>0</v>
      </c>
      <c r="H184">
        <v>71.486928104575156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10.664536647992529</v>
      </c>
      <c r="AO184">
        <v>18.406562264494962</v>
      </c>
      <c r="AP184">
        <v>155.02905396972207</v>
      </c>
      <c r="AQ184">
        <v>30.582846356618131</v>
      </c>
      <c r="AR184">
        <v>17.039578390648884</v>
      </c>
      <c r="AS184">
        <v>78.058356496741837</v>
      </c>
      <c r="AT184">
        <v>8.9088046855852188</v>
      </c>
      <c r="AU184">
        <v>19.51848314213877</v>
      </c>
      <c r="AV184"/>
      <c r="AW184"/>
      <c r="AX184" s="146"/>
      <c r="AY184" s="76">
        <f t="shared" ca="1" si="169"/>
        <v>2.4599547033649749E-2</v>
      </c>
      <c r="AZ184">
        <v>7</v>
      </c>
      <c r="BA184" s="129">
        <f t="shared" si="245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4"/>
        <v>1.4106313202500775E-2</v>
      </c>
      <c r="CL184" s="179">
        <f t="shared" si="205"/>
        <v>7</v>
      </c>
      <c r="CM184" s="180">
        <f t="shared" si="206"/>
        <v>39987</v>
      </c>
      <c r="CN184">
        <v>0</v>
      </c>
      <c r="CO184"/>
      <c r="CP184"/>
      <c r="CQ184">
        <v>1</v>
      </c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0.26168134375750185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71.486928104575156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71.486928104575156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3.6661260254746524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3.6661260254746524</v>
      </c>
      <c r="FV184" s="149"/>
      <c r="FY184" s="210">
        <v>179</v>
      </c>
      <c r="FZ184">
        <v>6.1161567755553836</v>
      </c>
      <c r="GA184">
        <v>10.380359011226984</v>
      </c>
      <c r="GB184">
        <v>1.9536864021547038</v>
      </c>
      <c r="GC184">
        <v>0.3799381264882804</v>
      </c>
      <c r="GD184">
        <v>0.38701277458055616</v>
      </c>
      <c r="GE184">
        <v>1.3206334085436231</v>
      </c>
      <c r="GF184">
        <v>6.606995423883502</v>
      </c>
      <c r="GG184">
        <v>4.9351763492340606</v>
      </c>
      <c r="GH184">
        <v>0.23579423514790807</v>
      </c>
      <c r="GI184">
        <v>4.5301880104783256</v>
      </c>
      <c r="GJ184"/>
      <c r="GK184"/>
      <c r="GL184"/>
      <c r="GM184"/>
    </row>
    <row r="185" spans="1:195" s="7" customFormat="1">
      <c r="A185" s="1"/>
      <c r="B185" s="76">
        <f ca="1">IF(C185="", "", RAND())</f>
        <v>0.83042667588491503</v>
      </c>
      <c r="C185">
        <v>1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10.331451330532213</v>
      </c>
      <c r="AO185">
        <v>13.459480650611146</v>
      </c>
      <c r="AP185">
        <v>109.23600484477502</v>
      </c>
      <c r="AQ185">
        <v>32.36583247285828</v>
      </c>
      <c r="AR185">
        <v>12.950454653029436</v>
      </c>
      <c r="AS185">
        <v>73.278418835612058</v>
      </c>
      <c r="AT185">
        <v>6.3270722306368015</v>
      </c>
      <c r="AU185">
        <v>-14.381026421067828</v>
      </c>
      <c r="AV185"/>
      <c r="AW185"/>
      <c r="AX185" s="146"/>
      <c r="AY185" s="76">
        <f t="shared" ca="1" si="169"/>
        <v>0.15201151213681019</v>
      </c>
      <c r="AZ185">
        <v>8</v>
      </c>
      <c r="BA185" s="129">
        <f t="shared" si="245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4"/>
        <v>1.1088260609325662E-2</v>
      </c>
      <c r="CL185" s="179">
        <f t="shared" si="205"/>
        <v>8</v>
      </c>
      <c r="CM185" s="180">
        <f t="shared" si="206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0.95126458022788896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0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0</v>
      </c>
      <c r="FV185" s="149"/>
      <c r="FY185" s="210">
        <v>180</v>
      </c>
      <c r="FZ185">
        <v>11.46557878537487</v>
      </c>
      <c r="GA185">
        <v>13.829686171230275</v>
      </c>
      <c r="GB185">
        <v>3.5532758160964439</v>
      </c>
      <c r="GC185">
        <v>0.76861812859118284</v>
      </c>
      <c r="GD185">
        <v>0.72209663115290779</v>
      </c>
      <c r="GE185">
        <v>1.1691344747444488</v>
      </c>
      <c r="GF185">
        <v>2.4486852330378936</v>
      </c>
      <c r="GG185">
        <v>1.7397307020165371</v>
      </c>
      <c r="GH185">
        <v>0.58144353567374973</v>
      </c>
      <c r="GI185">
        <v>4.1239378789465082</v>
      </c>
      <c r="GJ185"/>
      <c r="GK185"/>
      <c r="GL185"/>
      <c r="GM185"/>
    </row>
    <row r="186" spans="1:195" s="7" customFormat="1">
      <c r="A186" s="1"/>
      <c r="B186" s="76">
        <f ca="1">IF(C186="", "", RAND())</f>
        <v>0.46054003075425221</v>
      </c>
      <c r="C186">
        <v>4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12.772073412698413</v>
      </c>
      <c r="AO186">
        <v>22.766055654267046</v>
      </c>
      <c r="AP186">
        <v>176.50969076868807</v>
      </c>
      <c r="AQ186">
        <v>51.696756128073062</v>
      </c>
      <c r="AR186">
        <v>22.071842638734918</v>
      </c>
      <c r="AS186">
        <v>158.55597038680801</v>
      </c>
      <c r="AT186" t="e">
        <v>#DIV/0!</v>
      </c>
      <c r="AU186" t="e">
        <v>#DIV/0!</v>
      </c>
      <c r="AV186"/>
      <c r="AW186"/>
      <c r="AX186" s="146"/>
      <c r="AY186" s="76">
        <f t="shared" ca="1" si="169"/>
        <v>0.97046000410280642</v>
      </c>
      <c r="AZ186">
        <v>9</v>
      </c>
      <c r="BA186" s="129">
        <f t="shared" si="245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4"/>
        <v>0.93692089527176559</v>
      </c>
      <c r="CL186" s="179">
        <f t="shared" si="205"/>
        <v>9</v>
      </c>
      <c r="CM186" s="180">
        <f t="shared" si="206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0.14378612181400019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0">
        <v>181</v>
      </c>
      <c r="FZ186">
        <v>3.5432797234686255</v>
      </c>
      <c r="GA186">
        <v>27.515439721743846</v>
      </c>
      <c r="GB186">
        <v>11.171799087924018</v>
      </c>
      <c r="GC186">
        <v>1.0713251298611799</v>
      </c>
      <c r="GD186">
        <v>0.83940692118930582</v>
      </c>
      <c r="GE186">
        <v>1.0458890229082969</v>
      </c>
      <c r="GF186">
        <v>3.1618096074117892</v>
      </c>
      <c r="GG186">
        <v>2.0568036831167102</v>
      </c>
      <c r="GH186">
        <v>0.58144353567374973</v>
      </c>
      <c r="GI186">
        <v>5.8498105628057235</v>
      </c>
      <c r="GJ186"/>
      <c r="GK186"/>
      <c r="GL186"/>
      <c r="GM186"/>
    </row>
    <row r="187" spans="1:195" s="7" customFormat="1">
      <c r="A187" s="1"/>
      <c r="B187" s="76">
        <f ca="1">IF(C187="", "", RAND())</f>
        <v>0.11328868012058635</v>
      </c>
      <c r="C187">
        <v>8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8.5592320261437909</v>
      </c>
      <c r="AO187">
        <v>15.23114041704692</v>
      </c>
      <c r="AP187">
        <v>141.35348950036396</v>
      </c>
      <c r="AQ187">
        <v>31.304017498453597</v>
      </c>
      <c r="AR187">
        <v>14.547406441534219</v>
      </c>
      <c r="AS187">
        <v>71.880314592578756</v>
      </c>
      <c r="AT187">
        <v>8.3807945054389208</v>
      </c>
      <c r="AU187">
        <v>-86.191798095842444</v>
      </c>
      <c r="AV187"/>
      <c r="AW187"/>
      <c r="AX187" s="146"/>
      <c r="AY187" s="76">
        <f t="shared" ca="1" si="169"/>
        <v>0.39983256201120509</v>
      </c>
      <c r="AZ187">
        <v>10</v>
      </c>
      <c r="BA187" s="129">
        <f t="shared" si="245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4"/>
        <v>0.15950146638799101</v>
      </c>
      <c r="CL187" s="179">
        <f t="shared" si="205"/>
        <v>10</v>
      </c>
      <c r="CM187" s="180">
        <f t="shared" si="206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0.88244315135576579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0">
        <v>182</v>
      </c>
      <c r="FZ187">
        <v>3.5010714682561108</v>
      </c>
      <c r="GA187">
        <v>7.6629300023115965</v>
      </c>
      <c r="GB187">
        <v>1.4338212841344169</v>
      </c>
      <c r="GC187">
        <v>0.79261464410034999</v>
      </c>
      <c r="GD187">
        <v>0.57806556120505381</v>
      </c>
      <c r="GE187">
        <v>0.92820939592867879</v>
      </c>
      <c r="GF187">
        <v>2.8213608353617219</v>
      </c>
      <c r="GG187">
        <v>1.4344134131846378</v>
      </c>
      <c r="GH187">
        <v>0.17282465026292085</v>
      </c>
      <c r="GI187">
        <v>2.1266091073485871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8.0503472222222197</v>
      </c>
      <c r="AO188">
        <v>21.048489352152735</v>
      </c>
      <c r="AP188">
        <v>164.53659235732749</v>
      </c>
      <c r="AQ188">
        <v>28.908982875870322</v>
      </c>
      <c r="AR188">
        <v>19.560097641569467</v>
      </c>
      <c r="AS188">
        <v>205.11441454245971</v>
      </c>
      <c r="AT188" t="e">
        <v>#DIV/0!</v>
      </c>
      <c r="AU188" t="e">
        <v>#DIV/0!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0">
        <v>183</v>
      </c>
      <c r="FZ188">
        <v>9.2735840734136197</v>
      </c>
      <c r="GA188">
        <v>23.215304560767652</v>
      </c>
      <c r="GB188">
        <v>6.3597365071710303</v>
      </c>
      <c r="GC188">
        <v>1.1102048411793983</v>
      </c>
      <c r="GD188">
        <v>1.7228013791235015</v>
      </c>
      <c r="GE188">
        <v>3.0461489208209884</v>
      </c>
      <c r="GF188">
        <v>6.2395867357506152</v>
      </c>
      <c r="GG188">
        <v>4.4897118357920256</v>
      </c>
      <c r="GH188">
        <v>0.75426818593667067</v>
      </c>
      <c r="GI188">
        <v>7.6266489056411153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9.5897160947712408</v>
      </c>
      <c r="AO189">
        <v>19.777292797604055</v>
      </c>
      <c r="AP189">
        <v>169.79047890087398</v>
      </c>
      <c r="AQ189">
        <v>48.086960732564592</v>
      </c>
      <c r="AR189">
        <v>18.384472618542155</v>
      </c>
      <c r="AS189">
        <v>105.99325659029495</v>
      </c>
      <c r="AT189">
        <v>9.6972447704142688</v>
      </c>
      <c r="AU189">
        <v>-223.21599849467293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0">
        <v>184</v>
      </c>
      <c r="FZ189">
        <v>11.465198409335983</v>
      </c>
      <c r="GA189">
        <v>17.100095195239973</v>
      </c>
      <c r="GB189">
        <v>3.3775630210750918</v>
      </c>
      <c r="GC189">
        <v>0.4326257492588883</v>
      </c>
      <c r="GD189">
        <v>1.0663580705181401</v>
      </c>
      <c r="GE189">
        <v>2.9730573098834552</v>
      </c>
      <c r="GF189">
        <v>2.4800318439721161</v>
      </c>
      <c r="GG189">
        <v>0.84832596285137418</v>
      </c>
      <c r="GH189">
        <v>0.47158847029581613</v>
      </c>
      <c r="GI189">
        <v>4.6632189299002853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7.7715554971988796</v>
      </c>
      <c r="AO190">
        <v>13.222455079914075</v>
      </c>
      <c r="AP190">
        <v>100.46330257504272</v>
      </c>
      <c r="AQ190">
        <v>18.421965226466632</v>
      </c>
      <c r="AR190">
        <v>12.687869497275784</v>
      </c>
      <c r="AS190">
        <v>55.170605774753909</v>
      </c>
      <c r="AT190" t="e">
        <v>#DIV/0!</v>
      </c>
      <c r="AU190" t="e">
        <v>#DIV/0!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0">
        <v>185</v>
      </c>
      <c r="FZ190">
        <v>8.2044030560095376</v>
      </c>
      <c r="GA190">
        <v>3.4697466669706492</v>
      </c>
      <c r="GB190">
        <v>0.41283974965652581</v>
      </c>
      <c r="GC190">
        <v>0.74161010323304222</v>
      </c>
      <c r="GD190">
        <v>0.71995155745108752</v>
      </c>
      <c r="GE190">
        <v>1.1008081955765781</v>
      </c>
      <c r="GF190">
        <v>2.4486852330378936</v>
      </c>
      <c r="GG190">
        <v>1.9166564585065737</v>
      </c>
      <c r="GH190">
        <v>0.81723777082165783</v>
      </c>
      <c r="GI190">
        <v>2.886271030145708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11.176689425770309</v>
      </c>
      <c r="AO191">
        <v>17.818092079502705</v>
      </c>
      <c r="AP191">
        <v>152.444493299687</v>
      </c>
      <c r="AQ191">
        <v>36.581937175788497</v>
      </c>
      <c r="AR191">
        <v>17.448794175328565</v>
      </c>
      <c r="AS191">
        <v>86.751336569221607</v>
      </c>
      <c r="AT191">
        <v>8.1132224793363221</v>
      </c>
      <c r="AU191">
        <v>-25.114390277173559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0">
        <v>186</v>
      </c>
      <c r="FZ191">
        <v>5.4071332287458427</v>
      </c>
      <c r="GA191">
        <v>12.729922833332054</v>
      </c>
      <c r="GB191">
        <v>3.9184224598779318</v>
      </c>
      <c r="GC191">
        <v>0.91799565366962788</v>
      </c>
      <c r="GD191">
        <v>1.0459828586222093</v>
      </c>
      <c r="GE191">
        <v>1.6014760785674294</v>
      </c>
      <c r="GF191">
        <v>1.2613355133972166</v>
      </c>
      <c r="GG191">
        <v>0.24723722493565062</v>
      </c>
      <c r="GH191">
        <v>0.17282465026292085</v>
      </c>
      <c r="GI191">
        <v>3.9930158498791073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11.01485906862745</v>
      </c>
      <c r="AO192">
        <v>23.879528137190967</v>
      </c>
      <c r="AP192">
        <v>205.2548470946347</v>
      </c>
      <c r="AQ192">
        <v>38.438077277533075</v>
      </c>
      <c r="AR192">
        <v>23.086839792214015</v>
      </c>
      <c r="AS192">
        <v>325.00102457407979</v>
      </c>
      <c r="AT192" t="e">
        <v>#DIV/0!</v>
      </c>
      <c r="AU192" t="e">
        <v>#DIV/0!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0">
        <v>187</v>
      </c>
      <c r="FZ192">
        <v>5.6315260039227786</v>
      </c>
      <c r="GA192">
        <v>11.786411817721399</v>
      </c>
      <c r="GB192">
        <v>5.1293523965646637</v>
      </c>
      <c r="GC192">
        <v>0.51181202139992732</v>
      </c>
      <c r="GD192">
        <v>0.72151826543661435</v>
      </c>
      <c r="GE192">
        <v>1.324589645693955</v>
      </c>
      <c r="GF192">
        <v>1.1578329703221295</v>
      </c>
      <c r="GG192">
        <v>0.24723722493565062</v>
      </c>
      <c r="GH192">
        <v>0.3456493005258417</v>
      </c>
      <c r="GI192">
        <v>4.7177814439687609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12.442212301587301</v>
      </c>
      <c r="AO193">
        <v>20.052972117767741</v>
      </c>
      <c r="AP193">
        <v>170.71915721659772</v>
      </c>
      <c r="AQ193">
        <v>43.461094978370987</v>
      </c>
      <c r="AR193">
        <v>19.064498659860487</v>
      </c>
      <c r="AS193">
        <v>109.04732263554504</v>
      </c>
      <c r="AT193" t="e">
        <v>#DIV/0!</v>
      </c>
      <c r="AU193" t="e">
        <v>#DIV/0!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0">
        <v>188</v>
      </c>
      <c r="FZ193">
        <v>2.8915870195465572</v>
      </c>
      <c r="GA193">
        <v>5.0647465242817846</v>
      </c>
      <c r="GB193">
        <v>1.1024522600977389</v>
      </c>
      <c r="GC193">
        <v>0.39528999852455504</v>
      </c>
      <c r="GD193">
        <v>0.17739314952407054</v>
      </c>
      <c r="GE193">
        <v>0.90083164724640197</v>
      </c>
      <c r="GF193">
        <v>6.7209817480813303</v>
      </c>
      <c r="GG193">
        <v>5.0054878176796747</v>
      </c>
      <c r="GH193">
        <v>0.17282465026292085</v>
      </c>
      <c r="GI193">
        <v>2.3567267163236694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7.9644097222222232</v>
      </c>
      <c r="AO194">
        <v>25.303763541511689</v>
      </c>
      <c r="AP194">
        <v>194.99315093222313</v>
      </c>
      <c r="AQ194">
        <v>25.20711758688951</v>
      </c>
      <c r="AR194">
        <v>23.449258651493082</v>
      </c>
      <c r="AS194">
        <v>92.288476915916178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0">
        <v>189</v>
      </c>
      <c r="FZ194">
        <v>2.7463910849047179</v>
      </c>
      <c r="GA194">
        <v>2.3699833290724288</v>
      </c>
      <c r="GB194">
        <v>0.63959532426665244</v>
      </c>
      <c r="GC194">
        <v>0.46127615675984279</v>
      </c>
      <c r="GD194">
        <v>0.77544656597233019</v>
      </c>
      <c r="GE194">
        <v>2.3061650403637697</v>
      </c>
      <c r="GF194">
        <v>6.5178215701435658</v>
      </c>
      <c r="GG194">
        <v>4.4194003673464124</v>
      </c>
      <c r="GH194">
        <v>0.47158847029581613</v>
      </c>
      <c r="GI194">
        <v>3.2037101801074179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8.5891617063492056</v>
      </c>
      <c r="AO195">
        <v>18.073235064913995</v>
      </c>
      <c r="AP195">
        <v>145.58110018563298</v>
      </c>
      <c r="AQ195">
        <v>36.845940517293329</v>
      </c>
      <c r="AR195">
        <v>17.185491390450252</v>
      </c>
      <c r="AS195">
        <v>150.98988564867776</v>
      </c>
      <c r="AT195" t="e">
        <v>#DIV/0!</v>
      </c>
      <c r="AU195" t="e">
        <v>#DIV/0!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0">
        <v>190</v>
      </c>
      <c r="FZ195">
        <v>5.3196485130303612</v>
      </c>
      <c r="GA195">
        <v>10.832510209966511</v>
      </c>
      <c r="GB195">
        <v>3.8240831742807053</v>
      </c>
      <c r="GC195">
        <v>0.14665985857896885</v>
      </c>
      <c r="GD195">
        <v>0.17979403810550007</v>
      </c>
      <c r="GE195">
        <v>0.61563129696896557</v>
      </c>
      <c r="GF195">
        <v>3.7688372605157858</v>
      </c>
      <c r="GG195">
        <v>3.232224179097424</v>
      </c>
      <c r="GH195">
        <v>0.47158847029581613</v>
      </c>
      <c r="GI195">
        <v>3.7861919908636819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11.10499095471522</v>
      </c>
      <c r="AO196">
        <v>24.862613984449279</v>
      </c>
      <c r="AP196">
        <v>211.12776037811938</v>
      </c>
      <c r="AQ196">
        <v>40.402187356864815</v>
      </c>
      <c r="AR196">
        <v>24.066549916224965</v>
      </c>
      <c r="AS196">
        <v>102.81984430961651</v>
      </c>
      <c r="AT196">
        <v>12.354967090295665</v>
      </c>
      <c r="AU196">
        <v>-74.684603216911057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0">
        <v>191</v>
      </c>
      <c r="FZ196">
        <v>5.2498829117194976</v>
      </c>
      <c r="GA196">
        <v>10.211831467377623</v>
      </c>
      <c r="GB196">
        <v>3.2752830295060988</v>
      </c>
      <c r="GC196">
        <v>0.47486853557402003</v>
      </c>
      <c r="GD196">
        <v>0.54830915026463523</v>
      </c>
      <c r="GE196">
        <v>1.3532098522707561</v>
      </c>
      <c r="GF196">
        <v>4.3264537067928526</v>
      </c>
      <c r="GG196">
        <v>3.232224179097424</v>
      </c>
      <c r="GH196">
        <v>0.64441312055873701</v>
      </c>
      <c r="GI196">
        <v>3.3237438050329358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12.207669526143789</v>
      </c>
      <c r="AO197">
        <v>18.987617312882669</v>
      </c>
      <c r="AP197">
        <v>190.02404268382861</v>
      </c>
      <c r="AQ197">
        <v>56.837006996103248</v>
      </c>
      <c r="AR197">
        <v>18.139496519684613</v>
      </c>
      <c r="AS197">
        <v>115.4102089680529</v>
      </c>
      <c r="AT197" t="e">
        <v>#DIV/0!</v>
      </c>
      <c r="AU197" t="e">
        <v>#DIV/0!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0">
        <v>192</v>
      </c>
      <c r="FZ197">
        <v>6.1161567755553836</v>
      </c>
      <c r="GA197">
        <v>17.028128884881617</v>
      </c>
      <c r="GB197">
        <v>5.739924855439309</v>
      </c>
      <c r="GC197">
        <v>1.5781506155518241</v>
      </c>
      <c r="GD197">
        <v>1.2948330302155271</v>
      </c>
      <c r="GE197">
        <v>0.71470512240413819</v>
      </c>
      <c r="GF197">
        <v>3.3367875995107408</v>
      </c>
      <c r="GG197">
        <v>3.2807584032455974</v>
      </c>
      <c r="GH197">
        <v>1.0530320059695661</v>
      </c>
      <c r="GI197">
        <v>4.836228603458931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11.962899743230626</v>
      </c>
      <c r="AO198">
        <v>15.530878570078524</v>
      </c>
      <c r="AP198">
        <v>154.94092441340283</v>
      </c>
      <c r="AQ198">
        <v>21.451920362094079</v>
      </c>
      <c r="AR198">
        <v>14.454014120791765</v>
      </c>
      <c r="AS198">
        <v>79.965873747920725</v>
      </c>
      <c r="AT198">
        <v>11.677651023336439</v>
      </c>
      <c r="AU198">
        <v>92.195087168374116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0">
        <v>193</v>
      </c>
      <c r="FZ198">
        <v>12.144448459356401</v>
      </c>
      <c r="GA198">
        <v>13.408345071602337</v>
      </c>
      <c r="GB198">
        <v>2.7566285597334348</v>
      </c>
      <c r="GC198">
        <v>0.79020974238081543</v>
      </c>
      <c r="GD198">
        <v>0.68913870683789602</v>
      </c>
      <c r="GE198">
        <v>1.1824834118895393</v>
      </c>
      <c r="GF198">
        <v>2.5594456377417965</v>
      </c>
      <c r="GG198">
        <v>1.5410277012290603</v>
      </c>
      <c r="GH198">
        <v>0.64441312055873701</v>
      </c>
      <c r="GI198">
        <v>3.9849500058285079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14.249438316993462</v>
      </c>
      <c r="AO199">
        <v>18.365810363291825</v>
      </c>
      <c r="AP199">
        <v>149.57968260945384</v>
      </c>
      <c r="AQ199">
        <v>63.837995945596617</v>
      </c>
      <c r="AR199">
        <v>17.453999477240007</v>
      </c>
      <c r="AS199">
        <v>98.844803283746259</v>
      </c>
      <c r="AT199">
        <v>9.0019887293458059</v>
      </c>
      <c r="AU199">
        <v>-91.076127295769439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0">
        <v>194</v>
      </c>
      <c r="FZ199">
        <v>8.8044562654948582</v>
      </c>
      <c r="GA199">
        <v>6.5408180480193918</v>
      </c>
      <c r="GB199">
        <v>0.12094085449398843</v>
      </c>
      <c r="GC199">
        <v>0.94328298617366912</v>
      </c>
      <c r="GD199">
        <v>1.0768410415178686</v>
      </c>
      <c r="GE199">
        <v>1.6379764340751</v>
      </c>
      <c r="GF199">
        <v>3.9240239955667002</v>
      </c>
      <c r="GG199">
        <v>2.6796696653298739</v>
      </c>
      <c r="GH199">
        <v>0.40861888541082891</v>
      </c>
      <c r="GI199">
        <v>4.3178781469967769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12.589781746031743</v>
      </c>
      <c r="AO200">
        <v>15.997849653473542</v>
      </c>
      <c r="AP200">
        <v>130.24861558649295</v>
      </c>
      <c r="AQ200">
        <v>44.878062962331128</v>
      </c>
      <c r="AR200">
        <v>15.24900236624881</v>
      </c>
      <c r="AS200">
        <v>140.32717837805268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0">
        <v>195</v>
      </c>
      <c r="FZ200">
        <v>7.5251530059891198</v>
      </c>
      <c r="GA200">
        <v>4.7915134615358523</v>
      </c>
      <c r="GB200">
        <v>0.36048910562440684</v>
      </c>
      <c r="GC200">
        <v>0.44259882067745415</v>
      </c>
      <c r="GD200">
        <v>0.60330462672295138</v>
      </c>
      <c r="GE200">
        <v>1.757584834100457</v>
      </c>
      <c r="GF200">
        <v>1.5706572600769897</v>
      </c>
      <c r="GG200">
        <v>0.353851512980073</v>
      </c>
      <c r="GH200">
        <v>0.81723777082165783</v>
      </c>
      <c r="GI200">
        <v>2.6441534174432331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8.9695742880485518</v>
      </c>
      <c r="AO201">
        <v>18.086650862822772</v>
      </c>
      <c r="AP201">
        <v>148.60428956736899</v>
      </c>
      <c r="AQ201">
        <v>22.71820982140925</v>
      </c>
      <c r="AR201">
        <v>17.68130278126069</v>
      </c>
      <c r="AS201">
        <v>75.476692535684307</v>
      </c>
      <c r="AT201">
        <v>8.535523542365409</v>
      </c>
      <c r="AU201">
        <v>-109.95020554073082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0">
        <v>196</v>
      </c>
      <c r="FZ201">
        <v>5.4648444476722009</v>
      </c>
      <c r="GA201">
        <v>5.2640841672427374</v>
      </c>
      <c r="GB201">
        <v>1.1873698756270454</v>
      </c>
      <c r="GC201">
        <v>0.44234567708844297</v>
      </c>
      <c r="GD201">
        <v>0.40847760153261253</v>
      </c>
      <c r="GE201">
        <v>0.6656709599319276</v>
      </c>
      <c r="GF201">
        <v>1.737253960148732</v>
      </c>
      <c r="GG201">
        <v>1.3641019447390237</v>
      </c>
      <c r="GH201">
        <v>0.23579423514790807</v>
      </c>
      <c r="GI201">
        <v>3.2845114665794197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9.1198937908496731</v>
      </c>
      <c r="AO202">
        <v>22.649129540772265</v>
      </c>
      <c r="AP202">
        <v>188.0017776740867</v>
      </c>
      <c r="AQ202">
        <v>31.295346351289989</v>
      </c>
      <c r="AR202">
        <v>21.489084560139801</v>
      </c>
      <c r="AS202">
        <v>361.54946733468529</v>
      </c>
      <c r="AT202">
        <v>13.305459199125357</v>
      </c>
      <c r="AU202">
        <v>-78.27311682954857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0">
        <v>197</v>
      </c>
      <c r="FZ202">
        <v>6.3190639291235815</v>
      </c>
      <c r="GA202">
        <v>19.722892080090972</v>
      </c>
      <c r="GB202">
        <v>5.8225090131110573</v>
      </c>
      <c r="GC202">
        <v>0.21534476188328849</v>
      </c>
      <c r="GD202">
        <v>0.40358255710016672</v>
      </c>
      <c r="GE202">
        <v>1.373368827742347</v>
      </c>
      <c r="GF202">
        <v>1.6843233992580524</v>
      </c>
      <c r="GG202">
        <v>1.0252517193414108</v>
      </c>
      <c r="GH202">
        <v>1.0530320059695661</v>
      </c>
      <c r="GI202">
        <v>3.9536850868693265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8.6364889705882355</v>
      </c>
      <c r="AO203">
        <v>25.642169454802865</v>
      </c>
      <c r="AP203">
        <v>190.78392978336305</v>
      </c>
      <c r="AQ203">
        <v>31.573711090491717</v>
      </c>
      <c r="AR203">
        <v>24.733053859766208</v>
      </c>
      <c r="AS203">
        <v>98.895366943729769</v>
      </c>
      <c r="AT203" t="e">
        <v>#DIV/0!</v>
      </c>
      <c r="AU203" t="e">
        <v>#DIV/0!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0">
        <v>198</v>
      </c>
      <c r="FZ203">
        <v>3.9981369983121078</v>
      </c>
      <c r="GA203">
        <v>6.8675270235829462</v>
      </c>
      <c r="GB203">
        <v>2.8065579072703084</v>
      </c>
      <c r="GC203">
        <v>0.9847443314816362</v>
      </c>
      <c r="GD203">
        <v>1.0349365612185135</v>
      </c>
      <c r="GE203">
        <v>1.6676603104971515</v>
      </c>
      <c r="GF203">
        <v>3.6918852459127223</v>
      </c>
      <c r="GG203">
        <v>2.2555066839041871</v>
      </c>
      <c r="GH203">
        <v>0.3456493005258417</v>
      </c>
      <c r="GI203">
        <v>3.7566956059517009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6.6849979575163392</v>
      </c>
      <c r="AO204">
        <v>10.422459298839346</v>
      </c>
      <c r="AP204">
        <v>105.0412615659467</v>
      </c>
      <c r="AQ204">
        <v>24.788321531568705</v>
      </c>
      <c r="AR204">
        <v>9.6724289939088024</v>
      </c>
      <c r="AS204">
        <v>49.854630164527514</v>
      </c>
      <c r="AT204" t="e">
        <v>#DIV/0!</v>
      </c>
      <c r="AU204" t="e">
        <v>#DIV/0!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0">
        <v>199</v>
      </c>
      <c r="FZ204">
        <v>5.6888568468102516</v>
      </c>
      <c r="GA204">
        <v>13.704243948054298</v>
      </c>
      <c r="GB204">
        <v>3.7950603088886989</v>
      </c>
      <c r="GC204">
        <v>0.82987089470619879</v>
      </c>
      <c r="GD204">
        <v>0.93345751329687499</v>
      </c>
      <c r="GE204">
        <v>0.8456109070607305</v>
      </c>
      <c r="GF204">
        <v>5.4950275558776136</v>
      </c>
      <c r="GG204">
        <v>5.3108051065115749</v>
      </c>
      <c r="GH204">
        <v>0.40861888541082891</v>
      </c>
      <c r="GI204">
        <v>5.8628583374228214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6.5998263888888884</v>
      </c>
      <c r="AO205">
        <v>13.129987307457176</v>
      </c>
      <c r="AP205">
        <v>95.727869646513724</v>
      </c>
      <c r="AQ205">
        <v>23.911378089232954</v>
      </c>
      <c r="AR205">
        <v>12.528130969086746</v>
      </c>
      <c r="AS205">
        <v>110.93965977149615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0">
        <v>200</v>
      </c>
      <c r="FZ205">
        <v>8.6894142036810287</v>
      </c>
      <c r="GA205">
        <v>17.426804170803521</v>
      </c>
      <c r="GB205">
        <v>5.8050587984336843</v>
      </c>
      <c r="GC205">
        <v>0.51895031523973356</v>
      </c>
      <c r="GD205">
        <v>0.5752679476315401</v>
      </c>
      <c r="GE205">
        <v>1.3675251185797863</v>
      </c>
      <c r="GF205">
        <v>3.7142592842967677</v>
      </c>
      <c r="GG205">
        <v>2.3530508444816265</v>
      </c>
      <c r="GH205">
        <v>0.23579423514790807</v>
      </c>
      <c r="GI205">
        <v>5.6878314278382422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5.4401041666666661</v>
      </c>
      <c r="AO206">
        <v>20.895514453050296</v>
      </c>
      <c r="AP206">
        <v>169.05940966843519</v>
      </c>
      <c r="AQ206">
        <v>32.177168991703724</v>
      </c>
      <c r="AR206">
        <v>20.270702235368393</v>
      </c>
      <c r="AS206">
        <v>129.44324833141073</v>
      </c>
      <c r="AT206" t="e">
        <v>#DIV/0!</v>
      </c>
      <c r="AU206" t="e">
        <v>#DIV/0!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0">
        <v>201</v>
      </c>
      <c r="FZ206">
        <v>7.9679558984480954</v>
      </c>
      <c r="GA206">
        <v>14.824426792919878</v>
      </c>
      <c r="GB206">
        <v>2.0722937987911338</v>
      </c>
      <c r="GC206">
        <v>0.30411492934415452</v>
      </c>
      <c r="GD206">
        <v>0.60403608343475279</v>
      </c>
      <c r="GE206">
        <v>1.9661449878060608</v>
      </c>
      <c r="GF206">
        <v>5.9770247909361149</v>
      </c>
      <c r="GG206">
        <v>4.3608445911690703</v>
      </c>
      <c r="GH206">
        <v>0.81723777082165783</v>
      </c>
      <c r="GI206">
        <v>4.4163970930694241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9.9588074813258647</v>
      </c>
      <c r="AO207">
        <v>10.142592105393566</v>
      </c>
      <c r="AP207">
        <v>67.198923297792319</v>
      </c>
      <c r="AQ207">
        <v>32.640219758194583</v>
      </c>
      <c r="AR207">
        <v>9.909205712492863</v>
      </c>
      <c r="AS207">
        <v>61.62182768764869</v>
      </c>
      <c r="AT207">
        <v>4.2587532546907285</v>
      </c>
      <c r="AU207">
        <v>-1.7192299318519249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0">
        <v>202</v>
      </c>
      <c r="FZ207">
        <v>6.0286720598399031</v>
      </c>
      <c r="GA207">
        <v>14.732040975594169</v>
      </c>
      <c r="GB207">
        <v>5.6725452932250624</v>
      </c>
      <c r="GC207">
        <v>0.44578825221384055</v>
      </c>
      <c r="GD207">
        <v>0.58122178067430563</v>
      </c>
      <c r="GE207">
        <v>1.0557888448070971</v>
      </c>
      <c r="GF207">
        <v>1.8554063856048828</v>
      </c>
      <c r="GG207">
        <v>1.5410277012290603</v>
      </c>
      <c r="GH207">
        <v>0.47158847029581613</v>
      </c>
      <c r="GI207">
        <v>4.8550376000185169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13.610199288048552</v>
      </c>
      <c r="AO208">
        <v>16.460969355037037</v>
      </c>
      <c r="AP208">
        <v>154.96810010846363</v>
      </c>
      <c r="AQ208">
        <v>44.97870589623264</v>
      </c>
      <c r="AR208">
        <v>15.786766141424037</v>
      </c>
      <c r="AS208">
        <v>89.387329418696652</v>
      </c>
      <c r="AT208">
        <v>7.2928016308872712</v>
      </c>
      <c r="AU208">
        <v>-40.61182852876761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10.243606368756602</v>
      </c>
      <c r="GA208">
        <v>11.628230386007207</v>
      </c>
      <c r="GB208">
        <v>1.331541292565424</v>
      </c>
      <c r="GC208">
        <v>0.61245387482087144</v>
      </c>
      <c r="GD208">
        <v>0.57101570224124676</v>
      </c>
      <c r="GE208">
        <v>0.811970793488347</v>
      </c>
      <c r="GF208">
        <v>0.78058187912918031</v>
      </c>
      <c r="GG208">
        <v>0.1769257564900365</v>
      </c>
      <c r="GH208">
        <v>0.23579423514790807</v>
      </c>
      <c r="GI208">
        <v>3.1507625797245655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12.717240021008404</v>
      </c>
      <c r="AO209">
        <v>16.838336207816056</v>
      </c>
      <c r="AP209">
        <v>127.11341107762937</v>
      </c>
      <c r="AQ209">
        <v>39.701090417158532</v>
      </c>
      <c r="AR209">
        <v>16.48452059601928</v>
      </c>
      <c r="AS209">
        <v>141.36637434196959</v>
      </c>
      <c r="AT209">
        <v>6.8680544011853319</v>
      </c>
      <c r="AU209">
        <v>-67.893089616881511</v>
      </c>
      <c r="AV209"/>
      <c r="AW209"/>
      <c r="FY209" s="210">
        <v>204</v>
      </c>
      <c r="FZ209">
        <v>4.5129216427727226</v>
      </c>
      <c r="GA209">
        <v>17.028128884881617</v>
      </c>
      <c r="GB209">
        <v>5.7610070148595494</v>
      </c>
      <c r="GC209">
        <v>0.91811276474891124</v>
      </c>
      <c r="GD209">
        <v>1.2523341719859826</v>
      </c>
      <c r="GE209">
        <v>2.3653208693930066</v>
      </c>
      <c r="GF209">
        <v>4.3942547436576751</v>
      </c>
      <c r="GG209">
        <v>2.9269068902655246</v>
      </c>
      <c r="GH209">
        <v>0.23579423514790807</v>
      </c>
      <c r="GI209">
        <v>4.9898714941537587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11.825126925770308</v>
      </c>
      <c r="AO210">
        <v>17.447993737069318</v>
      </c>
      <c r="AP210">
        <v>135.14874731512162</v>
      </c>
      <c r="AQ210">
        <v>30.454506323079055</v>
      </c>
      <c r="AR210">
        <v>16.598874546010066</v>
      </c>
      <c r="AS210">
        <v>81.071073856972944</v>
      </c>
      <c r="AT210" t="e">
        <v>#DIV/0!</v>
      </c>
      <c r="AU210" t="e">
        <v>#DIV/0!</v>
      </c>
      <c r="AV210"/>
      <c r="AW210"/>
      <c r="FY210" s="210">
        <v>205</v>
      </c>
      <c r="FZ210">
        <v>5.6888568468102516</v>
      </c>
      <c r="GA210">
        <v>14.857483198770142</v>
      </c>
      <c r="GB210">
        <v>4.9957160817461048</v>
      </c>
      <c r="GC210">
        <v>0.18424875290231324</v>
      </c>
      <c r="GD210">
        <v>0.33031473737189415</v>
      </c>
      <c r="GE210">
        <v>1.3941583827563497</v>
      </c>
      <c r="GF210">
        <v>3.4023296490929766</v>
      </c>
      <c r="GG210">
        <v>1.8100421704621514</v>
      </c>
      <c r="GH210">
        <v>0.17282465026292085</v>
      </c>
      <c r="GI210">
        <v>4.1355569664560221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7.0175653594771248</v>
      </c>
      <c r="AO211">
        <v>9.8270655672717862</v>
      </c>
      <c r="AP211">
        <v>78.776685680499071</v>
      </c>
      <c r="AQ211">
        <v>20.866543815972193</v>
      </c>
      <c r="AR211">
        <v>9.5678430940103674</v>
      </c>
      <c r="AS211">
        <v>46.450343738524055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3.6006105663560986</v>
      </c>
      <c r="GA211">
        <v>9.3629525758313488</v>
      </c>
      <c r="GB211">
        <v>2.6495938138116384</v>
      </c>
      <c r="GC211">
        <v>0.20128370684188804</v>
      </c>
      <c r="GD211">
        <v>0.13888521670983658</v>
      </c>
      <c r="GE211">
        <v>0.62216375502843735</v>
      </c>
      <c r="GF211">
        <v>3.3559237681668934</v>
      </c>
      <c r="GG211">
        <v>2.4324324403942232</v>
      </c>
      <c r="GH211">
        <v>0.58144353567374973</v>
      </c>
      <c r="GI211">
        <v>2.4717635364305877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5.6119791666666661</v>
      </c>
      <c r="AO212">
        <v>24.074894955730002</v>
      </c>
      <c r="AP212">
        <v>157.77233798807677</v>
      </c>
      <c r="AQ212">
        <v>20.054454335710048</v>
      </c>
      <c r="AR212">
        <v>22.826745719631965</v>
      </c>
      <c r="AS212">
        <v>185.34749354164865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" si="335">AVERAGE(DF88:DF97)</f>
        <v>0</v>
      </c>
      <c r="DG212" s="182">
        <f t="shared" ref="DG212:EJ212" si="336">AVERAGE(DG88:DG97)</f>
        <v>0</v>
      </c>
      <c r="DH212" s="182">
        <f t="shared" si="336"/>
        <v>0</v>
      </c>
      <c r="DI212" s="182">
        <f t="shared" si="336"/>
        <v>0</v>
      </c>
      <c r="DJ212" s="182">
        <f t="shared" si="336"/>
        <v>1.0416666666666665</v>
      </c>
      <c r="DK212" s="182">
        <f t="shared" si="336"/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1.0416666666666665</v>
      </c>
      <c r="DP212" s="182">
        <f t="shared" si="336"/>
        <v>0</v>
      </c>
      <c r="DQ212" s="182">
        <f t="shared" si="336"/>
        <v>0</v>
      </c>
      <c r="DR212" s="182">
        <f t="shared" si="336"/>
        <v>0</v>
      </c>
      <c r="DS212" s="182">
        <f t="shared" si="336"/>
        <v>0</v>
      </c>
      <c r="DT212" s="182">
        <f t="shared" si="336"/>
        <v>0</v>
      </c>
      <c r="DU212" s="182">
        <f t="shared" si="336"/>
        <v>0</v>
      </c>
      <c r="DV212" s="182">
        <f t="shared" si="336"/>
        <v>0</v>
      </c>
      <c r="DW212" s="182">
        <f t="shared" si="336"/>
        <v>0</v>
      </c>
      <c r="DX212" s="182">
        <f t="shared" si="336"/>
        <v>0</v>
      </c>
      <c r="DY212" s="182">
        <f t="shared" si="336"/>
        <v>0</v>
      </c>
      <c r="DZ212" s="182">
        <f t="shared" si="336"/>
        <v>0</v>
      </c>
      <c r="EA212" s="182">
        <f t="shared" si="336"/>
        <v>1.0416666666666665</v>
      </c>
      <c r="EB212" s="182">
        <f t="shared" si="336"/>
        <v>0</v>
      </c>
      <c r="EC212" s="182">
        <f t="shared" si="336"/>
        <v>0</v>
      </c>
      <c r="ED212" s="182">
        <f t="shared" si="336"/>
        <v>0</v>
      </c>
      <c r="EE212" s="182">
        <f t="shared" si="336"/>
        <v>0</v>
      </c>
      <c r="EF212" s="182">
        <f t="shared" si="336"/>
        <v>0</v>
      </c>
      <c r="EG212" s="182">
        <f t="shared" si="336"/>
        <v>0</v>
      </c>
      <c r="EH212" s="182">
        <f t="shared" si="336"/>
        <v>0</v>
      </c>
      <c r="EI212" s="182">
        <f t="shared" si="336"/>
        <v>0</v>
      </c>
      <c r="EJ212" s="182">
        <f t="shared" si="336"/>
        <v>0</v>
      </c>
      <c r="FY212" s="210">
        <v>207</v>
      </c>
      <c r="FZ212">
        <v>9.7171477179503682</v>
      </c>
      <c r="GA212">
        <v>11.732935904903778</v>
      </c>
      <c r="GB212">
        <v>3.4077086960770346</v>
      </c>
      <c r="GC212">
        <v>0.2931041845197257</v>
      </c>
      <c r="GD212">
        <v>0.58210632045241018</v>
      </c>
      <c r="GE212">
        <v>1.3031550765622475</v>
      </c>
      <c r="GF212">
        <v>1.9011431802727696</v>
      </c>
      <c r="GG212">
        <v>1.3641019447390237</v>
      </c>
      <c r="GH212">
        <v>0.23579423514790807</v>
      </c>
      <c r="GI212">
        <v>4.7629263132850497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9.3853728991596643</v>
      </c>
      <c r="AO213">
        <v>9.9393958348813847</v>
      </c>
      <c r="AP213">
        <v>96.087171078470078</v>
      </c>
      <c r="AQ213">
        <v>41.573053380489768</v>
      </c>
      <c r="AR213">
        <v>9.2926300305016714</v>
      </c>
      <c r="AS213">
        <v>54.994882471071236</v>
      </c>
      <c r="AT213">
        <v>3.7422631828827875</v>
      </c>
      <c r="AU213">
        <v>-11.372453543010034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" si="337">AVERAGE(DF98:DF107)</f>
        <v>0</v>
      </c>
      <c r="DG213" s="185">
        <f t="shared" ref="DG213:EJ213" si="338">AVERAGE(DG98:DG107)</f>
        <v>0</v>
      </c>
      <c r="DH213" s="185">
        <f t="shared" si="338"/>
        <v>0</v>
      </c>
      <c r="DI213" s="185">
        <f t="shared" si="338"/>
        <v>0</v>
      </c>
      <c r="DJ213" s="185">
        <f t="shared" si="338"/>
        <v>14.880952380952383</v>
      </c>
      <c r="DK213" s="185">
        <f t="shared" si="338"/>
        <v>0</v>
      </c>
      <c r="DL213" s="185">
        <f t="shared" si="338"/>
        <v>0</v>
      </c>
      <c r="DM213" s="185">
        <f t="shared" si="338"/>
        <v>0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8"/>
        <v>0</v>
      </c>
      <c r="DS213" s="185">
        <f t="shared" si="338"/>
        <v>0</v>
      </c>
      <c r="DT213" s="185">
        <f t="shared" si="338"/>
        <v>0</v>
      </c>
      <c r="DU213" s="185">
        <f t="shared" si="338"/>
        <v>0</v>
      </c>
      <c r="DV213" s="185">
        <f t="shared" si="338"/>
        <v>0</v>
      </c>
      <c r="DW213" s="185">
        <f t="shared" si="338"/>
        <v>0</v>
      </c>
      <c r="DX213" s="185">
        <f t="shared" si="338"/>
        <v>1.0416666666666665</v>
      </c>
      <c r="DY213" s="185">
        <f t="shared" si="338"/>
        <v>0</v>
      </c>
      <c r="DZ213" s="185">
        <f t="shared" si="338"/>
        <v>0</v>
      </c>
      <c r="EA213" s="185">
        <f t="shared" si="338"/>
        <v>0</v>
      </c>
      <c r="EB213" s="185">
        <f t="shared" si="338"/>
        <v>0</v>
      </c>
      <c r="EC213" s="185">
        <f t="shared" si="338"/>
        <v>0</v>
      </c>
      <c r="ED213" s="185">
        <f t="shared" si="338"/>
        <v>0</v>
      </c>
      <c r="EE213" s="185">
        <f t="shared" si="338"/>
        <v>0</v>
      </c>
      <c r="EF213" s="185">
        <f t="shared" si="338"/>
        <v>0</v>
      </c>
      <c r="EG213" s="185">
        <f t="shared" si="338"/>
        <v>0</v>
      </c>
      <c r="EH213" s="185">
        <f t="shared" si="338"/>
        <v>0</v>
      </c>
      <c r="EI213" s="185">
        <f t="shared" si="338"/>
        <v>0</v>
      </c>
      <c r="EJ213" s="185">
        <f t="shared" si="338"/>
        <v>0</v>
      </c>
      <c r="FY213" s="210">
        <v>208</v>
      </c>
      <c r="FZ213">
        <v>2.3070367737750797</v>
      </c>
      <c r="GA213">
        <v>23.770213685288592</v>
      </c>
      <c r="GB213">
        <v>8.6035787835365056</v>
      </c>
      <c r="GC213">
        <v>0.19375314809365582</v>
      </c>
      <c r="GD213">
        <v>0.4931620339080201</v>
      </c>
      <c r="GE213">
        <v>1.0677979833763525</v>
      </c>
      <c r="GF213">
        <v>0.36807777439108441</v>
      </c>
      <c r="GG213">
        <v>0.353851512980073</v>
      </c>
      <c r="GH213">
        <v>0.47158847029581613</v>
      </c>
      <c r="GI213">
        <v>4.7919902540278567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11.901865954715218</v>
      </c>
      <c r="AO214">
        <v>25.711665383318302</v>
      </c>
      <c r="AP214">
        <v>218.71321170537823</v>
      </c>
      <c r="AQ214">
        <v>27.409299968657116</v>
      </c>
      <c r="AR214">
        <v>24.327017117290133</v>
      </c>
      <c r="AS214">
        <v>101.51866842381773</v>
      </c>
      <c r="AT214">
        <v>15.274557228735519</v>
      </c>
      <c r="AU214">
        <v>-84.124303022316809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" si="339">AVERAGE(DF108:DF117)</f>
        <v>0</v>
      </c>
      <c r="DG214" s="182">
        <f t="shared" ref="DG214:EJ214" si="340">AVERAGE(DG108:DG117)</f>
        <v>0</v>
      </c>
      <c r="DH214" s="182">
        <f t="shared" si="340"/>
        <v>0</v>
      </c>
      <c r="DI214" s="182">
        <f t="shared" si="340"/>
        <v>0</v>
      </c>
      <c r="DJ214" s="182">
        <f t="shared" si="340"/>
        <v>1.0416666666666665</v>
      </c>
      <c r="DK214" s="182">
        <f t="shared" si="340"/>
        <v>1.0416666666666665</v>
      </c>
      <c r="DL214" s="182">
        <f t="shared" si="340"/>
        <v>5.208333333333333</v>
      </c>
      <c r="DM214" s="182">
        <f t="shared" si="340"/>
        <v>0</v>
      </c>
      <c r="DN214" s="182">
        <f t="shared" si="340"/>
        <v>0</v>
      </c>
      <c r="DO214" s="182">
        <f t="shared" si="340"/>
        <v>0</v>
      </c>
      <c r="DP214" s="182">
        <f t="shared" si="340"/>
        <v>1.0416666666666665</v>
      </c>
      <c r="DQ214" s="182">
        <f t="shared" si="340"/>
        <v>0</v>
      </c>
      <c r="DR214" s="182">
        <f t="shared" si="340"/>
        <v>0</v>
      </c>
      <c r="DS214" s="182">
        <f t="shared" si="340"/>
        <v>0</v>
      </c>
      <c r="DT214" s="182">
        <f t="shared" si="340"/>
        <v>0</v>
      </c>
      <c r="DU214" s="182">
        <f t="shared" si="340"/>
        <v>0</v>
      </c>
      <c r="DV214" s="182">
        <f t="shared" si="340"/>
        <v>2.083333333333333</v>
      </c>
      <c r="DW214" s="182">
        <f t="shared" si="340"/>
        <v>0</v>
      </c>
      <c r="DX214" s="182">
        <f t="shared" si="340"/>
        <v>0</v>
      </c>
      <c r="DY214" s="182">
        <f t="shared" si="340"/>
        <v>1.0416666666666665</v>
      </c>
      <c r="DZ214" s="182">
        <f t="shared" si="340"/>
        <v>0</v>
      </c>
      <c r="EA214" s="182">
        <f t="shared" si="340"/>
        <v>0</v>
      </c>
      <c r="EB214" s="182">
        <f t="shared" si="340"/>
        <v>0</v>
      </c>
      <c r="EC214" s="182">
        <f t="shared" si="340"/>
        <v>0</v>
      </c>
      <c r="ED214" s="182">
        <f t="shared" si="340"/>
        <v>0</v>
      </c>
      <c r="EE214" s="182">
        <f t="shared" si="340"/>
        <v>0</v>
      </c>
      <c r="EF214" s="182">
        <f t="shared" si="340"/>
        <v>0</v>
      </c>
      <c r="EG214" s="182">
        <f t="shared" si="340"/>
        <v>0</v>
      </c>
      <c r="EH214" s="182">
        <f t="shared" si="340"/>
        <v>0</v>
      </c>
      <c r="EI214" s="182">
        <f t="shared" si="340"/>
        <v>0</v>
      </c>
      <c r="EJ214" s="182">
        <f t="shared" si="340"/>
        <v>0</v>
      </c>
      <c r="FY214" s="210">
        <v>209</v>
      </c>
      <c r="FZ214">
        <v>10.243225992717717</v>
      </c>
      <c r="GA214">
        <v>14.898639410016902</v>
      </c>
      <c r="GB214">
        <v>1.4849612799189136</v>
      </c>
      <c r="GC214">
        <v>1.345770899728961</v>
      </c>
      <c r="GD214">
        <v>1.1621732406323402</v>
      </c>
      <c r="GE214">
        <v>1.3420675724774316</v>
      </c>
      <c r="GF214">
        <v>4.6715003067756644</v>
      </c>
      <c r="GG214">
        <v>3.5492971601975971</v>
      </c>
      <c r="GH214">
        <v>0.47158847029581613</v>
      </c>
      <c r="GI214">
        <v>4.6236277853342047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10.555409663865545</v>
      </c>
      <c r="AO215">
        <v>23.136423241082049</v>
      </c>
      <c r="AP215">
        <v>191.20573143886503</v>
      </c>
      <c r="AQ215">
        <v>42.874410304039898</v>
      </c>
      <c r="AR215">
        <v>21.935376531654647</v>
      </c>
      <c r="AS215">
        <v>95.302859765819818</v>
      </c>
      <c r="AT215">
        <v>11.312407174655297</v>
      </c>
      <c r="AU215">
        <v>31.042935033943102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" si="341">AVERAGE(DF118:DF127)</f>
        <v>0</v>
      </c>
      <c r="DG215" s="182">
        <f t="shared" ref="DG215:EJ215" si="342">AVERAGE(DG118:DG127)</f>
        <v>0</v>
      </c>
      <c r="DH215" s="182">
        <f t="shared" si="342"/>
        <v>0</v>
      </c>
      <c r="DI215" s="182">
        <f t="shared" si="342"/>
        <v>1.0416666666666665</v>
      </c>
      <c r="DJ215" s="182">
        <f t="shared" si="342"/>
        <v>5.7291666666666661</v>
      </c>
      <c r="DK215" s="182">
        <f t="shared" si="342"/>
        <v>0</v>
      </c>
      <c r="DL215" s="182">
        <f t="shared" si="342"/>
        <v>0</v>
      </c>
      <c r="DM215" s="182">
        <f t="shared" si="342"/>
        <v>0</v>
      </c>
      <c r="DN215" s="182">
        <f t="shared" si="342"/>
        <v>0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2"/>
        <v>0</v>
      </c>
      <c r="DS215" s="182">
        <f t="shared" si="342"/>
        <v>0</v>
      </c>
      <c r="DT215" s="182">
        <f t="shared" si="342"/>
        <v>0</v>
      </c>
      <c r="DU215" s="182">
        <f t="shared" si="342"/>
        <v>0</v>
      </c>
      <c r="DV215" s="182">
        <f t="shared" si="342"/>
        <v>0</v>
      </c>
      <c r="DW215" s="182">
        <f t="shared" si="342"/>
        <v>0</v>
      </c>
      <c r="DX215" s="182">
        <f t="shared" si="342"/>
        <v>0</v>
      </c>
      <c r="DY215" s="182">
        <f t="shared" si="342"/>
        <v>0</v>
      </c>
      <c r="DZ215" s="182">
        <f t="shared" si="342"/>
        <v>0</v>
      </c>
      <c r="EA215" s="182">
        <f t="shared" si="342"/>
        <v>0</v>
      </c>
      <c r="EB215" s="182">
        <f t="shared" si="342"/>
        <v>0</v>
      </c>
      <c r="EC215" s="182">
        <f t="shared" si="342"/>
        <v>1.0416666666666665</v>
      </c>
      <c r="ED215" s="182">
        <f t="shared" si="342"/>
        <v>0</v>
      </c>
      <c r="EE215" s="182">
        <f t="shared" si="342"/>
        <v>0</v>
      </c>
      <c r="EF215" s="182">
        <f t="shared" si="342"/>
        <v>0</v>
      </c>
      <c r="EG215" s="182">
        <f t="shared" si="342"/>
        <v>0</v>
      </c>
      <c r="EH215" s="182">
        <f t="shared" si="342"/>
        <v>0</v>
      </c>
      <c r="EI215" s="182">
        <f t="shared" si="342"/>
        <v>0</v>
      </c>
      <c r="EJ215" s="182">
        <f t="shared" si="342"/>
        <v>0</v>
      </c>
      <c r="FY215" s="210">
        <v>210</v>
      </c>
      <c r="FZ215">
        <v>6.1161567755553836</v>
      </c>
      <c r="GA215">
        <v>14.857483198770142</v>
      </c>
      <c r="GB215">
        <v>5.1527680138424623</v>
      </c>
      <c r="GC215">
        <v>0.93373979061432832</v>
      </c>
      <c r="GD215">
        <v>1.057378911003235</v>
      </c>
      <c r="GE215">
        <v>1.532683300358773</v>
      </c>
      <c r="GF215">
        <v>3.6337993124887573</v>
      </c>
      <c r="GG215">
        <v>2.6796696653298739</v>
      </c>
      <c r="GH215">
        <v>0.40861888541082891</v>
      </c>
      <c r="GI215">
        <v>4.2610637604264685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10.971974206349206</v>
      </c>
      <c r="AO216">
        <v>20.14253924031523</v>
      </c>
      <c r="AP216">
        <v>170.11737383295386</v>
      </c>
      <c r="AQ216">
        <v>46.373956346133831</v>
      </c>
      <c r="AR216">
        <v>19.577263355627792</v>
      </c>
      <c r="AS216">
        <v>92.790346995645137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" si="343">AVERAGE(DF128:DF137)</f>
        <v>0</v>
      </c>
      <c r="DG216" s="182">
        <f t="shared" ref="DG216:EJ216" si="344">AVERAGE(DG128:DG137)</f>
        <v>0</v>
      </c>
      <c r="DH216" s="182">
        <f t="shared" si="344"/>
        <v>1.0416666666666665</v>
      </c>
      <c r="DI216" s="182">
        <f t="shared" si="344"/>
        <v>4.1666666666666661</v>
      </c>
      <c r="DJ216" s="182">
        <f t="shared" si="344"/>
        <v>8.3333333333333321</v>
      </c>
      <c r="DK216" s="182">
        <f t="shared" si="344"/>
        <v>4.1666666666666661</v>
      </c>
      <c r="DL216" s="182">
        <f t="shared" si="344"/>
        <v>0</v>
      </c>
      <c r="DM216" s="182">
        <f t="shared" si="344"/>
        <v>1.0416666666666665</v>
      </c>
      <c r="DN216" s="182">
        <f t="shared" si="344"/>
        <v>0</v>
      </c>
      <c r="DO216" s="182">
        <f t="shared" si="344"/>
        <v>1.0416666666666665</v>
      </c>
      <c r="DP216" s="182">
        <f t="shared" si="344"/>
        <v>0</v>
      </c>
      <c r="DQ216" s="182">
        <f t="shared" si="344"/>
        <v>0</v>
      </c>
      <c r="DR216" s="182">
        <f t="shared" si="344"/>
        <v>0</v>
      </c>
      <c r="DS216" s="182">
        <f t="shared" si="344"/>
        <v>0</v>
      </c>
      <c r="DT216" s="182">
        <f t="shared" si="344"/>
        <v>0</v>
      </c>
      <c r="DU216" s="182">
        <f t="shared" si="344"/>
        <v>0</v>
      </c>
      <c r="DV216" s="182">
        <f t="shared" si="344"/>
        <v>0</v>
      </c>
      <c r="DW216" s="182">
        <f t="shared" si="344"/>
        <v>0</v>
      </c>
      <c r="DX216" s="182">
        <f t="shared" si="344"/>
        <v>0</v>
      </c>
      <c r="DY216" s="182">
        <f t="shared" si="344"/>
        <v>0</v>
      </c>
      <c r="DZ216" s="182">
        <f t="shared" si="344"/>
        <v>0</v>
      </c>
      <c r="EA216" s="182">
        <f t="shared" si="344"/>
        <v>0</v>
      </c>
      <c r="EB216" s="182">
        <f t="shared" si="344"/>
        <v>0</v>
      </c>
      <c r="EC216" s="182">
        <f t="shared" si="344"/>
        <v>0</v>
      </c>
      <c r="ED216" s="182">
        <f t="shared" si="344"/>
        <v>0</v>
      </c>
      <c r="EE216" s="182">
        <f t="shared" si="344"/>
        <v>0</v>
      </c>
      <c r="EF216" s="182">
        <f t="shared" si="344"/>
        <v>0</v>
      </c>
      <c r="EG216" s="182">
        <f t="shared" si="344"/>
        <v>0</v>
      </c>
      <c r="EH216" s="182">
        <f t="shared" si="344"/>
        <v>0</v>
      </c>
      <c r="EI216" s="182">
        <f t="shared" si="344"/>
        <v>0</v>
      </c>
      <c r="EJ216" s="182">
        <f t="shared" si="344"/>
        <v>0</v>
      </c>
      <c r="FY216" s="210">
        <v>211</v>
      </c>
      <c r="FZ216">
        <v>0.54272236659784878</v>
      </c>
      <c r="GA216">
        <v>24.390892427877482</v>
      </c>
      <c r="GB216">
        <v>9.2384193534503556</v>
      </c>
      <c r="GC216">
        <v>1.0458610650869244</v>
      </c>
      <c r="GD216">
        <v>1.1364337452111786</v>
      </c>
      <c r="GE216">
        <v>1.8772514034803125</v>
      </c>
      <c r="GF216">
        <v>4.7570879429214425</v>
      </c>
      <c r="GG216">
        <v>3.1736684029200841</v>
      </c>
      <c r="GH216">
        <v>0.64441312055873701</v>
      </c>
      <c r="GI216">
        <v>6.4530445768967972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12.668731034080299</v>
      </c>
      <c r="AO217">
        <v>20.551236938040141</v>
      </c>
      <c r="AP217">
        <v>182.90231497789748</v>
      </c>
      <c r="AQ217">
        <v>43.310476736740341</v>
      </c>
      <c r="AR217">
        <v>19.107310833908066</v>
      </c>
      <c r="AS217">
        <v>118.24749558918514</v>
      </c>
      <c r="AT217">
        <v>9.6602515067680823</v>
      </c>
      <c r="AU217">
        <v>56.471000455895428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" si="345">AVERAGE(DF138:DF147)</f>
        <v>0</v>
      </c>
      <c r="DG217" s="182">
        <f t="shared" ref="DG217:EJ217" si="346">AVERAGE(DG138:DG147)</f>
        <v>0</v>
      </c>
      <c r="DH217" s="182">
        <f t="shared" si="346"/>
        <v>0</v>
      </c>
      <c r="DI217" s="182">
        <f t="shared" si="346"/>
        <v>1.0416666666666665</v>
      </c>
      <c r="DJ217" s="182">
        <f t="shared" si="346"/>
        <v>2.083333333333333</v>
      </c>
      <c r="DK217" s="182">
        <f t="shared" si="346"/>
        <v>4.1666666666666661</v>
      </c>
      <c r="DL217" s="182">
        <f t="shared" si="346"/>
        <v>1.0416666666666665</v>
      </c>
      <c r="DM217" s="182">
        <f t="shared" si="346"/>
        <v>0</v>
      </c>
      <c r="DN217" s="182">
        <f t="shared" si="346"/>
        <v>1.0416666666666665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0</v>
      </c>
      <c r="DS217" s="182">
        <f t="shared" si="346"/>
        <v>0</v>
      </c>
      <c r="DT217" s="182">
        <f t="shared" si="346"/>
        <v>0</v>
      </c>
      <c r="DU217" s="182">
        <f t="shared" si="346"/>
        <v>0</v>
      </c>
      <c r="DV217" s="182">
        <f t="shared" si="346"/>
        <v>1.0416666666666665</v>
      </c>
      <c r="DW217" s="182">
        <f t="shared" si="346"/>
        <v>0</v>
      </c>
      <c r="DX217" s="182">
        <f t="shared" si="346"/>
        <v>1.0416666666666665</v>
      </c>
      <c r="DY217" s="182">
        <f t="shared" si="346"/>
        <v>0</v>
      </c>
      <c r="DZ217" s="182">
        <f t="shared" si="346"/>
        <v>0</v>
      </c>
      <c r="EA217" s="182">
        <f t="shared" si="346"/>
        <v>1.0416666666666665</v>
      </c>
      <c r="EB217" s="182">
        <f t="shared" si="346"/>
        <v>0</v>
      </c>
      <c r="EC217" s="182">
        <f t="shared" si="346"/>
        <v>0</v>
      </c>
      <c r="ED217" s="182">
        <f t="shared" si="346"/>
        <v>0</v>
      </c>
      <c r="EE217" s="182">
        <f t="shared" si="346"/>
        <v>0</v>
      </c>
      <c r="EF217" s="182">
        <f t="shared" si="346"/>
        <v>0</v>
      </c>
      <c r="EG217" s="182">
        <f t="shared" si="346"/>
        <v>1.0416666666666665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0">
        <v>212</v>
      </c>
      <c r="FZ217">
        <v>4.7071605451216492</v>
      </c>
      <c r="GA217">
        <v>19.030247027143734</v>
      </c>
      <c r="GB217">
        <v>7.3941889937126932</v>
      </c>
      <c r="GC217">
        <v>1.0644399796103845</v>
      </c>
      <c r="GD217">
        <v>0.93553437596049327</v>
      </c>
      <c r="GE217">
        <v>1.4950615108492524</v>
      </c>
      <c r="GF217">
        <v>3.0579858712907884</v>
      </c>
      <c r="GG217">
        <v>1.3641019447390237</v>
      </c>
      <c r="GH217">
        <v>0.23579423514790807</v>
      </c>
      <c r="GI217">
        <v>4.6617145543633418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8.7280505952380931</v>
      </c>
      <c r="AO218">
        <v>18.063527424858314</v>
      </c>
      <c r="AP218">
        <v>136.9285436319505</v>
      </c>
      <c r="AQ218">
        <v>37.239117363502658</v>
      </c>
      <c r="AR218">
        <v>17.643173179765295</v>
      </c>
      <c r="AS218">
        <v>144.67334797097126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" si="347">AVERAGE(DF148:DF157)</f>
        <v>0</v>
      </c>
      <c r="DG218" s="182">
        <f t="shared" ref="DG218:EJ218" si="348">AVERAGE(DG148:DG157)</f>
        <v>0</v>
      </c>
      <c r="DH218" s="182">
        <f t="shared" si="348"/>
        <v>0</v>
      </c>
      <c r="DI218" s="182">
        <f t="shared" si="348"/>
        <v>0</v>
      </c>
      <c r="DJ218" s="182">
        <f t="shared" si="348"/>
        <v>2.6041666666666665</v>
      </c>
      <c r="DK218" s="182">
        <f t="shared" si="348"/>
        <v>4.3402777777777777</v>
      </c>
      <c r="DL218" s="182">
        <f t="shared" si="348"/>
        <v>0</v>
      </c>
      <c r="DM218" s="182">
        <f t="shared" si="348"/>
        <v>1.3020833333333333</v>
      </c>
      <c r="DN218" s="182">
        <f t="shared" si="348"/>
        <v>0</v>
      </c>
      <c r="DO218" s="182">
        <f t="shared" si="348"/>
        <v>1.3020833333333333</v>
      </c>
      <c r="DP218" s="182">
        <f t="shared" si="348"/>
        <v>0</v>
      </c>
      <c r="DQ218" s="182">
        <f t="shared" si="348"/>
        <v>0</v>
      </c>
      <c r="DR218" s="182">
        <f t="shared" si="348"/>
        <v>0</v>
      </c>
      <c r="DS218" s="182">
        <f t="shared" si="348"/>
        <v>0</v>
      </c>
      <c r="DT218" s="182">
        <f t="shared" si="348"/>
        <v>0</v>
      </c>
      <c r="DU218" s="182">
        <f t="shared" si="348"/>
        <v>0</v>
      </c>
      <c r="DV218" s="182">
        <f t="shared" si="348"/>
        <v>0</v>
      </c>
      <c r="DW218" s="182">
        <f t="shared" si="348"/>
        <v>0</v>
      </c>
      <c r="DX218" s="182">
        <f t="shared" si="348"/>
        <v>0</v>
      </c>
      <c r="DY218" s="182">
        <f t="shared" si="348"/>
        <v>0</v>
      </c>
      <c r="DZ218" s="182">
        <f t="shared" si="348"/>
        <v>0</v>
      </c>
      <c r="EA218" s="182">
        <f t="shared" si="348"/>
        <v>0</v>
      </c>
      <c r="EB218" s="182">
        <f t="shared" si="348"/>
        <v>0</v>
      </c>
      <c r="EC218" s="182">
        <f t="shared" si="348"/>
        <v>0</v>
      </c>
      <c r="ED218" s="182">
        <f t="shared" si="348"/>
        <v>0</v>
      </c>
      <c r="EE218" s="182">
        <f t="shared" si="348"/>
        <v>0</v>
      </c>
      <c r="EF218" s="182">
        <f t="shared" si="348"/>
        <v>0</v>
      </c>
      <c r="EG218" s="182">
        <f t="shared" si="348"/>
        <v>0</v>
      </c>
      <c r="EH218" s="182">
        <f t="shared" si="348"/>
        <v>0</v>
      </c>
      <c r="EI218" s="182">
        <f t="shared" si="348"/>
        <v>0</v>
      </c>
      <c r="EJ218" s="182">
        <f t="shared" si="348"/>
        <v>0</v>
      </c>
      <c r="FY218" s="210">
        <v>213</v>
      </c>
      <c r="FZ218">
        <v>4.910067698689847</v>
      </c>
      <c r="GA218">
        <v>12.308581733704118</v>
      </c>
      <c r="GB218">
        <v>3.1392254181922956</v>
      </c>
      <c r="GC218">
        <v>0.1965503147216163</v>
      </c>
      <c r="GD218">
        <v>0.72514916176569333</v>
      </c>
      <c r="GE218">
        <v>2.0066597498185623</v>
      </c>
      <c r="GF218">
        <v>4.4134801149078609</v>
      </c>
      <c r="GG218">
        <v>3.4794614040330742</v>
      </c>
      <c r="GH218">
        <v>0.47158847029581613</v>
      </c>
      <c r="GI218">
        <v>4.0944101149049938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5.3055555555555562</v>
      </c>
      <c r="AO219">
        <v>13.752433197168145</v>
      </c>
      <c r="AP219">
        <v>126.92887437483451</v>
      </c>
      <c r="AQ219">
        <v>29.542882868371386</v>
      </c>
      <c r="AR219">
        <v>13.268203705518285</v>
      </c>
      <c r="AS219">
        <v>56.054180467176607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" si="349">AVERAGE(DF158:DF167)</f>
        <v>0</v>
      </c>
      <c r="DG219" s="182">
        <f t="shared" ref="DG219:EJ219" si="350">AVERAGE(DG158:DG167)</f>
        <v>0</v>
      </c>
      <c r="DH219" s="182">
        <f t="shared" si="350"/>
        <v>0</v>
      </c>
      <c r="DI219" s="182">
        <f t="shared" si="350"/>
        <v>0</v>
      </c>
      <c r="DJ219" s="182">
        <f t="shared" si="350"/>
        <v>0</v>
      </c>
      <c r="DK219" s="182">
        <f t="shared" si="350"/>
        <v>0</v>
      </c>
      <c r="DL219" s="182">
        <f t="shared" si="350"/>
        <v>0</v>
      </c>
      <c r="DM219" s="182">
        <f t="shared" si="350"/>
        <v>1.0416666666666665</v>
      </c>
      <c r="DN219" s="182">
        <f t="shared" si="350"/>
        <v>1.0416666666666665</v>
      </c>
      <c r="DO219" s="182">
        <f t="shared" si="350"/>
        <v>0</v>
      </c>
      <c r="DP219" s="182">
        <f t="shared" si="350"/>
        <v>2.083333333333333</v>
      </c>
      <c r="DQ219" s="182">
        <f t="shared" si="350"/>
        <v>1.0416666666666665</v>
      </c>
      <c r="DR219" s="182">
        <f t="shared" si="350"/>
        <v>0</v>
      </c>
      <c r="DS219" s="182">
        <f t="shared" si="350"/>
        <v>1.0416666666666665</v>
      </c>
      <c r="DT219" s="182">
        <f t="shared" si="350"/>
        <v>0</v>
      </c>
      <c r="DU219" s="182">
        <f t="shared" si="350"/>
        <v>0</v>
      </c>
      <c r="DV219" s="182">
        <f t="shared" si="350"/>
        <v>0</v>
      </c>
      <c r="DW219" s="182">
        <f t="shared" si="350"/>
        <v>0</v>
      </c>
      <c r="DX219" s="182">
        <f t="shared" si="350"/>
        <v>0</v>
      </c>
      <c r="DY219" s="182">
        <f t="shared" si="350"/>
        <v>0</v>
      </c>
      <c r="DZ219" s="182">
        <f t="shared" si="350"/>
        <v>0</v>
      </c>
      <c r="EA219" s="182">
        <f t="shared" si="350"/>
        <v>0</v>
      </c>
      <c r="EB219" s="182">
        <f t="shared" si="350"/>
        <v>0</v>
      </c>
      <c r="EC219" s="182">
        <f t="shared" si="350"/>
        <v>0</v>
      </c>
      <c r="ED219" s="182">
        <f t="shared" si="350"/>
        <v>0</v>
      </c>
      <c r="EE219" s="182">
        <f t="shared" si="350"/>
        <v>0</v>
      </c>
      <c r="EF219" s="182">
        <f t="shared" si="350"/>
        <v>0</v>
      </c>
      <c r="EG219" s="182">
        <f t="shared" si="350"/>
        <v>0</v>
      </c>
      <c r="EH219" s="182">
        <f t="shared" si="350"/>
        <v>0</v>
      </c>
      <c r="EI219" s="182">
        <f t="shared" si="350"/>
        <v>0</v>
      </c>
      <c r="EJ219" s="182">
        <f t="shared" si="350"/>
        <v>0</v>
      </c>
      <c r="FY219" s="210">
        <v>214</v>
      </c>
      <c r="FZ219">
        <v>3.9981369983121078</v>
      </c>
      <c r="GA219">
        <v>11.806831324688758</v>
      </c>
      <c r="GB219">
        <v>4.188116386010293</v>
      </c>
      <c r="GC219">
        <v>0.27671463907758803</v>
      </c>
      <c r="GD219">
        <v>0.3770219518772685</v>
      </c>
      <c r="GE219">
        <v>1.882031442797623</v>
      </c>
      <c r="GF219">
        <v>4.3098883692387409</v>
      </c>
      <c r="GG219">
        <v>2.6093581968842599</v>
      </c>
      <c r="GH219">
        <v>0.47158847029581613</v>
      </c>
      <c r="GI219">
        <v>3.3664764511548295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13.578745039682536</v>
      </c>
      <c r="AO220">
        <v>16.262184965887734</v>
      </c>
      <c r="AP220">
        <v>145.36695375835563</v>
      </c>
      <c r="AQ220">
        <v>44.384652711866664</v>
      </c>
      <c r="AR220">
        <v>15.149036066632464</v>
      </c>
      <c r="AS220">
        <v>87.63673557780993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" si="351">AVERAGE(DF168:DF177)</f>
        <v>0</v>
      </c>
      <c r="DG220" s="182">
        <f t="shared" ref="DG220:EJ220" si="352">AVERAGE(DG168:DG177)</f>
        <v>0</v>
      </c>
      <c r="DH220" s="182">
        <f t="shared" si="352"/>
        <v>0</v>
      </c>
      <c r="DI220" s="182">
        <f t="shared" si="352"/>
        <v>0</v>
      </c>
      <c r="DJ220" s="182">
        <f t="shared" si="352"/>
        <v>0</v>
      </c>
      <c r="DK220" s="182">
        <f t="shared" si="352"/>
        <v>0</v>
      </c>
      <c r="DL220" s="182">
        <f t="shared" si="352"/>
        <v>0</v>
      </c>
      <c r="DM220" s="182">
        <f t="shared" si="352"/>
        <v>1.0416666666666665</v>
      </c>
      <c r="DN220" s="182">
        <f t="shared" si="352"/>
        <v>0</v>
      </c>
      <c r="DO220" s="182">
        <f t="shared" si="352"/>
        <v>0</v>
      </c>
      <c r="DP220" s="182">
        <f t="shared" si="352"/>
        <v>0</v>
      </c>
      <c r="DQ220" s="182">
        <f t="shared" si="352"/>
        <v>0</v>
      </c>
      <c r="DR220" s="182">
        <f t="shared" si="352"/>
        <v>0</v>
      </c>
      <c r="DS220" s="182">
        <f t="shared" si="352"/>
        <v>0</v>
      </c>
      <c r="DT220" s="182">
        <f t="shared" si="352"/>
        <v>0</v>
      </c>
      <c r="DU220" s="182">
        <f t="shared" si="352"/>
        <v>0</v>
      </c>
      <c r="DV220" s="182">
        <f t="shared" si="352"/>
        <v>0</v>
      </c>
      <c r="DW220" s="182">
        <f t="shared" si="352"/>
        <v>0</v>
      </c>
      <c r="DX220" s="182">
        <f t="shared" si="352"/>
        <v>0</v>
      </c>
      <c r="DY220" s="182">
        <f t="shared" si="352"/>
        <v>0</v>
      </c>
      <c r="DZ220" s="182">
        <f t="shared" si="352"/>
        <v>0</v>
      </c>
      <c r="EA220" s="182">
        <f t="shared" si="352"/>
        <v>0</v>
      </c>
      <c r="EB220" s="182">
        <f t="shared" si="352"/>
        <v>0</v>
      </c>
      <c r="EC220" s="182">
        <f t="shared" si="352"/>
        <v>0</v>
      </c>
      <c r="ED220" s="182">
        <f t="shared" si="352"/>
        <v>0</v>
      </c>
      <c r="EE220" s="182">
        <f t="shared" si="352"/>
        <v>0</v>
      </c>
      <c r="EF220" s="182">
        <f t="shared" si="352"/>
        <v>1.0416666666666665</v>
      </c>
      <c r="EG220" s="182">
        <f t="shared" si="352"/>
        <v>0</v>
      </c>
      <c r="EH220" s="182">
        <f t="shared" si="352"/>
        <v>2.083333333333333</v>
      </c>
      <c r="EI220" s="182">
        <f t="shared" si="352"/>
        <v>0</v>
      </c>
      <c r="EJ220" s="182">
        <f t="shared" si="352"/>
        <v>0</v>
      </c>
      <c r="FY220" s="210">
        <v>215</v>
      </c>
      <c r="FZ220">
        <v>3.6884756581104652</v>
      </c>
      <c r="GA220">
        <v>7.6340674963151667</v>
      </c>
      <c r="GB220">
        <v>1.6512524048723456</v>
      </c>
      <c r="GC220">
        <v>0.24063209438732985</v>
      </c>
      <c r="GD220">
        <v>0.28043794838807568</v>
      </c>
      <c r="GE220">
        <v>1.2909495321215714</v>
      </c>
      <c r="GF220">
        <v>5.5699972517772185</v>
      </c>
      <c r="GG220">
        <v>3.9366816097433834</v>
      </c>
      <c r="GH220">
        <v>0.23579423514790807</v>
      </c>
      <c r="GI220">
        <v>4.6931758578959153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9.1422152194211002</v>
      </c>
      <c r="AO221">
        <v>22.317912283598083</v>
      </c>
      <c r="AP221">
        <v>175.68894026589163</v>
      </c>
      <c r="AQ221">
        <v>36.971531436631118</v>
      </c>
      <c r="AR221">
        <v>21.102953955980375</v>
      </c>
      <c r="AS221">
        <v>83.813958058446246</v>
      </c>
      <c r="AT221">
        <v>11.905475220782129</v>
      </c>
      <c r="AU221">
        <v>-15.211751833860182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" si="353">AVERAGE(DF178:DF187)</f>
        <v>0</v>
      </c>
      <c r="DG221" s="182">
        <f t="shared" ref="DG221:EJ221" si="354">AVERAGE(DG178:DG187)</f>
        <v>0</v>
      </c>
      <c r="DH221" s="182">
        <f t="shared" si="354"/>
        <v>0</v>
      </c>
      <c r="DI221" s="182">
        <f t="shared" si="354"/>
        <v>7.1486928104575158</v>
      </c>
      <c r="DJ221" s="182">
        <f t="shared" si="354"/>
        <v>0</v>
      </c>
      <c r="DK221" s="182">
        <f t="shared" si="354"/>
        <v>0</v>
      </c>
      <c r="DL221" s="182">
        <f t="shared" si="354"/>
        <v>0</v>
      </c>
      <c r="DM221" s="182">
        <f t="shared" si="354"/>
        <v>0</v>
      </c>
      <c r="DN221" s="182">
        <f t="shared" si="354"/>
        <v>0</v>
      </c>
      <c r="DO221" s="182">
        <f t="shared" si="354"/>
        <v>0</v>
      </c>
      <c r="DP221" s="182">
        <f t="shared" si="354"/>
        <v>0</v>
      </c>
      <c r="DQ221" s="182">
        <f t="shared" si="354"/>
        <v>0</v>
      </c>
      <c r="DR221" s="182">
        <f t="shared" si="354"/>
        <v>0</v>
      </c>
      <c r="DS221" s="182">
        <f t="shared" si="354"/>
        <v>0</v>
      </c>
      <c r="DT221" s="182">
        <f t="shared" si="354"/>
        <v>0</v>
      </c>
      <c r="DU221" s="182">
        <f t="shared" si="354"/>
        <v>0</v>
      </c>
      <c r="DV221" s="182">
        <f t="shared" si="354"/>
        <v>0</v>
      </c>
      <c r="DW221" s="182">
        <f t="shared" si="354"/>
        <v>0</v>
      </c>
      <c r="DX221" s="182">
        <f t="shared" si="354"/>
        <v>0</v>
      </c>
      <c r="DY221" s="182">
        <f t="shared" si="354"/>
        <v>0</v>
      </c>
      <c r="DZ221" s="182">
        <f t="shared" si="354"/>
        <v>0</v>
      </c>
      <c r="EA221" s="182">
        <f t="shared" si="354"/>
        <v>0</v>
      </c>
      <c r="EB221" s="182">
        <f t="shared" si="354"/>
        <v>0</v>
      </c>
      <c r="EC221" s="182">
        <f t="shared" si="354"/>
        <v>0</v>
      </c>
      <c r="ED221" s="182">
        <f t="shared" si="354"/>
        <v>0</v>
      </c>
      <c r="EE221" s="182">
        <f t="shared" si="354"/>
        <v>0</v>
      </c>
      <c r="EF221" s="182">
        <f t="shared" si="354"/>
        <v>0</v>
      </c>
      <c r="EG221" s="182">
        <f t="shared" si="354"/>
        <v>0</v>
      </c>
      <c r="EH221" s="182">
        <f t="shared" si="354"/>
        <v>0</v>
      </c>
      <c r="EI221" s="182">
        <f t="shared" si="354"/>
        <v>0</v>
      </c>
      <c r="EJ221" s="182">
        <f t="shared" si="354"/>
        <v>0</v>
      </c>
      <c r="FY221" s="210">
        <v>216</v>
      </c>
      <c r="FZ221">
        <v>5.5316065297839057</v>
      </c>
      <c r="GA221">
        <v>13.356798268211342</v>
      </c>
      <c r="GB221">
        <v>3.8125105235660719</v>
      </c>
      <c r="GC221">
        <v>0.30587442256625197</v>
      </c>
      <c r="GD221">
        <v>0.68272138886205358</v>
      </c>
      <c r="GE221">
        <v>1.7320152397691435</v>
      </c>
      <c r="GF221">
        <v>2.2989974026298015</v>
      </c>
      <c r="GG221">
        <v>1.7179534577190969</v>
      </c>
      <c r="GH221">
        <v>0.88020735570664521</v>
      </c>
      <c r="GI221">
        <v>4.795465709611487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6.6492617880485536</v>
      </c>
      <c r="AO222">
        <v>9.1306384639537459</v>
      </c>
      <c r="AP222">
        <v>86.447948879086098</v>
      </c>
      <c r="AQ222">
        <v>25.417052915244696</v>
      </c>
      <c r="AR222">
        <v>8.5038381227340079</v>
      </c>
      <c r="AS222">
        <v>45.530348694210517</v>
      </c>
      <c r="AT222">
        <v>4.9671784254928184</v>
      </c>
      <c r="AU222">
        <v>-58.994000219551232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3.94042577938575</v>
      </c>
      <c r="GA222">
        <v>6.6681893806219925</v>
      </c>
      <c r="GB222">
        <v>2.6006994372470138</v>
      </c>
      <c r="GC222">
        <v>0.34385558179802223</v>
      </c>
      <c r="GD222">
        <v>0.4053368689271008</v>
      </c>
      <c r="GE222">
        <v>1.1068741545952638</v>
      </c>
      <c r="GF222">
        <v>4.6848006197815319</v>
      </c>
      <c r="GG222">
        <v>3.6196086286432112</v>
      </c>
      <c r="GH222">
        <v>0.23579423514790807</v>
      </c>
      <c r="GI222">
        <v>3.3901085401311262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8.1994047619047628</v>
      </c>
      <c r="AO223">
        <v>19.425376182897583</v>
      </c>
      <c r="AP223">
        <v>125.56761639639608</v>
      </c>
      <c r="AQ223">
        <v>35.300123573910312</v>
      </c>
      <c r="AR223">
        <v>19.047288710199737</v>
      </c>
      <c r="AS223">
        <v>137.76575588535886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2.6886798659783597</v>
      </c>
      <c r="GA223">
        <v>25.145456392671417</v>
      </c>
      <c r="GB223">
        <v>10.391391397990757</v>
      </c>
      <c r="GC223">
        <v>0.23977115325168069</v>
      </c>
      <c r="GD223">
        <v>0.49966236902846606</v>
      </c>
      <c r="GE223">
        <v>1.7301428805024612</v>
      </c>
      <c r="GF223">
        <v>2.0675277392340199</v>
      </c>
      <c r="GG223">
        <v>0.84832596285137418</v>
      </c>
      <c r="GH223">
        <v>0.64441312055873701</v>
      </c>
      <c r="GI223">
        <v>5.1627820075666984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10.885788690476192</v>
      </c>
      <c r="AO224">
        <v>17.45262151922703</v>
      </c>
      <c r="AP224">
        <v>161.66355307427676</v>
      </c>
      <c r="AQ224">
        <v>42.42105041967303</v>
      </c>
      <c r="AR224">
        <v>16.233891923884912</v>
      </c>
      <c r="AS224">
        <v>85.026560425000326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3.1733106376109657</v>
      </c>
      <c r="GA224">
        <v>13.704243948054298</v>
      </c>
      <c r="GB224">
        <v>3.7950603088886989</v>
      </c>
      <c r="GC224">
        <v>0.90264378163335313</v>
      </c>
      <c r="GD224">
        <v>1.0262911523962472</v>
      </c>
      <c r="GE224">
        <v>0.83387975395640246</v>
      </c>
      <c r="GF224">
        <v>2.0131499538915247</v>
      </c>
      <c r="GG224">
        <v>2.0568036831167102</v>
      </c>
      <c r="GH224">
        <v>0.23579423514790807</v>
      </c>
      <c r="GI224">
        <v>3.7613443363594743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11.114335317460318</v>
      </c>
      <c r="AO225">
        <v>16.536344068285125</v>
      </c>
      <c r="AP225">
        <v>129.42082131729285</v>
      </c>
      <c r="AQ225">
        <v>43.792852118095546</v>
      </c>
      <c r="AR225">
        <v>15.318173551679376</v>
      </c>
      <c r="AS225">
        <v>80.27504263948336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0.54292277135772682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9.0869406356370384</v>
      </c>
      <c r="GA225">
        <v>8.4829463878614408</v>
      </c>
      <c r="GB225">
        <v>2.1722403325025681</v>
      </c>
      <c r="GC225">
        <v>0.69107423859295769</v>
      </c>
      <c r="GD225">
        <v>0.9906638503001306</v>
      </c>
      <c r="GE225">
        <v>1.6308902670180148</v>
      </c>
      <c r="GF225">
        <v>3.5143364227117315</v>
      </c>
      <c r="GG225">
        <v>2.6796696653298739</v>
      </c>
      <c r="GH225">
        <v>0.75426818593667067</v>
      </c>
      <c r="GI225">
        <v>4.6954004159125375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11.271555497198879</v>
      </c>
      <c r="AO226">
        <v>14.168706725766693</v>
      </c>
      <c r="AP226">
        <v>116.94218920958673</v>
      </c>
      <c r="AQ226">
        <v>40.633361613800254</v>
      </c>
      <c r="AR226">
        <v>13.612758625631837</v>
      </c>
      <c r="AS226">
        <v>76.48815663988897</v>
      </c>
      <c r="AT226">
        <v>6.5788996878367536</v>
      </c>
      <c r="AU226">
        <v>-19.937267613242422</v>
      </c>
      <c r="AV226"/>
      <c r="AW226"/>
      <c r="DE226" s="187">
        <f>DE101</f>
        <v>39673</v>
      </c>
      <c r="DF226" s="205"/>
      <c r="DG226" s="205">
        <f t="shared" ref="DG226:DG234" si="355">((DG213*$H$372)+(DH213*$I$372)+(DI213*$J$372)+(DJ213*$K$372)+(DK213*$L$372)+(DL213*$M$372)+(DM213*$N$372)+(DN213*$O$372)+(DO213*$P$372)+(DP213*$Q$372)+(DQ213*$R$372)+(DR213*$S$372)+(DS213*$T$372)+(DT213*$U$372))/SUM(DG213:DT213)</f>
        <v>0.11089192002348423</v>
      </c>
      <c r="DH226" s="205">
        <f>(LN(DG226/DG225))/(DE213-DE212)</f>
        <v>-5.8830038906502402E-2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7.2804179732472925</v>
      </c>
      <c r="GA226">
        <v>10.211831467377623</v>
      </c>
      <c r="GB226">
        <v>3.5159540902464532</v>
      </c>
      <c r="GC226">
        <v>1.1873188553183982</v>
      </c>
      <c r="GD226">
        <v>1.0810629858125118</v>
      </c>
      <c r="GE226">
        <v>1.2630156406959847</v>
      </c>
      <c r="GF226">
        <v>2.1913678633507123</v>
      </c>
      <c r="GG226">
        <v>1.5410277012290603</v>
      </c>
      <c r="GH226">
        <v>0.47158847029581613</v>
      </c>
      <c r="GI226">
        <v>4.4305341743925464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13.473192401960784</v>
      </c>
      <c r="AO227">
        <v>26.487496045682558</v>
      </c>
      <c r="AP227">
        <v>212.87499020930323</v>
      </c>
      <c r="AQ227">
        <v>53.259794405001173</v>
      </c>
      <c r="AR227">
        <v>24.551575722032382</v>
      </c>
      <c r="AS227">
        <v>159.56518463247721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5"/>
        <v>0.40621960213014491</v>
      </c>
      <c r="DH227" s="205">
        <f t="shared" ref="DH227:DH234" si="356">(LN(DG227/DG226))/(DE214-DE213)</f>
        <v>3.1666777361848947E-2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0.82444598466225738</v>
      </c>
      <c r="GA227">
        <v>5.7142877728671042</v>
      </c>
      <c r="GB227">
        <v>1.4187923659522887</v>
      </c>
      <c r="GC227">
        <v>0.76732731159630863</v>
      </c>
      <c r="GD227">
        <v>0.90543055898029112</v>
      </c>
      <c r="GE227">
        <v>1.727959127032904</v>
      </c>
      <c r="GF227">
        <v>6.1408916719965294</v>
      </c>
      <c r="GG227">
        <v>4.5110133678083741</v>
      </c>
      <c r="GH227">
        <v>0.3456493005258417</v>
      </c>
      <c r="GI227">
        <v>3.8953082649843203</v>
      </c>
      <c r="GJ227"/>
      <c r="GK227"/>
      <c r="GL227"/>
      <c r="GM227"/>
    </row>
    <row r="228" spans="1:195" s="7" customFormat="1">
      <c r="A228" s="9" t="s">
        <v>60</v>
      </c>
      <c r="B228">
        <v>0.31718490876764283</v>
      </c>
      <c r="C228">
        <v>5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10.416666666666666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13.787698412698409</v>
      </c>
      <c r="AO228">
        <v>19.709833556112351</v>
      </c>
      <c r="AP228">
        <v>153.54817194932701</v>
      </c>
      <c r="AQ228">
        <v>43.946229037939275</v>
      </c>
      <c r="AR228">
        <v>18.688823529058986</v>
      </c>
      <c r="AS228">
        <v>163.15845843146442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5"/>
        <v>0.10172145013887079</v>
      </c>
      <c r="DH228" s="205">
        <f t="shared" si="356"/>
        <v>-4.1959263899512406E-2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4.2311980247083136</v>
      </c>
      <c r="GA228">
        <v>2.6947631952093558</v>
      </c>
      <c r="GB228">
        <v>0.35936629601447079</v>
      </c>
      <c r="GC228">
        <v>0.54226262188346552</v>
      </c>
      <c r="GD228">
        <v>0.57002004333755529</v>
      </c>
      <c r="GE228">
        <v>1.2612014507838012</v>
      </c>
      <c r="GF228">
        <v>6.6559972430996348</v>
      </c>
      <c r="GG228">
        <v>5.3108051065115749</v>
      </c>
      <c r="GH228">
        <v>0.40861888541082891</v>
      </c>
      <c r="GI228">
        <v>3.3521154486343803</v>
      </c>
      <c r="GJ228"/>
      <c r="GK228"/>
      <c r="GL228"/>
      <c r="GM228"/>
    </row>
    <row r="229" spans="1:195" s="7" customFormat="1">
      <c r="A229" s="90"/>
      <c r="B229">
        <v>0.91980195190364933</v>
      </c>
      <c r="C229">
        <v>3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10.450892857142858</v>
      </c>
      <c r="AO229">
        <v>23.525677176444692</v>
      </c>
      <c r="AP229">
        <v>204.36296575925994</v>
      </c>
      <c r="AQ229">
        <v>35.745174181033882</v>
      </c>
      <c r="AR229">
        <v>21.861850885147827</v>
      </c>
      <c r="AS229">
        <v>94.951698767950276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0.17833330513420254</v>
      </c>
      <c r="DH229" s="205">
        <f t="shared" si="356"/>
        <v>2.0050575123830204E-2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14.535521367517624</v>
      </c>
      <c r="GA229">
        <v>18.276000259661842</v>
      </c>
      <c r="GB229">
        <v>4.8247580410775566</v>
      </c>
      <c r="GC229">
        <v>0.4923721657408181</v>
      </c>
      <c r="GD229">
        <v>0.56519917306050949</v>
      </c>
      <c r="GE229">
        <v>1.1631912951938792</v>
      </c>
      <c r="GF229">
        <v>1.7878259423331393</v>
      </c>
      <c r="GG229">
        <v>0.67140020636133779</v>
      </c>
      <c r="GH229">
        <v>0.40861888541082891</v>
      </c>
      <c r="GI229">
        <v>5.4756128798374357</v>
      </c>
      <c r="GJ229"/>
      <c r="GK229"/>
      <c r="GL229"/>
      <c r="GM229"/>
    </row>
    <row r="230" spans="1:195" s="7" customFormat="1">
      <c r="A230" s="77"/>
      <c r="B230">
        <v>0.86811256972408413</v>
      </c>
      <c r="C230">
        <v>7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9.6117311507936503</v>
      </c>
      <c r="AO230">
        <v>17.626803764494461</v>
      </c>
      <c r="AP230">
        <v>176.67159387908262</v>
      </c>
      <c r="AQ230">
        <v>33.286164230337285</v>
      </c>
      <c r="AR230">
        <v>16.760826819742341</v>
      </c>
      <c r="AS230">
        <v>75.614353221932262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0.23551328659721041</v>
      </c>
      <c r="DH230" s="205">
        <f t="shared" si="356"/>
        <v>1.1588042934787006E-2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7.8645878429798852</v>
      </c>
      <c r="GA230">
        <v>22.847439373957339</v>
      </c>
      <c r="GB230">
        <v>7.5115857421015004</v>
      </c>
      <c r="GC230">
        <v>0.40002339064482678</v>
      </c>
      <c r="GD230">
        <v>0.23286759777920382</v>
      </c>
      <c r="GE230">
        <v>0.98764135368850059</v>
      </c>
      <c r="GF230">
        <v>4.2998139757267975</v>
      </c>
      <c r="GG230">
        <v>2.6311354411817005</v>
      </c>
      <c r="GH230">
        <v>0</v>
      </c>
      <c r="GI230">
        <v>5.3854999411264739</v>
      </c>
      <c r="GJ230"/>
      <c r="GK230"/>
      <c r="GL230"/>
      <c r="GM230"/>
    </row>
    <row r="231" spans="1:195" s="7" customFormat="1">
      <c r="A231" s="77"/>
      <c r="B231">
        <v>0.13476172756534588</v>
      </c>
      <c r="C231">
        <v>5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10.416666666666666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6.4227430555555554</v>
      </c>
      <c r="AO231">
        <v>16.803979778549099</v>
      </c>
      <c r="AP231">
        <v>103.11095431279662</v>
      </c>
      <c r="AQ231">
        <v>29.22146408875938</v>
      </c>
      <c r="AR231">
        <v>15.647445202805933</v>
      </c>
      <c r="AS231">
        <v>67.29229176545914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DE218</f>
        <v>39847</v>
      </c>
      <c r="DF231" s="205"/>
      <c r="DG231" s="205">
        <f t="shared" si="355"/>
        <v>0.32264869053754935</v>
      </c>
      <c r="DH231" s="205">
        <f t="shared" si="356"/>
        <v>6.5582657369954132E-3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5.3494220098194845</v>
      </c>
      <c r="GA231">
        <v>5.4634218102036911</v>
      </c>
      <c r="GB231">
        <v>1.1465040436718734</v>
      </c>
      <c r="GC231">
        <v>1.056226401413916</v>
      </c>
      <c r="GD231">
        <v>0.78210995006903639</v>
      </c>
      <c r="GE231">
        <v>0.90586666698753082</v>
      </c>
      <c r="GF231">
        <v>4.9896751852405385</v>
      </c>
      <c r="GG231">
        <v>3.4426828721531746</v>
      </c>
      <c r="GH231">
        <v>0</v>
      </c>
      <c r="GI231">
        <v>3.2588089205885913</v>
      </c>
      <c r="GJ231"/>
      <c r="GK231"/>
      <c r="GL231"/>
      <c r="GM231"/>
    </row>
    <row r="232" spans="1:195" s="7" customFormat="1">
      <c r="A232" s="77"/>
      <c r="B232">
        <v>0.85946479109301421</v>
      </c>
      <c r="C232">
        <v>6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10.416666666666666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13.122621965452847</v>
      </c>
      <c r="AO232">
        <v>17.567018271029387</v>
      </c>
      <c r="AP232">
        <v>127.43051757677215</v>
      </c>
      <c r="AQ232">
        <v>35.114150298425798</v>
      </c>
      <c r="AR232">
        <v>16.764707882235172</v>
      </c>
      <c r="AS232">
        <v>86.228858720058639</v>
      </c>
      <c r="AT232">
        <v>7.3127411230359769</v>
      </c>
      <c r="AU232">
        <v>-56.921002344253459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5"/>
        <v>1.3460965741964295</v>
      </c>
      <c r="DH232" s="205">
        <f t="shared" si="356"/>
        <v>2.2673018583329711E-2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4.143332932953947</v>
      </c>
      <c r="GA232">
        <v>22.721997150781366</v>
      </c>
      <c r="GB232">
        <v>8.1011638801935923</v>
      </c>
      <c r="GC232">
        <v>0.5624273861684963</v>
      </c>
      <c r="GD232">
        <v>0.6301770849098326</v>
      </c>
      <c r="GE232">
        <v>1.7933346695411945</v>
      </c>
      <c r="GF232">
        <v>6.4174790910611428</v>
      </c>
      <c r="GG232">
        <v>4.4311560596146844</v>
      </c>
      <c r="GH232">
        <v>0.75426818593667067</v>
      </c>
      <c r="GI232">
        <v>5.5266120761050228</v>
      </c>
      <c r="GJ232"/>
      <c r="GK232"/>
      <c r="GL232"/>
      <c r="GM232"/>
    </row>
    <row r="233" spans="1:195" s="7" customFormat="1">
      <c r="A233" s="77"/>
      <c r="B233">
        <v>0.807777426968185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10.416666666666666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8.4033978174603163</v>
      </c>
      <c r="AO233">
        <v>16.165514069182585</v>
      </c>
      <c r="AP233">
        <v>127.26373920545932</v>
      </c>
      <c r="AQ233">
        <v>26.99569322627892</v>
      </c>
      <c r="AR233">
        <v>15.451727934603468</v>
      </c>
      <c r="AS233">
        <v>72.17279849374593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0.4970544656276572</v>
      </c>
      <c r="DH233" s="205">
        <f t="shared" si="356"/>
        <v>-2.554524737902816E-2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13.214009852799371</v>
      </c>
      <c r="GA233">
        <v>18.296419766629199</v>
      </c>
      <c r="GB233">
        <v>3.8835220305231859</v>
      </c>
      <c r="GC233">
        <v>0.52354767485027776</v>
      </c>
      <c r="GD233">
        <v>0.59930819621226739</v>
      </c>
      <c r="GE233">
        <v>1.31435593090797</v>
      </c>
      <c r="GF233">
        <v>4.6337855140639004</v>
      </c>
      <c r="GG233">
        <v>3.3728471159886522</v>
      </c>
      <c r="GH233">
        <v>0</v>
      </c>
      <c r="GI233">
        <v>5.0657615331465085</v>
      </c>
      <c r="GJ233"/>
      <c r="GK233"/>
      <c r="GL233"/>
      <c r="GM233"/>
    </row>
    <row r="234" spans="1:195" s="7" customFormat="1">
      <c r="A234" s="77"/>
      <c r="B234">
        <v>0.45204114021605646</v>
      </c>
      <c r="C234">
        <v>8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10.098192401960784</v>
      </c>
      <c r="AO234">
        <v>16.548939119196685</v>
      </c>
      <c r="AP234">
        <v>159.44760688862431</v>
      </c>
      <c r="AQ234">
        <v>49.41815288963398</v>
      </c>
      <c r="AR234">
        <v>15.756286247064661</v>
      </c>
      <c r="AS234">
        <v>74.913320593267642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5"/>
        <v>5.1283865773496855E-2</v>
      </c>
      <c r="DH234" s="205">
        <f t="shared" si="356"/>
        <v>-5.9771668776594289E-2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5.9796290921328152</v>
      </c>
      <c r="GA234">
        <v>10.884057013357506</v>
      </c>
      <c r="GB234">
        <v>2.8879314166944345</v>
      </c>
      <c r="GC234">
        <v>0.55348889934610646</v>
      </c>
      <c r="GD234">
        <v>0.38286090413681756</v>
      </c>
      <c r="GE234">
        <v>0.35122050170553215</v>
      </c>
      <c r="GF234">
        <v>2.3718224210288628</v>
      </c>
      <c r="GG234">
        <v>2.340819439932261</v>
      </c>
      <c r="GH234">
        <v>0.70738270544372439</v>
      </c>
      <c r="GI234">
        <v>3.3172906938895945</v>
      </c>
      <c r="GJ234"/>
      <c r="GK234"/>
      <c r="GL234"/>
      <c r="GM234"/>
    </row>
    <row r="235" spans="1:195" s="7" customFormat="1">
      <c r="A235" s="77"/>
      <c r="B235">
        <v>1.733058898164308E-2</v>
      </c>
      <c r="C235">
        <v>8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9.2671130952380949</v>
      </c>
      <c r="AO235">
        <v>21.889794024675592</v>
      </c>
      <c r="AP235">
        <v>156.39722442493073</v>
      </c>
      <c r="AQ235">
        <v>31.502521791055589</v>
      </c>
      <c r="AR235">
        <v>20.316646814791007</v>
      </c>
      <c r="AS235">
        <v>84.508685620407149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5.1465148562512875</v>
      </c>
      <c r="GA235">
        <v>0.3986752859219066</v>
      </c>
      <c r="GB235">
        <v>0.35936629601447079</v>
      </c>
      <c r="GC235">
        <v>0.84152704802806477</v>
      </c>
      <c r="GD235">
        <v>0.79788249696293101</v>
      </c>
      <c r="GE235">
        <v>0.71470512240413819</v>
      </c>
      <c r="GF235">
        <v>1.972209241685837</v>
      </c>
      <c r="GG235">
        <v>1.6113391696746744</v>
      </c>
      <c r="GH235">
        <v>0.23579423514790807</v>
      </c>
      <c r="GI235">
        <v>1.9182506054753392</v>
      </c>
      <c r="GJ235"/>
      <c r="GK235"/>
      <c r="GL235"/>
      <c r="GM235"/>
    </row>
    <row r="236" spans="1:195" s="7" customFormat="1">
      <c r="A236" s="77"/>
      <c r="B236">
        <v>0.42592045328667538</v>
      </c>
      <c r="C236">
        <v>4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10.875058356676002</v>
      </c>
      <c r="AO236">
        <v>29.745917395317385</v>
      </c>
      <c r="AP236">
        <v>225.79956544862733</v>
      </c>
      <c r="AQ236">
        <v>34.698430401802966</v>
      </c>
      <c r="AR236">
        <v>29.020017640732391</v>
      </c>
      <c r="AS236">
        <v>345.24769037983162</v>
      </c>
      <c r="AT236">
        <v>16.599268185376452</v>
      </c>
      <c r="AU236">
        <v>-99.720623073745557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5.2917107908931271</v>
      </c>
      <c r="GA236">
        <v>16.05380777015937</v>
      </c>
      <c r="GB236">
        <v>5.6015337862679484</v>
      </c>
      <c r="GC236">
        <v>0.55477971634098056</v>
      </c>
      <c r="GD236">
        <v>0.53896112660349993</v>
      </c>
      <c r="GE236">
        <v>1.0682317518494451</v>
      </c>
      <c r="GF236">
        <v>3.3646485923036389</v>
      </c>
      <c r="GG236">
        <v>2.3040409080523605</v>
      </c>
      <c r="GH236">
        <v>0.23579423514790807</v>
      </c>
      <c r="GI236">
        <v>4.076202320854776</v>
      </c>
      <c r="GJ236"/>
      <c r="GK236"/>
      <c r="GL236"/>
      <c r="GM236"/>
    </row>
    <row r="237" spans="1:195" s="7" customFormat="1">
      <c r="A237" s="77"/>
      <c r="B237">
        <v>0.27525213621521605</v>
      </c>
      <c r="C237">
        <v>9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11.654017857142858</v>
      </c>
      <c r="AO237">
        <v>12.0316248828131</v>
      </c>
      <c r="AP237">
        <v>93.964041595172716</v>
      </c>
      <c r="AQ237">
        <v>33.1741192219664</v>
      </c>
      <c r="AR237">
        <v>12.069449149681885</v>
      </c>
      <c r="AS237">
        <v>75.509466610060102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8.3495989906513763</v>
      </c>
      <c r="GA237">
        <v>23.046777016918291</v>
      </c>
      <c r="GB237">
        <v>7.6115322758129356</v>
      </c>
      <c r="GC237">
        <v>0.62217380265042599</v>
      </c>
      <c r="GD237">
        <v>1.058827788660307</v>
      </c>
      <c r="GE237">
        <v>2.503470866047091</v>
      </c>
      <c r="GF237">
        <v>7.158664472852629</v>
      </c>
      <c r="GG237">
        <v>5.3108051065115749</v>
      </c>
      <c r="GH237">
        <v>0.40861888541082891</v>
      </c>
      <c r="GI237">
        <v>6.6518744317593868</v>
      </c>
      <c r="GJ237"/>
      <c r="GK237"/>
      <c r="GL237"/>
      <c r="GM237"/>
    </row>
    <row r="238" spans="1:195" s="7" customFormat="1">
      <c r="A238" s="77"/>
      <c r="B238">
        <v>1.0204619255000491E-2</v>
      </c>
      <c r="C238">
        <v>5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11.107595121381886</v>
      </c>
      <c r="AO238">
        <v>20.73864952205339</v>
      </c>
      <c r="AP238">
        <v>133.84834731378032</v>
      </c>
      <c r="AQ238">
        <v>26.25110572640622</v>
      </c>
      <c r="AR238">
        <v>19.199864245809472</v>
      </c>
      <c r="AS238">
        <v>220.78041954921045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5.4071332287458427</v>
      </c>
      <c r="GA238">
        <v>10.758614790181531</v>
      </c>
      <c r="GB238">
        <v>3.3403291338627872</v>
      </c>
      <c r="GC238">
        <v>0.63124832198254355</v>
      </c>
      <c r="GD238">
        <v>0.64980633425730017</v>
      </c>
      <c r="GE238">
        <v>1.1706319130627914</v>
      </c>
      <c r="GF238">
        <v>3.1325098426496609</v>
      </c>
      <c r="GG238">
        <v>2.0568036831167102</v>
      </c>
      <c r="GH238">
        <v>0.58144353567374973</v>
      </c>
      <c r="GI238">
        <v>3.9092000971151606</v>
      </c>
      <c r="GJ238"/>
      <c r="GK238"/>
      <c r="GL238"/>
      <c r="GM238"/>
    </row>
    <row r="239" spans="1:195" s="7" customFormat="1">
      <c r="A239" s="77" t="s">
        <v>61</v>
      </c>
      <c r="B239">
        <v>0.88413611683154336</v>
      </c>
      <c r="C239">
        <v>4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7.9124285130718963</v>
      </c>
      <c r="AO239">
        <v>18.660279404202107</v>
      </c>
      <c r="AP239">
        <v>148.61658679290824</v>
      </c>
      <c r="AQ239">
        <v>25.386348315593377</v>
      </c>
      <c r="AR239">
        <v>17.453341699018786</v>
      </c>
      <c r="AS239">
        <v>248.39335311160735</v>
      </c>
      <c r="AT239">
        <v>9.8484058190132551</v>
      </c>
      <c r="AU239">
        <v>48.103297853534272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6.2315792134081001</v>
      </c>
      <c r="GA239">
        <v>9.3629525758313488</v>
      </c>
      <c r="GB239">
        <v>2.8752359563698646</v>
      </c>
      <c r="GC239">
        <v>0.72844760027809008</v>
      </c>
      <c r="GD239">
        <v>0.85360943013304857</v>
      </c>
      <c r="GE239">
        <v>1.5237247740350055</v>
      </c>
      <c r="GF239">
        <v>4.1943438323066076</v>
      </c>
      <c r="GG239">
        <v>3.0457525828593122</v>
      </c>
      <c r="GH239">
        <v>0.23579423514790807</v>
      </c>
      <c r="GI239">
        <v>4.011033361196656</v>
      </c>
      <c r="GJ239"/>
      <c r="GK239"/>
      <c r="GL239"/>
      <c r="GM239"/>
    </row>
    <row r="240" spans="1:195" s="7" customFormat="1">
      <c r="A240" s="77" t="s">
        <v>62</v>
      </c>
      <c r="B240">
        <v>0.94443572110116936</v>
      </c>
      <c r="C240">
        <v>1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10.416666666666666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8.4662479575163392</v>
      </c>
      <c r="AO240">
        <v>24.933201583405033</v>
      </c>
      <c r="AP240">
        <v>208.14709120305321</v>
      </c>
      <c r="AQ240">
        <v>48.200500216194975</v>
      </c>
      <c r="AR240">
        <v>24.460674404975691</v>
      </c>
      <c r="AS240">
        <v>259.73633633798448</v>
      </c>
      <c r="AT240">
        <v>14.611923762428061</v>
      </c>
      <c r="AU240">
        <v>-59.753053099453261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0</v>
      </c>
      <c r="DI240" s="182">
        <v>0</v>
      </c>
      <c r="DJ240" s="182">
        <v>1.0416666666666665</v>
      </c>
      <c r="DK240" s="182">
        <v>0</v>
      </c>
      <c r="DL240" s="182">
        <v>0</v>
      </c>
      <c r="DM240" s="182">
        <v>0</v>
      </c>
      <c r="DN240" s="182">
        <v>0</v>
      </c>
      <c r="DO240" s="182">
        <v>1.0416666666666665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1.0416666666666665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2.718453362767483</v>
      </c>
      <c r="GA240">
        <v>7.2353922103932602</v>
      </c>
      <c r="GB240">
        <v>1.4838384703089775</v>
      </c>
      <c r="GC240">
        <v>0.40002339064482684</v>
      </c>
      <c r="GD240">
        <v>0.73197040999053686</v>
      </c>
      <c r="GE240">
        <v>1.2752797596890586</v>
      </c>
      <c r="GF240">
        <v>3.4322290355753835</v>
      </c>
      <c r="GG240">
        <v>2.8198168899400109</v>
      </c>
      <c r="GH240">
        <v>0.3456493005258417</v>
      </c>
      <c r="GI240">
        <v>3.1621942607051561</v>
      </c>
      <c r="GJ240"/>
      <c r="GK240"/>
      <c r="GL240"/>
      <c r="GM240"/>
    </row>
    <row r="241" spans="1:195" s="7" customFormat="1">
      <c r="A241" s="77"/>
      <c r="B241">
        <v>0.83070884250538857</v>
      </c>
      <c r="C241">
        <v>1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10.416666666666666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9.9112103174603181</v>
      </c>
      <c r="AO241">
        <v>19.52487209460508</v>
      </c>
      <c r="AP241">
        <v>183.58715070631192</v>
      </c>
      <c r="AQ241">
        <v>52.160594659186231</v>
      </c>
      <c r="AR241">
        <v>18.48283978469992</v>
      </c>
      <c r="AS241">
        <v>98.051652482319597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0</v>
      </c>
      <c r="DI241" s="185">
        <v>0</v>
      </c>
      <c r="DJ241" s="185">
        <v>14.880952380952383</v>
      </c>
      <c r="DK241" s="185">
        <v>0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1.0416666666666665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9.2019826974508696</v>
      </c>
      <c r="GA241">
        <v>4.6434054246538494</v>
      </c>
      <c r="GB241">
        <v>0.49896801343345465</v>
      </c>
      <c r="GC241">
        <v>0.2937495930171628</v>
      </c>
      <c r="GD241">
        <v>0.69503892599137052</v>
      </c>
      <c r="GE241">
        <v>2.4047723667581566</v>
      </c>
      <c r="GF241">
        <v>6.1685206743375485</v>
      </c>
      <c r="GG241">
        <v>4.0655488543663392</v>
      </c>
      <c r="GH241">
        <v>0</v>
      </c>
      <c r="GI241">
        <v>4.4043548994026143</v>
      </c>
      <c r="GJ241"/>
      <c r="GK241"/>
      <c r="GL241"/>
      <c r="GM241"/>
    </row>
    <row r="242" spans="1:195" s="7" customFormat="1">
      <c r="A242" s="1"/>
      <c r="B242">
        <v>0.73385222525322957</v>
      </c>
      <c r="C242">
        <v>1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10.416666666666666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7.578125</v>
      </c>
      <c r="AO242">
        <v>11.197954725425124</v>
      </c>
      <c r="AP242">
        <v>92.341055925144929</v>
      </c>
      <c r="AQ242">
        <v>26.394717860147839</v>
      </c>
      <c r="AR242">
        <v>10.822860613217932</v>
      </c>
      <c r="AS242">
        <v>54.916290857379934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0</v>
      </c>
      <c r="DJ242" s="182">
        <v>1.0416666666666665</v>
      </c>
      <c r="DK242" s="182">
        <v>1.0416666666666665</v>
      </c>
      <c r="DL242" s="182">
        <v>5.208333333333333</v>
      </c>
      <c r="DM242" s="182">
        <v>0</v>
      </c>
      <c r="DN242" s="182">
        <v>0</v>
      </c>
      <c r="DO242" s="182">
        <v>0</v>
      </c>
      <c r="DP242" s="182">
        <v>1.0416666666666665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2.083333333333333</v>
      </c>
      <c r="DW242" s="182">
        <v>0</v>
      </c>
      <c r="DX242" s="182">
        <v>0</v>
      </c>
      <c r="DY242" s="182">
        <v>1.0416666666666665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3.1039254123389872</v>
      </c>
      <c r="GA242">
        <v>7.8418481383051937</v>
      </c>
      <c r="GB242">
        <v>2.7529966149905674</v>
      </c>
      <c r="GC242">
        <v>0.41124966810746766</v>
      </c>
      <c r="GD242">
        <v>0.71804083259322526</v>
      </c>
      <c r="GE242">
        <v>1.8199033236041404</v>
      </c>
      <c r="GF242">
        <v>3.5911992347207624</v>
      </c>
      <c r="GG242">
        <v>2.7862839533742965</v>
      </c>
      <c r="GH242">
        <v>1.0530320059695661</v>
      </c>
      <c r="GI242">
        <v>3.2588209138864577</v>
      </c>
      <c r="GJ242"/>
      <c r="GK242"/>
      <c r="GL242"/>
      <c r="GM242"/>
    </row>
    <row r="243" spans="1:195" s="7" customFormat="1">
      <c r="A243" s="1"/>
      <c r="B243">
        <v>0.44480162094528275</v>
      </c>
      <c r="C243">
        <v>1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10.416666666666666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13.524363912231555</v>
      </c>
      <c r="AO243">
        <v>19.190282418392663</v>
      </c>
      <c r="AP243">
        <v>156.25858518361395</v>
      </c>
      <c r="AQ243">
        <v>55.081948517265957</v>
      </c>
      <c r="AR243">
        <v>17.860789339121315</v>
      </c>
      <c r="AS243">
        <v>88.436541644280538</v>
      </c>
      <c r="AT243">
        <v>9.0000448205257886</v>
      </c>
      <c r="AU243">
        <v>-46.846438898895805</v>
      </c>
      <c r="AV243"/>
      <c r="AW243"/>
      <c r="DE243" s="187">
        <v>39747</v>
      </c>
      <c r="DF243" s="182">
        <v>0</v>
      </c>
      <c r="DG243" s="182">
        <v>0</v>
      </c>
      <c r="DH243" s="182">
        <v>0</v>
      </c>
      <c r="DI243" s="182">
        <v>1.0416666666666665</v>
      </c>
      <c r="DJ243" s="182">
        <v>5.7291666666666661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1.0416666666666665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6.7743015800059485</v>
      </c>
      <c r="GA243">
        <v>13.704243948054298</v>
      </c>
      <c r="GB243">
        <v>3.8263287935005774</v>
      </c>
      <c r="GC243">
        <v>0.73124476690605045</v>
      </c>
      <c r="GD243">
        <v>0.8490822767489592</v>
      </c>
      <c r="GE243">
        <v>1.1997825506237418</v>
      </c>
      <c r="GF243">
        <v>3.4195754697640894</v>
      </c>
      <c r="GG243">
        <v>2.8080611976717367</v>
      </c>
      <c r="GH243">
        <v>0.23579423514790807</v>
      </c>
      <c r="GI243">
        <v>4.501591405534171</v>
      </c>
      <c r="GJ243"/>
      <c r="GK243"/>
      <c r="GL243"/>
      <c r="GM243"/>
    </row>
    <row r="244" spans="1:195" s="7" customFormat="1">
      <c r="A244" s="1"/>
      <c r="B244">
        <v>0.38666750611194445</v>
      </c>
      <c r="C244">
        <v>6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9.5162450396825378</v>
      </c>
      <c r="AO244">
        <v>16.821602851441643</v>
      </c>
      <c r="AP244">
        <v>131.29320402551008</v>
      </c>
      <c r="AQ244">
        <v>50.903557615121343</v>
      </c>
      <c r="AR244">
        <v>16.51518336614814</v>
      </c>
      <c r="AS244">
        <v>82.945733849758639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0</v>
      </c>
      <c r="DH244" s="182">
        <v>1.0416666666666665</v>
      </c>
      <c r="DI244" s="182">
        <v>4.1666666666666661</v>
      </c>
      <c r="DJ244" s="182">
        <v>8.3333333333333321</v>
      </c>
      <c r="DK244" s="182">
        <v>4.1666666666666661</v>
      </c>
      <c r="DL244" s="182">
        <v>0</v>
      </c>
      <c r="DM244" s="182">
        <v>1.0416666666666665</v>
      </c>
      <c r="DN244" s="182">
        <v>0</v>
      </c>
      <c r="DO244" s="182">
        <v>1.0416666666666665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5.8344331574909756</v>
      </c>
      <c r="GA244">
        <v>18.423791099231799</v>
      </c>
      <c r="GB244">
        <v>6.2261001923524724</v>
      </c>
      <c r="GC244">
        <v>0.63201084155926401</v>
      </c>
      <c r="GD244">
        <v>0.62586879350596081</v>
      </c>
      <c r="GE244">
        <v>1.3222507873864868</v>
      </c>
      <c r="GF244">
        <v>3.0222620260169002</v>
      </c>
      <c r="GG244">
        <v>1.7397307020165371</v>
      </c>
      <c r="GH244">
        <v>0.40861888541082891</v>
      </c>
      <c r="GI244">
        <v>4.2416975680172646</v>
      </c>
      <c r="GJ244"/>
      <c r="GK244"/>
      <c r="GL244"/>
      <c r="GM244"/>
    </row>
    <row r="245" spans="1:195" s="7" customFormat="1">
      <c r="A245" s="1"/>
      <c r="B245">
        <v>0.38558485805269438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6.122395833333333</v>
      </c>
      <c r="AO245">
        <v>17.496786560555371</v>
      </c>
      <c r="AP245">
        <v>144.45599975066764</v>
      </c>
      <c r="AQ245">
        <v>29.776503087667656</v>
      </c>
      <c r="AR245">
        <v>16.351549467488109</v>
      </c>
      <c r="AS245">
        <v>179.48406966635613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0</v>
      </c>
      <c r="DH245" s="182">
        <v>0</v>
      </c>
      <c r="DI245" s="182">
        <v>1.0416666666666665</v>
      </c>
      <c r="DJ245" s="182">
        <v>2.083333333333333</v>
      </c>
      <c r="DK245" s="182">
        <v>4.1666666666666661</v>
      </c>
      <c r="DL245" s="182">
        <v>1.0416666666666665</v>
      </c>
      <c r="DM245" s="182">
        <v>0</v>
      </c>
      <c r="DN245" s="182">
        <v>1.0416666666666665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1.0416666666666665</v>
      </c>
      <c r="DW245" s="182">
        <v>0</v>
      </c>
      <c r="DX245" s="182">
        <v>1.0416666666666665</v>
      </c>
      <c r="DY245" s="182">
        <v>0</v>
      </c>
      <c r="DZ245" s="182">
        <v>0</v>
      </c>
      <c r="EA245" s="182">
        <v>1.0416666666666665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1.0416666666666665</v>
      </c>
      <c r="EH245" s="182">
        <v>0</v>
      </c>
      <c r="EI245" s="182">
        <v>0</v>
      </c>
      <c r="EJ245" s="182">
        <v>0</v>
      </c>
      <c r="FY245" s="210">
        <v>240</v>
      </c>
      <c r="FZ245">
        <v>8.009783777621724</v>
      </c>
      <c r="GA245">
        <v>13.556453108484341</v>
      </c>
      <c r="GB245">
        <v>2.6566820260219997</v>
      </c>
      <c r="GC245">
        <v>0.8999261151338771</v>
      </c>
      <c r="GD245">
        <v>1.3080644351207256</v>
      </c>
      <c r="GE245">
        <v>2.4907729785809245</v>
      </c>
      <c r="GF245">
        <v>6.8660940896203009</v>
      </c>
      <c r="GG245">
        <v>5.1824135741697113</v>
      </c>
      <c r="GH245">
        <v>0.23579423514790807</v>
      </c>
      <c r="GI245">
        <v>4.6440780224510805</v>
      </c>
      <c r="GJ245"/>
      <c r="GK245"/>
      <c r="GL245"/>
      <c r="GM245"/>
    </row>
    <row r="246" spans="1:195" s="7" customFormat="1">
      <c r="A246" s="1"/>
      <c r="B246">
        <v>0.49046074178068366</v>
      </c>
      <c r="C246">
        <v>6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5.7300347222222214</v>
      </c>
      <c r="AO246">
        <v>7.6749610705568498</v>
      </c>
      <c r="AP246">
        <v>33.113607985543219</v>
      </c>
      <c r="AQ246">
        <v>13.996264357566558</v>
      </c>
      <c r="AR246">
        <v>8.0119156894273846</v>
      </c>
      <c r="AS246">
        <v>39.924741993934525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0</v>
      </c>
      <c r="DJ246" s="182">
        <v>2.6041666666666665</v>
      </c>
      <c r="DK246" s="182">
        <v>4.3402777777777777</v>
      </c>
      <c r="DL246" s="182">
        <v>0</v>
      </c>
      <c r="DM246" s="182">
        <v>1.3020833333333333</v>
      </c>
      <c r="DN246" s="182">
        <v>0</v>
      </c>
      <c r="DO246" s="182">
        <v>1.3020833333333333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6.9409831362565262</v>
      </c>
      <c r="GA246">
        <v>11.607493681727803</v>
      </c>
      <c r="GB246">
        <v>4.0857485558036135</v>
      </c>
      <c r="GC246">
        <v>0.92155533987430871</v>
      </c>
      <c r="GD246">
        <v>0.99196392396947974</v>
      </c>
      <c r="GE246">
        <v>1.9402209426629204</v>
      </c>
      <c r="GF246">
        <v>6.7446934056066032</v>
      </c>
      <c r="GG246">
        <v>5.4174193945559974</v>
      </c>
      <c r="GH246">
        <v>1.0530320059695661</v>
      </c>
      <c r="GI246">
        <v>5.3257592501463495</v>
      </c>
      <c r="GJ246"/>
      <c r="GK246"/>
      <c r="GL246"/>
      <c r="GM246"/>
    </row>
    <row r="247" spans="1:195" s="7" customFormat="1">
      <c r="A247" s="77" t="s">
        <v>61</v>
      </c>
      <c r="B247">
        <v>0.69621837751720106</v>
      </c>
      <c r="C247">
        <v>1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10.416666666666666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7.5824652777777786</v>
      </c>
      <c r="AO247">
        <v>13.184026180623121</v>
      </c>
      <c r="AP247">
        <v>110.90963375598987</v>
      </c>
      <c r="AQ247">
        <v>39.089710998473052</v>
      </c>
      <c r="AR247">
        <v>12.678901470368155</v>
      </c>
      <c r="AS247">
        <v>63.554015959844385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0</v>
      </c>
      <c r="DJ247" s="182">
        <v>0</v>
      </c>
      <c r="DK247" s="182">
        <v>0</v>
      </c>
      <c r="DL247" s="182">
        <v>0</v>
      </c>
      <c r="DM247" s="182">
        <v>1.0416666666666665</v>
      </c>
      <c r="DN247" s="182">
        <v>1.0416666666666665</v>
      </c>
      <c r="DO247" s="182">
        <v>0</v>
      </c>
      <c r="DP247" s="182">
        <v>2.083333333333333</v>
      </c>
      <c r="DQ247" s="182">
        <v>1.0416666666666665</v>
      </c>
      <c r="DR247" s="182">
        <v>0</v>
      </c>
      <c r="DS247" s="182">
        <v>1.0416666666666665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7.8649682190187704</v>
      </c>
      <c r="GA247">
        <v>10.359939504259625</v>
      </c>
      <c r="GB247">
        <v>3.2078156286541653</v>
      </c>
      <c r="GC247">
        <v>0.83382284581930588</v>
      </c>
      <c r="GD247">
        <v>0.71087844178374837</v>
      </c>
      <c r="GE247">
        <v>0.91807261662610573</v>
      </c>
      <c r="GF247">
        <v>1.2438690991330252</v>
      </c>
      <c r="GG247">
        <v>0.7780144944057602</v>
      </c>
      <c r="GH247">
        <v>0.70738270544372439</v>
      </c>
      <c r="GI247">
        <v>3.7890812539702625</v>
      </c>
      <c r="GJ247"/>
      <c r="GK247"/>
      <c r="GL247"/>
      <c r="GM247"/>
    </row>
    <row r="248" spans="1:195" s="7" customFormat="1">
      <c r="A248" s="77" t="s">
        <v>62</v>
      </c>
      <c r="B248">
        <v>0.85429450558721931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10.416666666666666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14.3844027194211</v>
      </c>
      <c r="AO248">
        <v>19.411524210076315</v>
      </c>
      <c r="AP248">
        <v>176.54615196244885</v>
      </c>
      <c r="AQ248">
        <v>62.722343637274847</v>
      </c>
      <c r="AR248">
        <v>18.437075459050288</v>
      </c>
      <c r="AS248">
        <v>118.21246580401362</v>
      </c>
      <c r="AT248">
        <v>9.4005619784725472</v>
      </c>
      <c r="AU248">
        <v>8.9781862168402231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0</v>
      </c>
      <c r="DJ248" s="182">
        <v>0</v>
      </c>
      <c r="DK248" s="182"/>
      <c r="DL248" s="182">
        <v>0</v>
      </c>
      <c r="DM248" s="182">
        <v>1.0416666666666665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1.0416666666666665</v>
      </c>
      <c r="EG248" s="182">
        <v>0</v>
      </c>
      <c r="EH248" s="182">
        <v>2.083333333333333</v>
      </c>
      <c r="EI248" s="182">
        <v>0</v>
      </c>
      <c r="EJ248" s="182">
        <v>0</v>
      </c>
      <c r="FY248" s="210">
        <v>243</v>
      </c>
      <c r="FZ248">
        <v>12.816863796882245</v>
      </c>
      <c r="GA248">
        <v>19.692081980979385</v>
      </c>
      <c r="GB248">
        <v>4.5405675694672114</v>
      </c>
      <c r="GC248">
        <v>0.73472495298224716</v>
      </c>
      <c r="GD248">
        <v>1.1462333498934079</v>
      </c>
      <c r="GE248">
        <v>2.4844959061431702</v>
      </c>
      <c r="GF248">
        <v>4.262802005195657</v>
      </c>
      <c r="GG248">
        <v>2.8565954218199106</v>
      </c>
      <c r="GH248">
        <v>0.64441312055873701</v>
      </c>
      <c r="GI248">
        <v>6.4605690908967874</v>
      </c>
      <c r="GJ248"/>
      <c r="GK248"/>
      <c r="GL248"/>
      <c r="GM248"/>
    </row>
    <row r="249" spans="1:195" s="7" customFormat="1">
      <c r="A249" s="1"/>
      <c r="B249">
        <v>0.59070709005904476</v>
      </c>
      <c r="C249">
        <v>4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8.8708639705882337</v>
      </c>
      <c r="AO249">
        <v>20.688427892612246</v>
      </c>
      <c r="AP249">
        <v>171.92871368317176</v>
      </c>
      <c r="AQ249">
        <v>31.637720880648075</v>
      </c>
      <c r="AR249">
        <v>19.68332706856976</v>
      </c>
      <c r="AS249">
        <v>79.43547492057472</v>
      </c>
      <c r="AT249">
        <v>10.312603417599929</v>
      </c>
      <c r="AU249">
        <v>-83.117745823327368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7.1486928104575158</v>
      </c>
      <c r="DJ249" s="182">
        <v>0</v>
      </c>
      <c r="DK249" s="182">
        <v>0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10.098030058075878</v>
      </c>
      <c r="GA249">
        <v>12.602551500729454</v>
      </c>
      <c r="GB249">
        <v>1.4699323617367854</v>
      </c>
      <c r="GC249">
        <v>0.59864596336848208</v>
      </c>
      <c r="GD249">
        <v>1.1283658042648685</v>
      </c>
      <c r="GE249">
        <v>2.5765624769846238</v>
      </c>
      <c r="GF249">
        <v>2.8121875185598566</v>
      </c>
      <c r="GG249">
        <v>1.3641019447390237</v>
      </c>
      <c r="GH249">
        <v>0.23579423514790807</v>
      </c>
      <c r="GI249">
        <v>4.2370093235029893</v>
      </c>
      <c r="GJ249"/>
      <c r="GK249"/>
      <c r="GL249"/>
      <c r="GM249"/>
    </row>
    <row r="250" spans="1:195" s="7" customFormat="1">
      <c r="A250" s="1"/>
      <c r="B250">
        <v>0.54301824032857615</v>
      </c>
      <c r="C250">
        <v>6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10.948536706349206</v>
      </c>
      <c r="AO250">
        <v>20.182914923196865</v>
      </c>
      <c r="AP250">
        <v>166.35445836948557</v>
      </c>
      <c r="AQ250">
        <v>33.062473561565938</v>
      </c>
      <c r="AR250">
        <v>19.182092550370804</v>
      </c>
      <c r="AS250">
        <v>93.243818661424925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10.43784527110553</v>
      </c>
      <c r="GA250">
        <v>12.875784563475387</v>
      </c>
      <c r="GB250">
        <v>2.1035622834030123</v>
      </c>
      <c r="GC250">
        <v>0.35253783622171386</v>
      </c>
      <c r="GD250">
        <v>0.2578532134097522</v>
      </c>
      <c r="GE250">
        <v>0.7291324369421267</v>
      </c>
      <c r="GF250">
        <v>3.9460658987000126</v>
      </c>
      <c r="GG250">
        <v>2.8783726661173508</v>
      </c>
      <c r="GH250">
        <v>0</v>
      </c>
      <c r="GI250">
        <v>3.3430392305925469</v>
      </c>
      <c r="GJ250"/>
      <c r="GK250"/>
      <c r="GL250"/>
      <c r="GM250"/>
    </row>
    <row r="251" spans="1:195" s="7" customFormat="1">
      <c r="A251" s="1"/>
      <c r="B251">
        <v>0.9286384709113078</v>
      </c>
      <c r="C251">
        <v>8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10.416666666666666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7.0982945261437909</v>
      </c>
      <c r="AO251">
        <v>17.159726838632501</v>
      </c>
      <c r="AP251">
        <v>138.90848161193512</v>
      </c>
      <c r="AQ251">
        <v>23.604847090540535</v>
      </c>
      <c r="AR251">
        <v>15.978415391514687</v>
      </c>
      <c r="AS251">
        <v>63.899175099213295</v>
      </c>
      <c r="AT251">
        <v>10.662931141978918</v>
      </c>
      <c r="AU251">
        <v>-83.256236553609995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7.7654291209187836</v>
      </c>
      <c r="GA251">
        <v>18.275683062349795</v>
      </c>
      <c r="GB251">
        <v>6.2051058715699181</v>
      </c>
      <c r="GC251">
        <v>0.82682058448922724</v>
      </c>
      <c r="GD251">
        <v>1.1638212143955216</v>
      </c>
      <c r="GE251">
        <v>1.5491155803170449</v>
      </c>
      <c r="GF251">
        <v>6.3802241878733028</v>
      </c>
      <c r="GG251">
        <v>5.6278780876117471</v>
      </c>
      <c r="GH251">
        <v>0.58144353567374973</v>
      </c>
      <c r="GI251">
        <v>6.552656909722673</v>
      </c>
      <c r="GJ251"/>
      <c r="GK251"/>
      <c r="GL251"/>
      <c r="GM251"/>
    </row>
    <row r="252" spans="1:195" s="7" customFormat="1">
      <c r="A252" s="1"/>
      <c r="B252">
        <v>0.76452424579848888</v>
      </c>
      <c r="C252">
        <v>2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10.365823412698415</v>
      </c>
      <c r="AO252">
        <v>13.829996271572611</v>
      </c>
      <c r="AP252">
        <v>103.59725259261437</v>
      </c>
      <c r="AQ252">
        <v>32.376341449411363</v>
      </c>
      <c r="AR252">
        <v>13.656490527399349</v>
      </c>
      <c r="AS252">
        <v>73.669301986068049</v>
      </c>
      <c r="AT252" t="e">
        <v>#DIV/0!</v>
      </c>
      <c r="AU252" t="e">
        <v>#DIV/0!</v>
      </c>
      <c r="AV252"/>
      <c r="AW252"/>
      <c r="FY252" s="210">
        <v>247</v>
      </c>
      <c r="FZ252">
        <v>6.3190639291235815</v>
      </c>
      <c r="GA252">
        <v>13.829686171230275</v>
      </c>
      <c r="GB252">
        <v>3.518375386741698</v>
      </c>
      <c r="GC252">
        <v>0.59786452236131726</v>
      </c>
      <c r="GD252">
        <v>0.88404699780588936</v>
      </c>
      <c r="GE252">
        <v>1.8768176350072201</v>
      </c>
      <c r="GF252">
        <v>3.4199076050148229</v>
      </c>
      <c r="GG252">
        <v>2.1761250879915899</v>
      </c>
      <c r="GH252">
        <v>0</v>
      </c>
      <c r="GI252">
        <v>4.0030275858107265</v>
      </c>
      <c r="GJ252"/>
      <c r="GK252"/>
      <c r="GL252"/>
      <c r="GM252"/>
    </row>
    <row r="253" spans="1:195" s="7" customFormat="1">
      <c r="A253" s="1"/>
      <c r="B253">
        <v>0.44317795586321318</v>
      </c>
      <c r="C253">
        <v>9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11.862555438842202</v>
      </c>
      <c r="AO253">
        <v>11.93635913575957</v>
      </c>
      <c r="AP253">
        <v>86.967178755299869</v>
      </c>
      <c r="AQ253">
        <v>27.337300097890662</v>
      </c>
      <c r="AR253">
        <v>11.183427504022577</v>
      </c>
      <c r="AS253">
        <v>64.433380576398051</v>
      </c>
      <c r="AT253">
        <v>4.8400620613626151</v>
      </c>
      <c r="AU253">
        <v>-17.240306301849568</v>
      </c>
      <c r="AV253"/>
      <c r="AW253"/>
      <c r="FY253" s="210">
        <v>248</v>
      </c>
      <c r="FZ253">
        <v>9.613399286443272</v>
      </c>
      <c r="GA253">
        <v>9.53148011968071</v>
      </c>
      <c r="GB253">
        <v>1.447727392706609</v>
      </c>
      <c r="GC253">
        <v>0.13349735562401666</v>
      </c>
      <c r="GD253">
        <v>4.3859525964685113E-2</v>
      </c>
      <c r="GE253">
        <v>0.67506325472878737</v>
      </c>
      <c r="GF253">
        <v>2.6318221634757393</v>
      </c>
      <c r="GG253">
        <v>1.4344134131846378</v>
      </c>
      <c r="GH253">
        <v>0</v>
      </c>
      <c r="GI253">
        <v>2.7068594509979986</v>
      </c>
      <c r="GJ253"/>
      <c r="GK253"/>
      <c r="GL253"/>
      <c r="GM253"/>
    </row>
    <row r="254" spans="1:195" s="7" customFormat="1">
      <c r="A254" s="1"/>
      <c r="B254">
        <v>0.27274838063205498</v>
      </c>
      <c r="C254">
        <v>10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9.7176339285714253</v>
      </c>
      <c r="AO254">
        <v>15.052389471048704</v>
      </c>
      <c r="AP254">
        <v>133.52898207201301</v>
      </c>
      <c r="AQ254">
        <v>38.050006223957482</v>
      </c>
      <c r="AR254">
        <v>14.492392272505704</v>
      </c>
      <c r="AS254">
        <v>75.833274175386748</v>
      </c>
      <c r="AT254" t="e">
        <v>#DIV/0!</v>
      </c>
      <c r="AU254" t="e">
        <v>#DIV/0!</v>
      </c>
      <c r="AV254"/>
      <c r="AW254"/>
      <c r="FY254" s="210">
        <v>249</v>
      </c>
      <c r="FZ254">
        <v>0.54272236659784878</v>
      </c>
      <c r="GA254">
        <v>10.433834924044604</v>
      </c>
      <c r="GB254">
        <v>3.7788207424589482</v>
      </c>
      <c r="GC254">
        <v>1.0139041149703001</v>
      </c>
      <c r="GD254">
        <v>1.3984841308992157</v>
      </c>
      <c r="GE254">
        <v>2.7381977848884724</v>
      </c>
      <c r="GF254">
        <v>5.7006579654645817</v>
      </c>
      <c r="GG254">
        <v>3.9734601416232844</v>
      </c>
      <c r="GH254">
        <v>1.0530320059695661</v>
      </c>
      <c r="GI254">
        <v>5.577991481358997</v>
      </c>
      <c r="GJ254"/>
      <c r="GK254"/>
      <c r="GL254"/>
      <c r="GM254"/>
    </row>
    <row r="255" spans="1:195" s="7" customFormat="1">
      <c r="A255" s="1"/>
      <c r="B255">
        <v>0.99690112788178809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10.416666666666666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9.645067401960782</v>
      </c>
      <c r="AO255">
        <v>15.055034684665241</v>
      </c>
      <c r="AP255">
        <v>135.38805938784134</v>
      </c>
      <c r="AQ255">
        <v>42.4767640529885</v>
      </c>
      <c r="AR255">
        <v>14.464456813687448</v>
      </c>
      <c r="AS255">
        <v>125.4937385225336</v>
      </c>
      <c r="AT255">
        <v>7.1526724072556718</v>
      </c>
      <c r="AU255">
        <v>-53.611737261136028</v>
      </c>
      <c r="AV255"/>
      <c r="AW255"/>
      <c r="FY255" s="210">
        <v>250</v>
      </c>
      <c r="FZ255">
        <v>5.7047401865629794</v>
      </c>
      <c r="GA255">
        <v>10.986814939138915</v>
      </c>
      <c r="GB255">
        <v>3.3648675607505218</v>
      </c>
      <c r="GC255">
        <v>0.84555849926965632</v>
      </c>
      <c r="GD255">
        <v>0.72096027109423155</v>
      </c>
      <c r="GE255">
        <v>0.93008175519536107</v>
      </c>
      <c r="GF255">
        <v>4.9705390165843868</v>
      </c>
      <c r="GG255">
        <v>4.644860347984622</v>
      </c>
      <c r="GH255">
        <v>0.94317694059163226</v>
      </c>
      <c r="GI255">
        <v>4.4293302324386836</v>
      </c>
      <c r="GJ255"/>
      <c r="GK255"/>
      <c r="GL255"/>
      <c r="GM255"/>
    </row>
    <row r="256" spans="1:195" s="7" customFormat="1">
      <c r="A256" s="1"/>
      <c r="B256">
        <v>0.83595540044621752</v>
      </c>
      <c r="C256">
        <v>5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10.416666666666666</v>
      </c>
      <c r="J256">
        <v>10.416666666666666</v>
      </c>
      <c r="K256">
        <v>41.666666666666664</v>
      </c>
      <c r="L256">
        <v>0</v>
      </c>
      <c r="M256">
        <v>0</v>
      </c>
      <c r="N256">
        <v>0</v>
      </c>
      <c r="O256">
        <v>10.416666666666666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20.833333333333332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11.801835317460318</v>
      </c>
      <c r="AO256">
        <v>14.979965909111504</v>
      </c>
      <c r="AP256">
        <v>121.37545375094228</v>
      </c>
      <c r="AQ256">
        <v>45.850062362352602</v>
      </c>
      <c r="AR256">
        <v>13.857341692885349</v>
      </c>
      <c r="AS256">
        <v>85.727843877503886</v>
      </c>
      <c r="AT256" t="e">
        <v>#DIV/0!</v>
      </c>
      <c r="AU256" t="e">
        <v>#DIV/0!</v>
      </c>
      <c r="AV256"/>
      <c r="AW256"/>
      <c r="FY256" s="210">
        <v>251</v>
      </c>
      <c r="FZ256">
        <v>9.3773325049207159</v>
      </c>
      <c r="GA256">
        <v>13.63034852826932</v>
      </c>
      <c r="GB256">
        <v>3.1043249888375497</v>
      </c>
      <c r="GC256">
        <v>0.61654185844370601</v>
      </c>
      <c r="GD256">
        <v>0.9088089703943858</v>
      </c>
      <c r="GE256">
        <v>1.8186281351419227</v>
      </c>
      <c r="GF256">
        <v>2.8845640442937994</v>
      </c>
      <c r="GG256">
        <v>1.4344134131846378</v>
      </c>
      <c r="GH256">
        <v>0.3456493005258417</v>
      </c>
      <c r="GI256">
        <v>4.4505473699753466</v>
      </c>
      <c r="GJ256"/>
      <c r="GK256"/>
      <c r="GL256"/>
      <c r="GM256"/>
    </row>
    <row r="257" spans="1:195" s="7" customFormat="1">
      <c r="A257" s="1"/>
      <c r="B257">
        <v>0.53521373782093118</v>
      </c>
      <c r="C257">
        <v>10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13.057247899159663</v>
      </c>
      <c r="AO257">
        <v>12.666876938505466</v>
      </c>
      <c r="AP257">
        <v>109.23789051845637</v>
      </c>
      <c r="AQ257">
        <v>45.028869636573162</v>
      </c>
      <c r="AR257">
        <v>12.701646464956815</v>
      </c>
      <c r="AS257">
        <v>98.018383885783109</v>
      </c>
      <c r="AT257">
        <v>6.3526050527288147</v>
      </c>
      <c r="AU257">
        <v>-13.051225886347376</v>
      </c>
      <c r="AV257"/>
      <c r="AW257"/>
      <c r="FY257" s="210">
        <v>252</v>
      </c>
      <c r="FZ257">
        <v>2.5732574281256437</v>
      </c>
      <c r="GA257">
        <v>5.1386419440667641</v>
      </c>
      <c r="GB257">
        <v>1.5326450082359155</v>
      </c>
      <c r="GC257">
        <v>0.30088788685696899</v>
      </c>
      <c r="GD257">
        <v>0.39805907198425189</v>
      </c>
      <c r="GE257">
        <v>0.97230547414317248</v>
      </c>
      <c r="GF257">
        <v>6.1990668080145275</v>
      </c>
      <c r="GG257">
        <v>5.1338793500215374</v>
      </c>
      <c r="GH257">
        <v>0.17282465026292085</v>
      </c>
      <c r="GI257">
        <v>3.9001706288305682</v>
      </c>
      <c r="GJ257"/>
      <c r="GK257"/>
      <c r="GL257"/>
      <c r="GM257"/>
    </row>
    <row r="258" spans="1:195" s="7" customFormat="1">
      <c r="A258" s="1"/>
      <c r="B258">
        <v>0.94572086082250673</v>
      </c>
      <c r="C258">
        <v>2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26.041666666666668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6.690104166666667</v>
      </c>
      <c r="AO258">
        <v>19.797527266478927</v>
      </c>
      <c r="AP258">
        <v>160.53999402528444</v>
      </c>
      <c r="AQ258">
        <v>30.41384480911449</v>
      </c>
      <c r="AR258">
        <v>19.270493483825504</v>
      </c>
      <c r="AS258">
        <v>260.73663353769524</v>
      </c>
      <c r="AT258" t="e">
        <v>#DIV/0!</v>
      </c>
      <c r="AU258" t="e">
        <v>#DIV/0!</v>
      </c>
      <c r="AV258"/>
      <c r="AW258"/>
      <c r="FY258" s="210">
        <v>253</v>
      </c>
      <c r="FZ258">
        <v>11.320002474694146</v>
      </c>
      <c r="GA258">
        <v>15.003344928913474</v>
      </c>
      <c r="GB258">
        <v>3.5148312806365167</v>
      </c>
      <c r="GC258">
        <v>1.2130360636816646</v>
      </c>
      <c r="GD258">
        <v>0.95629658807368045</v>
      </c>
      <c r="GE258">
        <v>1.2388005524881542</v>
      </c>
      <c r="GF258">
        <v>3.8516474698327574</v>
      </c>
      <c r="GG258">
        <v>2.2555066839041871</v>
      </c>
      <c r="GH258">
        <v>0</v>
      </c>
      <c r="GI258">
        <v>4.8742469418221139</v>
      </c>
      <c r="GJ258"/>
      <c r="GK258"/>
      <c r="GL258"/>
      <c r="GM258"/>
    </row>
    <row r="259" spans="1:195" s="7" customFormat="1">
      <c r="A259" s="90"/>
      <c r="B259">
        <v>0.77552023904919132</v>
      </c>
      <c r="C259">
        <v>8</v>
      </c>
      <c r="D259">
        <v>39747</v>
      </c>
      <c r="E259">
        <v>0</v>
      </c>
      <c r="F259">
        <v>0</v>
      </c>
      <c r="G259">
        <v>0</v>
      </c>
      <c r="H259">
        <v>10.416666666666666</v>
      </c>
      <c r="I259">
        <v>10.416666666666666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10.857741013071895</v>
      </c>
      <c r="AO259">
        <v>22.773488570704529</v>
      </c>
      <c r="AP259">
        <v>187.66853385049271</v>
      </c>
      <c r="AQ259">
        <v>55.639347194818761</v>
      </c>
      <c r="AR259">
        <v>22.062451053905235</v>
      </c>
      <c r="AS259">
        <v>208.89322764739873</v>
      </c>
      <c r="AT259">
        <v>11.494677921800914</v>
      </c>
      <c r="AU259">
        <v>-21.072498855437424</v>
      </c>
      <c r="AV259"/>
      <c r="AW259"/>
      <c r="FY259" s="210">
        <v>254</v>
      </c>
      <c r="FZ259">
        <v>3.3188869482916896</v>
      </c>
      <c r="GA259">
        <v>5.0647465242817846</v>
      </c>
      <c r="GB259">
        <v>1.0663411824953704</v>
      </c>
      <c r="GC259">
        <v>1.625379937576239</v>
      </c>
      <c r="GD259">
        <v>1.5374535629319452</v>
      </c>
      <c r="GE259">
        <v>1.5615584873593926</v>
      </c>
      <c r="GF259">
        <v>3.5051631059098671</v>
      </c>
      <c r="GG259">
        <v>2.4324324403942232</v>
      </c>
      <c r="GH259">
        <v>0.40861888541082891</v>
      </c>
      <c r="GI259">
        <v>3.6908904441042996</v>
      </c>
      <c r="GJ259"/>
      <c r="GK259"/>
      <c r="GL259"/>
      <c r="GM259"/>
    </row>
    <row r="260" spans="1:195" s="7" customFormat="1">
      <c r="A260" s="77" t="s">
        <v>61</v>
      </c>
      <c r="B260">
        <v>0.65517071827112172</v>
      </c>
      <c r="C260">
        <v>1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9.8730158730158717</v>
      </c>
      <c r="AO260">
        <v>19.272114502925131</v>
      </c>
      <c r="AP260">
        <v>174.65784566945058</v>
      </c>
      <c r="AQ260">
        <v>37.123181187109871</v>
      </c>
      <c r="AR260">
        <v>18.253466524916803</v>
      </c>
      <c r="AS260">
        <v>90.070067320857845</v>
      </c>
      <c r="AT260" t="e">
        <v>#DIV/0!</v>
      </c>
      <c r="AU260" t="e">
        <v>#DIV/0!</v>
      </c>
      <c r="AV260"/>
      <c r="AW260"/>
      <c r="FY260" s="210">
        <v>255</v>
      </c>
      <c r="FZ260">
        <v>8.2044030560095376</v>
      </c>
      <c r="GA260">
        <v>11.334260618981871</v>
      </c>
      <c r="GB260">
        <v>3.1729151992994193</v>
      </c>
      <c r="GC260">
        <v>0.65606697825936167</v>
      </c>
      <c r="GD260">
        <v>0.99743976624250652</v>
      </c>
      <c r="GE260">
        <v>1.6613828328614983</v>
      </c>
      <c r="GF260">
        <v>5.0964036478095496</v>
      </c>
      <c r="GG260">
        <v>4.2424746108563749</v>
      </c>
      <c r="GH260">
        <v>0.40861888541082891</v>
      </c>
      <c r="GI260">
        <v>4.8836423906181352</v>
      </c>
      <c r="GJ260"/>
      <c r="GK260"/>
      <c r="GL260"/>
      <c r="GM260"/>
    </row>
    <row r="261" spans="1:195" s="7" customFormat="1">
      <c r="A261" s="77" t="s">
        <v>62</v>
      </c>
      <c r="B261">
        <v>0.8268794052409989</v>
      </c>
      <c r="C261">
        <v>1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8.006696428571427</v>
      </c>
      <c r="AO261">
        <v>20.581951670402947</v>
      </c>
      <c r="AP261">
        <v>179.88295306547755</v>
      </c>
      <c r="AQ261">
        <v>36.924193399967429</v>
      </c>
      <c r="AR261">
        <v>19.954914276622535</v>
      </c>
      <c r="AS261">
        <v>215.77203154164093</v>
      </c>
      <c r="AT261" t="e">
        <v>#DIV/0!</v>
      </c>
      <c r="AU261" t="e">
        <v>#DIV/0!</v>
      </c>
      <c r="AV261"/>
      <c r="AW261"/>
      <c r="FY261" s="210">
        <v>256</v>
      </c>
      <c r="FZ261">
        <v>9.174425351352518</v>
      </c>
      <c r="GA261">
        <v>8.0103756821545531</v>
      </c>
      <c r="GB261">
        <v>1.3664417219201699</v>
      </c>
      <c r="GC261">
        <v>1.3066756557725303</v>
      </c>
      <c r="GD261">
        <v>1.5912073143657066</v>
      </c>
      <c r="GE261">
        <v>1.9464191026373081</v>
      </c>
      <c r="GF261">
        <v>3.5734126354398068</v>
      </c>
      <c r="GG261">
        <v>2.5027439088398373</v>
      </c>
      <c r="GH261">
        <v>0.17282465026292085</v>
      </c>
      <c r="GI261">
        <v>4.5313661963310086</v>
      </c>
      <c r="GJ261"/>
      <c r="GK261"/>
      <c r="GL261"/>
      <c r="GM261"/>
    </row>
    <row r="262" spans="1:195" s="7" customFormat="1" ht="12.75" customHeight="1">
      <c r="A262" s="77"/>
      <c r="B262">
        <v>6.6276358878533337E-2</v>
      </c>
      <c r="C262">
        <v>8</v>
      </c>
      <c r="D262">
        <v>39747</v>
      </c>
      <c r="E262">
        <v>0</v>
      </c>
      <c r="F262">
        <v>0</v>
      </c>
      <c r="G262">
        <v>0</v>
      </c>
      <c r="H262">
        <v>10.416666666666666</v>
      </c>
      <c r="I262">
        <v>10.416666666666666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13.892069327731093</v>
      </c>
      <c r="AO262">
        <v>24.759453392139513</v>
      </c>
      <c r="AP262">
        <v>211.23008000818103</v>
      </c>
      <c r="AQ262">
        <v>54.92817815492176</v>
      </c>
      <c r="AR262">
        <v>23.974520753302208</v>
      </c>
      <c r="AS262">
        <v>121.30574678683504</v>
      </c>
      <c r="AT262">
        <v>12.993244198791933</v>
      </c>
      <c r="AU262">
        <v>-39.043508218000774</v>
      </c>
      <c r="AV262"/>
      <c r="AW262"/>
      <c r="FY262" s="210">
        <v>257</v>
      </c>
      <c r="FZ262">
        <v>6.5713944264377515</v>
      </c>
      <c r="GA262">
        <v>1.1736587576831998</v>
      </c>
      <c r="GB262">
        <v>0.23833760288279598</v>
      </c>
      <c r="GC262">
        <v>0.72586596628834155</v>
      </c>
      <c r="GD262">
        <v>1.0258410224723626</v>
      </c>
      <c r="GE262">
        <v>1.9362495927670418</v>
      </c>
      <c r="GF262">
        <v>1.6160738697281121</v>
      </c>
      <c r="GG262">
        <v>0.42416298142568709</v>
      </c>
      <c r="GH262">
        <v>0.58144353567374973</v>
      </c>
      <c r="GI262">
        <v>3.4829527754209151</v>
      </c>
      <c r="GJ262"/>
      <c r="GK262"/>
      <c r="GL262"/>
      <c r="GM262"/>
    </row>
    <row r="263" spans="1:195" s="7" customFormat="1">
      <c r="A263" s="77"/>
      <c r="B263">
        <v>0.6834510857542988</v>
      </c>
      <c r="C263">
        <v>1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11.038814484126984</v>
      </c>
      <c r="AO263">
        <v>20.556222371854112</v>
      </c>
      <c r="AP263">
        <v>160.27947273988454</v>
      </c>
      <c r="AQ263">
        <v>36.624914921087125</v>
      </c>
      <c r="AR263">
        <v>19.115297085984722</v>
      </c>
      <c r="AS263">
        <v>89.073215363442543</v>
      </c>
      <c r="AT263" t="e">
        <v>#DIV/0!</v>
      </c>
      <c r="AU263" t="e">
        <v>#DIV/0!</v>
      </c>
      <c r="AV263"/>
      <c r="AW263"/>
      <c r="FY263" s="210">
        <v>258</v>
      </c>
      <c r="FZ263">
        <v>3.6587021613213411</v>
      </c>
      <c r="GA263">
        <v>10.832510209966511</v>
      </c>
      <c r="GB263">
        <v>3.946234677022316</v>
      </c>
      <c r="GC263">
        <v>0.37150901565360001</v>
      </c>
      <c r="GD263">
        <v>0.57684771035651949</v>
      </c>
      <c r="GE263">
        <v>1.918786778729112</v>
      </c>
      <c r="GF263">
        <v>4.9444568301188712</v>
      </c>
      <c r="GG263">
        <v>3.0552984226073874</v>
      </c>
      <c r="GH263">
        <v>0.40861888541082891</v>
      </c>
      <c r="GI263">
        <v>4.9370205149915343</v>
      </c>
      <c r="GJ263"/>
      <c r="GK263"/>
      <c r="GL263"/>
      <c r="GM263"/>
    </row>
    <row r="264" spans="1:195" s="7" customFormat="1">
      <c r="A264" s="77"/>
      <c r="B264">
        <v>0.80545690127694969</v>
      </c>
      <c r="C264">
        <v>7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10.416666666666666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3.4765624999999991</v>
      </c>
      <c r="AO264">
        <v>14.691839557563261</v>
      </c>
      <c r="AP264">
        <v>147.93794313996031</v>
      </c>
      <c r="AQ264">
        <v>28.21812196280646</v>
      </c>
      <c r="AR264">
        <v>14.483673581537531</v>
      </c>
      <c r="AS264">
        <v>55.169228429795545</v>
      </c>
      <c r="AT264" t="e">
        <v>#DIV/0!</v>
      </c>
      <c r="AU264" t="e">
        <v>#DIV/0!</v>
      </c>
      <c r="AV264"/>
      <c r="AW264"/>
      <c r="FY264" s="210">
        <v>259</v>
      </c>
      <c r="FZ264">
        <v>4.0856217140275888</v>
      </c>
      <c r="GA264">
        <v>9.1636149328703951</v>
      </c>
      <c r="GB264">
        <v>2.5833370612073274</v>
      </c>
      <c r="GC264">
        <v>0.38273529311624077</v>
      </c>
      <c r="GD264">
        <v>0.70503948952419937</v>
      </c>
      <c r="GE264">
        <v>1.7545281862937492</v>
      </c>
      <c r="GF264">
        <v>3.7093516601769139</v>
      </c>
      <c r="GG264">
        <v>2.2555066839041871</v>
      </c>
      <c r="GH264">
        <v>0.17282465026292085</v>
      </c>
      <c r="GI264">
        <v>3.584048019485218</v>
      </c>
      <c r="GJ264"/>
      <c r="GK264"/>
      <c r="GL264"/>
      <c r="GM264"/>
    </row>
    <row r="265" spans="1:195" s="7" customFormat="1">
      <c r="A265" s="77"/>
      <c r="B265">
        <v>0.46623037151539948</v>
      </c>
      <c r="C265">
        <v>4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13.214613970588236</v>
      </c>
      <c r="AO265">
        <v>22.596939085620569</v>
      </c>
      <c r="AP265">
        <v>146.91188791633309</v>
      </c>
      <c r="AQ265">
        <v>36.21110565827582</v>
      </c>
      <c r="AR265">
        <v>20.943373995897336</v>
      </c>
      <c r="AS265">
        <v>103.30320384275036</v>
      </c>
      <c r="AT265" t="e">
        <v>#DIV/0!</v>
      </c>
      <c r="AU265" t="e">
        <v>#DIV/0!</v>
      </c>
      <c r="AV265"/>
      <c r="AW265"/>
      <c r="FY265" s="210">
        <v>260</v>
      </c>
      <c r="FZ265">
        <v>6.0166176774553968</v>
      </c>
      <c r="GA265">
        <v>3.1223009871276921</v>
      </c>
      <c r="GB265">
        <v>0.2582091140554138</v>
      </c>
      <c r="GC265">
        <v>0.99704589330093918</v>
      </c>
      <c r="GD265">
        <v>1.1063053733658297</v>
      </c>
      <c r="GE265">
        <v>1.1167739764940641</v>
      </c>
      <c r="GF265">
        <v>2.0138190401497216</v>
      </c>
      <c r="GG265">
        <v>1.6113391696746744</v>
      </c>
      <c r="GH265">
        <v>0.40861888541082891</v>
      </c>
      <c r="GI265">
        <v>3.424646092314493</v>
      </c>
      <c r="GJ265"/>
      <c r="GK265"/>
      <c r="GL265"/>
      <c r="GM265"/>
    </row>
    <row r="266" spans="1:195" s="7" customFormat="1">
      <c r="A266" s="1"/>
      <c r="B266">
        <v>0.27611923602080157</v>
      </c>
      <c r="C266">
        <v>2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26.041666666666668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13.15811011904762</v>
      </c>
      <c r="AO266">
        <v>15.550337027104163</v>
      </c>
      <c r="AP266">
        <v>101.50894913000211</v>
      </c>
      <c r="AQ266">
        <v>37.540929749610996</v>
      </c>
      <c r="AR266">
        <v>14.902837501204505</v>
      </c>
      <c r="AS266">
        <v>101.56603964270127</v>
      </c>
      <c r="AT266" t="e">
        <v>#DIV/0!</v>
      </c>
      <c r="AU266" t="e">
        <v>#DIV/0!</v>
      </c>
      <c r="AV266"/>
      <c r="AW266"/>
      <c r="FY266" s="210">
        <v>261</v>
      </c>
      <c r="FZ266">
        <v>10.583421581786254</v>
      </c>
      <c r="GA266">
        <v>17.595331714652886</v>
      </c>
      <c r="GB266">
        <v>4.6242745367488958</v>
      </c>
      <c r="GC266">
        <v>1.0622506105290621</v>
      </c>
      <c r="GD266">
        <v>1.6514325669761858</v>
      </c>
      <c r="GE266">
        <v>2.4632164418493736</v>
      </c>
      <c r="GF266">
        <v>5.1064557022578692</v>
      </c>
      <c r="GG266">
        <v>4.5477918996882742</v>
      </c>
      <c r="GH266">
        <v>0.47158847029581613</v>
      </c>
      <c r="GI266">
        <v>6.6644739098606864</v>
      </c>
      <c r="GJ266"/>
      <c r="GK266"/>
      <c r="GL266"/>
      <c r="GM266"/>
    </row>
    <row r="267" spans="1:195" s="7" customFormat="1">
      <c r="A267" s="1"/>
      <c r="B267">
        <v>0.3447556020168272</v>
      </c>
      <c r="C267">
        <v>5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10.416666666666666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10.923567343604109</v>
      </c>
      <c r="AO267">
        <v>23.230306459088794</v>
      </c>
      <c r="AP267">
        <v>199.65930553837745</v>
      </c>
      <c r="AQ267">
        <v>38.571159113987221</v>
      </c>
      <c r="AR267">
        <v>22.1186382878129</v>
      </c>
      <c r="AS267">
        <v>97.364754701548492</v>
      </c>
      <c r="AT267">
        <v>12.866861453757245</v>
      </c>
      <c r="AU267">
        <v>-99.49390028407737</v>
      </c>
      <c r="AV267"/>
      <c r="AW267"/>
      <c r="FY267" s="210">
        <v>262</v>
      </c>
      <c r="FZ267">
        <v>2.6189142646674961</v>
      </c>
      <c r="GA267">
        <v>10.211831467377623</v>
      </c>
      <c r="GB267">
        <v>3.3438732399679685</v>
      </c>
      <c r="GC267">
        <v>0.89791038951308133</v>
      </c>
      <c r="GD267">
        <v>1.1823165278793959</v>
      </c>
      <c r="GE267">
        <v>2.2130778562860178</v>
      </c>
      <c r="GF267">
        <v>6.5895290096193104</v>
      </c>
      <c r="GG267">
        <v>4.758250592744024</v>
      </c>
      <c r="GH267">
        <v>0</v>
      </c>
      <c r="GI267">
        <v>4.7364773833527938</v>
      </c>
      <c r="GJ267"/>
      <c r="GK267"/>
      <c r="GL267"/>
      <c r="GM267"/>
    </row>
    <row r="268" spans="1:195" s="7" customFormat="1">
      <c r="A268" s="1"/>
      <c r="B268">
        <v>0.91725223112656362</v>
      </c>
      <c r="C268">
        <v>6</v>
      </c>
      <c r="D268">
        <v>39775</v>
      </c>
      <c r="E268">
        <v>0</v>
      </c>
      <c r="F268">
        <v>0</v>
      </c>
      <c r="G268">
        <v>10.416666666666666</v>
      </c>
      <c r="H268">
        <v>0</v>
      </c>
      <c r="I268">
        <v>31.25</v>
      </c>
      <c r="J268">
        <v>41.666666666666664</v>
      </c>
      <c r="K268">
        <v>0</v>
      </c>
      <c r="L268">
        <v>0</v>
      </c>
      <c r="M268">
        <v>0</v>
      </c>
      <c r="N268">
        <v>10.416666666666666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6.2205882352941178</v>
      </c>
      <c r="AO268">
        <v>19.391187010330807</v>
      </c>
      <c r="AP268">
        <v>150.05843274195357</v>
      </c>
      <c r="AQ268">
        <v>26.321738250542271</v>
      </c>
      <c r="AR268">
        <v>18.416657839679587</v>
      </c>
      <c r="AS268">
        <v>184.34114949038428</v>
      </c>
      <c r="AT268" t="e">
        <v>#DIV/0!</v>
      </c>
      <c r="AU268" t="e">
        <v>#DIV/0!</v>
      </c>
      <c r="AV268"/>
      <c r="AW268"/>
      <c r="FY268" s="210">
        <v>263</v>
      </c>
      <c r="FZ268">
        <v>2.718453362767483</v>
      </c>
      <c r="GA268">
        <v>4.8654088813208318</v>
      </c>
      <c r="GB268">
        <v>0.86290400896732034</v>
      </c>
      <c r="GC268">
        <v>1.6815101354722441</v>
      </c>
      <c r="GD268">
        <v>1.4346827150185761</v>
      </c>
      <c r="GE268">
        <v>0.76507867825428488</v>
      </c>
      <c r="GF268">
        <v>3.1339486146188911</v>
      </c>
      <c r="GG268">
        <v>3.0335211783099472</v>
      </c>
      <c r="GH268">
        <v>0.88020735570664521</v>
      </c>
      <c r="GI268">
        <v>2.8888161045251577</v>
      </c>
      <c r="GJ268"/>
      <c r="GK268"/>
      <c r="GL268"/>
      <c r="GM268"/>
    </row>
    <row r="269" spans="1:195" s="7" customFormat="1">
      <c r="A269" s="1"/>
      <c r="B269">
        <v>0.89939898359433812</v>
      </c>
      <c r="C269">
        <v>6</v>
      </c>
      <c r="D269">
        <v>39775</v>
      </c>
      <c r="E269">
        <v>0</v>
      </c>
      <c r="F269">
        <v>0</v>
      </c>
      <c r="G269">
        <v>10.416666666666666</v>
      </c>
      <c r="H269">
        <v>0</v>
      </c>
      <c r="I269">
        <v>31.25</v>
      </c>
      <c r="J269">
        <v>41.666666666666664</v>
      </c>
      <c r="K269">
        <v>0</v>
      </c>
      <c r="L269">
        <v>0</v>
      </c>
      <c r="M269">
        <v>0</v>
      </c>
      <c r="N269">
        <v>10.416666666666666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12.656622023809522</v>
      </c>
      <c r="AO269">
        <v>21.358125132718889</v>
      </c>
      <c r="AP269">
        <v>179.71364996806662</v>
      </c>
      <c r="AQ269">
        <v>44.227712984046697</v>
      </c>
      <c r="AR269">
        <v>20.647571129574061</v>
      </c>
      <c r="AS269">
        <v>100.18225466346286</v>
      </c>
      <c r="AT269" t="e">
        <v>#DIV/0!</v>
      </c>
      <c r="AU269" t="e">
        <v>#DIV/0!</v>
      </c>
      <c r="AV269"/>
      <c r="AW269"/>
      <c r="FY269" s="210">
        <v>264</v>
      </c>
      <c r="FZ269">
        <v>14.660375044594574</v>
      </c>
      <c r="GA269">
        <v>21.525672579392136</v>
      </c>
      <c r="GB269">
        <v>7.6848772406276087</v>
      </c>
      <c r="GC269">
        <v>1.0256397684206506</v>
      </c>
      <c r="GD269">
        <v>1.0443157756901278</v>
      </c>
      <c r="GE269">
        <v>1.6186843173794399</v>
      </c>
      <c r="GF269">
        <v>4.6124240940475891</v>
      </c>
      <c r="GG269">
        <v>3.3723714037075605</v>
      </c>
      <c r="GH269">
        <v>0.58144353567374973</v>
      </c>
      <c r="GI269">
        <v>6.609403330878024</v>
      </c>
      <c r="GJ269"/>
      <c r="GK269"/>
      <c r="GL269"/>
      <c r="GM269"/>
    </row>
    <row r="270" spans="1:195" s="7" customFormat="1">
      <c r="A270" s="1"/>
      <c r="B270">
        <v>0.22635332786563933</v>
      </c>
      <c r="C270">
        <v>7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10.743157679738561</v>
      </c>
      <c r="AO270">
        <v>12.22970176814462</v>
      </c>
      <c r="AP270">
        <v>72.493053429225299</v>
      </c>
      <c r="AQ270">
        <v>24.211471518755644</v>
      </c>
      <c r="AR270">
        <v>11.40895723138526</v>
      </c>
      <c r="AS270">
        <v>66.416933630161495</v>
      </c>
      <c r="AT270">
        <v>5.3897323953339367</v>
      </c>
      <c r="AU270">
        <v>21.038301537291066</v>
      </c>
      <c r="AV270"/>
      <c r="AW270"/>
      <c r="FY270" s="210">
        <v>265</v>
      </c>
      <c r="FZ270">
        <v>3.7043589978631939</v>
      </c>
      <c r="GA270">
        <v>8.0411857812661474</v>
      </c>
      <c r="GB270">
        <v>2.7542951018758761</v>
      </c>
      <c r="GC270">
        <v>0.55607053333585488</v>
      </c>
      <c r="GD270">
        <v>1.2382425571556228</v>
      </c>
      <c r="GE270">
        <v>2.7499703712518535</v>
      </c>
      <c r="GF270">
        <v>4.9067757733295343</v>
      </c>
      <c r="GG270">
        <v>3.3723714037075605</v>
      </c>
      <c r="GH270">
        <v>0.58144353567374973</v>
      </c>
      <c r="GI270">
        <v>4.5743830190026218</v>
      </c>
      <c r="GJ270"/>
      <c r="GK270"/>
      <c r="GL270"/>
      <c r="GM270"/>
    </row>
    <row r="271" spans="1:195" s="7" customFormat="1">
      <c r="A271" s="77"/>
      <c r="B271">
        <v>0.56068154411864413</v>
      </c>
      <c r="C271">
        <v>2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10.416666666666666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9.8010693860877662</v>
      </c>
      <c r="AO271">
        <v>16.248956653027889</v>
      </c>
      <c r="AP271">
        <v>127.16238008895576</v>
      </c>
      <c r="AQ271">
        <v>40.657607986349085</v>
      </c>
      <c r="AR271">
        <v>15.959572874097192</v>
      </c>
      <c r="AS271">
        <v>79.831174285300847</v>
      </c>
      <c r="AT271">
        <v>7.9402491926823515</v>
      </c>
      <c r="AU271">
        <v>-42.793611703122465</v>
      </c>
      <c r="AV271"/>
      <c r="AW271"/>
      <c r="FY271" s="210">
        <v>266</v>
      </c>
      <c r="FZ271">
        <v>5.1921716927931403</v>
      </c>
      <c r="GA271">
        <v>13.798558874806639</v>
      </c>
      <c r="GB271">
        <v>3.1444153290535213</v>
      </c>
      <c r="GC271">
        <v>0.70402120890969788</v>
      </c>
      <c r="GD271">
        <v>0.8941381954557317</v>
      </c>
      <c r="GE271">
        <v>1.5318746109373411</v>
      </c>
      <c r="GF271">
        <v>4.8253151333877593</v>
      </c>
      <c r="GG271">
        <v>3.5710744044950373</v>
      </c>
      <c r="GH271">
        <v>0.17282465026292085</v>
      </c>
      <c r="GI271">
        <v>4.3466069277287547</v>
      </c>
      <c r="GJ271"/>
      <c r="GK271"/>
      <c r="GL271"/>
      <c r="GM271"/>
    </row>
    <row r="272" spans="1:195" s="7" customFormat="1">
      <c r="A272" s="77"/>
      <c r="B272">
        <v>0.52402840193719102</v>
      </c>
      <c r="C272">
        <v>2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10.416666666666666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11.7594027194211</v>
      </c>
      <c r="AO272">
        <v>19.80752181098492</v>
      </c>
      <c r="AP272">
        <v>155.75226337447319</v>
      </c>
      <c r="AQ272">
        <v>34.175892219076353</v>
      </c>
      <c r="AR272">
        <v>19.348969575460302</v>
      </c>
      <c r="AS272">
        <v>101.52300615870006</v>
      </c>
      <c r="AT272">
        <v>12.080012064441085</v>
      </c>
      <c r="AU272">
        <v>23.50003130651459</v>
      </c>
      <c r="AV272"/>
      <c r="AW272"/>
      <c r="FY272" s="210">
        <v>267</v>
      </c>
      <c r="FZ272">
        <v>4.0279104951012314</v>
      </c>
      <c r="GA272">
        <v>5.8397299960430775</v>
      </c>
      <c r="GB272">
        <v>0.80813206843995666</v>
      </c>
      <c r="GC272">
        <v>0.18016076927947861</v>
      </c>
      <c r="GD272">
        <v>0.84288382868253919</v>
      </c>
      <c r="GE272">
        <v>2.1956580988570398</v>
      </c>
      <c r="GF272">
        <v>3.9547907228367585</v>
      </c>
      <c r="GG272">
        <v>3.2807584032455974</v>
      </c>
      <c r="GH272">
        <v>0.70738270544372439</v>
      </c>
      <c r="GI272">
        <v>3.2980335223917354</v>
      </c>
      <c r="GJ272"/>
      <c r="GK272"/>
      <c r="GL272"/>
      <c r="GM272"/>
    </row>
    <row r="273" spans="1:195" s="7" customFormat="1">
      <c r="A273" s="1"/>
      <c r="B273">
        <v>0.89452569463663534</v>
      </c>
      <c r="C273">
        <v>5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10.360199288048554</v>
      </c>
      <c r="AO273">
        <v>18.047137193654997</v>
      </c>
      <c r="AP273">
        <v>141.7347584481391</v>
      </c>
      <c r="AQ273">
        <v>17.775980530779954</v>
      </c>
      <c r="AR273">
        <v>17.676963989075176</v>
      </c>
      <c r="AS273">
        <v>81.765079708658817</v>
      </c>
      <c r="AT273">
        <v>9.29078888482492</v>
      </c>
      <c r="AU273">
        <v>-97.903703946335881</v>
      </c>
      <c r="AV273"/>
      <c r="AW273"/>
      <c r="FY273" s="210">
        <v>268</v>
      </c>
      <c r="FZ273">
        <v>4.806699643221636</v>
      </c>
      <c r="GA273">
        <v>10.359939504259625</v>
      </c>
      <c r="GB273">
        <v>3.4358790677076363</v>
      </c>
      <c r="GC273">
        <v>0.81657235924151894</v>
      </c>
      <c r="GD273">
        <v>1.1026873146249923</v>
      </c>
      <c r="GE273">
        <v>1.9129753949363462</v>
      </c>
      <c r="GF273">
        <v>2.5077614457659694</v>
      </c>
      <c r="GG273">
        <v>2.0935822149966103</v>
      </c>
      <c r="GH273">
        <v>0.88020735570664521</v>
      </c>
      <c r="GI273">
        <v>3.9041079889823589</v>
      </c>
      <c r="GJ273"/>
      <c r="GK273"/>
      <c r="GL273"/>
      <c r="GM273"/>
    </row>
    <row r="274" spans="1:195" s="7" customFormat="1">
      <c r="A274" s="1"/>
      <c r="B274">
        <v>0.79693308202659097</v>
      </c>
      <c r="C274">
        <v>5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8.5808312908496713</v>
      </c>
      <c r="AO274">
        <v>19.475651901812597</v>
      </c>
      <c r="AP274">
        <v>151.90561342201801</v>
      </c>
      <c r="AQ274">
        <v>34.649985206178016</v>
      </c>
      <c r="AR274">
        <v>18.540008268685497</v>
      </c>
      <c r="AS274">
        <v>82.90698902765881</v>
      </c>
      <c r="AT274" t="e">
        <v>#DIV/0!</v>
      </c>
      <c r="AU274" t="e">
        <v>#DIV/0!</v>
      </c>
      <c r="AV274"/>
      <c r="AW274"/>
      <c r="FY274" s="210">
        <v>269</v>
      </c>
      <c r="FZ274">
        <v>4.0279104951012314</v>
      </c>
      <c r="GA274">
        <v>19.597449856914999</v>
      </c>
      <c r="GB274">
        <v>6.4295373658805222</v>
      </c>
      <c r="GC274">
        <v>0.70836233612154353</v>
      </c>
      <c r="GD274">
        <v>0.44962771591651024</v>
      </c>
      <c r="GE274">
        <v>1.2817360253739856</v>
      </c>
      <c r="GF274">
        <v>2.2006502320879995</v>
      </c>
      <c r="GG274">
        <v>0.60108873791572359</v>
      </c>
      <c r="GH274">
        <v>0.64441312055873701</v>
      </c>
      <c r="GI274">
        <v>4.0340429619890976</v>
      </c>
      <c r="GJ274"/>
      <c r="GK274"/>
      <c r="GL274"/>
      <c r="GM274"/>
    </row>
    <row r="275" spans="1:195" s="7" customFormat="1">
      <c r="A275" s="1"/>
      <c r="B275">
        <v>0.17382903530206573</v>
      </c>
      <c r="C275">
        <v>3</v>
      </c>
      <c r="D275">
        <v>39775</v>
      </c>
      <c r="E275">
        <v>0</v>
      </c>
      <c r="F275">
        <v>0</v>
      </c>
      <c r="G275">
        <v>0</v>
      </c>
      <c r="H275">
        <v>20.833333333333332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9.9686041083099912</v>
      </c>
      <c r="AO275">
        <v>20.703134850280435</v>
      </c>
      <c r="AP275">
        <v>184.9595019864463</v>
      </c>
      <c r="AQ275">
        <v>28.396607690868741</v>
      </c>
      <c r="AR275">
        <v>19.251227770993658</v>
      </c>
      <c r="AS275">
        <v>83.08671707553313</v>
      </c>
      <c r="AT275">
        <v>12.851225215456097</v>
      </c>
      <c r="AU275">
        <v>-14.946293862552134</v>
      </c>
      <c r="AV275"/>
      <c r="AW275"/>
      <c r="FY275" s="210">
        <v>270</v>
      </c>
      <c r="FZ275">
        <v>8.7467450465685008</v>
      </c>
      <c r="GA275">
        <v>25.992406174791061</v>
      </c>
      <c r="GB275">
        <v>8.0500238844090966</v>
      </c>
      <c r="GC275">
        <v>0.94152349295157167</v>
      </c>
      <c r="GD275">
        <v>0.69725672275138184</v>
      </c>
      <c r="GE275">
        <v>1.1050017953285818</v>
      </c>
      <c r="GF275">
        <v>4.1767658763847608</v>
      </c>
      <c r="GG275">
        <v>2.6796696653298739</v>
      </c>
      <c r="GH275">
        <v>0.58144353567374973</v>
      </c>
      <c r="GI275">
        <v>5.6364725083673655</v>
      </c>
      <c r="GJ275"/>
      <c r="GK275"/>
      <c r="GL275"/>
      <c r="GM275"/>
    </row>
    <row r="276" spans="1:195" s="7" customFormat="1">
      <c r="A276" s="1"/>
      <c r="B276">
        <v>0.24333936877448359</v>
      </c>
      <c r="C276">
        <v>4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12.60265668767507</v>
      </c>
      <c r="AO276">
        <v>15.374231636667867</v>
      </c>
      <c r="AP276">
        <v>118.46138600253408</v>
      </c>
      <c r="AQ276">
        <v>20.075676209349052</v>
      </c>
      <c r="AR276">
        <v>14.803665277217103</v>
      </c>
      <c r="AS276">
        <v>84.337819351221782</v>
      </c>
      <c r="AT276">
        <v>7.6664539450969187</v>
      </c>
      <c r="AU276">
        <v>-70.126819540302776</v>
      </c>
      <c r="AV276"/>
      <c r="AW276"/>
      <c r="FY276" s="210">
        <v>271</v>
      </c>
      <c r="FZ276">
        <v>8.3495989906513763</v>
      </c>
      <c r="GA276">
        <v>14.029023814191227</v>
      </c>
      <c r="GB276">
        <v>3.4462410701746475</v>
      </c>
      <c r="GC276">
        <v>0.70836233612154353</v>
      </c>
      <c r="GD276">
        <v>0.81889719399110272</v>
      </c>
      <c r="GE276">
        <v>1.6707751276583582</v>
      </c>
      <c r="GF276">
        <v>6.5258549689584919</v>
      </c>
      <c r="GG276">
        <v>5.0635678815759242</v>
      </c>
      <c r="GH276">
        <v>0.40861888541082891</v>
      </c>
      <c r="GI276">
        <v>5.5356632470398166</v>
      </c>
      <c r="GJ276"/>
      <c r="GK276"/>
      <c r="GL276"/>
      <c r="GM276"/>
    </row>
    <row r="277" spans="1:195" s="7" customFormat="1">
      <c r="A277" s="1"/>
      <c r="B277">
        <v>0.76921969094533438</v>
      </c>
      <c r="C277">
        <v>1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11.020833333333332</v>
      </c>
      <c r="AO277">
        <v>20.972139963174644</v>
      </c>
      <c r="AP277">
        <v>168.61641348552396</v>
      </c>
      <c r="AQ277">
        <v>54.77023743464531</v>
      </c>
      <c r="AR277">
        <v>20.423778637852138</v>
      </c>
      <c r="AS277">
        <v>162.27976769092658</v>
      </c>
      <c r="AT277" t="e">
        <v>#DIV/0!</v>
      </c>
      <c r="AU277" t="e">
        <v>#DIV/0!</v>
      </c>
      <c r="AV277"/>
      <c r="AW277"/>
      <c r="FY277" s="210">
        <v>272</v>
      </c>
      <c r="FZ277">
        <v>9.1442714785245105</v>
      </c>
      <c r="GA277">
        <v>6.814051110765325</v>
      </c>
      <c r="GB277">
        <v>1.0536457221708007</v>
      </c>
      <c r="GC277">
        <v>0.4090979099769444</v>
      </c>
      <c r="GD277">
        <v>0.53921361151848424</v>
      </c>
      <c r="GE277">
        <v>0.80777719373634338</v>
      </c>
      <c r="GF277">
        <v>1.976784730554958</v>
      </c>
      <c r="GG277">
        <v>2.1638936834422244</v>
      </c>
      <c r="GH277">
        <v>0.64441312055873701</v>
      </c>
      <c r="GI277">
        <v>4.2974635227438132</v>
      </c>
      <c r="GJ277"/>
      <c r="GK277"/>
      <c r="GL277"/>
      <c r="GM277"/>
    </row>
    <row r="278" spans="1:195" s="7" customFormat="1">
      <c r="A278" s="1"/>
      <c r="B278">
        <v>0.67131173735434757</v>
      </c>
      <c r="C278">
        <v>8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10.416666666666666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12.813740079365079</v>
      </c>
      <c r="AO278">
        <v>19.756491371781916</v>
      </c>
      <c r="AP278">
        <v>173.30755485282162</v>
      </c>
      <c r="AQ278">
        <v>36.552180731407717</v>
      </c>
      <c r="AR278">
        <v>18.335360521443437</v>
      </c>
      <c r="AS278">
        <v>93.336595300734587</v>
      </c>
      <c r="AT278" t="e">
        <v>#DIV/0!</v>
      </c>
      <c r="AU278" t="e">
        <v>#DIV/0!</v>
      </c>
      <c r="AV278"/>
      <c r="AW278"/>
      <c r="FY278" s="210">
        <v>273</v>
      </c>
      <c r="FZ278">
        <v>10.15612165304112</v>
      </c>
      <c r="GA278">
        <v>12.656027413547076</v>
      </c>
      <c r="GB278">
        <v>3.2053943321589204</v>
      </c>
      <c r="GC278">
        <v>0.60015231300156824</v>
      </c>
      <c r="GD278">
        <v>0.75575485974636825</v>
      </c>
      <c r="GE278">
        <v>1.6142361424015168</v>
      </c>
      <c r="GF278">
        <v>3.6520567434984548</v>
      </c>
      <c r="GG278">
        <v>2.1271151515623243</v>
      </c>
      <c r="GH278">
        <v>0</v>
      </c>
      <c r="GI278">
        <v>4.9970652674576765</v>
      </c>
      <c r="GJ278"/>
      <c r="GK278"/>
      <c r="GL278"/>
      <c r="GM278"/>
    </row>
    <row r="279" spans="1:195" s="7" customFormat="1">
      <c r="A279" s="1"/>
      <c r="B279">
        <v>0.33636531253733093</v>
      </c>
      <c r="C279">
        <v>5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10.416666666666666</v>
      </c>
      <c r="K279">
        <v>10.416666666666666</v>
      </c>
      <c r="L279">
        <v>0</v>
      </c>
      <c r="M279">
        <v>10.416666666666666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10.416666666666666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8.9419424019607838</v>
      </c>
      <c r="AO279">
        <v>12.128630935802024</v>
      </c>
      <c r="AP279">
        <v>86.251568720824238</v>
      </c>
      <c r="AQ279">
        <v>22.264531034961383</v>
      </c>
      <c r="AR279">
        <v>11.290162797058089</v>
      </c>
      <c r="AS279">
        <v>57.906483589181633</v>
      </c>
      <c r="AT279">
        <v>5.3338708806812614</v>
      </c>
      <c r="AU279">
        <v>26.01972188929345</v>
      </c>
      <c r="AV279"/>
      <c r="AW279"/>
      <c r="FY279" s="210">
        <v>274</v>
      </c>
      <c r="FZ279">
        <v>4.7644913880091213</v>
      </c>
      <c r="GA279">
        <v>8.1870475114094781</v>
      </c>
      <c r="GB279">
        <v>1.1687090127020499</v>
      </c>
      <c r="GC279">
        <v>0.53254269405391086</v>
      </c>
      <c r="GD279">
        <v>0.32934150154701436</v>
      </c>
      <c r="GE279">
        <v>0.54730501780109508</v>
      </c>
      <c r="GF279">
        <v>3.3293955787584926</v>
      </c>
      <c r="GG279">
        <v>2.905129645968084</v>
      </c>
      <c r="GH279">
        <v>0.70738270544372439</v>
      </c>
      <c r="GI279">
        <v>2.9198593626481149</v>
      </c>
      <c r="GJ279"/>
      <c r="GK279"/>
      <c r="GL279"/>
      <c r="GM279"/>
    </row>
    <row r="280" spans="1:195" s="7" customFormat="1">
      <c r="A280" s="1"/>
      <c r="B280">
        <v>0.33047495494099577</v>
      </c>
      <c r="C280">
        <v>9</v>
      </c>
      <c r="D280">
        <v>39799</v>
      </c>
      <c r="E280">
        <v>0</v>
      </c>
      <c r="F280">
        <v>0</v>
      </c>
      <c r="G280">
        <v>0</v>
      </c>
      <c r="H280">
        <v>10.416666666666666</v>
      </c>
      <c r="I280">
        <v>0</v>
      </c>
      <c r="J280">
        <v>10.416666666666666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16.408562383286647</v>
      </c>
      <c r="AO280">
        <v>25.347318436349845</v>
      </c>
      <c r="AP280">
        <v>208.0608352488733</v>
      </c>
      <c r="AQ280">
        <v>62.735207090411464</v>
      </c>
      <c r="AR280">
        <v>25.35476964422989</v>
      </c>
      <c r="AS280">
        <v>138.23892371530928</v>
      </c>
      <c r="AT280">
        <v>14.03950685819853</v>
      </c>
      <c r="AU280">
        <v>-103.88237629289651</v>
      </c>
      <c r="AV280"/>
      <c r="AW280"/>
      <c r="FY280" s="210">
        <v>275</v>
      </c>
      <c r="FZ280">
        <v>4.5823068680447001</v>
      </c>
      <c r="GA280">
        <v>18.549233322407773</v>
      </c>
      <c r="GB280">
        <v>5.6864514017972549</v>
      </c>
      <c r="GC280">
        <v>0.49399562645318773</v>
      </c>
      <c r="GD280">
        <v>0.59906212216219901</v>
      </c>
      <c r="GE280">
        <v>1.3347264249965278</v>
      </c>
      <c r="GF280">
        <v>3.9047762852528924</v>
      </c>
      <c r="GG280">
        <v>2.8080611976717367</v>
      </c>
      <c r="GH280">
        <v>0.23579423514790807</v>
      </c>
      <c r="GI280">
        <v>4.4608816435021295</v>
      </c>
      <c r="GJ280"/>
      <c r="GK280"/>
      <c r="GL280"/>
      <c r="GM280"/>
    </row>
    <row r="281" spans="1:195" s="7" customFormat="1">
      <c r="A281" s="1"/>
      <c r="B281">
        <v>0.31353269816613594</v>
      </c>
      <c r="C281">
        <v>2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13.253180438842202</v>
      </c>
      <c r="AO281">
        <v>16.756574487533175</v>
      </c>
      <c r="AP281">
        <v>136.98334749328089</v>
      </c>
      <c r="AQ281">
        <v>32.479097074462018</v>
      </c>
      <c r="AR281">
        <v>15.696535386322168</v>
      </c>
      <c r="AS281">
        <v>89.019777048151198</v>
      </c>
      <c r="AT281">
        <v>9.4300687077088199</v>
      </c>
      <c r="AU281">
        <v>-34.032051298100797</v>
      </c>
      <c r="AV281"/>
      <c r="AW281"/>
      <c r="FY281" s="210">
        <v>276</v>
      </c>
      <c r="FZ281">
        <v>8.6894142036810287</v>
      </c>
      <c r="GA281">
        <v>11.533598261942824</v>
      </c>
      <c r="GB281">
        <v>3.2391719519037303</v>
      </c>
      <c r="GC281">
        <v>0.35551173511988821</v>
      </c>
      <c r="GD281">
        <v>0.6284227730828984</v>
      </c>
      <c r="GE281">
        <v>1.0343542756753896</v>
      </c>
      <c r="GF281">
        <v>3.5912884373147951</v>
      </c>
      <c r="GG281">
        <v>3.3025356475430381</v>
      </c>
      <c r="GH281">
        <v>0.23579423514790807</v>
      </c>
      <c r="GI281">
        <v>4.1144054845927061</v>
      </c>
      <c r="GJ281"/>
      <c r="GK281"/>
      <c r="GL281"/>
      <c r="GM281"/>
    </row>
    <row r="282" spans="1:195" s="7" customFormat="1">
      <c r="A282" s="1"/>
      <c r="B282">
        <v>0.49062885413020396</v>
      </c>
      <c r="C282">
        <v>1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10.416666666666666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10.956203314659197</v>
      </c>
      <c r="AO282">
        <v>15.876523743789814</v>
      </c>
      <c r="AP282">
        <v>153.69827346605587</v>
      </c>
      <c r="AQ282">
        <v>38.18100102783054</v>
      </c>
      <c r="AR282">
        <v>15.239452356640808</v>
      </c>
      <c r="AS282">
        <v>158.7309345070415</v>
      </c>
      <c r="AT282">
        <v>11.371423884353506</v>
      </c>
      <c r="AU282">
        <v>76.884380528883582</v>
      </c>
      <c r="AV282"/>
      <c r="AW282"/>
      <c r="FY282" s="210">
        <v>277</v>
      </c>
      <c r="FZ282">
        <v>13.214009852799371</v>
      </c>
      <c r="GA282">
        <v>30.837395549144535</v>
      </c>
      <c r="GB282">
        <v>10.063566480059261</v>
      </c>
      <c r="GC282">
        <v>1.0346347876242836</v>
      </c>
      <c r="GD282">
        <v>1.5027632245186555</v>
      </c>
      <c r="GE282">
        <v>2.2467761392129</v>
      </c>
      <c r="GF282">
        <v>2.4217253169550736</v>
      </c>
      <c r="GG282">
        <v>1.7397307020165371</v>
      </c>
      <c r="GH282">
        <v>0.40861888541082891</v>
      </c>
      <c r="GI282">
        <v>7.8338342429984404</v>
      </c>
      <c r="GJ282"/>
      <c r="GK282"/>
      <c r="GL282"/>
      <c r="GM282"/>
    </row>
    <row r="283" spans="1:195" s="7" customFormat="1">
      <c r="A283" s="1"/>
      <c r="B283">
        <v>3.6090794243973434E-2</v>
      </c>
      <c r="C283">
        <v>9</v>
      </c>
      <c r="D283">
        <v>39799</v>
      </c>
      <c r="E283">
        <v>0</v>
      </c>
      <c r="F283">
        <v>0</v>
      </c>
      <c r="G283">
        <v>0</v>
      </c>
      <c r="H283">
        <v>10.416666666666666</v>
      </c>
      <c r="I283">
        <v>0</v>
      </c>
      <c r="J283">
        <v>10.416666666666666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8.5700644841269824</v>
      </c>
      <c r="AO283">
        <v>17.016816055247222</v>
      </c>
      <c r="AP283">
        <v>134.09002093870737</v>
      </c>
      <c r="AQ283">
        <v>25.13544061032114</v>
      </c>
      <c r="AR283">
        <v>15.8266310957793</v>
      </c>
      <c r="AS283">
        <v>73.76125361153747</v>
      </c>
      <c r="AT283" t="e">
        <v>#DIV/0!</v>
      </c>
      <c r="AU283" t="e">
        <v>#DIV/0!</v>
      </c>
      <c r="AV283"/>
      <c r="AW283"/>
      <c r="FY283" s="210">
        <v>278</v>
      </c>
      <c r="FZ283">
        <v>4.9798333000007098</v>
      </c>
      <c r="GA283">
        <v>25.470236258808342</v>
      </c>
      <c r="GB283">
        <v>10.026332592846956</v>
      </c>
      <c r="GC283">
        <v>0.99012313209934488</v>
      </c>
      <c r="GD283">
        <v>1.4972585483019007</v>
      </c>
      <c r="GE283">
        <v>2.1933519711172651</v>
      </c>
      <c r="GF283">
        <v>3.4699100923647199</v>
      </c>
      <c r="GG283">
        <v>2.6796696653298739</v>
      </c>
      <c r="GH283">
        <v>0.40861888541082891</v>
      </c>
      <c r="GI283">
        <v>7.0207360806417292</v>
      </c>
      <c r="GJ283"/>
      <c r="GK283"/>
      <c r="GL283"/>
      <c r="GM283"/>
    </row>
    <row r="284" spans="1:195" s="7" customFormat="1">
      <c r="A284" s="1"/>
      <c r="B284">
        <v>0.97245403237200012</v>
      </c>
      <c r="C284">
        <v>10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20.833333333333332</v>
      </c>
      <c r="J284">
        <v>20.833333333333332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10.416666666666666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9.3907271241830053</v>
      </c>
      <c r="AO284">
        <v>18.812341782022418</v>
      </c>
      <c r="AP284">
        <v>136.36058787442511</v>
      </c>
      <c r="AQ284">
        <v>31.82041228944334</v>
      </c>
      <c r="AR284">
        <v>17.877985625059882</v>
      </c>
      <c r="AS284">
        <v>131.19993926995701</v>
      </c>
      <c r="AT284">
        <v>8.0389703877791323</v>
      </c>
      <c r="AU284">
        <v>-33.690584090397159</v>
      </c>
      <c r="AV284"/>
      <c r="AW284"/>
      <c r="FY284" s="210">
        <v>279</v>
      </c>
      <c r="FZ284">
        <v>6.9983139791439992</v>
      </c>
      <c r="GA284">
        <v>18.401125285525772</v>
      </c>
      <c r="GB284">
        <v>5.8712277124003087</v>
      </c>
      <c r="GC284">
        <v>0.36699115617154027</v>
      </c>
      <c r="GD284">
        <v>0.435418262828491</v>
      </c>
      <c r="GE284">
        <v>1.0740754610120056</v>
      </c>
      <c r="GF284">
        <v>2.1644079472678919</v>
      </c>
      <c r="GG284">
        <v>1.5410277012290603</v>
      </c>
      <c r="GH284">
        <v>0.47158847029581613</v>
      </c>
      <c r="GI284">
        <v>4.1902002724284317</v>
      </c>
      <c r="GJ284"/>
      <c r="GK284"/>
      <c r="GL284"/>
      <c r="GM284"/>
    </row>
    <row r="285" spans="1:195" s="7" customFormat="1">
      <c r="A285" s="1"/>
      <c r="B285">
        <v>0.82186174337336948</v>
      </c>
      <c r="C285">
        <v>6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10.765479108309991</v>
      </c>
      <c r="AO285">
        <v>20.155394278427288</v>
      </c>
      <c r="AP285">
        <v>151.56986159214006</v>
      </c>
      <c r="AQ285">
        <v>39.974818847860348</v>
      </c>
      <c r="AR285">
        <v>18.70453954452519</v>
      </c>
      <c r="AS285">
        <v>218.14829845087496</v>
      </c>
      <c r="AT285">
        <v>8.0091944682077809</v>
      </c>
      <c r="AU285">
        <v>-2.7400063584513417</v>
      </c>
      <c r="AV285"/>
      <c r="AW285"/>
      <c r="FY285" s="210">
        <v>280</v>
      </c>
      <c r="FZ285">
        <v>3.3188869482916896</v>
      </c>
      <c r="GA285">
        <v>2.4954255522484026</v>
      </c>
      <c r="GB285">
        <v>0.31055975808753272</v>
      </c>
      <c r="GC285">
        <v>0.5097397633978884</v>
      </c>
      <c r="GD285">
        <v>0.83054573128711273</v>
      </c>
      <c r="GE285">
        <v>2.0527431756311922</v>
      </c>
      <c r="GF285">
        <v>4.4533309563857504</v>
      </c>
      <c r="GG285">
        <v>2.749981133775488</v>
      </c>
      <c r="GH285">
        <v>0.17282465026292085</v>
      </c>
      <c r="GI285">
        <v>3.2325719689947228</v>
      </c>
      <c r="GJ285"/>
      <c r="GK285"/>
      <c r="GL285"/>
      <c r="GM285"/>
    </row>
    <row r="286" spans="1:195" s="7" customFormat="1">
      <c r="A286" s="1"/>
      <c r="B286">
        <v>0.78759031757082409</v>
      </c>
      <c r="C286">
        <v>2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14.66463877217554</v>
      </c>
      <c r="AO286">
        <v>22.639843744547811</v>
      </c>
      <c r="AP286">
        <v>206.36794997174664</v>
      </c>
      <c r="AQ286">
        <v>58.607308702555954</v>
      </c>
      <c r="AR286">
        <v>21.416885933740534</v>
      </c>
      <c r="AS286">
        <v>117.1131528839551</v>
      </c>
      <c r="AT286">
        <v>10.694317285357128</v>
      </c>
      <c r="AU286">
        <v>-61.002722307255389</v>
      </c>
      <c r="AV286"/>
      <c r="AW286"/>
      <c r="FY286" s="210">
        <v>281</v>
      </c>
      <c r="FZ286">
        <v>4.8644108621479933</v>
      </c>
      <c r="GA286">
        <v>9.4060378965047367</v>
      </c>
      <c r="GB286">
        <v>2.1107383342510606</v>
      </c>
      <c r="GC286">
        <v>0.70685598648845749</v>
      </c>
      <c r="GD286">
        <v>0.9771424901596053</v>
      </c>
      <c r="GE286">
        <v>1.7370502595102724</v>
      </c>
      <c r="GF286">
        <v>3.2154092545606656</v>
      </c>
      <c r="GG286">
        <v>2.4809666645423967</v>
      </c>
      <c r="GH286">
        <v>0.64441312055873701</v>
      </c>
      <c r="GI286">
        <v>3.9919554529894996</v>
      </c>
      <c r="GJ286"/>
      <c r="GK286"/>
      <c r="GL286"/>
      <c r="GM286"/>
    </row>
    <row r="287" spans="1:195" s="7" customFormat="1">
      <c r="A287" s="1"/>
      <c r="B287">
        <v>0.29496916366076054</v>
      </c>
      <c r="C287">
        <v>7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11.1187777194211</v>
      </c>
      <c r="AO287">
        <v>16.211412469423607</v>
      </c>
      <c r="AP287">
        <v>134.03699507117435</v>
      </c>
      <c r="AQ287">
        <v>46.556603515773311</v>
      </c>
      <c r="AR287">
        <v>15.482991053350672</v>
      </c>
      <c r="AS287">
        <v>89.984883924105617</v>
      </c>
      <c r="AT287">
        <v>7.4866968288336642</v>
      </c>
      <c r="AU287">
        <v>1.9801529237615663</v>
      </c>
      <c r="AV287"/>
      <c r="AW287"/>
      <c r="FY287" s="210">
        <v>282</v>
      </c>
      <c r="FZ287">
        <v>6.968540482354876</v>
      </c>
      <c r="GA287">
        <v>13.535716404204939</v>
      </c>
      <c r="GB287">
        <v>5.1353177991650893</v>
      </c>
      <c r="GC287">
        <v>0.72973841727296418</v>
      </c>
      <c r="GD287">
        <v>0.90662695172237873</v>
      </c>
      <c r="GE287">
        <v>1.7628416984998121</v>
      </c>
      <c r="GF287">
        <v>5.628370642324672</v>
      </c>
      <c r="GG287">
        <v>4.2424746108563749</v>
      </c>
      <c r="GH287">
        <v>0.23579423514790807</v>
      </c>
      <c r="GI287">
        <v>4.8258614410378726</v>
      </c>
      <c r="GJ287"/>
      <c r="GK287"/>
      <c r="GL287"/>
      <c r="GM287"/>
    </row>
    <row r="288" spans="1:195" s="7" customFormat="1">
      <c r="A288" s="1"/>
      <c r="B288">
        <v>0.24780946417616123</v>
      </c>
      <c r="C288">
        <v>5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9.6532519257703076</v>
      </c>
      <c r="AO288">
        <v>20.514426973422101</v>
      </c>
      <c r="AP288">
        <v>166.81319991587887</v>
      </c>
      <c r="AQ288">
        <v>27.850612083992139</v>
      </c>
      <c r="AR288">
        <v>19.967951240960179</v>
      </c>
      <c r="AS288">
        <v>88.595692774246871</v>
      </c>
      <c r="AT288">
        <v>8.9067038389810502</v>
      </c>
      <c r="AU288">
        <v>-18.583990133728761</v>
      </c>
      <c r="AV288"/>
      <c r="AW288"/>
      <c r="FY288" s="210">
        <v>283</v>
      </c>
      <c r="FZ288">
        <v>8.0674949965480831</v>
      </c>
      <c r="GA288">
        <v>8.0619224855455496</v>
      </c>
      <c r="GB288">
        <v>0.30934910983991032</v>
      </c>
      <c r="GC288">
        <v>1.0477972905792357</v>
      </c>
      <c r="GD288">
        <v>1.3081822654491801</v>
      </c>
      <c r="GE288">
        <v>2.2086878506625935</v>
      </c>
      <c r="GF288">
        <v>3.8603722939695038</v>
      </c>
      <c r="GG288">
        <v>2.3040409080523605</v>
      </c>
      <c r="GH288">
        <v>0.40861888541082891</v>
      </c>
      <c r="GI288">
        <v>3.5721553968254041</v>
      </c>
      <c r="GJ288"/>
      <c r="GK288"/>
      <c r="GL288"/>
      <c r="GM288"/>
    </row>
    <row r="289" spans="1:195" s="7" customFormat="1">
      <c r="A289" s="1"/>
      <c r="B289">
        <v>0.77004885270805046</v>
      </c>
      <c r="C289">
        <v>7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7.4401041666666661</v>
      </c>
      <c r="AO289">
        <v>20.405133902375798</v>
      </c>
      <c r="AP289">
        <v>161.21061698156464</v>
      </c>
      <c r="AQ289">
        <v>39.763923876415028</v>
      </c>
      <c r="AR289">
        <v>19.81653289867436</v>
      </c>
      <c r="AS289">
        <v>89.163609289222336</v>
      </c>
      <c r="AT289" t="e">
        <v>#DIV/0!</v>
      </c>
      <c r="AU289" t="e">
        <v>#DIV/0!</v>
      </c>
      <c r="AV289"/>
      <c r="AW289"/>
      <c r="FY289" s="210">
        <v>284</v>
      </c>
      <c r="FZ289">
        <v>4.6400180869710583</v>
      </c>
      <c r="GA289">
        <v>12.656027413547076</v>
      </c>
      <c r="GB289">
        <v>3.4184288530302633</v>
      </c>
      <c r="GC289">
        <v>0.43610593533508496</v>
      </c>
      <c r="GD289">
        <v>0.57125005108520455</v>
      </c>
      <c r="GE289">
        <v>1.1589976954418755</v>
      </c>
      <c r="GF289">
        <v>1.7963301728768073</v>
      </c>
      <c r="GG289">
        <v>1.3641019447390237</v>
      </c>
      <c r="GH289">
        <v>0.58144353567374973</v>
      </c>
      <c r="GI289">
        <v>3.3451881790632267</v>
      </c>
      <c r="GJ289"/>
      <c r="GK289"/>
      <c r="GL289"/>
      <c r="GM289"/>
    </row>
    <row r="290" spans="1:195" s="7" customFormat="1">
      <c r="A290" s="1"/>
      <c r="B290">
        <v>0.9586151633901574</v>
      </c>
      <c r="C290">
        <v>8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10.215401785714286</v>
      </c>
      <c r="AO290">
        <v>15.774385266534926</v>
      </c>
      <c r="AP290">
        <v>109.52172593811416</v>
      </c>
      <c r="AQ290">
        <v>25.391204418341086</v>
      </c>
      <c r="AR290">
        <v>14.596305563587343</v>
      </c>
      <c r="AS290">
        <v>77.415928691220074</v>
      </c>
      <c r="AT290" t="e">
        <v>#DIV/0!</v>
      </c>
      <c r="AU290" t="e">
        <v>#DIV/0!</v>
      </c>
      <c r="AV290"/>
      <c r="AW290"/>
      <c r="FY290" s="210">
        <v>285</v>
      </c>
      <c r="FZ290">
        <v>2.4065758718750665</v>
      </c>
      <c r="GA290">
        <v>13.683824441086943</v>
      </c>
      <c r="GB290">
        <v>5.0678503983131558</v>
      </c>
      <c r="GC290">
        <v>0.60719218528244601</v>
      </c>
      <c r="GD290">
        <v>0.64918497726688096</v>
      </c>
      <c r="GE290">
        <v>0.98431461271242759</v>
      </c>
      <c r="GF290">
        <v>3.5422866180986627</v>
      </c>
      <c r="GG290">
        <v>2.749981133775488</v>
      </c>
      <c r="GH290">
        <v>0</v>
      </c>
      <c r="GI290">
        <v>3.6224305369373058</v>
      </c>
      <c r="GJ290"/>
      <c r="GK290"/>
      <c r="GL290"/>
      <c r="GM290"/>
    </row>
    <row r="291" spans="1:195" s="7" customFormat="1">
      <c r="A291" s="1"/>
      <c r="B291">
        <v>0.83540862717907016</v>
      </c>
      <c r="C291">
        <v>1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10.416666666666666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9.1961805555555554</v>
      </c>
      <c r="AO291">
        <v>16.003285632165237</v>
      </c>
      <c r="AP291">
        <v>130.47236964496417</v>
      </c>
      <c r="AQ291">
        <v>42.655289127436298</v>
      </c>
      <c r="AR291">
        <v>14.793189464436367</v>
      </c>
      <c r="AS291">
        <v>80.205568358223843</v>
      </c>
      <c r="AT291" t="e">
        <v>#DIV/0!</v>
      </c>
      <c r="AU291" t="e">
        <v>#DIV/0!</v>
      </c>
      <c r="AV291"/>
      <c r="AW291"/>
      <c r="FY291" s="210">
        <v>286</v>
      </c>
      <c r="FZ291">
        <v>5.4067528527069575</v>
      </c>
      <c r="GA291">
        <v>13.829686171230275</v>
      </c>
      <c r="GB291">
        <v>3.3276336735382177</v>
      </c>
      <c r="GC291">
        <v>0.29439500151459985</v>
      </c>
      <c r="GD291">
        <v>0.51392424602120745</v>
      </c>
      <c r="GE291">
        <v>1.6520698557259037</v>
      </c>
      <c r="GF291">
        <v>4.4271397179848133</v>
      </c>
      <c r="GG291">
        <v>3.232224179097424</v>
      </c>
      <c r="GH291">
        <v>0.64441312055873701</v>
      </c>
      <c r="GI291">
        <v>4.050641206182477</v>
      </c>
      <c r="GJ291"/>
      <c r="GK291"/>
      <c r="GL291"/>
      <c r="GM291"/>
    </row>
    <row r="292" spans="1:195" s="7" customFormat="1">
      <c r="A292" s="1"/>
      <c r="B292">
        <v>0.80806053897080088</v>
      </c>
      <c r="C292">
        <v>8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7.840029761904761</v>
      </c>
      <c r="AO292">
        <v>15.391935366100119</v>
      </c>
      <c r="AP292">
        <v>111.07415175564478</v>
      </c>
      <c r="AQ292">
        <v>36.724497006004206</v>
      </c>
      <c r="AR292">
        <v>15.222280383832889</v>
      </c>
      <c r="AS292">
        <v>72.350656901480207</v>
      </c>
      <c r="AT292" t="e">
        <v>#DIV/0!</v>
      </c>
      <c r="AU292" t="e">
        <v>#DIV/0!</v>
      </c>
      <c r="AV292"/>
      <c r="AW292"/>
      <c r="FY292" s="210">
        <v>287</v>
      </c>
      <c r="FZ292">
        <v>13.068813918157533</v>
      </c>
      <c r="GA292">
        <v>8.1358179053305282</v>
      </c>
      <c r="GB292">
        <v>0.74075250622570943</v>
      </c>
      <c r="GC292">
        <v>0.47831111069941762</v>
      </c>
      <c r="GD292">
        <v>0.63654078899638433</v>
      </c>
      <c r="GE292">
        <v>0.62997929384568896</v>
      </c>
      <c r="GF292">
        <v>5.3545130422713862</v>
      </c>
      <c r="GG292">
        <v>5.1824135741697113</v>
      </c>
      <c r="GH292">
        <v>0.40861888541082891</v>
      </c>
      <c r="GI292">
        <v>4.2691090722031877</v>
      </c>
      <c r="GJ292"/>
      <c r="GK292"/>
      <c r="GL292"/>
      <c r="GM292"/>
    </row>
    <row r="293" spans="1:195" s="7" customFormat="1">
      <c r="A293" s="1"/>
      <c r="B293">
        <v>0.16186694426443227</v>
      </c>
      <c r="C293">
        <v>6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16.256798552754439</v>
      </c>
      <c r="AO293">
        <v>30.647298076096341</v>
      </c>
      <c r="AP293">
        <v>264.81813791135454</v>
      </c>
      <c r="AQ293">
        <v>71.303055180739889</v>
      </c>
      <c r="AR293">
        <v>29.372426235548588</v>
      </c>
      <c r="AS293">
        <v>144.19075172916652</v>
      </c>
      <c r="AT293">
        <v>14.430737356970988</v>
      </c>
      <c r="AU293">
        <v>-32.307453202457637</v>
      </c>
      <c r="AV293"/>
      <c r="AW293"/>
      <c r="FY293" s="210">
        <v>288</v>
      </c>
      <c r="FZ293">
        <v>1.8521794989315969</v>
      </c>
      <c r="GA293">
        <v>14.931378618555122</v>
      </c>
      <c r="GB293">
        <v>5.6353114060127574</v>
      </c>
      <c r="GC293">
        <v>0.45271101341543474</v>
      </c>
      <c r="GD293">
        <v>0.8014130183454552</v>
      </c>
      <c r="GE293">
        <v>1.716424784997896</v>
      </c>
      <c r="GF293">
        <v>3.7642617716466651</v>
      </c>
      <c r="GG293">
        <v>2.6796696653298739</v>
      </c>
      <c r="GH293">
        <v>0.23579423514790807</v>
      </c>
      <c r="GI293">
        <v>4.9083608312178413</v>
      </c>
      <c r="GJ293"/>
      <c r="GK293"/>
      <c r="GL293"/>
      <c r="GM293"/>
    </row>
    <row r="294" spans="1:195" s="7" customFormat="1">
      <c r="A294" s="1"/>
      <c r="B294">
        <v>0.11328851985765898</v>
      </c>
      <c r="C294">
        <v>8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13.39767156862745</v>
      </c>
      <c r="AO294">
        <v>22.560870573287737</v>
      </c>
      <c r="AP294">
        <v>198.67885437245204</v>
      </c>
      <c r="AQ294">
        <v>58.736070526921665</v>
      </c>
      <c r="AR294">
        <v>21.37306825290834</v>
      </c>
      <c r="AS294">
        <v>106.28214944053873</v>
      </c>
      <c r="AT294">
        <v>10.537685860227455</v>
      </c>
      <c r="AU294">
        <v>-98.870017864146888</v>
      </c>
      <c r="AV294"/>
      <c r="AW294"/>
      <c r="FY294" s="210">
        <v>289</v>
      </c>
      <c r="FZ294">
        <v>17.184209128974242</v>
      </c>
      <c r="GA294">
        <v>30.78391963632691</v>
      </c>
      <c r="GB294">
        <v>8.0825908559062842</v>
      </c>
      <c r="GC294">
        <v>0.28901620089689101</v>
      </c>
      <c r="GD294">
        <v>0.75912994119583765</v>
      </c>
      <c r="GE294">
        <v>2.3179626603160579</v>
      </c>
      <c r="GF294">
        <v>6.1048466336767291</v>
      </c>
      <c r="GG294">
        <v>4.193940386708201</v>
      </c>
      <c r="GH294">
        <v>0.17282465026292085</v>
      </c>
      <c r="GI294">
        <v>8.499668856539337</v>
      </c>
      <c r="GJ294"/>
      <c r="GK294"/>
      <c r="GL294"/>
      <c r="GM294"/>
    </row>
    <row r="295" spans="1:195" s="7" customFormat="1">
      <c r="A295" s="1"/>
      <c r="B295">
        <v>2.0472680476701921E-2</v>
      </c>
      <c r="C295">
        <v>10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10.416666666666666</v>
      </c>
      <c r="J295">
        <v>0</v>
      </c>
      <c r="K295">
        <v>0</v>
      </c>
      <c r="L295">
        <v>10.416666666666666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11.625372023809522</v>
      </c>
      <c r="AO295">
        <v>22.294121962291431</v>
      </c>
      <c r="AP295">
        <v>199.93562058658949</v>
      </c>
      <c r="AQ295">
        <v>41.514376248303321</v>
      </c>
      <c r="AR295">
        <v>21.142058754080331</v>
      </c>
      <c r="AS295">
        <v>321.58739087769681</v>
      </c>
      <c r="AT295" t="e">
        <v>#DIV/0!</v>
      </c>
      <c r="AU295" t="e">
        <v>#DIV/0!</v>
      </c>
      <c r="AV295"/>
      <c r="AW295"/>
      <c r="FY295" s="210">
        <v>290</v>
      </c>
      <c r="FZ295">
        <v>9.3773325049207159</v>
      </c>
      <c r="GA295">
        <v>16.000331857341749</v>
      </c>
      <c r="GB295">
        <v>3.8648611675981908</v>
      </c>
      <c r="GC295">
        <v>1.0061204126330567</v>
      </c>
      <c r="GD295">
        <v>1.4131451650083284</v>
      </c>
      <c r="GE295">
        <v>2.3121516817211902</v>
      </c>
      <c r="GF295">
        <v>7.1500511903735378</v>
      </c>
      <c r="GG295">
        <v>5.6283537998928388</v>
      </c>
      <c r="GH295">
        <v>0.69129860105168339</v>
      </c>
      <c r="GI295">
        <v>6.3244852501088449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7.8212826797385615</v>
      </c>
      <c r="AO296">
        <v>12.028716592175652</v>
      </c>
      <c r="AP296">
        <v>91.742216806006937</v>
      </c>
      <c r="AQ296">
        <v>20.126609638362702</v>
      </c>
      <c r="AR296">
        <v>11.199553758756945</v>
      </c>
      <c r="AS296">
        <v>55.734541352200132</v>
      </c>
      <c r="AT296">
        <v>6.62232356451333</v>
      </c>
      <c r="AU296">
        <v>11.81590040665527</v>
      </c>
      <c r="AV296"/>
      <c r="AW296"/>
      <c r="FY296" s="210">
        <v>291</v>
      </c>
      <c r="FZ296">
        <v>12.874194639769719</v>
      </c>
      <c r="GA296">
        <v>14.898639410016902</v>
      </c>
      <c r="GB296">
        <v>1.4187923659522887</v>
      </c>
      <c r="GC296">
        <v>0.22571009821028026</v>
      </c>
      <c r="GD296">
        <v>0.55870525673418414</v>
      </c>
      <c r="GE296">
        <v>1.4642928162751838</v>
      </c>
      <c r="GF296">
        <v>3.0556470306406305</v>
      </c>
      <c r="GG296">
        <v>2.4809666645423967</v>
      </c>
      <c r="GH296">
        <v>0.64441312055873701</v>
      </c>
      <c r="GI296">
        <v>3.9162161069517518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8.278747957516341</v>
      </c>
      <c r="AO297">
        <v>18.309327275236111</v>
      </c>
      <c r="AP297">
        <v>148.01296586433554</v>
      </c>
      <c r="AQ297">
        <v>30.134980321713424</v>
      </c>
      <c r="AR297">
        <v>17.413778317628747</v>
      </c>
      <c r="AS297">
        <v>193.94531400885873</v>
      </c>
      <c r="AT297">
        <v>8.8233201004390125</v>
      </c>
      <c r="AU297">
        <v>-35.511082378178138</v>
      </c>
      <c r="AV297"/>
      <c r="AW297"/>
      <c r="FY297" s="210">
        <v>292</v>
      </c>
      <c r="FZ297">
        <v>5.1921716927931403</v>
      </c>
      <c r="GA297">
        <v>17.321781454594909</v>
      </c>
      <c r="GB297">
        <v>5.2427877015953079</v>
      </c>
      <c r="GC297">
        <v>0.68225286284985132</v>
      </c>
      <c r="GD297">
        <v>0.92847183474741546</v>
      </c>
      <c r="GE297">
        <v>1.6053353802343495</v>
      </c>
      <c r="GF297">
        <v>2.0490720536948679</v>
      </c>
      <c r="GG297">
        <v>1.5410277012290603</v>
      </c>
      <c r="GH297">
        <v>0.64441312055873701</v>
      </c>
      <c r="GI297">
        <v>4.4363698846648871</v>
      </c>
      <c r="GJ297"/>
      <c r="GK297"/>
      <c r="GL297"/>
      <c r="GM297"/>
    </row>
    <row r="298" spans="1:195" s="7" customFormat="1">
      <c r="A298" s="1"/>
      <c r="B298">
        <v>0.98864579789766549</v>
      </c>
      <c r="C298">
        <v>2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10.416666666666666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12.972594246031747</v>
      </c>
      <c r="AO298">
        <v>10.989979063895964</v>
      </c>
      <c r="AP298">
        <v>95.515659802450472</v>
      </c>
      <c r="AQ298">
        <v>43.971282682586889</v>
      </c>
      <c r="AR298">
        <v>11.054679570063644</v>
      </c>
      <c r="AS298">
        <v>80.034379261421662</v>
      </c>
      <c r="AT298" t="e">
        <v>#DIV/0!</v>
      </c>
      <c r="AU298" t="e">
        <v>#DIV/0!</v>
      </c>
      <c r="AV298"/>
      <c r="AW298"/>
      <c r="FY298" s="210">
        <v>293</v>
      </c>
      <c r="FZ298">
        <v>8.2621142749358949</v>
      </c>
      <c r="GA298">
        <v>13.903581591015254</v>
      </c>
      <c r="GB298">
        <v>3.9660183495572481</v>
      </c>
      <c r="GC298">
        <v>0.33671728795821598</v>
      </c>
      <c r="GD298">
        <v>0.34268831258558485</v>
      </c>
      <c r="GE298">
        <v>1.1357493415958833</v>
      </c>
      <c r="GF298">
        <v>3.9075928171360195</v>
      </c>
      <c r="GG298">
        <v>2.6311354411817005</v>
      </c>
      <c r="GH298">
        <v>0.17282465026292085</v>
      </c>
      <c r="GI298">
        <v>4.1580172469078303</v>
      </c>
      <c r="GJ298"/>
      <c r="GK298"/>
      <c r="GL298"/>
      <c r="GM298"/>
    </row>
    <row r="299" spans="1:195" s="7" customFormat="1">
      <c r="A299" s="1"/>
      <c r="B299">
        <v>0.30319220404118763</v>
      </c>
      <c r="C299">
        <v>5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10.631798552754432</v>
      </c>
      <c r="AO299">
        <v>11.510261300276037</v>
      </c>
      <c r="AP299">
        <v>94.749602794930723</v>
      </c>
      <c r="AQ299">
        <v>31.14862148288265</v>
      </c>
      <c r="AR299">
        <v>10.661053791332899</v>
      </c>
      <c r="AS299">
        <v>67.364179709050674</v>
      </c>
      <c r="AT299">
        <v>5.281353330253415</v>
      </c>
      <c r="AU299">
        <v>-0.38338142175226386</v>
      </c>
      <c r="AV299"/>
      <c r="AW299"/>
      <c r="FY299" s="210">
        <v>294</v>
      </c>
      <c r="FZ299">
        <v>8.8923213572492248</v>
      </c>
      <c r="GA299">
        <v>10.306463591442004</v>
      </c>
      <c r="GB299">
        <v>1.5222830057689043</v>
      </c>
      <c r="GC299">
        <v>0.79110829446726372</v>
      </c>
      <c r="GD299">
        <v>1.2202031116324155</v>
      </c>
      <c r="GE299">
        <v>1.860614896685961</v>
      </c>
      <c r="GF299">
        <v>3.1609085307017111</v>
      </c>
      <c r="GG299">
        <v>3.0335211783099472</v>
      </c>
      <c r="GH299">
        <v>1.0530320059695661</v>
      </c>
      <c r="GI299">
        <v>4.7079390924384317</v>
      </c>
      <c r="GJ299"/>
      <c r="GK299"/>
      <c r="GL299"/>
      <c r="GM299"/>
    </row>
    <row r="300" spans="1:195" s="7" customFormat="1">
      <c r="A300" s="1"/>
      <c r="B300">
        <v>0.79763238496702016</v>
      </c>
      <c r="C300">
        <v>10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10.416666666666666</v>
      </c>
      <c r="P300">
        <v>10.416666666666666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7.8057598039215677</v>
      </c>
      <c r="AO300">
        <v>17.832301009521018</v>
      </c>
      <c r="AP300">
        <v>148.59854189734054</v>
      </c>
      <c r="AQ300">
        <v>29.96789186776337</v>
      </c>
      <c r="AR300">
        <v>16.563250632501916</v>
      </c>
      <c r="AS300">
        <v>72.732134251090571</v>
      </c>
      <c r="AT300">
        <v>9.3405915802673256</v>
      </c>
      <c r="AU300">
        <v>-88.981417393359735</v>
      </c>
      <c r="AV300"/>
      <c r="AW300"/>
      <c r="FY300" s="210">
        <v>295</v>
      </c>
      <c r="FZ300">
        <v>15.642071346283174</v>
      </c>
      <c r="GA300">
        <v>19.324216794169068</v>
      </c>
      <c r="GB300">
        <v>5.6538844303000673</v>
      </c>
      <c r="GC300">
        <v>0.96724070131483808</v>
      </c>
      <c r="GD300">
        <v>1.2059824666176462</v>
      </c>
      <c r="GE300">
        <v>1.4244721605505593</v>
      </c>
      <c r="GF300">
        <v>3.0748724018908158</v>
      </c>
      <c r="GG300">
        <v>2.5027439088398373</v>
      </c>
      <c r="GH300">
        <v>0.17282465026292085</v>
      </c>
      <c r="GI300">
        <v>6.5329612911951509</v>
      </c>
      <c r="GJ300"/>
      <c r="GK300"/>
      <c r="GL300"/>
      <c r="GM300"/>
    </row>
    <row r="301" spans="1:195" s="7" customFormat="1">
      <c r="A301" s="1"/>
      <c r="B301">
        <v>8.7686638319047994E-2</v>
      </c>
      <c r="C301">
        <v>3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9.4114583333333339</v>
      </c>
      <c r="AO301">
        <v>15.295002401655699</v>
      </c>
      <c r="AP301">
        <v>127.5870321585676</v>
      </c>
      <c r="AQ301">
        <v>33.313640775348375</v>
      </c>
      <c r="AR301">
        <v>14.172076996736028</v>
      </c>
      <c r="AS301">
        <v>130.40363519461539</v>
      </c>
      <c r="AT301" t="e">
        <v>#DIV/0!</v>
      </c>
      <c r="AU301" t="e">
        <v>#DIV/0!</v>
      </c>
      <c r="AV301"/>
      <c r="AW301"/>
      <c r="FY301" s="210">
        <v>296</v>
      </c>
      <c r="FZ301">
        <v>4.806699643221636</v>
      </c>
      <c r="GA301">
        <v>24.516334651053455</v>
      </c>
      <c r="GB301">
        <v>9.0315352900128474</v>
      </c>
      <c r="GC301">
        <v>0.44539598730541458</v>
      </c>
      <c r="GD301">
        <v>0.77117189750322501</v>
      </c>
      <c r="GE301">
        <v>1.9977012234947948</v>
      </c>
      <c r="GF301">
        <v>4.6974595547247207</v>
      </c>
      <c r="GG301">
        <v>3.421381340136826</v>
      </c>
      <c r="GH301">
        <v>0.58144353567374973</v>
      </c>
      <c r="GI301">
        <v>6.4665494389093814</v>
      </c>
      <c r="GJ301"/>
      <c r="GK301"/>
      <c r="GL301"/>
      <c r="GM301"/>
    </row>
    <row r="302" spans="1:195" s="7" customFormat="1">
      <c r="A302" s="1"/>
      <c r="B302">
        <v>0.33078818203066351</v>
      </c>
      <c r="C302">
        <v>4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8.4929096638655466</v>
      </c>
      <c r="AO302">
        <v>13.569085136772509</v>
      </c>
      <c r="AP302">
        <v>123.69951297968137</v>
      </c>
      <c r="AQ302">
        <v>37.378880024560615</v>
      </c>
      <c r="AR302">
        <v>12.534327773803245</v>
      </c>
      <c r="AS302">
        <v>64.896499988192019</v>
      </c>
      <c r="AT302">
        <v>5.4050798461839697</v>
      </c>
      <c r="AU302">
        <v>6.7399251625815424</v>
      </c>
      <c r="AV302"/>
      <c r="AW302"/>
      <c r="FY302" s="210">
        <v>297</v>
      </c>
      <c r="FZ302">
        <v>2.2334422150959923</v>
      </c>
      <c r="GA302">
        <v>8.1892938181481494</v>
      </c>
      <c r="GB302">
        <v>2.6356877052394463</v>
      </c>
      <c r="GC302">
        <v>0.98578200488749912</v>
      </c>
      <c r="GD302">
        <v>0.9529097893473053</v>
      </c>
      <c r="GE302">
        <v>1.0027980399866558</v>
      </c>
      <c r="GF302">
        <v>2.4042589026908825</v>
      </c>
      <c r="GG302">
        <v>1.7397307020165371</v>
      </c>
      <c r="GH302">
        <v>0.58144353567374973</v>
      </c>
      <c r="GI302">
        <v>3.0436431164705606</v>
      </c>
      <c r="GJ302"/>
      <c r="GK302"/>
      <c r="GL302"/>
      <c r="GM302"/>
    </row>
    <row r="303" spans="1:195" s="7" customFormat="1">
      <c r="A303" s="1"/>
      <c r="B303">
        <v>0.42461781360085205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8.1882221638655448</v>
      </c>
      <c r="AO303">
        <v>29.52725316404107</v>
      </c>
      <c r="AP303">
        <v>235.41860092390505</v>
      </c>
      <c r="AQ303">
        <v>38.904870097310379</v>
      </c>
      <c r="AR303">
        <v>28.779834507919507</v>
      </c>
      <c r="AS303">
        <v>211.54955540987407</v>
      </c>
      <c r="AT303">
        <v>15.760775439855577</v>
      </c>
      <c r="AU303">
        <v>-0.14916898528936073</v>
      </c>
      <c r="AV303"/>
      <c r="AW303"/>
      <c r="FY303" s="210">
        <v>298</v>
      </c>
      <c r="FZ303">
        <v>7.0560251980703566</v>
      </c>
      <c r="GA303">
        <v>9.1840344398377525</v>
      </c>
      <c r="GB303">
        <v>1.380347830492362</v>
      </c>
      <c r="GC303">
        <v>0.72435961665525539</v>
      </c>
      <c r="GD303">
        <v>0.59229049322760829</v>
      </c>
      <c r="GE303">
        <v>1.1428355086529689</v>
      </c>
      <c r="GF303">
        <v>5.2424170660585991</v>
      </c>
      <c r="GG303">
        <v>3.6196086286432112</v>
      </c>
      <c r="GH303">
        <v>0.40861888541082891</v>
      </c>
      <c r="GI303">
        <v>3.4089859208087008</v>
      </c>
      <c r="GJ303"/>
      <c r="GK303"/>
      <c r="GL303"/>
      <c r="GM303"/>
    </row>
    <row r="304" spans="1:195" s="7" customFormat="1">
      <c r="A304" s="1"/>
      <c r="B304">
        <v>3.1725231186930714E-2</v>
      </c>
      <c r="C304">
        <v>7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10.408606150793648</v>
      </c>
      <c r="AO304">
        <v>21.162144799269541</v>
      </c>
      <c r="AP304">
        <v>149.00289655630664</v>
      </c>
      <c r="AQ304">
        <v>36.977504843600556</v>
      </c>
      <c r="AR304">
        <v>19.670571474417041</v>
      </c>
      <c r="AS304">
        <v>145.28100920677693</v>
      </c>
      <c r="AT304" t="e">
        <v>#DIV/0!</v>
      </c>
      <c r="AU304" t="e">
        <v>#DIV/0!</v>
      </c>
      <c r="AV304"/>
      <c r="AW304"/>
      <c r="FY304" s="210">
        <v>299</v>
      </c>
      <c r="FZ304">
        <v>9.6594364990240109</v>
      </c>
      <c r="GA304">
        <v>3.8684219528925556</v>
      </c>
      <c r="GB304">
        <v>0.49300261083302904</v>
      </c>
      <c r="GC304">
        <v>0.82371065308132518</v>
      </c>
      <c r="GD304">
        <v>1.3313420361791719</v>
      </c>
      <c r="GE304">
        <v>2.9462664059643839</v>
      </c>
      <c r="GF304">
        <v>5.4105605820058429</v>
      </c>
      <c r="GG304">
        <v>3.4794614040330742</v>
      </c>
      <c r="GH304">
        <v>0.64441312055873701</v>
      </c>
      <c r="GI304">
        <v>4.8368799248343342</v>
      </c>
      <c r="GJ304"/>
      <c r="GK304"/>
      <c r="GL304"/>
      <c r="GM304"/>
    </row>
    <row r="305" spans="1:195" s="7" customFormat="1">
      <c r="A305" s="1"/>
      <c r="B305">
        <v>0.31331394076302121</v>
      </c>
      <c r="C305">
        <v>2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10.416666666666666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15.234849147992525</v>
      </c>
      <c r="AO305">
        <v>27.717886878480449</v>
      </c>
      <c r="AP305">
        <v>249.16271427492936</v>
      </c>
      <c r="AQ305">
        <v>78.388108950803428</v>
      </c>
      <c r="AR305">
        <v>26.691503612948104</v>
      </c>
      <c r="AS305">
        <v>137.08693261115729</v>
      </c>
      <c r="AT305">
        <v>14.504098644449032</v>
      </c>
      <c r="AU305">
        <v>12.984526401318776</v>
      </c>
      <c r="AV305"/>
      <c r="AW305"/>
      <c r="FY305" s="210">
        <v>300</v>
      </c>
      <c r="FZ305">
        <v>2.2911534340223501</v>
      </c>
      <c r="GA305">
        <v>8.1892938181481494</v>
      </c>
      <c r="GB305">
        <v>2.7054885639489381</v>
      </c>
      <c r="GC305">
        <v>0.5463506055063001</v>
      </c>
      <c r="GD305">
        <v>0.49028073036176906</v>
      </c>
      <c r="GE305">
        <v>1.2449659818948489</v>
      </c>
      <c r="GF305">
        <v>2.4765462258307922</v>
      </c>
      <c r="GG305">
        <v>1.2937904762934096</v>
      </c>
      <c r="GH305">
        <v>0.47158847029581613</v>
      </c>
      <c r="GI305">
        <v>2.8265192518796662</v>
      </c>
      <c r="GJ305"/>
      <c r="GK305"/>
      <c r="GL305"/>
      <c r="GM305"/>
    </row>
    <row r="306" spans="1:195" s="7" customFormat="1">
      <c r="A306" s="1"/>
      <c r="B306">
        <v>0.69112282540263781</v>
      </c>
      <c r="C306">
        <v>9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14.932452147525675</v>
      </c>
      <c r="AO306">
        <v>26.14404422536408</v>
      </c>
      <c r="AP306">
        <v>239.19186599248962</v>
      </c>
      <c r="AQ306">
        <v>53.768131630650139</v>
      </c>
      <c r="AR306">
        <v>24.859013369228101</v>
      </c>
      <c r="AS306">
        <v>119.35530924936903</v>
      </c>
      <c r="AT306">
        <v>15.790118526477107</v>
      </c>
      <c r="AU306">
        <v>-131.95157563475584</v>
      </c>
      <c r="AV306"/>
      <c r="AW306"/>
      <c r="FY306" s="210">
        <v>301</v>
      </c>
      <c r="FZ306">
        <v>5.4946179444613241</v>
      </c>
      <c r="GA306">
        <v>5.1901887474577588</v>
      </c>
      <c r="GB306">
        <v>0.51166347375802435</v>
      </c>
      <c r="GC306">
        <v>0.53262219418239531</v>
      </c>
      <c r="GD306">
        <v>0.9457468731876727</v>
      </c>
      <c r="GE306">
        <v>1.6144907176274366</v>
      </c>
      <c r="GF306">
        <v>6.2620717624171505</v>
      </c>
      <c r="GG306">
        <v>5.6278780876117471</v>
      </c>
      <c r="GH306">
        <v>0.58144353567374973</v>
      </c>
      <c r="GI306">
        <v>4.0068055805060965</v>
      </c>
      <c r="GJ306"/>
      <c r="GK306"/>
      <c r="GL306"/>
      <c r="GM306"/>
    </row>
    <row r="307" spans="1:195" s="7" customFormat="1">
      <c r="A307" s="1"/>
      <c r="B307">
        <v>0.61174586597458092</v>
      </c>
      <c r="C307">
        <v>1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8.1639166083099894</v>
      </c>
      <c r="AO307">
        <v>17.303486466651076</v>
      </c>
      <c r="AP307">
        <v>153.28657710807323</v>
      </c>
      <c r="AQ307">
        <v>41.537577509652081</v>
      </c>
      <c r="AR307">
        <v>16.538810253140745</v>
      </c>
      <c r="AS307">
        <v>189.59467190301243</v>
      </c>
      <c r="AT307">
        <v>7.6549212046209014</v>
      </c>
      <c r="AU307">
        <v>26.269004663969376</v>
      </c>
      <c r="AV307"/>
      <c r="AW307"/>
      <c r="FY307" s="210">
        <v>302</v>
      </c>
      <c r="FZ307">
        <v>3.5428993474297403</v>
      </c>
      <c r="GA307">
        <v>19.398112213954047</v>
      </c>
      <c r="GB307">
        <v>6.3470410468464609</v>
      </c>
      <c r="GC307">
        <v>0.75889820076162817</v>
      </c>
      <c r="GD307">
        <v>0.63561930424809276</v>
      </c>
      <c r="GE307">
        <v>1.3132922610627196</v>
      </c>
      <c r="GF307">
        <v>2.2996664888879983</v>
      </c>
      <c r="GG307">
        <v>0.91863743129698849</v>
      </c>
      <c r="GH307">
        <v>0.40861888541082891</v>
      </c>
      <c r="GI307">
        <v>4.0838736591833653</v>
      </c>
      <c r="GJ307"/>
      <c r="GK307"/>
      <c r="GL307"/>
      <c r="GM307"/>
    </row>
    <row r="308" spans="1:195" s="7" customFormat="1">
      <c r="A308" s="1"/>
      <c r="B308">
        <v>0.97022174978972697</v>
      </c>
      <c r="C308">
        <v>1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10.416666666666666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13.181029703548086</v>
      </c>
      <c r="AO308">
        <v>18.835732071685449</v>
      </c>
      <c r="AP308">
        <v>166.45889773324137</v>
      </c>
      <c r="AQ308">
        <v>39.643683686962525</v>
      </c>
      <c r="AR308">
        <v>18.001935316883802</v>
      </c>
      <c r="AS308">
        <v>209.86993034428036</v>
      </c>
      <c r="AT308">
        <v>8.1773306412922242</v>
      </c>
      <c r="AU308">
        <v>-29.54016371654518</v>
      </c>
      <c r="AV308"/>
      <c r="AW308"/>
      <c r="FY308" s="210">
        <v>303</v>
      </c>
      <c r="FZ308">
        <v>5.3494220098194845</v>
      </c>
      <c r="GA308">
        <v>10.559277147220579</v>
      </c>
      <c r="GB308">
        <v>3.2403826001513529</v>
      </c>
      <c r="GC308">
        <v>0.66948262480332499</v>
      </c>
      <c r="GD308">
        <v>0.83384287692355263</v>
      </c>
      <c r="GE308">
        <v>1.324589645693955</v>
      </c>
      <c r="GF308">
        <v>3.2524212250918065</v>
      </c>
      <c r="GG308">
        <v>2.4324324403942232</v>
      </c>
      <c r="GH308">
        <v>0.40861888541082891</v>
      </c>
      <c r="GI308">
        <v>4.0651795248853881</v>
      </c>
      <c r="GJ308"/>
      <c r="GK308"/>
      <c r="GL308"/>
      <c r="GM308"/>
    </row>
    <row r="309" spans="1:195" s="7" customFormat="1">
      <c r="A309" s="1"/>
      <c r="B309">
        <v>0.17472598210897772</v>
      </c>
      <c r="C309">
        <v>10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8.7272846638655466</v>
      </c>
      <c r="AO309">
        <v>15.513830167048871</v>
      </c>
      <c r="AP309">
        <v>130.92642016481648</v>
      </c>
      <c r="AQ309">
        <v>38.816439313136549</v>
      </c>
      <c r="AR309">
        <v>15.267279006879811</v>
      </c>
      <c r="AS309">
        <v>127.69572676559002</v>
      </c>
      <c r="AT309">
        <v>8.6121280353536989</v>
      </c>
      <c r="AU309">
        <v>-31.742500498207576</v>
      </c>
      <c r="AV309"/>
      <c r="AW309"/>
      <c r="FY309" s="210">
        <v>304</v>
      </c>
      <c r="FZ309">
        <v>6.7954068255758022</v>
      </c>
      <c r="GA309">
        <v>7.64251049534424</v>
      </c>
      <c r="GB309">
        <v>2.517080308603016</v>
      </c>
      <c r="GC309">
        <v>0.91735024517219066</v>
      </c>
      <c r="GD309">
        <v>1.3803977153612539</v>
      </c>
      <c r="GE309">
        <v>2.3703558891341356</v>
      </c>
      <c r="GF309">
        <v>5.6686699764676813</v>
      </c>
      <c r="GG309">
        <v>4.0655488543663392</v>
      </c>
      <c r="GH309">
        <v>0</v>
      </c>
      <c r="GI309">
        <v>4.7683944596111427</v>
      </c>
      <c r="GJ309"/>
      <c r="GK309"/>
      <c r="GL309"/>
      <c r="GM309"/>
    </row>
    <row r="310" spans="1:195" s="7" customFormat="1">
      <c r="A310" s="1"/>
      <c r="B310">
        <v>3.7078111554851301E-3</v>
      </c>
      <c r="C310">
        <v>7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11.338497899159663</v>
      </c>
      <c r="AO310">
        <v>20.451146409294385</v>
      </c>
      <c r="AP310">
        <v>160.87856836898584</v>
      </c>
      <c r="AQ310">
        <v>36.548395064665428</v>
      </c>
      <c r="AR310">
        <v>19.532648980491164</v>
      </c>
      <c r="AS310">
        <v>93.225128246677102</v>
      </c>
      <c r="AT310">
        <v>9.3458892457771388</v>
      </c>
      <c r="AU310">
        <v>1.1473708577653614</v>
      </c>
      <c r="AV310"/>
      <c r="AW310"/>
      <c r="FY310" s="210">
        <v>305</v>
      </c>
      <c r="FZ310">
        <v>7.4259942839280173</v>
      </c>
      <c r="GA310">
        <v>6.8675270235829462</v>
      </c>
      <c r="GB310">
        <v>2.7915289890881807</v>
      </c>
      <c r="GC310">
        <v>0.68113877812519097</v>
      </c>
      <c r="GD310">
        <v>0.74590495508476007</v>
      </c>
      <c r="GE310">
        <v>1.9974466482688753</v>
      </c>
      <c r="GF310">
        <v>3.7103409314518743</v>
      </c>
      <c r="GG310">
        <v>1.7397307020165371</v>
      </c>
      <c r="GH310">
        <v>0.23579423514790807</v>
      </c>
      <c r="GI310">
        <v>3.927934883667799</v>
      </c>
      <c r="GJ310"/>
      <c r="GK310"/>
      <c r="GL310"/>
      <c r="GM310"/>
    </row>
    <row r="311" spans="1:195" s="7" customFormat="1">
      <c r="A311" s="1"/>
      <c r="B311">
        <v>0.20439271149722416</v>
      </c>
      <c r="C311">
        <v>6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12.518951330532213</v>
      </c>
      <c r="AO311">
        <v>27.078975524748103</v>
      </c>
      <c r="AP311">
        <v>198.3924180527024</v>
      </c>
      <c r="AQ311">
        <v>56.501270151424073</v>
      </c>
      <c r="AR311">
        <v>26.946151975829345</v>
      </c>
      <c r="AS311">
        <v>226.84586727259205</v>
      </c>
      <c r="AT311">
        <v>13.929108813632679</v>
      </c>
      <c r="AU311">
        <v>-20.506076825464024</v>
      </c>
      <c r="AV311"/>
      <c r="AW311"/>
      <c r="FY311" s="210">
        <v>306</v>
      </c>
      <c r="FZ311">
        <v>10.923236794815907</v>
      </c>
      <c r="GA311">
        <v>8.7873067470310087</v>
      </c>
      <c r="GB311">
        <v>3.163590745427221</v>
      </c>
      <c r="GC311">
        <v>0.31882139288299205</v>
      </c>
      <c r="GD311">
        <v>0.47074852599623102</v>
      </c>
      <c r="GE311">
        <v>1.4257146184450835</v>
      </c>
      <c r="GF311">
        <v>4.5893591837168897</v>
      </c>
      <c r="GG311">
        <v>3.3728471159886522</v>
      </c>
      <c r="GH311">
        <v>0.17282465026292085</v>
      </c>
      <c r="GI311">
        <v>4.3353799740518628</v>
      </c>
      <c r="GJ311"/>
      <c r="GK311"/>
      <c r="GL311"/>
      <c r="GM311"/>
    </row>
    <row r="312" spans="1:195" s="7" customFormat="1">
      <c r="A312" s="1"/>
      <c r="B312">
        <v>0.67470919864469714</v>
      </c>
      <c r="C312">
        <v>7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12.187704248366014</v>
      </c>
      <c r="AO312">
        <v>23.78914300001664</v>
      </c>
      <c r="AP312">
        <v>189.5857417125107</v>
      </c>
      <c r="AQ312">
        <v>56.735672562036051</v>
      </c>
      <c r="AR312">
        <v>22.493823564049656</v>
      </c>
      <c r="AS312">
        <v>154.74686532094637</v>
      </c>
      <c r="AT312">
        <v>9.9606259581046999</v>
      </c>
      <c r="AU312">
        <v>-112.6587448800729</v>
      </c>
      <c r="AV312"/>
      <c r="AW312"/>
      <c r="FY312" s="210">
        <v>307</v>
      </c>
      <c r="FZ312">
        <v>6.174248370520627</v>
      </c>
      <c r="GA312">
        <v>4.9393043011058113</v>
      </c>
      <c r="GB312">
        <v>1.5524286807708469</v>
      </c>
      <c r="GC312">
        <v>0.62995750498766934</v>
      </c>
      <c r="GD312">
        <v>0.44550946047833345</v>
      </c>
      <c r="GE312">
        <v>0.55850546694891845</v>
      </c>
      <c r="GF312">
        <v>3.3101478684446848</v>
      </c>
      <c r="GG312">
        <v>2.5027439088398373</v>
      </c>
      <c r="GH312">
        <v>0.51847395078876257</v>
      </c>
      <c r="GI312">
        <v>3.39315570431785</v>
      </c>
      <c r="GJ312"/>
      <c r="GK312"/>
      <c r="GL312"/>
      <c r="GM312"/>
    </row>
    <row r="313" spans="1:195" s="7" customFormat="1">
      <c r="A313" s="1"/>
      <c r="B313">
        <v>0.88915780761935004</v>
      </c>
      <c r="C313">
        <v>3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10.416666666666666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7.7614889705882346</v>
      </c>
      <c r="AO313">
        <v>14.823292347726269</v>
      </c>
      <c r="AP313">
        <v>109.75222851495174</v>
      </c>
      <c r="AQ313">
        <v>23.76898982955678</v>
      </c>
      <c r="AR313">
        <v>13.742681000147206</v>
      </c>
      <c r="AS313">
        <v>58.667154245908478</v>
      </c>
      <c r="AT313" t="e">
        <v>#DIV/0!</v>
      </c>
      <c r="AU313" t="e">
        <v>#DIV/0!</v>
      </c>
      <c r="AV313"/>
      <c r="AW313"/>
      <c r="FY313" s="210">
        <v>308</v>
      </c>
      <c r="FZ313">
        <v>7.3007602308121831</v>
      </c>
      <c r="GA313">
        <v>9.2582470569347777</v>
      </c>
      <c r="GB313">
        <v>0.91516681436175307</v>
      </c>
      <c r="GC313">
        <v>0.98040320426979033</v>
      </c>
      <c r="GD313">
        <v>0.83478678475065582</v>
      </c>
      <c r="GE313">
        <v>0.68941125160551087</v>
      </c>
      <c r="GF313">
        <v>2.285786292217967</v>
      </c>
      <c r="GG313">
        <v>1.8100421704621514</v>
      </c>
      <c r="GH313">
        <v>0.3456493005258417</v>
      </c>
      <c r="GI313">
        <v>3.2086568298060154</v>
      </c>
      <c r="GJ313"/>
      <c r="GK313"/>
      <c r="GL313"/>
      <c r="GM313"/>
    </row>
    <row r="314" spans="1:195" s="7" customFormat="1">
      <c r="A314" s="1"/>
      <c r="B314">
        <v>0.27761421289021104</v>
      </c>
      <c r="C314">
        <v>1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10.416666666666666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11.811238036881416</v>
      </c>
      <c r="AO314">
        <v>18.569841146470527</v>
      </c>
      <c r="AP314">
        <v>178.10236036951977</v>
      </c>
      <c r="AQ314">
        <v>32.759523587857643</v>
      </c>
      <c r="AR314">
        <v>17.67388466814322</v>
      </c>
      <c r="AS314">
        <v>107.04782783002328</v>
      </c>
      <c r="AT314">
        <v>10.938080386468755</v>
      </c>
      <c r="AU314">
        <v>53.600371114734287</v>
      </c>
      <c r="AV314"/>
      <c r="AW314"/>
      <c r="FY314" s="210">
        <v>309</v>
      </c>
      <c r="FZ314">
        <v>7.0401418583176287</v>
      </c>
      <c r="GA314">
        <v>12.656027413547076</v>
      </c>
      <c r="GB314">
        <v>3.2962773502886522</v>
      </c>
      <c r="GC314">
        <v>0.46178553274755219</v>
      </c>
      <c r="GD314">
        <v>0.64239093318268337</v>
      </c>
      <c r="GE314">
        <v>1.7247861405171985</v>
      </c>
      <c r="GF314">
        <v>3.7925712571046821</v>
      </c>
      <c r="GG314">
        <v>2.4324324403942232</v>
      </c>
      <c r="GH314">
        <v>0.40861888541082891</v>
      </c>
      <c r="GI314">
        <v>4.231408486680432</v>
      </c>
      <c r="GJ314"/>
      <c r="GK314"/>
      <c r="GL314"/>
      <c r="GM314"/>
    </row>
    <row r="315" spans="1:195" s="7" customFormat="1">
      <c r="A315" s="1"/>
      <c r="B315">
        <v>0.51224060164911478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12.442562441643323</v>
      </c>
      <c r="AO315">
        <v>19.495417494665556</v>
      </c>
      <c r="AP315">
        <v>127.77459525805757</v>
      </c>
      <c r="AQ315">
        <v>33.493495189406467</v>
      </c>
      <c r="AR315">
        <v>19.03981915041161</v>
      </c>
      <c r="AS315">
        <v>96.351638637053568</v>
      </c>
      <c r="AT315">
        <v>7.7640153516987667</v>
      </c>
      <c r="AU315">
        <v>-6.408190131213896</v>
      </c>
      <c r="AV315"/>
      <c r="AW315"/>
      <c r="FY315" s="210">
        <v>310</v>
      </c>
      <c r="FZ315">
        <v>4.9221220810743525</v>
      </c>
      <c r="GA315">
        <v>16.253145413120322</v>
      </c>
      <c r="GB315">
        <v>5.6166505430877631</v>
      </c>
      <c r="GC315">
        <v>1.0136509713812889</v>
      </c>
      <c r="GD315">
        <v>1.2662959212208516</v>
      </c>
      <c r="GE315">
        <v>1.4318133080314628</v>
      </c>
      <c r="GF315">
        <v>0.54530641257531087</v>
      </c>
      <c r="GG315">
        <v>0.353851512980073</v>
      </c>
      <c r="GH315">
        <v>0.47158847029581613</v>
      </c>
      <c r="GI315">
        <v>4.7176300695700393</v>
      </c>
      <c r="GJ315"/>
      <c r="GK315"/>
      <c r="GL315"/>
      <c r="GM315"/>
    </row>
    <row r="316" spans="1:195" s="7" customFormat="1">
      <c r="A316" s="1"/>
      <c r="B316">
        <v>0.43343718743775472</v>
      </c>
      <c r="C316">
        <v>6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6.2022569444444438</v>
      </c>
      <c r="AO316">
        <v>15.642953106477075</v>
      </c>
      <c r="AP316">
        <v>105.85050062895607</v>
      </c>
      <c r="AQ316">
        <v>22.53597755818204</v>
      </c>
      <c r="AR316">
        <v>14.438653188968525</v>
      </c>
      <c r="AS316">
        <v>56.634937104866765</v>
      </c>
      <c r="AT316" t="e">
        <v>#DIV/0!</v>
      </c>
      <c r="AU316" t="e">
        <v>#DIV/0!</v>
      </c>
      <c r="AV316"/>
      <c r="AW316"/>
      <c r="FY316" s="210">
        <v>311</v>
      </c>
      <c r="FZ316">
        <v>6.1738679944817427</v>
      </c>
      <c r="GA316">
        <v>3.2704090240096959</v>
      </c>
      <c r="GB316">
        <v>0.34658299705221485</v>
      </c>
      <c r="GC316">
        <v>0.75825279226419107</v>
      </c>
      <c r="GD316">
        <v>0.83964127003326339</v>
      </c>
      <c r="GE316">
        <v>1.7984691596703319</v>
      </c>
      <c r="GF316">
        <v>4.1621159940036963</v>
      </c>
      <c r="GG316">
        <v>2.5027439088398373</v>
      </c>
      <c r="GH316">
        <v>0</v>
      </c>
      <c r="GI316">
        <v>3.2806872525463788</v>
      </c>
      <c r="GJ316"/>
      <c r="GK316"/>
      <c r="GL316"/>
      <c r="GM316"/>
    </row>
    <row r="317" spans="1:195" s="7" customFormat="1">
      <c r="A317" s="1"/>
      <c r="B317">
        <v>5.6959597992698896E-2</v>
      </c>
      <c r="C317">
        <v>8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8.7224264705882355</v>
      </c>
      <c r="AO317">
        <v>24.04799975156369</v>
      </c>
      <c r="AP317">
        <v>167.27792878994367</v>
      </c>
      <c r="AQ317">
        <v>30.767528916883354</v>
      </c>
      <c r="AR317">
        <v>22.412698841596509</v>
      </c>
      <c r="AS317">
        <v>145.9731546441401</v>
      </c>
      <c r="AT317">
        <v>11.149038539348568</v>
      </c>
      <c r="AU317">
        <v>-8.6147386537633093</v>
      </c>
      <c r="AV317"/>
      <c r="AW317"/>
      <c r="FY317" s="210">
        <v>312</v>
      </c>
      <c r="FZ317">
        <v>9.0447323804245237</v>
      </c>
      <c r="GA317">
        <v>4.2959597448108928</v>
      </c>
      <c r="GB317">
        <v>0.32325521841210242</v>
      </c>
      <c r="GC317">
        <v>1.2191963053065384</v>
      </c>
      <c r="GD317">
        <v>1.4719167588999023</v>
      </c>
      <c r="GE317">
        <v>1.8433739273062573</v>
      </c>
      <c r="GF317">
        <v>3.6191494301076936</v>
      </c>
      <c r="GG317">
        <v>2.5027439088398373</v>
      </c>
      <c r="GH317">
        <v>0.17282465026292085</v>
      </c>
      <c r="GI317">
        <v>4.4528131315900366</v>
      </c>
      <c r="GJ317"/>
      <c r="GK317"/>
      <c r="GL317"/>
      <c r="GM317"/>
    </row>
    <row r="318" spans="1:195" s="7" customFormat="1">
      <c r="A318" s="1"/>
      <c r="B318">
        <v>0.168493014035491</v>
      </c>
      <c r="C318">
        <v>4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10.788916608309991</v>
      </c>
      <c r="AO318">
        <v>15.707321495163376</v>
      </c>
      <c r="AP318">
        <v>137.30089730108554</v>
      </c>
      <c r="AQ318">
        <v>39.706658839081875</v>
      </c>
      <c r="AR318">
        <v>14.557115371245265</v>
      </c>
      <c r="AS318">
        <v>139.78415798018824</v>
      </c>
      <c r="AT318">
        <v>6.5437111948947297</v>
      </c>
      <c r="AU318">
        <v>-16.012286563732527</v>
      </c>
      <c r="AV318"/>
      <c r="AW318"/>
      <c r="FY318" s="210">
        <v>313</v>
      </c>
      <c r="FZ318">
        <v>9.7167673419114831</v>
      </c>
      <c r="GA318">
        <v>15.003344928913474</v>
      </c>
      <c r="GB318">
        <v>3.5148312806365172</v>
      </c>
      <c r="GC318">
        <v>2.108424440395928</v>
      </c>
      <c r="GD318">
        <v>1.9878127355602571</v>
      </c>
      <c r="GE318">
        <v>1.8851789905265228</v>
      </c>
      <c r="GF318">
        <v>2.6185218504698717</v>
      </c>
      <c r="GG318">
        <v>1.5410277012290603</v>
      </c>
      <c r="GH318">
        <v>0.47158847029581613</v>
      </c>
      <c r="GI318">
        <v>4.6066983141236877</v>
      </c>
      <c r="GJ318"/>
      <c r="GK318"/>
      <c r="GL318"/>
      <c r="GM318"/>
    </row>
    <row r="319" spans="1:195" s="7" customFormat="1">
      <c r="A319" s="1"/>
      <c r="B319">
        <v>0.23517370725571229</v>
      </c>
      <c r="C319">
        <v>10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8.3794424019607838</v>
      </c>
      <c r="AO319">
        <v>23.863610362147309</v>
      </c>
      <c r="AP319">
        <v>185.23692042163478</v>
      </c>
      <c r="AQ319">
        <v>32.1356489803945</v>
      </c>
      <c r="AR319">
        <v>22.61498920861025</v>
      </c>
      <c r="AS319">
        <v>87.20582748776522</v>
      </c>
      <c r="AT319">
        <v>12.210388789414019</v>
      </c>
      <c r="AU319">
        <v>-23.973902271893657</v>
      </c>
      <c r="AV319"/>
      <c r="AW319"/>
      <c r="FY319" s="210">
        <v>314</v>
      </c>
      <c r="FZ319">
        <v>13.068813918157533</v>
      </c>
      <c r="GA319">
        <v>22.847439373957339</v>
      </c>
      <c r="GB319">
        <v>7.4243346687146357</v>
      </c>
      <c r="GC319">
        <v>0.29679990323413435</v>
      </c>
      <c r="GD319">
        <v>0.59918637128477448</v>
      </c>
      <c r="GE319">
        <v>1.3847660879594901</v>
      </c>
      <c r="GF319">
        <v>2.784326525766958</v>
      </c>
      <c r="GG319">
        <v>2.1638936834422244</v>
      </c>
      <c r="GH319">
        <v>0.81723777082165783</v>
      </c>
      <c r="GI319">
        <v>5.6761098962101331</v>
      </c>
      <c r="GJ319"/>
      <c r="GK319"/>
      <c r="GL319"/>
      <c r="GM319"/>
    </row>
    <row r="320" spans="1:195" s="7" customFormat="1">
      <c r="A320" s="1"/>
      <c r="B320">
        <v>0.45862230686611127</v>
      </c>
      <c r="C320">
        <v>5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13.386656746031747</v>
      </c>
      <c r="AO320">
        <v>23.309954538100815</v>
      </c>
      <c r="AP320">
        <v>184.59744843650154</v>
      </c>
      <c r="AQ320">
        <v>36.125714769635806</v>
      </c>
      <c r="AR320">
        <v>22.46085832219012</v>
      </c>
      <c r="AS320">
        <v>330.77258375157686</v>
      </c>
      <c r="AT320" t="e">
        <v>#DIV/0!</v>
      </c>
      <c r="AU320" t="e">
        <v>#DIV/0!</v>
      </c>
      <c r="AV320"/>
      <c r="AW320"/>
      <c r="FY320" s="210">
        <v>315</v>
      </c>
      <c r="FZ320">
        <v>0.88215720358861527</v>
      </c>
      <c r="GA320">
        <v>1.1736587576831998</v>
      </c>
      <c r="GB320">
        <v>0.34546018744227874</v>
      </c>
      <c r="GC320">
        <v>0.39658081551942925</v>
      </c>
      <c r="GD320">
        <v>0.98221584535163542</v>
      </c>
      <c r="GE320">
        <v>2.4457536278114436</v>
      </c>
      <c r="GF320">
        <v>3.2530903113500029</v>
      </c>
      <c r="GG320">
        <v>1.9869679269521878</v>
      </c>
      <c r="GH320">
        <v>0.58144353567374973</v>
      </c>
      <c r="GI320">
        <v>2.5009219918657815</v>
      </c>
      <c r="GJ320"/>
      <c r="GK320"/>
      <c r="GL320"/>
      <c r="GM320"/>
    </row>
    <row r="321" spans="1:195" s="7" customFormat="1">
      <c r="A321" s="1"/>
      <c r="B321">
        <v>0.7746064820915084</v>
      </c>
      <c r="C321">
        <v>8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9.5787450396825395</v>
      </c>
      <c r="AO321">
        <v>16.236374506837201</v>
      </c>
      <c r="AP321">
        <v>123.80104302928896</v>
      </c>
      <c r="AQ321">
        <v>30.123341430362093</v>
      </c>
      <c r="AR321">
        <v>16.00253062861502</v>
      </c>
      <c r="AS321">
        <v>81.584169830224539</v>
      </c>
      <c r="AT321" t="e">
        <v>#DIV/0!</v>
      </c>
      <c r="AU321" t="e">
        <v>#DIV/0!</v>
      </c>
      <c r="AV321"/>
      <c r="AW321"/>
      <c r="FY321" s="210">
        <v>316</v>
      </c>
      <c r="FZ321">
        <v>0.54272236659784878</v>
      </c>
      <c r="GA321">
        <v>0.1993376429609533</v>
      </c>
      <c r="GB321">
        <v>0.24075889937804079</v>
      </c>
      <c r="GC321">
        <v>0.20089144193346209</v>
      </c>
      <c r="GD321">
        <v>0.97057372684974608</v>
      </c>
      <c r="GE321">
        <v>2.0558903181621933</v>
      </c>
      <c r="GF321">
        <v>3.6503646500428708</v>
      </c>
      <c r="GG321">
        <v>3.3025356475430381</v>
      </c>
      <c r="GH321">
        <v>0.58144353567374973</v>
      </c>
      <c r="GI321">
        <v>2.8373141064747398</v>
      </c>
      <c r="GJ321"/>
      <c r="GK321"/>
      <c r="GL321"/>
      <c r="GM321"/>
    </row>
    <row r="322" spans="1:195" s="7" customFormat="1">
      <c r="A322" s="1"/>
      <c r="B322">
        <v>5.7147618448966098E-2</v>
      </c>
      <c r="C322">
        <v>6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8.2370812908496713</v>
      </c>
      <c r="AO322">
        <v>17.170814652479244</v>
      </c>
      <c r="AP322">
        <v>139.66731822962925</v>
      </c>
      <c r="AQ322">
        <v>37.559829748618768</v>
      </c>
      <c r="AR322">
        <v>17.356137592395843</v>
      </c>
      <c r="AS322">
        <v>75.092392019422178</v>
      </c>
      <c r="AT322">
        <v>11.023066208931551</v>
      </c>
      <c r="AU322">
        <v>3.7704312036670409</v>
      </c>
      <c r="AV322"/>
      <c r="AW322"/>
      <c r="FY322" s="210">
        <v>317</v>
      </c>
      <c r="FZ322">
        <v>2.1916143359223637</v>
      </c>
      <c r="GA322">
        <v>12.781152439411002</v>
      </c>
      <c r="GB322">
        <v>4.0322751021615586</v>
      </c>
      <c r="GC322">
        <v>0.64225906680697231</v>
      </c>
      <c r="GD322">
        <v>1.6518857857295659</v>
      </c>
      <c r="GE322">
        <v>3.6277823958934787</v>
      </c>
      <c r="GF322">
        <v>3.2736934425140847</v>
      </c>
      <c r="GG322">
        <v>1.7397307020165371</v>
      </c>
      <c r="GH322">
        <v>0.23579423514790807</v>
      </c>
      <c r="GI322">
        <v>4.8802562413742843</v>
      </c>
      <c r="GJ322"/>
      <c r="GK322"/>
      <c r="GL322"/>
      <c r="GM322"/>
    </row>
    <row r="323" spans="1:195" s="7" customFormat="1">
      <c r="A323" s="1"/>
      <c r="B323">
        <v>0.31509182700108607</v>
      </c>
      <c r="C323">
        <v>4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7.4048202614379077</v>
      </c>
      <c r="AO323">
        <v>16.723154423838253</v>
      </c>
      <c r="AP323">
        <v>114.39245801698546</v>
      </c>
      <c r="AQ323">
        <v>24.024475217203339</v>
      </c>
      <c r="AR323">
        <v>16.542787669157008</v>
      </c>
      <c r="AS323">
        <v>118.2739598579024</v>
      </c>
      <c r="AT323" t="e">
        <v>#DIV/0!</v>
      </c>
      <c r="AU323" t="e">
        <v>#DIV/0!</v>
      </c>
      <c r="AV323"/>
      <c r="AW323"/>
      <c r="FY323" s="210">
        <v>318</v>
      </c>
      <c r="FZ323">
        <v>5.6892372228491359</v>
      </c>
      <c r="GA323">
        <v>10.832510209966511</v>
      </c>
      <c r="GB323">
        <v>4.0834150979460553</v>
      </c>
      <c r="GC323">
        <v>0.82869718879060805</v>
      </c>
      <c r="GD323">
        <v>0.71270095671967981</v>
      </c>
      <c r="GE323">
        <v>0.96710677909831622</v>
      </c>
      <c r="GF323">
        <v>2.9388441745596761</v>
      </c>
      <c r="GG323">
        <v>2.0568036831167102</v>
      </c>
      <c r="GH323">
        <v>0.75426818593667067</v>
      </c>
      <c r="GI323">
        <v>4.2323601154792829</v>
      </c>
      <c r="GJ323"/>
      <c r="GK323"/>
      <c r="GL323"/>
      <c r="GM323"/>
    </row>
    <row r="324" spans="1:195" s="7" customFormat="1">
      <c r="A324" s="1"/>
      <c r="B324">
        <v>0.89801243143398879</v>
      </c>
      <c r="C324">
        <v>1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7.2614889705882346</v>
      </c>
      <c r="AO324">
        <v>13.482443775809681</v>
      </c>
      <c r="AP324">
        <v>114.53874228764603</v>
      </c>
      <c r="AQ324">
        <v>27.628909935746648</v>
      </c>
      <c r="AR324">
        <v>12.579632087152854</v>
      </c>
      <c r="AS324">
        <v>56.201312002078524</v>
      </c>
      <c r="AT324">
        <v>8.9578382065052242</v>
      </c>
      <c r="AU324">
        <v>-88.634343542922039</v>
      </c>
      <c r="AV324"/>
      <c r="AW324"/>
      <c r="FY324" s="210">
        <v>319</v>
      </c>
      <c r="FZ324">
        <v>3.1155994186846074</v>
      </c>
      <c r="GA324">
        <v>13.704243948054298</v>
      </c>
      <c r="GB324">
        <v>3.8462003046731956</v>
      </c>
      <c r="GC324">
        <v>0.6342986321995151</v>
      </c>
      <c r="GD324">
        <v>0.79715745904525015</v>
      </c>
      <c r="GE324">
        <v>1.2601226681930042</v>
      </c>
      <c r="GF324">
        <v>1.6690044306187917</v>
      </c>
      <c r="GG324">
        <v>0.93993896331333671</v>
      </c>
      <c r="GH324">
        <v>0.3456493005258417</v>
      </c>
      <c r="GI324">
        <v>3.4896994913494579</v>
      </c>
      <c r="GJ324"/>
      <c r="GK324"/>
      <c r="GL324"/>
      <c r="GM324"/>
    </row>
    <row r="325" spans="1:195" s="7" customFormat="1">
      <c r="A325" s="1"/>
      <c r="B325">
        <v>0.72001241751084089</v>
      </c>
      <c r="C325">
        <v>9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7.481004901960782</v>
      </c>
      <c r="AO325">
        <v>21.208576804465441</v>
      </c>
      <c r="AP325">
        <v>180.60363482718694</v>
      </c>
      <c r="AQ325">
        <v>36.686440298190959</v>
      </c>
      <c r="AR325">
        <v>20.066888087366852</v>
      </c>
      <c r="AS325">
        <v>82.580217904119877</v>
      </c>
      <c r="AT325">
        <v>10.908556280451565</v>
      </c>
      <c r="AU325">
        <v>-45.959475491508073</v>
      </c>
      <c r="AV325"/>
      <c r="AW325"/>
      <c r="FY325" s="210">
        <v>320</v>
      </c>
      <c r="FZ325">
        <v>4.2798606163765163</v>
      </c>
      <c r="GA325">
        <v>12.382477153489098</v>
      </c>
      <c r="GB325">
        <v>3.8823113822755637</v>
      </c>
      <c r="GC325">
        <v>0.31882139288299205</v>
      </c>
      <c r="GD325">
        <v>0.41997069889556798</v>
      </c>
      <c r="GE325">
        <v>1.2100830052300422</v>
      </c>
      <c r="GF325">
        <v>5.2602928679335879</v>
      </c>
      <c r="GG325">
        <v>4.0655488543663392</v>
      </c>
      <c r="GH325">
        <v>0.17282465026292085</v>
      </c>
      <c r="GI325">
        <v>3.7775447426995323</v>
      </c>
      <c r="GJ325"/>
      <c r="GK325"/>
      <c r="GL325"/>
      <c r="GM325"/>
    </row>
    <row r="326" spans="1:195" s="7" customFormat="1">
      <c r="A326" s="1"/>
      <c r="B326">
        <v>0.98257130158675432</v>
      </c>
      <c r="C326">
        <v>9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9.0677083333333321</v>
      </c>
      <c r="AO326">
        <v>14.526077104535892</v>
      </c>
      <c r="AP326">
        <v>119.16682261520978</v>
      </c>
      <c r="AQ326">
        <v>36.592054703337276</v>
      </c>
      <c r="AR326">
        <v>13.914347348355996</v>
      </c>
      <c r="AS326">
        <v>70.370299679390186</v>
      </c>
      <c r="AT326" t="e">
        <v>#DIV/0!</v>
      </c>
      <c r="AU326" t="e">
        <v>#DIV/0!</v>
      </c>
      <c r="AV326"/>
      <c r="AW326"/>
      <c r="FY326" s="210">
        <v>321</v>
      </c>
      <c r="FZ326">
        <v>11.183474791271575</v>
      </c>
      <c r="GA326">
        <v>18.495757409590155</v>
      </c>
      <c r="GB326">
        <v>3.911246409029884</v>
      </c>
      <c r="GC326">
        <v>0.91107289246803358</v>
      </c>
      <c r="GD326">
        <v>0.64857632650965091</v>
      </c>
      <c r="GE326">
        <v>0.49017918778104796</v>
      </c>
      <c r="GF326">
        <v>2.3035728914989226</v>
      </c>
      <c r="GG326">
        <v>1.5628049455265007</v>
      </c>
      <c r="GH326">
        <v>0</v>
      </c>
      <c r="GI326">
        <v>4.600620314959774</v>
      </c>
      <c r="GJ326"/>
      <c r="GK326"/>
      <c r="GL326"/>
      <c r="GM326"/>
    </row>
    <row r="327" spans="1:195" s="7" customFormat="1">
      <c r="A327" s="1"/>
      <c r="B327">
        <v>0.57311275068027268</v>
      </c>
      <c r="C327">
        <v>8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9.702008928571427</v>
      </c>
      <c r="AO327">
        <v>20.766560219849609</v>
      </c>
      <c r="AP327">
        <v>132.31898918603025</v>
      </c>
      <c r="AQ327">
        <v>23.13277039290135</v>
      </c>
      <c r="AR327">
        <v>19.693478904027742</v>
      </c>
      <c r="AS327">
        <v>81.23729953668375</v>
      </c>
      <c r="AT327" t="e">
        <v>#DIV/0!</v>
      </c>
      <c r="AU327" t="e">
        <v>#DIV/0!</v>
      </c>
      <c r="AV327"/>
      <c r="AW327"/>
      <c r="FY327" s="210">
        <v>322</v>
      </c>
      <c r="FZ327">
        <v>9.1740449753136328</v>
      </c>
      <c r="GA327">
        <v>20.497875551852268</v>
      </c>
      <c r="GB327">
        <v>5.8260531192162386</v>
      </c>
      <c r="GC327">
        <v>0.56884077138238098</v>
      </c>
      <c r="GD327">
        <v>0.8140021495586568</v>
      </c>
      <c r="GE327">
        <v>2.4571328650085409</v>
      </c>
      <c r="GF327">
        <v>5.2388085094008163</v>
      </c>
      <c r="GG327">
        <v>3.232224179097424</v>
      </c>
      <c r="GH327">
        <v>0.64441312055873701</v>
      </c>
      <c r="GI327">
        <v>5.7314960498784036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15.787304505135387</v>
      </c>
      <c r="AO328">
        <v>16.738919515891443</v>
      </c>
      <c r="AP328">
        <v>125.26167716360591</v>
      </c>
      <c r="AQ328">
        <v>28.945965455960703</v>
      </c>
      <c r="AR328">
        <v>16.465501479248683</v>
      </c>
      <c r="AS328">
        <v>101.11235966863866</v>
      </c>
      <c r="AT328">
        <v>9.8259532544780388</v>
      </c>
      <c r="AU328">
        <v>-47.689351764321046</v>
      </c>
      <c r="AV328"/>
      <c r="AW328"/>
      <c r="FY328" s="210">
        <v>323</v>
      </c>
      <c r="FZ328">
        <v>8.1255865915133256</v>
      </c>
      <c r="GA328">
        <v>12.656027413547076</v>
      </c>
      <c r="GB328">
        <v>3.1891547657291701</v>
      </c>
      <c r="GC328">
        <v>0.57163793801034157</v>
      </c>
      <c r="GD328">
        <v>0.80465412589752172</v>
      </c>
      <c r="GE328">
        <v>1.1783479814920343</v>
      </c>
      <c r="GF328">
        <v>2.0682974249450532</v>
      </c>
      <c r="GG328">
        <v>1.7397307020165371</v>
      </c>
      <c r="GH328">
        <v>0.23579423514790807</v>
      </c>
      <c r="GI328">
        <v>4.1441515930069066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15.039434523809524</v>
      </c>
      <c r="AO329">
        <v>10.363073209722966</v>
      </c>
      <c r="AP329">
        <v>90.611820014675374</v>
      </c>
      <c r="AQ329">
        <v>43.454196054062628</v>
      </c>
      <c r="AR329">
        <v>10.095492634380312</v>
      </c>
      <c r="AS329">
        <v>67.528976408242571</v>
      </c>
      <c r="AT329" t="e">
        <v>#DIV/0!</v>
      </c>
      <c r="AU329" t="e">
        <v>#DIV/0!</v>
      </c>
      <c r="AV329"/>
      <c r="AW329"/>
      <c r="FY329" s="210">
        <v>324</v>
      </c>
      <c r="FZ329">
        <v>15.924175340386469</v>
      </c>
      <c r="GA329">
        <v>4.0677595958535093</v>
      </c>
      <c r="GB329">
        <v>0.59537044103970826</v>
      </c>
      <c r="GC329">
        <v>0.68547990533703684</v>
      </c>
      <c r="GD329">
        <v>1.0060563331918404</v>
      </c>
      <c r="GE329">
        <v>1.4734481536682709</v>
      </c>
      <c r="GF329">
        <v>2.430898633756938</v>
      </c>
      <c r="GG329">
        <v>2.1638936834422244</v>
      </c>
      <c r="GH329">
        <v>0.47158847029581613</v>
      </c>
      <c r="GI329">
        <v>4.6459933107087004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11.64405345471522</v>
      </c>
      <c r="AO330">
        <v>18.291248154317959</v>
      </c>
      <c r="AP330">
        <v>146.04039748212122</v>
      </c>
      <c r="AQ330">
        <v>57.062908199548879</v>
      </c>
      <c r="AR330">
        <v>18.330055947186935</v>
      </c>
      <c r="AS330">
        <v>90.261177188540813</v>
      </c>
      <c r="AT330">
        <v>7.5303241894863504</v>
      </c>
      <c r="AU330">
        <v>-31.452550856305503</v>
      </c>
      <c r="AV330"/>
      <c r="AW330"/>
      <c r="FY330" s="210">
        <v>325</v>
      </c>
      <c r="FZ330">
        <v>10.056582554941134</v>
      </c>
      <c r="GA330">
        <v>4.4440677816928957</v>
      </c>
      <c r="GB330">
        <v>0.22330868470066786</v>
      </c>
      <c r="GC330">
        <v>0.92707017300174532</v>
      </c>
      <c r="GD330">
        <v>1.2490833396590886</v>
      </c>
      <c r="GE330">
        <v>2.0548270535148419</v>
      </c>
      <c r="GF330">
        <v>2.6853102689669601</v>
      </c>
      <c r="GG330">
        <v>1.4924934770808866</v>
      </c>
      <c r="GH330">
        <v>0.40861888541082891</v>
      </c>
      <c r="GI330">
        <v>4.0113505619363465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9.3749562324929965</v>
      </c>
      <c r="AO331">
        <v>11.187529359805875</v>
      </c>
      <c r="AP331">
        <v>87.382489186646183</v>
      </c>
      <c r="AQ331">
        <v>14.548250203238325</v>
      </c>
      <c r="AR331">
        <v>10.343544720938288</v>
      </c>
      <c r="AS331">
        <v>53.95243739203125</v>
      </c>
      <c r="AT331">
        <v>5.9786221331664295</v>
      </c>
      <c r="AU331">
        <v>-44.032854130038473</v>
      </c>
      <c r="AV331"/>
      <c r="AW331"/>
      <c r="FY331" s="210">
        <v>326</v>
      </c>
      <c r="FZ331">
        <v>1.4248795701864641</v>
      </c>
      <c r="GA331">
        <v>11.408156038766851</v>
      </c>
      <c r="GB331">
        <v>3.6566692397173375</v>
      </c>
      <c r="GC331">
        <v>0.68956788895987142</v>
      </c>
      <c r="GD331">
        <v>0.92037624191274126</v>
      </c>
      <c r="GE331">
        <v>1.4858910607106184</v>
      </c>
      <c r="GF331">
        <v>3.7450140613328573</v>
      </c>
      <c r="GG331">
        <v>2.6311354411817005</v>
      </c>
      <c r="GH331">
        <v>0.17282465026292085</v>
      </c>
      <c r="GI331">
        <v>3.7238522334232904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6.9125306372549007</v>
      </c>
      <c r="AO332">
        <v>13.041584750587479</v>
      </c>
      <c r="AP332">
        <v>66.4556111232436</v>
      </c>
      <c r="AQ332">
        <v>14.581832335616642</v>
      </c>
      <c r="AR332">
        <v>12.165314233667919</v>
      </c>
      <c r="AS332">
        <v>54.118867841950291</v>
      </c>
      <c r="AT332" t="e">
        <v>#DIV/0!</v>
      </c>
      <c r="AU332" t="e">
        <v>#DIV/0!</v>
      </c>
      <c r="AV332"/>
      <c r="AW332"/>
      <c r="FY332" s="210">
        <v>327</v>
      </c>
      <c r="FZ332">
        <v>7.2890862244665628</v>
      </c>
      <c r="GA332">
        <v>8.1358179053305282</v>
      </c>
      <c r="GB332">
        <v>0.9140440047518168</v>
      </c>
      <c r="GC332">
        <v>0.2639444010310617</v>
      </c>
      <c r="GD332">
        <v>0.52112719598052248</v>
      </c>
      <c r="GE332">
        <v>1.7054940238215386</v>
      </c>
      <c r="GF332">
        <v>4.6620949995219183</v>
      </c>
      <c r="GG332">
        <v>3.4794614040330742</v>
      </c>
      <c r="GH332">
        <v>0.47158847029581613</v>
      </c>
      <c r="GI332">
        <v>4.1112953795348215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13.453497023809524</v>
      </c>
      <c r="AO333">
        <v>12.635629058551048</v>
      </c>
      <c r="AP333">
        <v>96.578078258656888</v>
      </c>
      <c r="AQ333">
        <v>35.056443746977756</v>
      </c>
      <c r="AR333">
        <v>11.688428870433757</v>
      </c>
      <c r="AS333">
        <v>98.222775165567271</v>
      </c>
      <c r="AT333" t="e">
        <v>#DIV/0!</v>
      </c>
      <c r="AU333" t="e">
        <v>#DIV/0!</v>
      </c>
      <c r="AV333"/>
      <c r="AW333"/>
      <c r="FY333" s="210">
        <v>328</v>
      </c>
      <c r="FZ333">
        <v>3.1159797947234926</v>
      </c>
      <c r="GA333">
        <v>11.387736531799494</v>
      </c>
      <c r="GB333">
        <v>5.0840899647429065</v>
      </c>
      <c r="GC333">
        <v>0.60500281620112362</v>
      </c>
      <c r="GD333">
        <v>0.66339921141673441</v>
      </c>
      <c r="GE333">
        <v>1.6165422701412915</v>
      </c>
      <c r="GF333">
        <v>1.847222340077979</v>
      </c>
      <c r="GG333">
        <v>0.42416298142568709</v>
      </c>
      <c r="GH333">
        <v>0.40861888541082891</v>
      </c>
      <c r="GI333">
        <v>3.5728581792582594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10.636591094771241</v>
      </c>
      <c r="AO334">
        <v>24.367521073152108</v>
      </c>
      <c r="AP334">
        <v>207.29837409458324</v>
      </c>
      <c r="AQ334">
        <v>33.095943614462648</v>
      </c>
      <c r="AR334">
        <v>23.571286188392847</v>
      </c>
      <c r="AS334">
        <v>116.0842003716909</v>
      </c>
      <c r="AT334" t="e">
        <v>#DIV/0!</v>
      </c>
      <c r="AU334" t="e">
        <v>#DIV/0!</v>
      </c>
      <c r="AV334"/>
      <c r="AW334"/>
      <c r="FY334" s="210">
        <v>329</v>
      </c>
      <c r="FZ334">
        <v>3.6009909423949833</v>
      </c>
      <c r="GA334">
        <v>8.0638515949721761</v>
      </c>
      <c r="GB334">
        <v>3.1566756328696686</v>
      </c>
      <c r="GC334">
        <v>0.55477971634098067</v>
      </c>
      <c r="GD334">
        <v>0.80563164873018667</v>
      </c>
      <c r="GE334">
        <v>1.8942373924361979</v>
      </c>
      <c r="GF334">
        <v>1.5706572600769897</v>
      </c>
      <c r="GG334">
        <v>0.1769257564900365</v>
      </c>
      <c r="GH334">
        <v>0.23579423514790807</v>
      </c>
      <c r="GI334">
        <v>3.0821595266077639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10.024261788048552</v>
      </c>
      <c r="AO335">
        <v>16.227285730067909</v>
      </c>
      <c r="AP335">
        <v>132.03828070799284</v>
      </c>
      <c r="AQ335">
        <v>29.801914616657303</v>
      </c>
      <c r="AR335">
        <v>15.058486948448637</v>
      </c>
      <c r="AS335">
        <v>72.973940346387479</v>
      </c>
      <c r="AT335">
        <v>8.6593202134733929</v>
      </c>
      <c r="AU335">
        <v>-100.72989380828251</v>
      </c>
      <c r="AV335"/>
      <c r="AW335"/>
      <c r="FY335" s="210">
        <v>330</v>
      </c>
      <c r="FZ335">
        <v>7.9955132445464461</v>
      </c>
      <c r="GA335">
        <v>27.186484439441617</v>
      </c>
      <c r="GB335">
        <v>6.9481918356531871</v>
      </c>
      <c r="GC335">
        <v>0.83816397303115164</v>
      </c>
      <c r="GD335">
        <v>0.80480478476874207</v>
      </c>
      <c r="GE335">
        <v>0.75773753077338135</v>
      </c>
      <c r="GF335">
        <v>0.92120793439306325</v>
      </c>
      <c r="GG335">
        <v>0.49447444987130124</v>
      </c>
      <c r="GH335">
        <v>0.17282465026292085</v>
      </c>
      <c r="GI335">
        <v>5.076785073610508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11.065578314659197</v>
      </c>
      <c r="AO336">
        <v>17.638751267620457</v>
      </c>
      <c r="AP336">
        <v>173.0345951820749</v>
      </c>
      <c r="AQ336">
        <v>35.769735364412163</v>
      </c>
      <c r="AR336">
        <v>16.791213635446741</v>
      </c>
      <c r="AS336">
        <v>90.631663340147242</v>
      </c>
      <c r="AT336">
        <v>11.08089334720445</v>
      </c>
      <c r="AU336">
        <v>11.355877235165643</v>
      </c>
      <c r="AV336"/>
      <c r="AW336"/>
      <c r="FY336" s="210">
        <v>331</v>
      </c>
      <c r="FZ336">
        <v>6.2315792134081001</v>
      </c>
      <c r="GA336">
        <v>6.0390676390040312</v>
      </c>
      <c r="GB336">
        <v>0.94418967975375956</v>
      </c>
      <c r="GC336">
        <v>0.86440947881257157</v>
      </c>
      <c r="GD336">
        <v>0.82346557935316422</v>
      </c>
      <c r="GE336">
        <v>0.72285495930647359</v>
      </c>
      <c r="GF336">
        <v>2.0682974249450532</v>
      </c>
      <c r="GG336">
        <v>1.9166564585065737</v>
      </c>
      <c r="GH336">
        <v>0.47158847029581613</v>
      </c>
      <c r="GI336">
        <v>2.5234853155617025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9.2445436507936503</v>
      </c>
      <c r="AO337">
        <v>20.553252316102078</v>
      </c>
      <c r="AP337">
        <v>178.3838354752034</v>
      </c>
      <c r="AQ337">
        <v>44.107305168635541</v>
      </c>
      <c r="AR337">
        <v>19.593550220843944</v>
      </c>
      <c r="AS337">
        <v>208.96038017770101</v>
      </c>
      <c r="AT337" t="e">
        <v>#DIV/0!</v>
      </c>
      <c r="AU337" t="e">
        <v>#DIV/0!</v>
      </c>
      <c r="AV337"/>
      <c r="AW337"/>
      <c r="FY337" s="210">
        <v>332</v>
      </c>
      <c r="FZ337">
        <v>2.7761645816938412</v>
      </c>
      <c r="GA337">
        <v>10.559277147220579</v>
      </c>
      <c r="GB337">
        <v>3.2554115183334806</v>
      </c>
      <c r="GC337">
        <v>0.54940091572327177</v>
      </c>
      <c r="GD337">
        <v>0.70537618976207672</v>
      </c>
      <c r="GE337">
        <v>1.4694919165179392</v>
      </c>
      <c r="GF337">
        <v>4.2257676956008936</v>
      </c>
      <c r="GG337">
        <v>3.232224179097424</v>
      </c>
      <c r="GH337">
        <v>0.64441312055873701</v>
      </c>
      <c r="GI337">
        <v>5.174564418243258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14.464883870214752</v>
      </c>
      <c r="AO338">
        <v>27.275166905058086</v>
      </c>
      <c r="AP338">
        <v>222.26188388705668</v>
      </c>
      <c r="AQ338">
        <v>54.1848912912671</v>
      </c>
      <c r="AR338">
        <v>25.702441449232396</v>
      </c>
      <c r="AS338">
        <v>297.25893314441157</v>
      </c>
      <c r="AT338">
        <v>12.451191935574128</v>
      </c>
      <c r="AU338">
        <v>-42.07699156758401</v>
      </c>
      <c r="AV338"/>
      <c r="AW338"/>
      <c r="FY338" s="210">
        <v>333</v>
      </c>
      <c r="FZ338">
        <v>6.4555916125461508</v>
      </c>
      <c r="GA338">
        <v>20.571770971637246</v>
      </c>
      <c r="GB338">
        <v>6.2749067302794108</v>
      </c>
      <c r="GC338">
        <v>0.55477971634098067</v>
      </c>
      <c r="GD338">
        <v>0.80200717119522846</v>
      </c>
      <c r="GE338">
        <v>1.1449042737910715</v>
      </c>
      <c r="GF338">
        <v>3.0157961891627396</v>
      </c>
      <c r="GG338">
        <v>2.5027439088398373</v>
      </c>
      <c r="GH338">
        <v>0.17282465026292085</v>
      </c>
      <c r="GI338">
        <v>4.7355666886645613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7.6458333333333339</v>
      </c>
      <c r="AO339">
        <v>22.482417640030242</v>
      </c>
      <c r="AP339">
        <v>189.23301511244091</v>
      </c>
      <c r="AQ339">
        <v>34.713382771305874</v>
      </c>
      <c r="AR339">
        <v>21.395100026874339</v>
      </c>
      <c r="AS339">
        <v>85.388554037352577</v>
      </c>
      <c r="AT339" t="e">
        <v>#DIV/0!</v>
      </c>
      <c r="AU339" t="e">
        <v>#DIV/0!</v>
      </c>
      <c r="AV339"/>
      <c r="AW339"/>
      <c r="FY339" s="210">
        <v>334</v>
      </c>
      <c r="FZ339">
        <v>6.5710140503988672</v>
      </c>
      <c r="GA339">
        <v>12.707257019626024</v>
      </c>
      <c r="GB339">
        <v>3.3403291338627872</v>
      </c>
      <c r="GC339">
        <v>0.32032774251607832</v>
      </c>
      <c r="GD339">
        <v>0.41662923245166017</v>
      </c>
      <c r="GE339">
        <v>1.1365580310173156</v>
      </c>
      <c r="GF339">
        <v>3.2692071562389975</v>
      </c>
      <c r="GG339">
        <v>2.2342051518878385</v>
      </c>
      <c r="GH339">
        <v>0.40861888541082891</v>
      </c>
      <c r="GI339">
        <v>4.0747626332712388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9.5691964285714288</v>
      </c>
      <c r="AO340">
        <v>22.975922843626162</v>
      </c>
      <c r="AP340">
        <v>165.49337503059795</v>
      </c>
      <c r="AQ340">
        <v>33.464663867680514</v>
      </c>
      <c r="AR340">
        <v>23.567361644872467</v>
      </c>
      <c r="AS340">
        <v>97.750025135793265</v>
      </c>
      <c r="AT340" t="e">
        <v>#DIV/0!</v>
      </c>
      <c r="AU340" t="e">
        <v>#DIV/0!</v>
      </c>
      <c r="AV340"/>
      <c r="AW340"/>
      <c r="FY340" s="210">
        <v>335</v>
      </c>
      <c r="FZ340">
        <v>8.747125422607386</v>
      </c>
      <c r="GA340">
        <v>10.579696654187938</v>
      </c>
      <c r="GB340">
        <v>2.0012822918340194</v>
      </c>
      <c r="GC340">
        <v>0.52368370736000536</v>
      </c>
      <c r="GD340">
        <v>1.0199972970801843</v>
      </c>
      <c r="GE340">
        <v>2.3645121799715749</v>
      </c>
      <c r="GF340">
        <v>3.4097440089088473</v>
      </c>
      <c r="GG340">
        <v>1.6816506381202889</v>
      </c>
      <c r="GH340">
        <v>0</v>
      </c>
      <c r="GI340">
        <v>4.4679936671080585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11.281724147992531</v>
      </c>
      <c r="AO341">
        <v>10.593643461249574</v>
      </c>
      <c r="AP341">
        <v>70.214761358044683</v>
      </c>
      <c r="AQ341">
        <v>27.552712780905395</v>
      </c>
      <c r="AR341">
        <v>10.784169486012113</v>
      </c>
      <c r="AS341">
        <v>68.170101392017401</v>
      </c>
      <c r="AT341">
        <v>4.916711476816217</v>
      </c>
      <c r="AU341">
        <v>-23.773716131442654</v>
      </c>
      <c r="AV341"/>
      <c r="AW341"/>
      <c r="FY341" s="210">
        <v>336</v>
      </c>
      <c r="FZ341">
        <v>2.6309686470520015</v>
      </c>
      <c r="GA341">
        <v>8.0638515949721761</v>
      </c>
      <c r="GB341">
        <v>3.2252658433315382</v>
      </c>
      <c r="GC341">
        <v>0.33004767034563293</v>
      </c>
      <c r="GD341">
        <v>0.47439113960221579</v>
      </c>
      <c r="GE341">
        <v>1.1753972448324541</v>
      </c>
      <c r="GF341">
        <v>3.5143364227117315</v>
      </c>
      <c r="GG341">
        <v>2.6796696653298739</v>
      </c>
      <c r="GH341">
        <v>0.23579423514790807</v>
      </c>
      <c r="GI341">
        <v>3.3744750826616148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10.598812441643323</v>
      </c>
      <c r="AO342">
        <v>22.746965575515894</v>
      </c>
      <c r="AP342">
        <v>178.85205050162398</v>
      </c>
      <c r="AQ342">
        <v>29.858366426454651</v>
      </c>
      <c r="AR342">
        <v>21.12402045566548</v>
      </c>
      <c r="AS342">
        <v>115.81929939824194</v>
      </c>
      <c r="AT342">
        <v>12.962021383700453</v>
      </c>
      <c r="AU342">
        <v>14.612437230209888</v>
      </c>
      <c r="AV342"/>
      <c r="AW342"/>
      <c r="FY342" s="210">
        <v>337</v>
      </c>
      <c r="FZ342">
        <v>9.6292826261960016</v>
      </c>
      <c r="GA342">
        <v>12.507919376665072</v>
      </c>
      <c r="GB342">
        <v>3.3101834588608448</v>
      </c>
      <c r="GC342">
        <v>0.63817108318413773</v>
      </c>
      <c r="GD342">
        <v>0.7502132385594269</v>
      </c>
      <c r="GE342">
        <v>0.9801214181583231</v>
      </c>
      <c r="GF342">
        <v>4.7429757557995291</v>
      </c>
      <c r="GG342">
        <v>4.4194003673464124</v>
      </c>
      <c r="GH342">
        <v>0.81723777082165783</v>
      </c>
      <c r="GI342">
        <v>4.5551843285813796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8.2132936507936503</v>
      </c>
      <c r="AO343">
        <v>20.273133033812208</v>
      </c>
      <c r="AP343">
        <v>157.26284035137149</v>
      </c>
      <c r="AQ343">
        <v>31.553954008767661</v>
      </c>
      <c r="AR343">
        <v>18.924448554668118</v>
      </c>
      <c r="AS343">
        <v>88.078120614229007</v>
      </c>
      <c r="AT343" t="e">
        <v>#DIV/0!</v>
      </c>
      <c r="AU343" t="e">
        <v>#DIV/0!</v>
      </c>
      <c r="AV343"/>
      <c r="AW343"/>
      <c r="FY343" s="210">
        <v>338</v>
      </c>
      <c r="FZ343">
        <v>8.5525061442195742</v>
      </c>
      <c r="GA343">
        <v>12.801889143690406</v>
      </c>
      <c r="GB343">
        <v>1.5897504066208377</v>
      </c>
      <c r="GC343">
        <v>0.70531202590457209</v>
      </c>
      <c r="GD343">
        <v>0.95238384753573402</v>
      </c>
      <c r="GE343">
        <v>1.9665203139522995</v>
      </c>
      <c r="GF343">
        <v>2.2511131623369844</v>
      </c>
      <c r="GG343">
        <v>0.74171167480695199</v>
      </c>
      <c r="GH343">
        <v>0</v>
      </c>
      <c r="GI343">
        <v>4.3066932484794567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8.8282271241830053</v>
      </c>
      <c r="AO344">
        <v>16.688402737723557</v>
      </c>
      <c r="AP344">
        <v>136.03035848717488</v>
      </c>
      <c r="AQ344">
        <v>28.725612975197798</v>
      </c>
      <c r="AR344">
        <v>15.921073299167094</v>
      </c>
      <c r="AS344">
        <v>176.95172101036883</v>
      </c>
      <c r="AT344" t="e">
        <v>#DIV/0!</v>
      </c>
      <c r="AU344" t="e">
        <v>#DIV/0!</v>
      </c>
      <c r="AV344"/>
      <c r="AW344"/>
      <c r="FY344" s="210">
        <v>339</v>
      </c>
      <c r="FZ344">
        <v>11.523290004301227</v>
      </c>
      <c r="GA344">
        <v>29.758051718213672</v>
      </c>
      <c r="GB344">
        <v>9.1721626008460451</v>
      </c>
      <c r="GC344">
        <v>6.7394086309445433E-2</v>
      </c>
      <c r="GD344">
        <v>0.34398011257731564</v>
      </c>
      <c r="GE344">
        <v>1.410124163673836</v>
      </c>
      <c r="GF344">
        <v>4.4274832500943511</v>
      </c>
      <c r="GG344">
        <v>3.4209056278557344</v>
      </c>
      <c r="GH344">
        <v>0.81723777082165783</v>
      </c>
      <c r="GI344">
        <v>7.4337758374813969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6.8003472222222232</v>
      </c>
      <c r="AO345">
        <v>17.774725642953243</v>
      </c>
      <c r="AP345">
        <v>114.78463831294866</v>
      </c>
      <c r="AQ345">
        <v>23.141703706066892</v>
      </c>
      <c r="AR345">
        <v>16.958894365602646</v>
      </c>
      <c r="AS345">
        <v>69.331320889576574</v>
      </c>
      <c r="AT345" t="e">
        <v>#DIV/0!</v>
      </c>
      <c r="AU345" t="e">
        <v>#DIV/0!</v>
      </c>
      <c r="AV345"/>
      <c r="AW345"/>
      <c r="FY345" s="210">
        <v>340</v>
      </c>
      <c r="FZ345">
        <v>2.9492982384729149</v>
      </c>
      <c r="GA345">
        <v>12.929260476293006</v>
      </c>
      <c r="GB345">
        <v>3.8799779244180055</v>
      </c>
      <c r="GC345">
        <v>0.56449964417053522</v>
      </c>
      <c r="GD345">
        <v>0.86317468597131985</v>
      </c>
      <c r="GE345">
        <v>1.5581739822267202</v>
      </c>
      <c r="GF345">
        <v>2.1497580648868277</v>
      </c>
      <c r="GG345">
        <v>1.3641019447390237</v>
      </c>
      <c r="GH345">
        <v>0.40861888541082891</v>
      </c>
      <c r="GI345">
        <v>4.2371409391430772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16.078103116246503</v>
      </c>
      <c r="AO346">
        <v>26.019551165996358</v>
      </c>
      <c r="AP346">
        <v>234.86918938604964</v>
      </c>
      <c r="AQ346">
        <v>51.196187916352315</v>
      </c>
      <c r="AR346">
        <v>24.156208309057497</v>
      </c>
      <c r="AS346">
        <v>139.43256196719167</v>
      </c>
      <c r="AT346">
        <v>14.774240480611125</v>
      </c>
      <c r="AU346">
        <v>-0.31784359857081562</v>
      </c>
      <c r="AV346"/>
      <c r="AW346"/>
      <c r="FY346" s="210">
        <v>341</v>
      </c>
      <c r="FZ346">
        <v>9.5138601883432852</v>
      </c>
      <c r="GA346">
        <v>7.0133887537262787</v>
      </c>
      <c r="GB346">
        <v>0.97909010910850547</v>
      </c>
      <c r="GC346">
        <v>0.51830490674229646</v>
      </c>
      <c r="GD346">
        <v>0.60900266094082101</v>
      </c>
      <c r="GE346">
        <v>1.2479167185544291</v>
      </c>
      <c r="GF346">
        <v>4.0362290237149105</v>
      </c>
      <c r="GG346">
        <v>2.8783726661173508</v>
      </c>
      <c r="GH346">
        <v>0.3456493005258417</v>
      </c>
      <c r="GI346">
        <v>4.0174499571500704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7.9598214285714288</v>
      </c>
      <c r="AO347">
        <v>15.869834570618698</v>
      </c>
      <c r="AP347">
        <v>134.48564849954982</v>
      </c>
      <c r="AQ347">
        <v>22.60559421894725</v>
      </c>
      <c r="AR347">
        <v>15.213873770912603</v>
      </c>
      <c r="AS347">
        <v>66.513682201420053</v>
      </c>
      <c r="AT347" t="e">
        <v>#DIV/0!</v>
      </c>
      <c r="AU347" t="e">
        <v>#DIV/0!</v>
      </c>
      <c r="AV347"/>
      <c r="AW347"/>
      <c r="FY347" s="210">
        <v>342</v>
      </c>
      <c r="FZ347">
        <v>5.2197290388914892</v>
      </c>
      <c r="GA347">
        <v>8.8161692530274394</v>
      </c>
      <c r="GB347">
        <v>2.5484366318525815</v>
      </c>
      <c r="GC347">
        <v>0.56923303629080702</v>
      </c>
      <c r="GD347">
        <v>0.67224868404202165</v>
      </c>
      <c r="GE347">
        <v>1.2174241527109457</v>
      </c>
      <c r="GF347">
        <v>2.7307268786180821</v>
      </c>
      <c r="GG347">
        <v>1.5628049455265007</v>
      </c>
      <c r="GH347">
        <v>0.3456493005258417</v>
      </c>
      <c r="GI347">
        <v>3.4610471606389632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9.1285743464052285</v>
      </c>
      <c r="AO348">
        <v>24.559233616468287</v>
      </c>
      <c r="AP348">
        <v>197.26316615604804</v>
      </c>
      <c r="AQ348">
        <v>32.592091682751501</v>
      </c>
      <c r="AR348">
        <v>22.787102645382024</v>
      </c>
      <c r="AS348">
        <v>92.322197492820777</v>
      </c>
      <c r="AT348">
        <v>11.672124307719217</v>
      </c>
      <c r="AU348">
        <v>-28.553653334161588</v>
      </c>
      <c r="AV348"/>
      <c r="AW348"/>
      <c r="FY348" s="210">
        <v>343</v>
      </c>
      <c r="FZ348">
        <v>2.3488646529487083</v>
      </c>
      <c r="GA348">
        <v>16.05380777015937</v>
      </c>
      <c r="GB348">
        <v>5.6563057267953116</v>
      </c>
      <c r="GC348">
        <v>0.57985151620680986</v>
      </c>
      <c r="GD348">
        <v>0.84555320646364418</v>
      </c>
      <c r="GE348">
        <v>1.7646502580486749</v>
      </c>
      <c r="GF348">
        <v>4.184157897137009</v>
      </c>
      <c r="GG348">
        <v>3.0552984226073874</v>
      </c>
      <c r="GH348">
        <v>0.23579423514790807</v>
      </c>
      <c r="GI348">
        <v>5.6450783609755666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11.29908525910364</v>
      </c>
      <c r="AO349">
        <v>20.347956739735121</v>
      </c>
      <c r="AP349">
        <v>183.41199168612832</v>
      </c>
      <c r="AQ349">
        <v>46.230891912720146</v>
      </c>
      <c r="AR349">
        <v>19.330106901263704</v>
      </c>
      <c r="AS349">
        <v>114.28748915413759</v>
      </c>
      <c r="AT349">
        <v>11.278415554085832</v>
      </c>
      <c r="AU349">
        <v>-129.63781805379185</v>
      </c>
      <c r="AV349"/>
      <c r="AW349"/>
      <c r="FY349" s="210">
        <v>344</v>
      </c>
      <c r="FZ349">
        <v>7.6703489406309577</v>
      </c>
      <c r="GA349">
        <v>7.2869390137842558</v>
      </c>
      <c r="GB349">
        <v>0.49775736518583213</v>
      </c>
      <c r="GC349">
        <v>0.4654812514619609</v>
      </c>
      <c r="GD349">
        <v>0.45350467836645281</v>
      </c>
      <c r="GE349">
        <v>1.6205136200371699</v>
      </c>
      <c r="GF349">
        <v>3.7118020424847269</v>
      </c>
      <c r="GG349">
        <v>1.8585763946103251</v>
      </c>
      <c r="GH349">
        <v>0.40861888541082891</v>
      </c>
      <c r="GI349">
        <v>3.6565488978748562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11.23311303688142</v>
      </c>
      <c r="AO350">
        <v>18.790735145586506</v>
      </c>
      <c r="AP350">
        <v>152.8952918753929</v>
      </c>
      <c r="AQ350">
        <v>34.478909036681642</v>
      </c>
      <c r="AR350">
        <v>17.860545257237046</v>
      </c>
      <c r="AS350">
        <v>84.293300014637097</v>
      </c>
      <c r="AT350">
        <v>8.2022608201869627</v>
      </c>
      <c r="AU350">
        <v>-6.251926915251139</v>
      </c>
      <c r="AV350"/>
      <c r="AW350"/>
      <c r="FY350" s="210">
        <v>345</v>
      </c>
      <c r="FZ350">
        <v>3.0582685757971344</v>
      </c>
      <c r="GA350">
        <v>11.587074174760446</v>
      </c>
      <c r="GB350">
        <v>5.1341071509174672</v>
      </c>
      <c r="GC350">
        <v>0.87704368434937019</v>
      </c>
      <c r="GD350">
        <v>1.1750517856759997</v>
      </c>
      <c r="GE350">
        <v>2.3520365423615339</v>
      </c>
      <c r="GF350">
        <v>6.8792828609685115</v>
      </c>
      <c r="GG350">
        <v>4.8866421250858876</v>
      </c>
      <c r="GH350">
        <v>0</v>
      </c>
      <c r="GI350">
        <v>5.0181449436009036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8.9910714285714288</v>
      </c>
      <c r="AO351">
        <v>14.987463858276987</v>
      </c>
      <c r="AP351">
        <v>127.54825242033175</v>
      </c>
      <c r="AQ351">
        <v>34.7956858671783</v>
      </c>
      <c r="AR351">
        <v>14.78613812384789</v>
      </c>
      <c r="AS351">
        <v>115.45930511886993</v>
      </c>
      <c r="AT351" t="e">
        <v>#DIV/0!</v>
      </c>
      <c r="AU351" t="e">
        <v>#DIV/0!</v>
      </c>
      <c r="AV351"/>
      <c r="AW351"/>
      <c r="FY351" s="210">
        <v>346</v>
      </c>
      <c r="FZ351">
        <v>1.9098907178579547</v>
      </c>
      <c r="GA351">
        <v>9.2375103526553755</v>
      </c>
      <c r="GB351">
        <v>3.4846856056345743</v>
      </c>
      <c r="GC351">
        <v>1.1346312325477905</v>
      </c>
      <c r="GD351">
        <v>1.084612616363936</v>
      </c>
      <c r="GE351">
        <v>1.904693357078308</v>
      </c>
      <c r="GF351">
        <v>2.8001976698748652</v>
      </c>
      <c r="GG351">
        <v>1.4707162327834462</v>
      </c>
      <c r="GH351">
        <v>0.70738270544372439</v>
      </c>
      <c r="GI351">
        <v>4.280597923565554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6.3315972222222223</v>
      </c>
      <c r="AO352">
        <v>15.565838258542067</v>
      </c>
      <c r="AP352">
        <v>105.39247241403618</v>
      </c>
      <c r="AQ352">
        <v>25.704197545987149</v>
      </c>
      <c r="AR352">
        <v>14.85474023287698</v>
      </c>
      <c r="AS352">
        <v>111.91717513621765</v>
      </c>
      <c r="AT352" t="e">
        <v>#DIV/0!</v>
      </c>
      <c r="AU352" t="e">
        <v>#DIV/0!</v>
      </c>
      <c r="AV352"/>
      <c r="AW352"/>
      <c r="FY352" s="210">
        <v>347</v>
      </c>
      <c r="FZ352">
        <v>4.8527368558023731</v>
      </c>
      <c r="GA352">
        <v>12.760732932443645</v>
      </c>
      <c r="GB352">
        <v>5.3213047580157662</v>
      </c>
      <c r="GC352">
        <v>0.65373848785862443</v>
      </c>
      <c r="GD352">
        <v>0.74847706280351933</v>
      </c>
      <c r="GE352">
        <v>2.2447134096360171</v>
      </c>
      <c r="GF352">
        <v>5.3541444029738399</v>
      </c>
      <c r="GG352">
        <v>3.4091499355874602</v>
      </c>
      <c r="GH352">
        <v>0.70738270544372439</v>
      </c>
      <c r="GI352">
        <v>4.6755825336979946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11.405090161064425</v>
      </c>
      <c r="AO353">
        <v>8.5686298112062325</v>
      </c>
      <c r="AP353">
        <v>76.39337804129174</v>
      </c>
      <c r="AQ353">
        <v>42.350689424172785</v>
      </c>
      <c r="AR353">
        <v>8.9276548911478883</v>
      </c>
      <c r="AS353">
        <v>67.322513428243909</v>
      </c>
      <c r="AT353">
        <v>4.4347113353888616</v>
      </c>
      <c r="AU353">
        <v>-8.4757994084612491</v>
      </c>
      <c r="AV353"/>
      <c r="AW353"/>
      <c r="FY353" s="210">
        <v>348</v>
      </c>
      <c r="FZ353">
        <v>4.0856217140275888</v>
      </c>
      <c r="GA353">
        <v>3.4697466669706492</v>
      </c>
      <c r="GB353">
        <v>0.20585847002329485</v>
      </c>
      <c r="GC353">
        <v>0.18274240326922697</v>
      </c>
      <c r="GD353">
        <v>0.25080335444594515</v>
      </c>
      <c r="GE353">
        <v>1.0191975893772345</v>
      </c>
      <c r="GF353">
        <v>1.3931084368759987</v>
      </c>
      <c r="GG353">
        <v>0.42416298142568709</v>
      </c>
      <c r="GH353">
        <v>0.23579423514790807</v>
      </c>
      <c r="GI353">
        <v>1.3748444734432108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8.3556547619047628</v>
      </c>
      <c r="AO354">
        <v>17.315138753554798</v>
      </c>
      <c r="AP354">
        <v>147.93881392426221</v>
      </c>
      <c r="AQ354">
        <v>33.867879967546813</v>
      </c>
      <c r="AR354">
        <v>16.081178455482998</v>
      </c>
      <c r="AS354">
        <v>75.059361516112546</v>
      </c>
      <c r="AT354" t="e">
        <v>#DIV/0!</v>
      </c>
      <c r="AU354" t="e">
        <v>#DIV/0!</v>
      </c>
      <c r="AV354"/>
      <c r="AW354"/>
      <c r="FY354" s="210">
        <v>349</v>
      </c>
      <c r="FZ354">
        <v>11.950589933046359</v>
      </c>
      <c r="GA354">
        <v>15.245767892547814</v>
      </c>
      <c r="GB354">
        <v>2.67698869370304</v>
      </c>
      <c r="GC354">
        <v>0.43890310196304538</v>
      </c>
      <c r="GD354">
        <v>0.96400518069109797</v>
      </c>
      <c r="GE354">
        <v>2.4069144139963048</v>
      </c>
      <c r="GF354">
        <v>4.1914157587658245</v>
      </c>
      <c r="GG354">
        <v>2.6796696653298739</v>
      </c>
      <c r="GH354">
        <v>0.40861888541082891</v>
      </c>
      <c r="GI354">
        <v>5.8364077522504614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11.17703956582633</v>
      </c>
      <c r="AO355">
        <v>31.92805454310578</v>
      </c>
      <c r="AP355">
        <v>283.12688368741982</v>
      </c>
      <c r="AQ355">
        <v>68.374405172174676</v>
      </c>
      <c r="AR355">
        <v>30.608727909030833</v>
      </c>
      <c r="AS355">
        <v>123.85461962990873</v>
      </c>
      <c r="AT355" t="e">
        <v>#DIV/0!</v>
      </c>
      <c r="AU355" t="e">
        <v>#DIV/0!</v>
      </c>
      <c r="AV355"/>
      <c r="AW355"/>
      <c r="FY355" s="210">
        <v>350</v>
      </c>
      <c r="FZ355">
        <v>5.009606796789833</v>
      </c>
      <c r="GA355">
        <v>10.485381727435598</v>
      </c>
      <c r="GB355">
        <v>2.8450902813679217</v>
      </c>
      <c r="GC355">
        <v>0.40002339064482684</v>
      </c>
      <c r="GD355">
        <v>0.84945901078651898</v>
      </c>
      <c r="GE355">
        <v>2.3078258810134846</v>
      </c>
      <c r="GF355">
        <v>5.3710532726374902</v>
      </c>
      <c r="GG355">
        <v>4.0437716100688981</v>
      </c>
      <c r="GH355">
        <v>0.81723777082165783</v>
      </c>
      <c r="GI355">
        <v>5.1982455328638455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7.8646854575163374</v>
      </c>
      <c r="AO356">
        <v>19.316410476065226</v>
      </c>
      <c r="AP356">
        <v>137.36921210103125</v>
      </c>
      <c r="AQ356">
        <v>30.904004785732258</v>
      </c>
      <c r="AR356">
        <v>17.957568574872958</v>
      </c>
      <c r="AS356">
        <v>75.321296206387501</v>
      </c>
      <c r="AT356">
        <v>8.0006038864547033</v>
      </c>
      <c r="AU356">
        <v>-36.805163290180211</v>
      </c>
      <c r="AV356"/>
      <c r="AW356"/>
      <c r="FY356" s="210">
        <v>351</v>
      </c>
      <c r="FZ356">
        <v>7.6982866627681936</v>
      </c>
      <c r="GA356">
        <v>18.349895679446821</v>
      </c>
      <c r="GB356">
        <v>5.6376448638703165</v>
      </c>
      <c r="GC356">
        <v>0.56948617987981809</v>
      </c>
      <c r="GD356">
        <v>0.93950839132157016</v>
      </c>
      <c r="GE356">
        <v>2.13665990957031</v>
      </c>
      <c r="GF356">
        <v>2.2580566904241137</v>
      </c>
      <c r="GG356">
        <v>0.91863743129698849</v>
      </c>
      <c r="GH356">
        <v>0.58144353567374973</v>
      </c>
      <c r="GI356">
        <v>5.0523087772718123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11.127312383286647</v>
      </c>
      <c r="AO357">
        <v>17.830544896763559</v>
      </c>
      <c r="AP357">
        <v>117.3792457323859</v>
      </c>
      <c r="AQ357">
        <v>31.159264284923786</v>
      </c>
      <c r="AR357">
        <v>17.481483091374258</v>
      </c>
      <c r="AS357">
        <v>77.561679633753215</v>
      </c>
      <c r="AT357">
        <v>9.4059031472016699</v>
      </c>
      <c r="AU357">
        <v>-117.41900954740075</v>
      </c>
      <c r="AV357"/>
      <c r="AW357"/>
      <c r="FY357" s="210">
        <v>352</v>
      </c>
      <c r="FZ357">
        <v>4.9798333000007098</v>
      </c>
      <c r="GA357">
        <v>13.683824441086943</v>
      </c>
      <c r="GB357">
        <v>5.0329499689584098</v>
      </c>
      <c r="GC357">
        <v>1.1603484409110567</v>
      </c>
      <c r="GD357">
        <v>1.2063231535253567</v>
      </c>
      <c r="GE357">
        <v>1.3357900948417782</v>
      </c>
      <c r="GF357">
        <v>0.78058187912918031</v>
      </c>
      <c r="GG357">
        <v>0.1769257564900365</v>
      </c>
      <c r="GH357">
        <v>0.58144353567374973</v>
      </c>
      <c r="GI357">
        <v>3.572029443980735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12.397029645191411</v>
      </c>
      <c r="AO358">
        <v>18.593020459041266</v>
      </c>
      <c r="AP358">
        <v>148.5263331489258</v>
      </c>
      <c r="AQ358">
        <v>27.143469082124675</v>
      </c>
      <c r="AR358">
        <v>17.698261761883924</v>
      </c>
      <c r="AS358">
        <v>90.509981368602539</v>
      </c>
      <c r="AT358">
        <v>10.649160264114087</v>
      </c>
      <c r="AU358">
        <v>-94.462307362009895</v>
      </c>
      <c r="AV358"/>
      <c r="AW358"/>
      <c r="FY358" s="210">
        <v>353</v>
      </c>
      <c r="FZ358">
        <v>12.244367933495276</v>
      </c>
      <c r="GA358">
        <v>7.1614967906082807</v>
      </c>
      <c r="GB358">
        <v>0.87793292714944848</v>
      </c>
      <c r="GC358">
        <v>0.57163793801034157</v>
      </c>
      <c r="GD358">
        <v>0.43056377754588343</v>
      </c>
      <c r="GE358">
        <v>1.0946100356021902</v>
      </c>
      <c r="GF358">
        <v>2.80937098667673</v>
      </c>
      <c r="GG358">
        <v>1.1871761882489873</v>
      </c>
      <c r="GH358">
        <v>0.3456493005258417</v>
      </c>
      <c r="GI358">
        <v>3.6675620795985404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10.151041666666666</v>
      </c>
      <c r="AO359">
        <v>22.357850358882466</v>
      </c>
      <c r="AP359">
        <v>180.86603221069581</v>
      </c>
      <c r="AQ359">
        <v>40.369362046490387</v>
      </c>
      <c r="AR359">
        <v>20.691347651170428</v>
      </c>
      <c r="AS359">
        <v>88.738156103684773</v>
      </c>
      <c r="AT359" t="e">
        <v>#DIV/0!</v>
      </c>
      <c r="AU359" t="e">
        <v>#DIV/0!</v>
      </c>
      <c r="AV359"/>
      <c r="AW359"/>
      <c r="FY359" s="210">
        <v>354</v>
      </c>
      <c r="FZ359">
        <v>4.4250565510183559</v>
      </c>
      <c r="GA359">
        <v>21.326334936431184</v>
      </c>
      <c r="GB359">
        <v>7.4290894230674391</v>
      </c>
      <c r="GC359">
        <v>0.25078189807610951</v>
      </c>
      <c r="GD359">
        <v>0.51845139940529683</v>
      </c>
      <c r="GE359">
        <v>2.0895132191103287</v>
      </c>
      <c r="GF359">
        <v>6.6440297334782663</v>
      </c>
      <c r="GG359">
        <v>4.9133991049366212</v>
      </c>
      <c r="GH359">
        <v>0.88020735570664521</v>
      </c>
      <c r="GI359">
        <v>6.381295612324303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7.2284007352941178</v>
      </c>
      <c r="AO360">
        <v>18.039938813293798</v>
      </c>
      <c r="AP360">
        <v>132.57097486575623</v>
      </c>
      <c r="AQ360">
        <v>27.630091089847365</v>
      </c>
      <c r="AR360">
        <v>16.739273733821079</v>
      </c>
      <c r="AS360">
        <v>71.062962757537662</v>
      </c>
      <c r="AT360">
        <v>8.6012786112556281</v>
      </c>
      <c r="AU360">
        <v>-3.9624897450267147</v>
      </c>
      <c r="AV360"/>
      <c r="AW360"/>
      <c r="FY360" s="210">
        <v>355</v>
      </c>
      <c r="FZ360">
        <v>7.4953795091999957</v>
      </c>
      <c r="GA360">
        <v>2.6947631952093558</v>
      </c>
      <c r="GB360">
        <v>0.32325521841210242</v>
      </c>
      <c r="GC360">
        <v>0.71679144695622399</v>
      </c>
      <c r="GD360">
        <v>1.0020326985405106</v>
      </c>
      <c r="GE360">
        <v>1.8199033236041404</v>
      </c>
      <c r="GF360">
        <v>4.9557775925456671</v>
      </c>
      <c r="GG360">
        <v>3.5710744044950373</v>
      </c>
      <c r="GH360">
        <v>0</v>
      </c>
      <c r="GI360">
        <v>4.6861193889609236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11.134548611111111</v>
      </c>
      <c r="AO361">
        <v>16.134601031554446</v>
      </c>
      <c r="AP361">
        <v>138.55974846765241</v>
      </c>
      <c r="AQ361">
        <v>40.967651843517253</v>
      </c>
      <c r="AR361">
        <v>15.376868031191901</v>
      </c>
      <c r="AS361">
        <v>92.90528050407454</v>
      </c>
      <c r="AT361" t="e">
        <v>#DIV/0!</v>
      </c>
      <c r="AU361" t="e">
        <v>#DIV/0!</v>
      </c>
      <c r="AV361"/>
      <c r="AW361"/>
      <c r="FY361" s="210">
        <v>356</v>
      </c>
      <c r="FZ361">
        <v>5.7465680657366089</v>
      </c>
      <c r="GA361">
        <v>17.227466527842569</v>
      </c>
      <c r="GB361">
        <v>5.7026909682270048</v>
      </c>
      <c r="GC361">
        <v>1.1637910160364544</v>
      </c>
      <c r="GD361">
        <v>1.257679346342313</v>
      </c>
      <c r="GE361">
        <v>1.6194930068008717</v>
      </c>
      <c r="GF361">
        <v>3.5023465740267401</v>
      </c>
      <c r="GG361">
        <v>2.2555066839041871</v>
      </c>
      <c r="GH361">
        <v>0.51847395078876257</v>
      </c>
      <c r="GI361">
        <v>6.0537763025504141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11.817460317460318</v>
      </c>
      <c r="AO362">
        <v>17.645769799687276</v>
      </c>
      <c r="AP362">
        <v>142.63547149701111</v>
      </c>
      <c r="AQ362">
        <v>28.014918413805532</v>
      </c>
      <c r="AR362">
        <v>16.378728958754103</v>
      </c>
      <c r="AS362">
        <v>90.324314684211217</v>
      </c>
      <c r="AT362" t="e">
        <v>#DIV/0!</v>
      </c>
      <c r="AU362" t="e">
        <v>#DIV/0!</v>
      </c>
      <c r="AV362"/>
      <c r="AW362"/>
      <c r="FY362" s="210">
        <v>357</v>
      </c>
      <c r="FZ362">
        <v>6.2195248310235947</v>
      </c>
      <c r="GA362">
        <v>13.482240491387318</v>
      </c>
      <c r="GB362">
        <v>3.2740723812584762</v>
      </c>
      <c r="GC362">
        <v>1.0988018314465435</v>
      </c>
      <c r="GD362">
        <v>0.80737047369338077</v>
      </c>
      <c r="GE362">
        <v>0.68626370387661084</v>
      </c>
      <c r="GF362">
        <v>1.524561175338017</v>
      </c>
      <c r="GG362">
        <v>0.84832596285137418</v>
      </c>
      <c r="GH362">
        <v>0.81723777082165783</v>
      </c>
      <c r="GI362">
        <v>4.0740121946129477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11.626488095238095</v>
      </c>
      <c r="AO363">
        <v>14.904910750973059</v>
      </c>
      <c r="AP363">
        <v>132.15521581839226</v>
      </c>
      <c r="AQ363">
        <v>40.727963084262967</v>
      </c>
      <c r="AR363">
        <v>14.295176053423409</v>
      </c>
      <c r="AS363">
        <v>82.900760762855001</v>
      </c>
      <c r="AT363" t="e">
        <v>#DIV/0!</v>
      </c>
      <c r="AU363" t="e">
        <v>#DIV/0!</v>
      </c>
      <c r="AV363"/>
      <c r="AW363"/>
      <c r="FY363" s="210">
        <v>358</v>
      </c>
      <c r="FZ363">
        <v>11.892878714120002</v>
      </c>
      <c r="GA363">
        <v>13.63034852826932</v>
      </c>
      <c r="GB363">
        <v>3.1704939028041745</v>
      </c>
      <c r="GC363">
        <v>0.53903557939628</v>
      </c>
      <c r="GD363">
        <v>0.7205407426039494</v>
      </c>
      <c r="GE363">
        <v>1.6217991345406464</v>
      </c>
      <c r="GF363">
        <v>5.3518055623236815</v>
      </c>
      <c r="GG363">
        <v>4.1721631424107617</v>
      </c>
      <c r="GH363">
        <v>0.64441312055873701</v>
      </c>
      <c r="GI363">
        <v>5.7576919431253479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5.3669394841269842</v>
      </c>
      <c r="AO364">
        <v>11.433517294392161</v>
      </c>
      <c r="AP364">
        <v>75.638170037718851</v>
      </c>
      <c r="AQ364">
        <v>12.641880325006746</v>
      </c>
      <c r="AR364">
        <v>10.645870635013161</v>
      </c>
      <c r="AS364">
        <v>44.21720296788078</v>
      </c>
      <c r="AT364" t="e">
        <v>#DIV/0!</v>
      </c>
      <c r="AU364" t="e">
        <v>#DIV/0!</v>
      </c>
      <c r="AV364"/>
      <c r="AW364"/>
      <c r="FY364" s="210">
        <v>359</v>
      </c>
      <c r="FZ364">
        <v>6.9406027602176419</v>
      </c>
      <c r="GA364">
        <v>12.308581733704118</v>
      </c>
      <c r="GB364">
        <v>3.1903654139767923</v>
      </c>
      <c r="GC364">
        <v>1.0540746432833927</v>
      </c>
      <c r="GD364">
        <v>1.2371360041385482</v>
      </c>
      <c r="GE364">
        <v>2.0731136697197505</v>
      </c>
      <c r="GF364">
        <v>3.919448506697579</v>
      </c>
      <c r="GG364">
        <v>2.3040409080523605</v>
      </c>
      <c r="GH364">
        <v>0.23579423514790807</v>
      </c>
      <c r="GI364">
        <v>4.2263533403143976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11.082319386087768</v>
      </c>
      <c r="AO365">
        <v>22.99370474764067</v>
      </c>
      <c r="AP365">
        <v>204.4828950715912</v>
      </c>
      <c r="AQ365">
        <v>46.799281277704651</v>
      </c>
      <c r="AR365">
        <v>22.324764687081434</v>
      </c>
      <c r="AS365">
        <v>121.3597351115616</v>
      </c>
      <c r="AT365">
        <v>11.907952896340085</v>
      </c>
      <c r="AU365">
        <v>7.2927583772493865</v>
      </c>
      <c r="AV365"/>
      <c r="AW365"/>
      <c r="FY365" s="210">
        <v>360</v>
      </c>
      <c r="FZ365">
        <v>11.46557878537487</v>
      </c>
      <c r="GA365">
        <v>25.217422703029769</v>
      </c>
      <c r="GB365">
        <v>8.2221925733252679</v>
      </c>
      <c r="GC365">
        <v>0.46049471575267797</v>
      </c>
      <c r="GD365">
        <v>0.6751481236592991</v>
      </c>
      <c r="GE365">
        <v>1.6870105965473106</v>
      </c>
      <c r="GF365">
        <v>2.5178358392779119</v>
      </c>
      <c r="GG365">
        <v>1.1871761882489873</v>
      </c>
      <c r="GH365">
        <v>0.17282465026292085</v>
      </c>
      <c r="GI365">
        <v>6.1114834619757605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9.6338848039215677</v>
      </c>
      <c r="AO366">
        <v>18.204348812315111</v>
      </c>
      <c r="AP366">
        <v>124.29007330452701</v>
      </c>
      <c r="AQ366">
        <v>37.32769527443007</v>
      </c>
      <c r="AR366">
        <v>16.896302583451167</v>
      </c>
      <c r="AS366">
        <v>81.198536641655892</v>
      </c>
      <c r="AT366">
        <v>7.9794120982271801</v>
      </c>
      <c r="AU366">
        <v>-37.419288342858863</v>
      </c>
      <c r="AV366"/>
      <c r="AW366"/>
      <c r="FY366" s="210">
        <v>361</v>
      </c>
      <c r="FZ366">
        <v>5.6311456278838934</v>
      </c>
      <c r="GA366">
        <v>9.3629525758313488</v>
      </c>
      <c r="GB366">
        <v>2.7867742347353772</v>
      </c>
      <c r="GC366">
        <v>0.55348889934610646</v>
      </c>
      <c r="GD366">
        <v>0.72321653917917494</v>
      </c>
      <c r="GE366">
        <v>1.5696501549072295</v>
      </c>
      <c r="GF366">
        <v>3.1940140986219268</v>
      </c>
      <c r="GG366">
        <v>2.1638936834422244</v>
      </c>
      <c r="GH366">
        <v>0.64441312055873701</v>
      </c>
      <c r="GI366">
        <v>3.841949640829224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10.8812806372549</v>
      </c>
      <c r="AO367">
        <v>22.489729304896876</v>
      </c>
      <c r="AP367">
        <v>207.97742833538467</v>
      </c>
      <c r="AQ367">
        <v>44.141928121523691</v>
      </c>
      <c r="AR367">
        <v>21.343495809089454</v>
      </c>
      <c r="AS367">
        <v>94.421682594900872</v>
      </c>
      <c r="AT367">
        <v>11.932261138736587</v>
      </c>
      <c r="AU367">
        <v>-115.71309949128833</v>
      </c>
      <c r="AV367"/>
      <c r="AW367"/>
      <c r="FY367" s="210">
        <v>362</v>
      </c>
      <c r="FZ367">
        <v>4.9104480747287322</v>
      </c>
      <c r="GA367">
        <v>1.5723340436051065</v>
      </c>
      <c r="GB367">
        <v>0.65126519117700821</v>
      </c>
      <c r="GC367">
        <v>0.51816887423256885</v>
      </c>
      <c r="GD367">
        <v>0.55877943088958415</v>
      </c>
      <c r="GE367">
        <v>1.0885875383903554</v>
      </c>
      <c r="GF367">
        <v>4.3757990581185231</v>
      </c>
      <c r="GG367">
        <v>3.6196086286432112</v>
      </c>
      <c r="GH367">
        <v>0.58144353567374973</v>
      </c>
      <c r="GI367">
        <v>3.3082749160276492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11.496732026143791</v>
      </c>
      <c r="AO368">
        <v>19.443853708316272</v>
      </c>
      <c r="AP368">
        <v>152.37922116730741</v>
      </c>
      <c r="AQ368">
        <v>32.510050014597951</v>
      </c>
      <c r="AR368">
        <v>18.503686975347719</v>
      </c>
      <c r="AS368">
        <v>84.866839864061745</v>
      </c>
      <c r="AT368" t="e">
        <v>#DIV/0!</v>
      </c>
      <c r="AU368" t="e">
        <v>#DIV/0!</v>
      </c>
      <c r="AV368"/>
      <c r="AW368"/>
      <c r="FY368" s="210">
        <v>363</v>
      </c>
      <c r="FZ368">
        <v>6.8919401685494392</v>
      </c>
      <c r="GA368">
        <v>7.1614967906082807</v>
      </c>
      <c r="GB368">
        <v>0.82800357961257443</v>
      </c>
      <c r="GC368">
        <v>1.4239225872738244</v>
      </c>
      <c r="GD368">
        <v>1.810001433385577</v>
      </c>
      <c r="GE368">
        <v>2.5406015281248182</v>
      </c>
      <c r="GF368">
        <v>3.5421974155046301</v>
      </c>
      <c r="GG368">
        <v>1.8798779266266734</v>
      </c>
      <c r="GH368">
        <v>0</v>
      </c>
      <c r="GI368">
        <v>4.9355296086785376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6.6651348039215694</v>
      </c>
      <c r="AO369">
        <v>22.401846479523364</v>
      </c>
      <c r="AP369">
        <v>187.41467950290775</v>
      </c>
      <c r="AQ369">
        <v>30.390367957461521</v>
      </c>
      <c r="AR369">
        <v>22.105821110353659</v>
      </c>
      <c r="AS369">
        <v>83.140149462792863</v>
      </c>
      <c r="AT369">
        <v>14.21015041713987</v>
      </c>
      <c r="AU369">
        <v>-95.665533197087356</v>
      </c>
      <c r="AV369"/>
      <c r="AW369"/>
      <c r="FY369" s="210">
        <v>364</v>
      </c>
      <c r="FZ369">
        <v>4.7648717640480074</v>
      </c>
      <c r="GA369">
        <v>17.122443811633957</v>
      </c>
      <c r="GB369">
        <v>5.1789522454862418</v>
      </c>
      <c r="GC369">
        <v>0.30282411234928036</v>
      </c>
      <c r="GD369">
        <v>0.39365616772273804</v>
      </c>
      <c r="GE369">
        <v>0.9006528591971279</v>
      </c>
      <c r="GF369">
        <v>1.5334143071231174</v>
      </c>
      <c r="GG369">
        <v>1.165874656232639</v>
      </c>
      <c r="GH369">
        <v>0.40861888541082891</v>
      </c>
      <c r="GI369">
        <v>5.585490157290697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14.035196370214754</v>
      </c>
      <c r="AO370">
        <v>22.154849744724615</v>
      </c>
      <c r="AP370">
        <v>186.76395147209263</v>
      </c>
      <c r="AQ370">
        <v>54.858159233554545</v>
      </c>
      <c r="AR370">
        <v>20.514628284003546</v>
      </c>
      <c r="AS370">
        <v>121.36844559171132</v>
      </c>
      <c r="AT370">
        <v>10.128933755897311</v>
      </c>
      <c r="AU370">
        <v>15.10290191798877</v>
      </c>
      <c r="AV370"/>
      <c r="AW370"/>
      <c r="FY370" s="210">
        <v>365</v>
      </c>
      <c r="FZ370">
        <v>6.2892904323344574</v>
      </c>
      <c r="GA370">
        <v>12.330948833786637</v>
      </c>
      <c r="GB370">
        <v>3.8170921782660656</v>
      </c>
      <c r="GC370">
        <v>0.8609669036871741</v>
      </c>
      <c r="GD370">
        <v>0.97299061971586664</v>
      </c>
      <c r="GE370">
        <v>1.3744324975875972</v>
      </c>
      <c r="GF370">
        <v>2.5724257657308995</v>
      </c>
      <c r="GG370">
        <v>1.8585763946103251</v>
      </c>
      <c r="GH370">
        <v>0.23579423514790807</v>
      </c>
      <c r="GI370">
        <v>4.2322173063657598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8.9392361111111107</v>
      </c>
      <c r="AO371">
        <v>24.095127026199201</v>
      </c>
      <c r="AP371">
        <v>190.3698048736567</v>
      </c>
      <c r="AQ371">
        <v>27.265096777923958</v>
      </c>
      <c r="AR371">
        <v>23.210923378144901</v>
      </c>
      <c r="AS371">
        <v>98.256949437232294</v>
      </c>
      <c r="AT371" t="e">
        <v>#DIV/0!</v>
      </c>
      <c r="AU371" t="e">
        <v>#DIV/0!</v>
      </c>
      <c r="AV371"/>
      <c r="AW371"/>
      <c r="FY371" s="210">
        <v>366</v>
      </c>
      <c r="FZ371">
        <v>4.8644108621479933</v>
      </c>
      <c r="GA371">
        <v>18.623128742192751</v>
      </c>
      <c r="GB371">
        <v>6.2736960820317886</v>
      </c>
      <c r="GC371">
        <v>0.28966160939432806</v>
      </c>
      <c r="GD371">
        <v>0.94534039943684278</v>
      </c>
      <c r="GE371">
        <v>2.3997700775847206</v>
      </c>
      <c r="GF371">
        <v>2.9027991362398735</v>
      </c>
      <c r="GG371">
        <v>1.5628049455265007</v>
      </c>
      <c r="GH371">
        <v>0.51847395078876257</v>
      </c>
      <c r="GI371">
        <v>5.5770725877160858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4.2074249396425957E-4</v>
      </c>
      <c r="H372" s="59">
        <f t="shared" ref="H372:AK372" si="357">+H36</f>
        <v>2.6975999960000001E-3</v>
      </c>
      <c r="I372" s="59">
        <f t="shared" si="357"/>
        <v>1.729572325783988E-2</v>
      </c>
      <c r="J372" s="59">
        <f t="shared" si="357"/>
        <v>5.1283865773496855E-2</v>
      </c>
      <c r="K372" s="59">
        <f t="shared" si="357"/>
        <v>0.11089192002348423</v>
      </c>
      <c r="L372" s="59">
        <f t="shared" si="357"/>
        <v>0.20168954067263015</v>
      </c>
      <c r="M372" s="59">
        <f t="shared" si="357"/>
        <v>0.32880766285803609</v>
      </c>
      <c r="N372" s="59">
        <f t="shared" si="357"/>
        <v>0.49705446562765726</v>
      </c>
      <c r="O372" s="59">
        <f t="shared" si="357"/>
        <v>0.71098604800587151</v>
      </c>
      <c r="P372" s="59">
        <f t="shared" si="357"/>
        <v>0.97495362269196928</v>
      </c>
      <c r="Q372" s="59">
        <f t="shared" si="357"/>
        <v>1.2931370420548645</v>
      </c>
      <c r="R372" s="59">
        <f t="shared" si="357"/>
        <v>1.6695697117709549</v>
      </c>
      <c r="S372" s="59">
        <f t="shared" si="357"/>
        <v>2.1081577514391845</v>
      </c>
      <c r="T372" s="59">
        <f t="shared" si="357"/>
        <v>2.6126951356643624</v>
      </c>
      <c r="U372" s="59">
        <f t="shared" si="357"/>
        <v>3.186875924642997</v>
      </c>
      <c r="V372" s="59">
        <f t="shared" si="357"/>
        <v>3.8343043249965225</v>
      </c>
      <c r="W372" s="59">
        <f t="shared" si="357"/>
        <v>4.558503093389989</v>
      </c>
      <c r="X372" s="59">
        <f t="shared" si="357"/>
        <v>5.3629206481954421</v>
      </c>
      <c r="Y372" s="59">
        <f t="shared" si="357"/>
        <v>6.2509371561063425</v>
      </c>
      <c r="Z372" s="59">
        <f t="shared" si="357"/>
        <v>7.2258697929900224</v>
      </c>
      <c r="AA372" s="59">
        <f t="shared" si="357"/>
        <v>8.2909773305925594</v>
      </c>
      <c r="AB372" s="59">
        <f t="shared" si="357"/>
        <v>9.4494641663567052</v>
      </c>
      <c r="AC372" s="59">
        <f t="shared" si="357"/>
        <v>10.70448388837481</v>
      </c>
      <c r="AD372" s="59">
        <f t="shared" si="357"/>
        <v>12.05914244863688</v>
      </c>
      <c r="AE372" s="59">
        <f t="shared" si="357"/>
        <v>13.516501003420878</v>
      </c>
      <c r="AF372" s="59">
        <f t="shared" si="357"/>
        <v>15.079578468659118</v>
      </c>
      <c r="AG372" s="59">
        <f t="shared" si="357"/>
        <v>16.751353829537599</v>
      </c>
      <c r="AH372" s="59">
        <f t="shared" si="357"/>
        <v>18.534768236824771</v>
      </c>
      <c r="AI372" s="59">
        <f t="shared" si="357"/>
        <v>20.432726917048022</v>
      </c>
      <c r="AJ372" s="59">
        <f t="shared" si="357"/>
        <v>22.448100919312303</v>
      </c>
      <c r="AK372" s="59">
        <f t="shared" si="357"/>
        <v>24.583728718050597</v>
      </c>
      <c r="AL372" s="78"/>
      <c r="AM372" s="43">
        <v>356</v>
      </c>
      <c r="AN372">
        <v>14.053877801120446</v>
      </c>
      <c r="AO372">
        <v>18.945859320375199</v>
      </c>
      <c r="AP372">
        <v>147.8959685079258</v>
      </c>
      <c r="AQ372">
        <v>45.047792442255925</v>
      </c>
      <c r="AR372">
        <v>18.032121365773541</v>
      </c>
      <c r="AS372">
        <v>98.280904623103169</v>
      </c>
      <c r="AT372">
        <v>8.761036285743339</v>
      </c>
      <c r="AU372">
        <v>-142.01398374444881</v>
      </c>
      <c r="AV372"/>
      <c r="AW372"/>
      <c r="FY372" s="210">
        <v>367</v>
      </c>
      <c r="FZ372">
        <v>1.0854447331956976</v>
      </c>
      <c r="GA372">
        <v>8.0638515949721761</v>
      </c>
      <c r="GB372">
        <v>3.1392254181922956</v>
      </c>
      <c r="GC372">
        <v>0.29744531173157152</v>
      </c>
      <c r="GD372">
        <v>0.76947362376066453</v>
      </c>
      <c r="GE372">
        <v>2.1151258700505942</v>
      </c>
      <c r="GF372">
        <v>7.3425934280651308</v>
      </c>
      <c r="GG372">
        <v>5.5697980237154994</v>
      </c>
      <c r="GH372">
        <v>0.3456493005258417</v>
      </c>
      <c r="GI372">
        <v>4.7015156536057541</v>
      </c>
      <c r="GJ372"/>
      <c r="GK372"/>
      <c r="GL372"/>
      <c r="GM372"/>
    </row>
    <row r="373" spans="1:195" s="7" customFormat="1">
      <c r="A373" s="95"/>
      <c r="B373" s="71">
        <f t="shared" ref="B373:B378" si="358">+C4</f>
        <v>39646</v>
      </c>
      <c r="C373" s="18">
        <f t="shared" ref="C373:C382" si="359">+D70</f>
        <v>4.1666666666666661</v>
      </c>
      <c r="D373" s="18">
        <f t="shared" ref="D373:D382" si="360">SUM(G373:AK373)</f>
        <v>30.545152210168837</v>
      </c>
      <c r="E373" s="19">
        <f t="shared" ref="E373:E382" si="361">IF(C373&lt;1, 0.000001, D373/C373)</f>
        <v>7.3308365304405223</v>
      </c>
      <c r="F373" s="19"/>
      <c r="G373" s="18">
        <f>AVERAGE(E228:E237)*G$372</f>
        <v>0</v>
      </c>
      <c r="H373" s="18">
        <f t="shared" ref="H373:AK373" si="362">AVERAGE(F228:F237)*H$372</f>
        <v>0</v>
      </c>
      <c r="I373" s="18">
        <f t="shared" si="362"/>
        <v>0</v>
      </c>
      <c r="J373" s="18">
        <f t="shared" si="362"/>
        <v>0</v>
      </c>
      <c r="K373" s="18">
        <f t="shared" si="362"/>
        <v>0</v>
      </c>
      <c r="L373" s="18">
        <f t="shared" si="362"/>
        <v>0</v>
      </c>
      <c r="M373" s="18">
        <f t="shared" si="362"/>
        <v>0</v>
      </c>
      <c r="N373" s="18">
        <f t="shared" si="362"/>
        <v>0</v>
      </c>
      <c r="O373" s="18">
        <f t="shared" si="362"/>
        <v>0</v>
      </c>
      <c r="P373" s="18">
        <f t="shared" si="362"/>
        <v>1.0155766903041346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29.529575519864704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14.975154645191409</v>
      </c>
      <c r="AO373">
        <v>16.502683056574856</v>
      </c>
      <c r="AP373">
        <v>120.79650970610773</v>
      </c>
      <c r="AQ373">
        <v>32.832410816309931</v>
      </c>
      <c r="AR373">
        <v>15.439116539555876</v>
      </c>
      <c r="AS373">
        <v>142.45482903201187</v>
      </c>
      <c r="AT373">
        <v>7.2604954964095514</v>
      </c>
      <c r="AU373">
        <v>40.410603331063541</v>
      </c>
      <c r="AV373"/>
      <c r="AW373"/>
      <c r="FY373" s="210">
        <v>368</v>
      </c>
      <c r="FZ373">
        <v>2.718453362767483</v>
      </c>
      <c r="GA373">
        <v>7.9899561751871957</v>
      </c>
      <c r="GB373">
        <v>2.5495594414625176</v>
      </c>
      <c r="GC373">
        <v>0.78457779817409556</v>
      </c>
      <c r="GD373">
        <v>0.88479017179459662</v>
      </c>
      <c r="GE373">
        <v>1.4887840332135991</v>
      </c>
      <c r="GF373">
        <v>2.6262340562388844</v>
      </c>
      <c r="GG373">
        <v>1.4924934770808866</v>
      </c>
      <c r="GH373">
        <v>0.58144353567374973</v>
      </c>
      <c r="GI373">
        <v>3.64823364269381</v>
      </c>
      <c r="GJ373"/>
      <c r="GK373"/>
      <c r="GL373"/>
      <c r="GM373"/>
    </row>
    <row r="374" spans="1:195" s="7" customFormat="1">
      <c r="A374" s="95"/>
      <c r="B374" s="71">
        <f t="shared" si="358"/>
        <v>39673</v>
      </c>
      <c r="C374" s="18">
        <f t="shared" si="359"/>
        <v>5.208333333333333</v>
      </c>
      <c r="D374" s="18">
        <f t="shared" si="360"/>
        <v>32.556964354720535</v>
      </c>
      <c r="E374" s="19">
        <f t="shared" si="361"/>
        <v>6.2509371561063434</v>
      </c>
      <c r="F374" s="19">
        <f>IF(F388&lt;0,0,F388)</f>
        <v>0</v>
      </c>
      <c r="G374" s="18">
        <f>AVERAGE(E238:E247)*G$372</f>
        <v>0</v>
      </c>
      <c r="H374" s="18">
        <f t="shared" ref="H374:AK374" si="363">AVERAGE(F238:F247)*H$372</f>
        <v>0</v>
      </c>
      <c r="I374" s="18">
        <f t="shared" si="363"/>
        <v>0</v>
      </c>
      <c r="J374" s="18">
        <f t="shared" si="363"/>
        <v>0</v>
      </c>
      <c r="K374" s="18">
        <f t="shared" si="363"/>
        <v>0</v>
      </c>
      <c r="L374" s="18">
        <f t="shared" si="363"/>
        <v>0</v>
      </c>
      <c r="M374" s="18">
        <f t="shared" si="363"/>
        <v>0</v>
      </c>
      <c r="N374" s="18">
        <f t="shared" si="363"/>
        <v>0</v>
      </c>
      <c r="O374" s="18">
        <f t="shared" si="363"/>
        <v>0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32.556964354720535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10.847944386087768</v>
      </c>
      <c r="AO374">
        <v>21.061406426524442</v>
      </c>
      <c r="AP374">
        <v>154.1718521567949</v>
      </c>
      <c r="AQ374">
        <v>47.501170370152906</v>
      </c>
      <c r="AR374">
        <v>20.539621716443797</v>
      </c>
      <c r="AS374">
        <v>93.573880010303327</v>
      </c>
      <c r="AT374">
        <v>8.2602152485270164</v>
      </c>
      <c r="AU374">
        <v>-7.5983026948038805</v>
      </c>
      <c r="AV374"/>
      <c r="AW374"/>
      <c r="FY374" s="210">
        <v>369</v>
      </c>
      <c r="FZ374">
        <v>6.6011679232268747</v>
      </c>
      <c r="GA374">
        <v>13.149017626221317</v>
      </c>
      <c r="GB374">
        <v>2.8304965196942158</v>
      </c>
      <c r="GC374">
        <v>0.4845884634035747</v>
      </c>
      <c r="GD374">
        <v>0.5333634673321852</v>
      </c>
      <c r="GE374">
        <v>1.0213396366153831</v>
      </c>
      <c r="GF374">
        <v>3.1517352138998467</v>
      </c>
      <c r="GG374">
        <v>2.4324324403942232</v>
      </c>
      <c r="GH374">
        <v>0.58144353567374973</v>
      </c>
      <c r="GI374">
        <v>3.7859740884915203</v>
      </c>
      <c r="GJ374"/>
      <c r="GK374"/>
      <c r="GL374"/>
      <c r="GM374"/>
    </row>
    <row r="375" spans="1:195" s="7" customFormat="1">
      <c r="A375" s="95"/>
      <c r="B375" s="71">
        <f t="shared" si="358"/>
        <v>39714</v>
      </c>
      <c r="C375" s="18">
        <f t="shared" si="359"/>
        <v>12.5</v>
      </c>
      <c r="D375" s="18">
        <f t="shared" si="360"/>
        <v>35.120379916597045</v>
      </c>
      <c r="E375" s="19">
        <f t="shared" si="361"/>
        <v>2.8096303933277635</v>
      </c>
      <c r="F375" s="19">
        <f>IF(F389&lt;0,0,F389)</f>
        <v>0</v>
      </c>
      <c r="G375" s="18">
        <f>AVERAGE(E248:E257)*G$372</f>
        <v>0</v>
      </c>
      <c r="H375" s="18">
        <f t="shared" ref="H375:AK375" si="364">AVERAGE(F248:F257)*H$372</f>
        <v>0</v>
      </c>
      <c r="I375" s="18">
        <f t="shared" si="364"/>
        <v>0</v>
      </c>
      <c r="J375" s="18">
        <f t="shared" si="364"/>
        <v>0</v>
      </c>
      <c r="K375" s="18">
        <f t="shared" si="364"/>
        <v>0.1155124166911294</v>
      </c>
      <c r="L375" s="18">
        <f t="shared" si="364"/>
        <v>0.21009327153398971</v>
      </c>
      <c r="M375" s="18">
        <f t="shared" si="364"/>
        <v>1.3700319285751501</v>
      </c>
      <c r="N375" s="18">
        <f t="shared" si="364"/>
        <v>0</v>
      </c>
      <c r="O375" s="18">
        <f t="shared" si="364"/>
        <v>0</v>
      </c>
      <c r="P375" s="18">
        <f t="shared" si="364"/>
        <v>0</v>
      </c>
      <c r="Q375" s="18">
        <f t="shared" si="364"/>
        <v>1.3470177521404836</v>
      </c>
      <c r="R375" s="18">
        <f t="shared" si="364"/>
        <v>0</v>
      </c>
      <c r="S375" s="18">
        <f t="shared" si="364"/>
        <v>0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9.4968814445624758</v>
      </c>
      <c r="X375" s="18">
        <f t="shared" si="364"/>
        <v>0</v>
      </c>
      <c r="Y375" s="18">
        <f t="shared" si="364"/>
        <v>0</v>
      </c>
      <c r="Z375" s="18">
        <f t="shared" si="364"/>
        <v>22.580843103093819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0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12.785094246031743</v>
      </c>
      <c r="AO375">
        <v>10.625610025011854</v>
      </c>
      <c r="AP375">
        <v>89.120549735474413</v>
      </c>
      <c r="AQ375">
        <v>37.489511215252485</v>
      </c>
      <c r="AR375">
        <v>10.271652561567244</v>
      </c>
      <c r="AS375">
        <v>76.032537708765716</v>
      </c>
      <c r="AT375" t="e">
        <v>#DIV/0!</v>
      </c>
      <c r="AU375" t="e">
        <v>#DIV/0!</v>
      </c>
      <c r="AV375"/>
      <c r="AW375"/>
      <c r="FY375" s="210">
        <v>370</v>
      </c>
      <c r="FZ375">
        <v>3.5428993474297403</v>
      </c>
      <c r="GA375">
        <v>17.028128884881617</v>
      </c>
      <c r="GB375">
        <v>5.4643533653442091</v>
      </c>
      <c r="GC375">
        <v>0.76104995889215155</v>
      </c>
      <c r="GD375">
        <v>1.3188532799125252</v>
      </c>
      <c r="GE375">
        <v>1.8072488979448253</v>
      </c>
      <c r="GF375">
        <v>2.2634242040678907</v>
      </c>
      <c r="GG375">
        <v>1.6816506381202889</v>
      </c>
      <c r="GH375">
        <v>0</v>
      </c>
      <c r="GI375">
        <v>5.3928135092469036</v>
      </c>
      <c r="GJ375"/>
      <c r="GK375"/>
      <c r="GL375"/>
      <c r="GM375"/>
    </row>
    <row r="376" spans="1:195" s="7" customFormat="1">
      <c r="A376" s="95"/>
      <c r="B376" s="71">
        <f t="shared" si="358"/>
        <v>39747</v>
      </c>
      <c r="C376" s="18">
        <f t="shared" si="359"/>
        <v>11.45833333333333</v>
      </c>
      <c r="D376" s="18">
        <f t="shared" si="360"/>
        <v>13.592547437887234</v>
      </c>
      <c r="E376" s="19">
        <f t="shared" si="361"/>
        <v>1.1862586854883408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0</v>
      </c>
      <c r="I376" s="18">
        <f t="shared" si="365"/>
        <v>0</v>
      </c>
      <c r="J376" s="18">
        <f t="shared" si="365"/>
        <v>0.10684138702811843</v>
      </c>
      <c r="K376" s="18">
        <f t="shared" si="365"/>
        <v>0.92409933352903517</v>
      </c>
      <c r="L376" s="18">
        <f t="shared" si="365"/>
        <v>0</v>
      </c>
      <c r="M376" s="18">
        <f t="shared" si="365"/>
        <v>0</v>
      </c>
      <c r="N376" s="18">
        <f t="shared" si="365"/>
        <v>0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0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12.561606717330081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12.165652719421102</v>
      </c>
      <c r="AO376">
        <v>23.775826538560217</v>
      </c>
      <c r="AP376">
        <v>205.84211052705641</v>
      </c>
      <c r="AQ376">
        <v>57.717167637454779</v>
      </c>
      <c r="AR376">
        <v>23.019345473021424</v>
      </c>
      <c r="AS376">
        <v>106.00864242194851</v>
      </c>
      <c r="AT376">
        <v>12.875292554996017</v>
      </c>
      <c r="AU376">
        <v>-45.957583543553255</v>
      </c>
      <c r="AV376"/>
      <c r="AW376"/>
      <c r="FY376" s="210">
        <v>371</v>
      </c>
      <c r="FZ376">
        <v>0.54272236659784878</v>
      </c>
      <c r="GA376">
        <v>8.0638515949721761</v>
      </c>
      <c r="GB376">
        <v>3.2776164873636571</v>
      </c>
      <c r="GC376">
        <v>0.63623485769182642</v>
      </c>
      <c r="GD376">
        <v>0.84703424802906868</v>
      </c>
      <c r="GE376">
        <v>1.2050807160566068</v>
      </c>
      <c r="GF376">
        <v>2.9197080059035239</v>
      </c>
      <c r="GG376">
        <v>2.905129645968084</v>
      </c>
      <c r="GH376">
        <v>0.88020735570664521</v>
      </c>
      <c r="GI376">
        <v>3.3258010834800995</v>
      </c>
      <c r="GJ376"/>
      <c r="GK376"/>
      <c r="GL376"/>
      <c r="GM376"/>
    </row>
    <row r="377" spans="1:195" s="7" customFormat="1">
      <c r="A377" s="95"/>
      <c r="B377" s="71">
        <f t="shared" si="358"/>
        <v>39775</v>
      </c>
      <c r="C377" s="18">
        <f t="shared" si="359"/>
        <v>22.916666666666664</v>
      </c>
      <c r="D377" s="18">
        <f t="shared" si="360"/>
        <v>4.7788730302245073</v>
      </c>
      <c r="E377" s="19">
        <f t="shared" si="361"/>
        <v>0.2085326413188876</v>
      </c>
      <c r="F377" s="19">
        <f>IF(F391&lt;0,0,F391)</f>
        <v>0</v>
      </c>
      <c r="G377" s="18">
        <f>AVERAGE(E268:E277)*G$372</f>
        <v>0</v>
      </c>
      <c r="H377" s="18">
        <f t="shared" ref="H377:AK377" si="366">AVERAGE(F268:F277)*H$372</f>
        <v>0</v>
      </c>
      <c r="I377" s="18">
        <f t="shared" si="366"/>
        <v>3.6032756787166415E-2</v>
      </c>
      <c r="J377" s="18">
        <f t="shared" si="366"/>
        <v>0.10684138702811843</v>
      </c>
      <c r="K377" s="18">
        <f t="shared" si="366"/>
        <v>0.92409933352903539</v>
      </c>
      <c r="L377" s="18">
        <f t="shared" si="366"/>
        <v>1.6807461722719177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2.0311533806082691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9.2611388305322127</v>
      </c>
      <c r="AO377">
        <v>23.646882850578194</v>
      </c>
      <c r="AP377">
        <v>145.84169491629672</v>
      </c>
      <c r="AQ377">
        <v>30.47149857533525</v>
      </c>
      <c r="AR377">
        <v>22.338520067197237</v>
      </c>
      <c r="AS377">
        <v>90.40576134192311</v>
      </c>
      <c r="AT377">
        <v>10.832411847360786</v>
      </c>
      <c r="AU377">
        <v>-60.552902158084819</v>
      </c>
      <c r="AV377"/>
      <c r="AW377"/>
      <c r="FY377" s="210">
        <v>372</v>
      </c>
      <c r="FZ377">
        <v>5.2917107908931271</v>
      </c>
      <c r="GA377">
        <v>10.758614790181531</v>
      </c>
      <c r="GB377">
        <v>3.428790855497275</v>
      </c>
      <c r="GC377">
        <v>0.67511456901004496</v>
      </c>
      <c r="GD377">
        <v>0.86512066356703055</v>
      </c>
      <c r="GE377">
        <v>1.419648659426398</v>
      </c>
      <c r="GF377">
        <v>4.9012768686867121</v>
      </c>
      <c r="GG377">
        <v>3.9467031617725512</v>
      </c>
      <c r="GH377">
        <v>0.3456493005258417</v>
      </c>
      <c r="GI377">
        <v>5.2962279732092492</v>
      </c>
      <c r="GJ377"/>
      <c r="GK377"/>
      <c r="GL377"/>
      <c r="GM377"/>
    </row>
    <row r="378" spans="1:195" s="7" customFormat="1">
      <c r="A378" s="95"/>
      <c r="B378" s="71">
        <f t="shared" si="358"/>
        <v>39799</v>
      </c>
      <c r="C378" s="18">
        <f t="shared" si="359"/>
        <v>15.624999999999996</v>
      </c>
      <c r="D378" s="18">
        <f t="shared" si="360"/>
        <v>42.881526706769606</v>
      </c>
      <c r="E378" s="19">
        <f t="shared" si="361"/>
        <v>2.7444177092332556</v>
      </c>
      <c r="F378" s="19">
        <f t="shared" ref="F378:F382" si="367">IF(F392&lt;0,0,F392)</f>
        <v>0.10738452589931592</v>
      </c>
      <c r="G378" s="18">
        <f>AVERAGE(E278:E287)*G$372</f>
        <v>0</v>
      </c>
      <c r="H378" s="18">
        <f t="shared" ref="H378:AK378" si="368">AVERAGE(F278:F287)*H$372</f>
        <v>0</v>
      </c>
      <c r="I378" s="18">
        <f t="shared" si="368"/>
        <v>0</v>
      </c>
      <c r="J378" s="18">
        <f t="shared" si="368"/>
        <v>0.10684138702811843</v>
      </c>
      <c r="K378" s="18">
        <f t="shared" si="368"/>
        <v>0.23102483338225879</v>
      </c>
      <c r="L378" s="18">
        <f t="shared" si="368"/>
        <v>1.0504663576699487</v>
      </c>
      <c r="M378" s="18">
        <f t="shared" si="368"/>
        <v>0.34250798214378753</v>
      </c>
      <c r="N378" s="18">
        <f t="shared" si="368"/>
        <v>0</v>
      </c>
      <c r="O378" s="18">
        <f t="shared" si="368"/>
        <v>0.74061046667278274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4.7484407222812379</v>
      </c>
      <c r="X378" s="18">
        <f t="shared" si="368"/>
        <v>0</v>
      </c>
      <c r="Y378" s="18">
        <f t="shared" si="368"/>
        <v>6.511392870944106</v>
      </c>
      <c r="Z378" s="18">
        <f t="shared" si="368"/>
        <v>0</v>
      </c>
      <c r="AA378" s="18">
        <f t="shared" si="368"/>
        <v>0</v>
      </c>
      <c r="AB378" s="18">
        <f t="shared" si="368"/>
        <v>9.8431918399548994</v>
      </c>
      <c r="AC378" s="18">
        <f t="shared" si="368"/>
        <v>0</v>
      </c>
      <c r="AD378" s="18">
        <f t="shared" si="368"/>
        <v>0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19.307050246692466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9.3862409547152197</v>
      </c>
      <c r="AO378">
        <v>14.190442005851036</v>
      </c>
      <c r="AP378">
        <v>114.20853927134324</v>
      </c>
      <c r="AQ378">
        <v>21.184709291486488</v>
      </c>
      <c r="AR378">
        <v>13.763937579123489</v>
      </c>
      <c r="AS378">
        <v>68.266028065357517</v>
      </c>
      <c r="AT378">
        <v>7.575182334684281</v>
      </c>
      <c r="AU378">
        <v>-35.093390129305718</v>
      </c>
      <c r="AV378"/>
      <c r="AW378"/>
      <c r="FY378" s="210">
        <v>373</v>
      </c>
      <c r="FZ378">
        <v>13.496113846902666</v>
      </c>
      <c r="GA378">
        <v>10.306463591442004</v>
      </c>
      <c r="GB378">
        <v>1.4536927953070349</v>
      </c>
      <c r="GC378">
        <v>0.89992611513387721</v>
      </c>
      <c r="GD378">
        <v>0.84001890191116102</v>
      </c>
      <c r="GE378">
        <v>1.2620101402052331</v>
      </c>
      <c r="GF378">
        <v>3.9047762852528924</v>
      </c>
      <c r="GG378">
        <v>2.8080611976717367</v>
      </c>
      <c r="GH378">
        <v>0.23579423514790807</v>
      </c>
      <c r="GI378">
        <v>4.6417135599380437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9">+C10</f>
        <v>39847</v>
      </c>
      <c r="C379" s="18">
        <f t="shared" si="359"/>
        <v>3.90625</v>
      </c>
      <c r="D379" s="18">
        <f t="shared" si="360"/>
        <v>2.0610677191967586</v>
      </c>
      <c r="E379" s="19">
        <f t="shared" si="361"/>
        <v>0.52763333611437024</v>
      </c>
      <c r="F379" s="19">
        <f t="shared" si="367"/>
        <v>0</v>
      </c>
      <c r="G379" s="18">
        <f>AVERAGE(E288:E297)*G$372</f>
        <v>0</v>
      </c>
      <c r="H379" s="18">
        <f t="shared" ref="H379:AK379" si="370">AVERAGE(F288:F297)*H$372</f>
        <v>0</v>
      </c>
      <c r="I379" s="18">
        <f t="shared" si="370"/>
        <v>0</v>
      </c>
      <c r="J379" s="18">
        <f t="shared" si="370"/>
        <v>0</v>
      </c>
      <c r="K379" s="18">
        <f t="shared" si="370"/>
        <v>0.14439052086391174</v>
      </c>
      <c r="L379" s="18">
        <f t="shared" si="370"/>
        <v>0</v>
      </c>
      <c r="M379" s="18">
        <f t="shared" si="370"/>
        <v>0</v>
      </c>
      <c r="N379" s="18">
        <f t="shared" si="370"/>
        <v>0.64720633545267869</v>
      </c>
      <c r="O379" s="18">
        <f t="shared" si="370"/>
        <v>0</v>
      </c>
      <c r="P379" s="18">
        <f t="shared" si="370"/>
        <v>1.2694708628801683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10.032986111111111</v>
      </c>
      <c r="AO379">
        <v>16.684357229851589</v>
      </c>
      <c r="AP379">
        <v>121.76470237392984</v>
      </c>
      <c r="AQ379">
        <v>31.013571038364354</v>
      </c>
      <c r="AR379">
        <v>15.631924138557565</v>
      </c>
      <c r="AS379">
        <v>92.501494191535244</v>
      </c>
      <c r="AT379" t="e">
        <v>#DIV/0!</v>
      </c>
      <c r="AU379" t="e">
        <v>#DIV/0!</v>
      </c>
      <c r="AV379"/>
      <c r="AW379"/>
      <c r="FY379" s="210">
        <v>374</v>
      </c>
      <c r="FZ379">
        <v>8.2044030560095376</v>
      </c>
      <c r="GA379">
        <v>13.704243948054298</v>
      </c>
      <c r="GB379">
        <v>3.8648611675981908</v>
      </c>
      <c r="GC379">
        <v>1.0283574349201263</v>
      </c>
      <c r="GD379">
        <v>0.87046583792336096</v>
      </c>
      <c r="GE379">
        <v>0.88029707265621759</v>
      </c>
      <c r="GF379">
        <v>3.7048653739018249</v>
      </c>
      <c r="GG379">
        <v>2.9269068902655246</v>
      </c>
      <c r="GH379">
        <v>0.75426818593667067</v>
      </c>
      <c r="GI379">
        <v>5.5987116425394561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9"/>
        <v>39910</v>
      </c>
      <c r="C380" s="18">
        <f t="shared" si="359"/>
        <v>4.1666666666666661</v>
      </c>
      <c r="D380" s="18">
        <f t="shared" si="360"/>
        <v>4.567373801914127</v>
      </c>
      <c r="E380" s="19">
        <f t="shared" si="361"/>
        <v>1.0961697124593905</v>
      </c>
      <c r="F380" s="19">
        <f t="shared" si="367"/>
        <v>1.1605963481912741E-2</v>
      </c>
      <c r="G380" s="18">
        <f>AVERAGE(E298:E307)*G$372</f>
        <v>0</v>
      </c>
      <c r="H380" s="18">
        <f t="shared" ref="H380:AK380" si="371">AVERAGE(F298:F307)*H$372</f>
        <v>0</v>
      </c>
      <c r="I380" s="18">
        <f t="shared" si="371"/>
        <v>0</v>
      </c>
      <c r="J380" s="18">
        <f t="shared" si="371"/>
        <v>0</v>
      </c>
      <c r="K380" s="18">
        <f t="shared" si="371"/>
        <v>0</v>
      </c>
      <c r="L380" s="18">
        <f t="shared" si="371"/>
        <v>0</v>
      </c>
      <c r="M380" s="18">
        <f t="shared" si="371"/>
        <v>0</v>
      </c>
      <c r="N380" s="18">
        <f t="shared" si="371"/>
        <v>0</v>
      </c>
      <c r="O380" s="18">
        <f t="shared" si="371"/>
        <v>1.4812209333455655</v>
      </c>
      <c r="P380" s="18">
        <f t="shared" si="371"/>
        <v>0</v>
      </c>
      <c r="Q380" s="18">
        <f t="shared" si="371"/>
        <v>1.3470177521404836</v>
      </c>
      <c r="R380" s="18">
        <f t="shared" si="371"/>
        <v>1.7391351164280777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10.249606092436974</v>
      </c>
      <c r="AO380">
        <v>24.913129115513591</v>
      </c>
      <c r="AP380">
        <v>208.71030727967965</v>
      </c>
      <c r="AQ380">
        <v>37.35679896649463</v>
      </c>
      <c r="AR380">
        <v>23.614476325817716</v>
      </c>
      <c r="AS380">
        <v>138.01207389530867</v>
      </c>
      <c r="AT380">
        <v>12.153873402660617</v>
      </c>
      <c r="AU380">
        <v>-26.001353774462132</v>
      </c>
      <c r="AV380"/>
      <c r="AW380"/>
      <c r="FY380" s="210">
        <v>375</v>
      </c>
      <c r="FZ380">
        <v>1.3094571323337481</v>
      </c>
      <c r="GA380">
        <v>7.0668646665438999</v>
      </c>
      <c r="GB380">
        <v>2.9612763815091068</v>
      </c>
      <c r="GC380">
        <v>0.97696062914439263</v>
      </c>
      <c r="GD380">
        <v>1.0397574314955593</v>
      </c>
      <c r="GE380">
        <v>1.4530923671273606</v>
      </c>
      <c r="GF380">
        <v>6.4386199174843757</v>
      </c>
      <c r="GG380">
        <v>5.2527250426153254</v>
      </c>
      <c r="GH380">
        <v>0</v>
      </c>
      <c r="GI380">
        <v>3.806054904508978</v>
      </c>
      <c r="GJ380"/>
      <c r="GK380"/>
      <c r="GL380"/>
      <c r="GM380"/>
    </row>
    <row r="381" spans="1:195" s="7" customFormat="1">
      <c r="A381" s="1"/>
      <c r="B381" s="71">
        <f t="shared" si="369"/>
        <v>39949</v>
      </c>
      <c r="C381" s="18">
        <f t="shared" si="359"/>
        <v>3.1249999999999996</v>
      </c>
      <c r="D381" s="18">
        <f t="shared" si="360"/>
        <v>22.319620675315974</v>
      </c>
      <c r="E381" s="19">
        <f t="shared" si="361"/>
        <v>7.1422786161011125</v>
      </c>
      <c r="F381" s="19">
        <f t="shared" si="367"/>
        <v>4.8056662453181888E-2</v>
      </c>
      <c r="G381" s="18">
        <f>AVERAGE(E308:E317)*G$372</f>
        <v>0</v>
      </c>
      <c r="H381" s="18">
        <f t="shared" ref="H381:AK381" si="372">AVERAGE(F308:F317)*H$372</f>
        <v>0</v>
      </c>
      <c r="I381" s="18">
        <f t="shared" si="372"/>
        <v>0</v>
      </c>
      <c r="J381" s="18">
        <f t="shared" si="372"/>
        <v>0</v>
      </c>
      <c r="K381" s="18">
        <f t="shared" si="372"/>
        <v>0</v>
      </c>
      <c r="L381" s="18">
        <f t="shared" si="372"/>
        <v>0</v>
      </c>
      <c r="M381" s="18">
        <f t="shared" si="372"/>
        <v>0</v>
      </c>
      <c r="N381" s="18">
        <f t="shared" si="372"/>
        <v>1.0355301367242857</v>
      </c>
      <c r="O381" s="18">
        <f t="shared" si="372"/>
        <v>0</v>
      </c>
      <c r="P381" s="18">
        <f t="shared" si="372"/>
        <v>0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0</v>
      </c>
      <c r="U381" s="18">
        <f t="shared" si="372"/>
        <v>0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21.284090538591688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10.772321428571429</v>
      </c>
      <c r="AO381">
        <v>19.402017404109756</v>
      </c>
      <c r="AP381">
        <v>172.43672591345404</v>
      </c>
      <c r="AQ381">
        <v>34.544735167232687</v>
      </c>
      <c r="AR381">
        <v>18.479683904017108</v>
      </c>
      <c r="AS381">
        <v>93.336026629692881</v>
      </c>
      <c r="AT381" t="e">
        <v>#DIV/0!</v>
      </c>
      <c r="AU381" t="e">
        <v>#DIV/0!</v>
      </c>
      <c r="AV381"/>
      <c r="AW381"/>
      <c r="FY381" s="210">
        <v>376</v>
      </c>
      <c r="FZ381">
        <v>1.7944682800052389</v>
      </c>
      <c r="GA381">
        <v>20.625246884454871</v>
      </c>
      <c r="GB381">
        <v>8.2396427880026408</v>
      </c>
      <c r="GC381">
        <v>0.22355834007975689</v>
      </c>
      <c r="GD381">
        <v>0.41892739714898836</v>
      </c>
      <c r="GE381">
        <v>1.5615003180048939</v>
      </c>
      <c r="GF381">
        <v>4.5579457092522579</v>
      </c>
      <c r="GG381">
        <v>3.0670541148756616</v>
      </c>
      <c r="GH381">
        <v>0.17282465026292085</v>
      </c>
      <c r="GI381">
        <v>4.8473541816471064</v>
      </c>
      <c r="GJ381"/>
      <c r="GK381"/>
      <c r="GL381"/>
      <c r="GM381"/>
    </row>
    <row r="382" spans="1:195" s="7" customFormat="1">
      <c r="A382" s="1"/>
      <c r="B382" s="71">
        <f t="shared" si="369"/>
        <v>39987</v>
      </c>
      <c r="C382" s="18">
        <f t="shared" si="359"/>
        <v>0</v>
      </c>
      <c r="D382" s="18">
        <f t="shared" si="360"/>
        <v>0</v>
      </c>
      <c r="E382" s="19">
        <f t="shared" si="361"/>
        <v>9.9999999999999995E-7</v>
      </c>
      <c r="F382" s="19">
        <f t="shared" si="367"/>
        <v>0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</v>
      </c>
      <c r="J382" s="18">
        <f t="shared" si="373"/>
        <v>0</v>
      </c>
      <c r="K382" s="18">
        <f t="shared" si="373"/>
        <v>0</v>
      </c>
      <c r="L382" s="18">
        <f t="shared" si="373"/>
        <v>0</v>
      </c>
      <c r="M382" s="18">
        <f t="shared" si="373"/>
        <v>0</v>
      </c>
      <c r="N382" s="18">
        <f t="shared" si="373"/>
        <v>0</v>
      </c>
      <c r="O382" s="18">
        <f t="shared" si="373"/>
        <v>0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9.7954452614379086</v>
      </c>
      <c r="AO382">
        <v>16.764699028286035</v>
      </c>
      <c r="AP382">
        <v>138.79004818763343</v>
      </c>
      <c r="AQ382">
        <v>43.95715839305965</v>
      </c>
      <c r="AR382">
        <v>15.994908036774689</v>
      </c>
      <c r="AS382">
        <v>74.439456831229649</v>
      </c>
      <c r="AT382">
        <v>8.9778950150737238</v>
      </c>
      <c r="AU382">
        <v>-230.42114472175697</v>
      </c>
      <c r="AV382"/>
      <c r="AW382"/>
      <c r="FY382" s="210">
        <v>377</v>
      </c>
      <c r="FZ382">
        <v>4.9798333000007098</v>
      </c>
      <c r="GA382">
        <v>18.423791099231799</v>
      </c>
      <c r="GB382">
        <v>6.1201882560406116</v>
      </c>
      <c r="GC382">
        <v>0.68866933687342335</v>
      </c>
      <c r="GD382">
        <v>0.55645835698860013</v>
      </c>
      <c r="GE382">
        <v>0.75881631336417832</v>
      </c>
      <c r="GF382">
        <v>1.8144656733991953</v>
      </c>
      <c r="GG382">
        <v>0.91863743129698849</v>
      </c>
      <c r="GH382">
        <v>0.58144353567374973</v>
      </c>
      <c r="GI382">
        <v>4.6364737097559496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9.892565359477123</v>
      </c>
      <c r="AO383">
        <v>18.98801173688242</v>
      </c>
      <c r="AP383">
        <v>160.16164393432607</v>
      </c>
      <c r="AQ383">
        <v>33.430122957815222</v>
      </c>
      <c r="AR383">
        <v>17.680820762997378</v>
      </c>
      <c r="AS383">
        <v>82.764483623674636</v>
      </c>
      <c r="AT383" t="e">
        <v>#DIV/0!</v>
      </c>
      <c r="AU383" t="e">
        <v>#DIV/0!</v>
      </c>
      <c r="AV383"/>
      <c r="AW383"/>
      <c r="FY383" s="210">
        <v>378</v>
      </c>
      <c r="FZ383">
        <v>9.1253823836454302</v>
      </c>
      <c r="GA383">
        <v>12.582131993762097</v>
      </c>
      <c r="GB383">
        <v>2.534530523280389</v>
      </c>
      <c r="GC383">
        <v>0.62651492986227175</v>
      </c>
      <c r="GD383">
        <v>1.0202433632010477</v>
      </c>
      <c r="GE383">
        <v>2.1937857395903579</v>
      </c>
      <c r="GF383">
        <v>4.2582041772629129</v>
      </c>
      <c r="GG383">
        <v>2.6311354411817005</v>
      </c>
      <c r="GH383">
        <v>0</v>
      </c>
      <c r="GI383">
        <v>5.1571227919701759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8.4446486928104569</v>
      </c>
      <c r="AO384">
        <v>25.304534550721829</v>
      </c>
      <c r="AP384">
        <v>177.58663425606463</v>
      </c>
      <c r="AQ384">
        <v>24.764525694286821</v>
      </c>
      <c r="AR384">
        <v>23.48502725198</v>
      </c>
      <c r="AS384">
        <v>150.85775958350197</v>
      </c>
      <c r="AT384">
        <v>11.697537761238896</v>
      </c>
      <c r="AU384">
        <v>-92.618480490995921</v>
      </c>
      <c r="AV384"/>
      <c r="AW384"/>
      <c r="FY384" s="210">
        <v>379</v>
      </c>
      <c r="FZ384">
        <v>3.1155994186846074</v>
      </c>
      <c r="GA384">
        <v>8.2097133251155068</v>
      </c>
      <c r="GB384">
        <v>1.380347830492362</v>
      </c>
      <c r="GC384">
        <v>0.60273394699131666</v>
      </c>
      <c r="GD384">
        <v>0.61969609848297769</v>
      </c>
      <c r="GE384">
        <v>0.77494576958539174</v>
      </c>
      <c r="GF384">
        <v>3.2657215380976732</v>
      </c>
      <c r="GG384">
        <v>2.8565954218199106</v>
      </c>
      <c r="GH384">
        <v>0.64441312055873701</v>
      </c>
      <c r="GI384">
        <v>3.1762694032413279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8.3159284547152197</v>
      </c>
      <c r="AO385">
        <v>14.363374735705364</v>
      </c>
      <c r="AP385">
        <v>105.38852304259319</v>
      </c>
      <c r="AQ385">
        <v>34.571558914952888</v>
      </c>
      <c r="AR385">
        <v>13.868948416828088</v>
      </c>
      <c r="AS385">
        <v>179.70715263380751</v>
      </c>
      <c r="AT385">
        <v>6.3938211662833702</v>
      </c>
      <c r="AU385">
        <v>-16.158010969623763</v>
      </c>
      <c r="AV385"/>
      <c r="AW385"/>
      <c r="FY385" s="210">
        <v>380</v>
      </c>
      <c r="FZ385">
        <v>0.82444598466225738</v>
      </c>
      <c r="GA385">
        <v>9.4368479956163291</v>
      </c>
      <c r="GB385">
        <v>3.4263695590020298</v>
      </c>
      <c r="GC385">
        <v>0.84749163595228028</v>
      </c>
      <c r="GD385">
        <v>1.2450547373108474</v>
      </c>
      <c r="GE385">
        <v>1.953490562146746</v>
      </c>
      <c r="GF385">
        <v>4.893564662917699</v>
      </c>
      <c r="GG385">
        <v>3.9952373859207246</v>
      </c>
      <c r="GH385">
        <v>0.58144353567374973</v>
      </c>
      <c r="GI385">
        <v>5.0151634240911127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11.324404761904759</v>
      </c>
      <c r="AO386">
        <v>19.022435296257918</v>
      </c>
      <c r="AP386">
        <v>154.29689636869048</v>
      </c>
      <c r="AQ386">
        <v>39.260422085840148</v>
      </c>
      <c r="AR386">
        <v>17.671100015784923</v>
      </c>
      <c r="AS386">
        <v>85.811546093406676</v>
      </c>
      <c r="AT386" t="e">
        <v>#DIV/0!</v>
      </c>
      <c r="AU386" t="e">
        <v>#DIV/0!</v>
      </c>
      <c r="AV386"/>
      <c r="AW386"/>
      <c r="FY386" s="210">
        <v>381</v>
      </c>
      <c r="FZ386">
        <v>7.8645878429798852</v>
      </c>
      <c r="GA386">
        <v>17.352908751018543</v>
      </c>
      <c r="GB386">
        <v>5.1841243370920278</v>
      </c>
      <c r="GC386">
        <v>0.89486007929610978</v>
      </c>
      <c r="GD386">
        <v>0.98990948438467319</v>
      </c>
      <c r="GE386">
        <v>1.757584834100457</v>
      </c>
      <c r="GF386">
        <v>3.1303623970247303</v>
      </c>
      <c r="GG386">
        <v>1.788264926164711</v>
      </c>
      <c r="GH386">
        <v>0.47158847029581613</v>
      </c>
      <c r="GI386">
        <v>4.5886197407603611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8.0209354575163392</v>
      </c>
      <c r="AO387">
        <v>9.6434213435421192</v>
      </c>
      <c r="AP387">
        <v>60.410778000042242</v>
      </c>
      <c r="AQ387">
        <v>24.603386361769537</v>
      </c>
      <c r="AR387">
        <v>8.9972614834217417</v>
      </c>
      <c r="AS387">
        <v>49.439937179232992</v>
      </c>
      <c r="AT387" t="e">
        <v>#DIV/0!</v>
      </c>
      <c r="AU387" t="e">
        <v>#DIV/0!</v>
      </c>
      <c r="AV387"/>
      <c r="AW387"/>
      <c r="FY387" s="210">
        <v>382</v>
      </c>
      <c r="FZ387">
        <v>4.8644108621479933</v>
      </c>
      <c r="GA387">
        <v>4.8654088813208318</v>
      </c>
      <c r="GB387">
        <v>0.86290400896732034</v>
      </c>
      <c r="GC387">
        <v>0.39094887131270933</v>
      </c>
      <c r="GD387">
        <v>0.36780645101632725</v>
      </c>
      <c r="GE387">
        <v>0.89939237828255791</v>
      </c>
      <c r="GF387">
        <v>2.6272243355429952</v>
      </c>
      <c r="GG387">
        <v>1.5628049455265007</v>
      </c>
      <c r="GH387">
        <v>0</v>
      </c>
      <c r="GI387">
        <v>2.3104190302975738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-5.9021568929491022E-3</v>
      </c>
      <c r="G388" s="13"/>
      <c r="H388" s="19">
        <f>IF(G406&lt;0,0,G406)</f>
        <v>0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9.6243361928104569</v>
      </c>
      <c r="AO388">
        <v>21.105848890436981</v>
      </c>
      <c r="AP388">
        <v>151.44749828869359</v>
      </c>
      <c r="AQ388">
        <v>36.928857632769763</v>
      </c>
      <c r="AR388">
        <v>20.072598950214008</v>
      </c>
      <c r="AS388">
        <v>90.077896473972942</v>
      </c>
      <c r="AT388">
        <v>11.265947595564937</v>
      </c>
      <c r="AU388">
        <v>-58.883001701214319</v>
      </c>
      <c r="AV388"/>
      <c r="AW388"/>
      <c r="FY388" s="210">
        <v>383</v>
      </c>
      <c r="FZ388">
        <v>4.2798606163765163</v>
      </c>
      <c r="GA388">
        <v>2.3473175153663997</v>
      </c>
      <c r="GB388">
        <v>0.44540672115371327</v>
      </c>
      <c r="GC388">
        <v>0.42226041293189653</v>
      </c>
      <c r="GD388">
        <v>0.69491467686879504</v>
      </c>
      <c r="GE388">
        <v>1.2956502537776167</v>
      </c>
      <c r="GF388">
        <v>3.8909184276464845</v>
      </c>
      <c r="GG388">
        <v>3.1954456472175239</v>
      </c>
      <c r="GH388">
        <v>0.17282465026292085</v>
      </c>
      <c r="GI388">
        <v>2.4055569531641603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4"/>
        <v>-1.9504352571068102E-2</v>
      </c>
      <c r="G389" s="13"/>
      <c r="H389" s="19">
        <f t="shared" ref="H389:H398" si="37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9.6976686507936485</v>
      </c>
      <c r="AO389">
        <v>19.257805547028923</v>
      </c>
      <c r="AP389">
        <v>158.21642891935153</v>
      </c>
      <c r="AQ389">
        <v>39.848570668912558</v>
      </c>
      <c r="AR389">
        <v>19.218260228539343</v>
      </c>
      <c r="AS389">
        <v>87.694349032522396</v>
      </c>
      <c r="AT389" t="e">
        <v>#DIV/0!</v>
      </c>
      <c r="AU389" t="e">
        <v>#DIV/0!</v>
      </c>
      <c r="AV389"/>
      <c r="AW389"/>
      <c r="FY389" s="210">
        <v>384</v>
      </c>
      <c r="FZ389">
        <v>9.2735840734136197</v>
      </c>
      <c r="GA389">
        <v>9.4575846998957314</v>
      </c>
      <c r="GB389">
        <v>0.82679293136495202</v>
      </c>
      <c r="GC389">
        <v>0.45220163742772523</v>
      </c>
      <c r="GD389">
        <v>0.73158704000764507</v>
      </c>
      <c r="GE389">
        <v>1.3409887898866346</v>
      </c>
      <c r="GF389">
        <v>4.6893761086506531</v>
      </c>
      <c r="GG389">
        <v>3.818311629430688</v>
      </c>
      <c r="GH389">
        <v>0</v>
      </c>
      <c r="GI389">
        <v>3.980488103890278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4"/>
        <v>-2.6128743919791111E-2</v>
      </c>
      <c r="G390" s="13"/>
      <c r="H390" s="19">
        <f t="shared" si="37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12.177141690009336</v>
      </c>
      <c r="AO390">
        <v>25.555558902186601</v>
      </c>
      <c r="AP390">
        <v>202.34149293403974</v>
      </c>
      <c r="AQ390">
        <v>41.537380609805219</v>
      </c>
      <c r="AR390">
        <v>24.630652238327102</v>
      </c>
      <c r="AS390">
        <v>283.3110449230449</v>
      </c>
      <c r="AT390">
        <v>13.3269201166525</v>
      </c>
      <c r="AU390">
        <v>-131.62420386846421</v>
      </c>
      <c r="AV390"/>
      <c r="AW390"/>
      <c r="FY390" s="210">
        <v>385</v>
      </c>
      <c r="FZ390">
        <v>8.3077711114777468</v>
      </c>
      <c r="GA390">
        <v>13.482240491387318</v>
      </c>
      <c r="GB390">
        <v>3.1693710931942385</v>
      </c>
      <c r="GC390">
        <v>0.3799381264882804</v>
      </c>
      <c r="GD390">
        <v>0.57998844296203123</v>
      </c>
      <c r="GE390">
        <v>1.2703567881768882</v>
      </c>
      <c r="GF390">
        <v>1.0263802318601114</v>
      </c>
      <c r="GG390">
        <v>0.1769257564900365</v>
      </c>
      <c r="GH390">
        <v>0.23579423514790807</v>
      </c>
      <c r="GI390">
        <v>4.1409613062748942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4"/>
        <v>-6.2088003200930317E-2</v>
      </c>
      <c r="G391" s="13"/>
      <c r="H391" s="19">
        <f t="shared" si="37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11.400793650793652</v>
      </c>
      <c r="AO391">
        <v>19.710390430383352</v>
      </c>
      <c r="AP391">
        <v>159.53250193229943</v>
      </c>
      <c r="AQ391">
        <v>30.304808472762748</v>
      </c>
      <c r="AR391">
        <v>18.284606460635963</v>
      </c>
      <c r="AS391">
        <v>90.859755001072131</v>
      </c>
      <c r="AT391" t="e">
        <v>#DIV/0!</v>
      </c>
      <c r="AU391" t="e">
        <v>#DIV/0!</v>
      </c>
      <c r="AV391"/>
      <c r="AW391"/>
      <c r="FY391" s="210">
        <v>386</v>
      </c>
      <c r="FZ391">
        <v>5.6470289676366221</v>
      </c>
      <c r="GA391">
        <v>11.584827868021774</v>
      </c>
      <c r="GB391">
        <v>3.5287373892087093</v>
      </c>
      <c r="GC391">
        <v>0.38467151860855209</v>
      </c>
      <c r="GD391">
        <v>1.0213021518113674</v>
      </c>
      <c r="GE391">
        <v>2.1659100175192698</v>
      </c>
      <c r="GF391">
        <v>3.1370853315187821</v>
      </c>
      <c r="GG391">
        <v>2.6093581968842599</v>
      </c>
      <c r="GH391">
        <v>1.1628870713474995</v>
      </c>
      <c r="GI391">
        <v>4.9491898013744349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4"/>
        <v>0.10738452589931592</v>
      </c>
      <c r="G392" s="13"/>
      <c r="H392" s="19">
        <f t="shared" si="37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10.230756886087768</v>
      </c>
      <c r="AO392">
        <v>21.628618552117736</v>
      </c>
      <c r="AP392">
        <v>191.58960945029514</v>
      </c>
      <c r="AQ392">
        <v>45.508522663734333</v>
      </c>
      <c r="AR392">
        <v>20.105186997604989</v>
      </c>
      <c r="AS392">
        <v>106.80001649296111</v>
      </c>
      <c r="AT392">
        <v>12.785651647057698</v>
      </c>
      <c r="AU392">
        <v>-3.4760853957278419</v>
      </c>
      <c r="AV392"/>
      <c r="AW392"/>
      <c r="FY392" s="210">
        <v>387</v>
      </c>
      <c r="FZ392">
        <v>5.9709608409135448</v>
      </c>
      <c r="GA392">
        <v>9.0381727096944218</v>
      </c>
      <c r="GB392">
        <v>3.2962773502886522</v>
      </c>
      <c r="GC392">
        <v>0.21125677826045386</v>
      </c>
      <c r="GD392">
        <v>0.85223021461138782</v>
      </c>
      <c r="GE392">
        <v>2.6660536373127353</v>
      </c>
      <c r="GF392">
        <v>2.9128735297518169</v>
      </c>
      <c r="GG392">
        <v>1.1871761882489873</v>
      </c>
      <c r="GH392">
        <v>0.69129860105168339</v>
      </c>
      <c r="GI392">
        <v>5.6148537232274531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4"/>
        <v>-3.4352554174231539E-2</v>
      </c>
      <c r="G393" s="13"/>
      <c r="H393" s="19">
        <f t="shared" si="37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8.3456903594771248</v>
      </c>
      <c r="AO393">
        <v>16.517466817642656</v>
      </c>
      <c r="AP393">
        <v>146.97603266913137</v>
      </c>
      <c r="AQ393">
        <v>39.478777012625201</v>
      </c>
      <c r="AR393">
        <v>15.776343088263287</v>
      </c>
      <c r="AS393">
        <v>92.55176809237642</v>
      </c>
      <c r="AT393">
        <v>7.2574517049213414</v>
      </c>
      <c r="AU393">
        <v>-95.315659465816609</v>
      </c>
      <c r="AV393"/>
      <c r="AW393"/>
      <c r="FY393" s="210">
        <v>388</v>
      </c>
      <c r="FZ393">
        <v>3.7160330042088141</v>
      </c>
      <c r="GA393">
        <v>11.533598261942824</v>
      </c>
      <c r="GB393">
        <v>3.4124634504298377</v>
      </c>
      <c r="GC393">
        <v>1.1449965688747823</v>
      </c>
      <c r="GD393">
        <v>1.1872880570276623</v>
      </c>
      <c r="GE393">
        <v>1.5524419160952192</v>
      </c>
      <c r="GF393">
        <v>7.0518269583481956</v>
      </c>
      <c r="GG393">
        <v>5.6981895560573612</v>
      </c>
      <c r="GH393">
        <v>0</v>
      </c>
      <c r="GI393">
        <v>4.6939921962635136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4"/>
        <v>1.1605963481912741E-2</v>
      </c>
      <c r="G394" s="13"/>
      <c r="H394" s="19">
        <f t="shared" si="37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9.3454861111111107</v>
      </c>
      <c r="AO394">
        <v>19.878061504954573</v>
      </c>
      <c r="AP394">
        <v>168.23423191314066</v>
      </c>
      <c r="AQ394">
        <v>40.129051343756373</v>
      </c>
      <c r="AR394">
        <v>18.594544059803376</v>
      </c>
      <c r="AS394">
        <v>85.984160426390176</v>
      </c>
      <c r="AT394" t="e">
        <v>#DIV/0!</v>
      </c>
      <c r="AU394" t="e">
        <v>#DIV/0!</v>
      </c>
      <c r="AV394"/>
      <c r="AW394"/>
      <c r="FY394" s="210">
        <v>389</v>
      </c>
      <c r="FZ394">
        <v>3.1159797947234926</v>
      </c>
      <c r="GA394">
        <v>0.1993376429609533</v>
      </c>
      <c r="GB394">
        <v>0.44895082725889413</v>
      </c>
      <c r="GC394">
        <v>0.6707734417981992</v>
      </c>
      <c r="GD394">
        <v>0.73816222211162486</v>
      </c>
      <c r="GE394">
        <v>1.6707751276583582</v>
      </c>
      <c r="GF394">
        <v>2.9852500554857593</v>
      </c>
      <c r="GG394">
        <v>1.9651906826547476</v>
      </c>
      <c r="GH394">
        <v>1.2258566562324869</v>
      </c>
      <c r="GI394">
        <v>2.6945557614021949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4"/>
        <v>4.8056662453181888E-2</v>
      </c>
      <c r="G395" s="13"/>
      <c r="H395" s="19">
        <f t="shared" si="37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7.9720763305322127</v>
      </c>
      <c r="AO395">
        <v>18.367411427905125</v>
      </c>
      <c r="AP395">
        <v>146.31898129463542</v>
      </c>
      <c r="AQ395">
        <v>24.646035873069813</v>
      </c>
      <c r="AR395">
        <v>17.028466991826647</v>
      </c>
      <c r="AS395">
        <v>72.382113600734726</v>
      </c>
      <c r="AT395">
        <v>8.8552008891397218</v>
      </c>
      <c r="AU395">
        <v>36.160264770854823</v>
      </c>
      <c r="AV395"/>
      <c r="AW395"/>
      <c r="FY395" s="210">
        <v>390</v>
      </c>
      <c r="FZ395">
        <v>2.1339031169960054</v>
      </c>
      <c r="GA395">
        <v>15.706362090316414</v>
      </c>
      <c r="GB395">
        <v>5.4643533653442091</v>
      </c>
      <c r="GC395">
        <v>0.74161010323304222</v>
      </c>
      <c r="GD395">
        <v>1.1487848973460577</v>
      </c>
      <c r="GE395">
        <v>2.4070142895822126</v>
      </c>
      <c r="GF395">
        <v>4.7921089660147071</v>
      </c>
      <c r="GG395">
        <v>2.749981133775488</v>
      </c>
      <c r="GH395">
        <v>0.17282465026292085</v>
      </c>
      <c r="GI395">
        <v>4.8552040925707116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4"/>
        <v>0</v>
      </c>
      <c r="G396" s="13"/>
      <c r="H396" s="19" t="e">
        <f t="shared" si="375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13.065060399159663</v>
      </c>
      <c r="AO396">
        <v>20.76924303970403</v>
      </c>
      <c r="AP396">
        <v>135.12698319409856</v>
      </c>
      <c r="AQ396">
        <v>32.219109483293778</v>
      </c>
      <c r="AR396">
        <v>19.252511713560708</v>
      </c>
      <c r="AS396">
        <v>93.076104512327149</v>
      </c>
      <c r="AT396" t="e">
        <v>#DIV/0!</v>
      </c>
      <c r="AU396" t="e">
        <v>#DIV/0!</v>
      </c>
      <c r="AV396"/>
      <c r="AW396"/>
      <c r="FY396" s="210">
        <v>391</v>
      </c>
      <c r="FZ396">
        <v>2.5732574281256437</v>
      </c>
      <c r="GA396">
        <v>2.5693209720333821</v>
      </c>
      <c r="GB396">
        <v>1.2269372206969082</v>
      </c>
      <c r="GC396">
        <v>1.0236240427998546</v>
      </c>
      <c r="GD396">
        <v>0.96719222660615589</v>
      </c>
      <c r="GE396">
        <v>1.6186843173794399</v>
      </c>
      <c r="GF396">
        <v>2.2412707592769232</v>
      </c>
      <c r="GG396">
        <v>1.1168647198033732</v>
      </c>
      <c r="GH396">
        <v>0.23579423514790807</v>
      </c>
      <c r="GI396">
        <v>2.6237917665432624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10.36954365079365</v>
      </c>
      <c r="AO397">
        <v>16.596859783250821</v>
      </c>
      <c r="AP397">
        <v>154.3015677494015</v>
      </c>
      <c r="AQ397">
        <v>44.022810863117314</v>
      </c>
      <c r="AR397">
        <v>15.766687362293377</v>
      </c>
      <c r="AS397">
        <v>71.681964575139375</v>
      </c>
      <c r="AT397" t="e">
        <v>#DIV/0!</v>
      </c>
      <c r="AU397" t="e">
        <v>#DIV/0!</v>
      </c>
      <c r="AV397"/>
      <c r="AW397"/>
      <c r="FY397" s="210">
        <v>392</v>
      </c>
      <c r="FZ397">
        <v>2.7761645816938412</v>
      </c>
      <c r="GA397">
        <v>12.929260476293006</v>
      </c>
      <c r="GB397">
        <v>3.8799779244180055</v>
      </c>
      <c r="GC397">
        <v>0.43413209889197463</v>
      </c>
      <c r="GD397">
        <v>0.4877701145491391</v>
      </c>
      <c r="GE397">
        <v>1.1855340241350274</v>
      </c>
      <c r="GF397">
        <v>5.1732664598185805</v>
      </c>
      <c r="GG397">
        <v>4.1721631424107617</v>
      </c>
      <c r="GH397">
        <v>0.47158847029581613</v>
      </c>
      <c r="GI397">
        <v>3.7966820179773149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5.5390625</v>
      </c>
      <c r="AO398">
        <v>12.688064817999535</v>
      </c>
      <c r="AP398">
        <v>98.068033431748262</v>
      </c>
      <c r="AQ398">
        <v>18.751319764414809</v>
      </c>
      <c r="AR398">
        <v>12.180499115821835</v>
      </c>
      <c r="AS398">
        <v>110.57546098208255</v>
      </c>
      <c r="AT398" t="e">
        <v>#DIV/0!</v>
      </c>
      <c r="AU398" t="e">
        <v>#DIV/0!</v>
      </c>
      <c r="AV398"/>
      <c r="AW398"/>
      <c r="FY398" s="210">
        <v>393</v>
      </c>
      <c r="FZ398">
        <v>2.3070367737750797</v>
      </c>
      <c r="GA398">
        <v>7.8418481383051937</v>
      </c>
      <c r="GB398">
        <v>2.6693774863465696</v>
      </c>
      <c r="GC398">
        <v>0.66604004967792751</v>
      </c>
      <c r="GD398">
        <v>0.72954564723308657</v>
      </c>
      <c r="GE398">
        <v>1.1467917458033006</v>
      </c>
      <c r="GF398">
        <v>4.893564662917699</v>
      </c>
      <c r="GG398">
        <v>4.1721631424107617</v>
      </c>
      <c r="GH398">
        <v>0.47158847029581613</v>
      </c>
      <c r="GI398">
        <v>3.0925394723156998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9.5568977591036415</v>
      </c>
      <c r="AO399">
        <v>15.503322057710875</v>
      </c>
      <c r="AP399">
        <v>141.95196491150449</v>
      </c>
      <c r="AQ399">
        <v>19.150155874766028</v>
      </c>
      <c r="AR399">
        <v>14.831616836946365</v>
      </c>
      <c r="AS399">
        <v>67.788573520637968</v>
      </c>
      <c r="AT399">
        <v>10.912932067862004</v>
      </c>
      <c r="AU399">
        <v>-26.77173960211514</v>
      </c>
      <c r="AV399"/>
      <c r="AW399"/>
      <c r="FY399" s="210">
        <v>394</v>
      </c>
      <c r="FZ399">
        <v>3.5432797234686255</v>
      </c>
      <c r="GA399">
        <v>5.8932059088606996</v>
      </c>
      <c r="GB399">
        <v>2.5484366318525815</v>
      </c>
      <c r="GC399">
        <v>0.49775096635852695</v>
      </c>
      <c r="GD399">
        <v>1.1770750423795318</v>
      </c>
      <c r="GE399">
        <v>2.5103200757004029</v>
      </c>
      <c r="GF399">
        <v>1.3207319111420563</v>
      </c>
      <c r="GG399">
        <v>0</v>
      </c>
      <c r="GH399">
        <v>0</v>
      </c>
      <c r="GI399">
        <v>3.2437512910718413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5.9348958333333313</v>
      </c>
      <c r="AO400">
        <v>13.572645809768085</v>
      </c>
      <c r="AP400">
        <v>113.36364112283788</v>
      </c>
      <c r="AQ400">
        <v>34.570915013967927</v>
      </c>
      <c r="AR400">
        <v>13.011872494089884</v>
      </c>
      <c r="AS400">
        <v>56.912673972321414</v>
      </c>
      <c r="AT400" t="e">
        <v>#DIV/0!</v>
      </c>
      <c r="AU400" t="e">
        <v>#DIV/0!</v>
      </c>
      <c r="AV400"/>
      <c r="AW400"/>
      <c r="FY400" s="210">
        <v>395</v>
      </c>
      <c r="FZ400">
        <v>4.2010441518803052</v>
      </c>
      <c r="GA400">
        <v>17.028128884881617</v>
      </c>
      <c r="GB400">
        <v>5.499253794698955</v>
      </c>
      <c r="GC400">
        <v>0.68827707196499721</v>
      </c>
      <c r="GD400">
        <v>0.49662797448670715</v>
      </c>
      <c r="GE400">
        <v>0.93051552366845358</v>
      </c>
      <c r="GF400">
        <v>4.1176896636566855</v>
      </c>
      <c r="GG400">
        <v>2.6796696653298739</v>
      </c>
      <c r="GH400">
        <v>0.40861888541082891</v>
      </c>
      <c r="GI400">
        <v>4.0750137678945606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11.233630952380951</v>
      </c>
      <c r="AO401">
        <v>21.9783585000791</v>
      </c>
      <c r="AP401">
        <v>166.08567369848822</v>
      </c>
      <c r="AQ401">
        <v>32.769727583459449</v>
      </c>
      <c r="AR401">
        <v>20.886494880386902</v>
      </c>
      <c r="AS401">
        <v>159.4819675247623</v>
      </c>
      <c r="AT401" t="e">
        <v>#DIV/0!</v>
      </c>
      <c r="AU401" t="e">
        <v>#DIV/0!</v>
      </c>
      <c r="AV401"/>
      <c r="AW401"/>
      <c r="FY401" s="210">
        <v>396</v>
      </c>
      <c r="FZ401">
        <v>6.9983139791439992</v>
      </c>
      <c r="GA401">
        <v>9.9385984046316889</v>
      </c>
      <c r="GB401">
        <v>2.4472794498935242</v>
      </c>
      <c r="GC401">
        <v>0.18683038689206163</v>
      </c>
      <c r="GD401">
        <v>0.35083994350463255</v>
      </c>
      <c r="GE401">
        <v>1.144707867919651</v>
      </c>
      <c r="GF401">
        <v>4.1093083716294769</v>
      </c>
      <c r="GG401">
        <v>2.9967426464300475</v>
      </c>
      <c r="GH401">
        <v>0.23579423514790807</v>
      </c>
      <c r="GI401">
        <v>4.1706965367603495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15.021365838001866</v>
      </c>
      <c r="AO402">
        <v>14.431836671046714</v>
      </c>
      <c r="AP402">
        <v>109.84326352800741</v>
      </c>
      <c r="AQ402">
        <v>36.190998313931267</v>
      </c>
      <c r="AR402">
        <v>13.931312772261627</v>
      </c>
      <c r="AS402">
        <v>82.419517303136615</v>
      </c>
      <c r="AT402">
        <v>6.3312171791887542</v>
      </c>
      <c r="AU402">
        <v>-64.970228915670589</v>
      </c>
      <c r="AV402"/>
      <c r="AW402"/>
      <c r="FY402" s="210">
        <v>397</v>
      </c>
      <c r="FZ402">
        <v>12.186656714568917</v>
      </c>
      <c r="GA402">
        <v>6.962159147647327</v>
      </c>
      <c r="GB402">
        <v>0.79543660811538686</v>
      </c>
      <c r="GC402">
        <v>1.6469715513658714</v>
      </c>
      <c r="GD402">
        <v>1.6468563117227943</v>
      </c>
      <c r="GE402">
        <v>1.4471487823788922</v>
      </c>
      <c r="GF402">
        <v>4.1138838604985972</v>
      </c>
      <c r="GG402">
        <v>3.1954456472175239</v>
      </c>
      <c r="GH402">
        <v>0.51847395078876257</v>
      </c>
      <c r="GI402">
        <v>4.419030896976321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10.973250758636787</v>
      </c>
      <c r="AO403">
        <v>20.003222428656365</v>
      </c>
      <c r="AP403">
        <v>149.69605493318053</v>
      </c>
      <c r="AQ403">
        <v>32.441153573361134</v>
      </c>
      <c r="AR403">
        <v>19.448197720784822</v>
      </c>
      <c r="AS403">
        <v>87.771625145854571</v>
      </c>
      <c r="AT403">
        <v>10.949774094889788</v>
      </c>
      <c r="AU403">
        <v>-265.08290198292713</v>
      </c>
      <c r="AV403"/>
      <c r="AW403"/>
      <c r="FY403" s="210">
        <v>398</v>
      </c>
      <c r="FZ403">
        <v>7.4953795091999957</v>
      </c>
      <c r="GA403">
        <v>14.082499727008848</v>
      </c>
      <c r="GB403">
        <v>5.2864043286610203</v>
      </c>
      <c r="GC403">
        <v>0.71374113673925255</v>
      </c>
      <c r="GD403">
        <v>0.65708413120014919</v>
      </c>
      <c r="GE403">
        <v>1.7737875724217158</v>
      </c>
      <c r="GF403">
        <v>2.0879743722110478</v>
      </c>
      <c r="GG403">
        <v>0.1769257564900365</v>
      </c>
      <c r="GH403">
        <v>0.58144353567374973</v>
      </c>
      <c r="GI403">
        <v>4.3119305257605252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11.798363095238097</v>
      </c>
      <c r="AO404">
        <v>19.310459933579217</v>
      </c>
      <c r="AP404">
        <v>143.20357525683954</v>
      </c>
      <c r="AQ404">
        <v>39.990829969248203</v>
      </c>
      <c r="AR404">
        <v>17.918697337396438</v>
      </c>
      <c r="AS404">
        <v>92.562323824276731</v>
      </c>
      <c r="AT404" t="e">
        <v>#DIV/0!</v>
      </c>
      <c r="AU404" t="e">
        <v>#DIV/0!</v>
      </c>
      <c r="AV404"/>
      <c r="AW404"/>
      <c r="FY404" s="210">
        <v>399</v>
      </c>
      <c r="FZ404">
        <v>2.3488646529487083</v>
      </c>
      <c r="GA404">
        <v>7.9899561751871957</v>
      </c>
      <c r="GB404">
        <v>2.5856705190648857</v>
      </c>
      <c r="GC404">
        <v>0.34819670900986804</v>
      </c>
      <c r="GD404">
        <v>0.41202723208403691</v>
      </c>
      <c r="GE404">
        <v>1.0969488939096581</v>
      </c>
      <c r="GF404">
        <v>4.7621119244556809</v>
      </c>
      <c r="GG404">
        <v>3.5710744044950373</v>
      </c>
      <c r="GH404">
        <v>0</v>
      </c>
      <c r="GI404">
        <v>3.7001176677498604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6">+C4</f>
        <v>39646</v>
      </c>
      <c r="C405" s="61">
        <v>0</v>
      </c>
      <c r="D405" s="61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18.000000000000004</v>
      </c>
      <c r="E405" s="108">
        <f t="shared" ref="E405:E414" si="378">IF(D405=0,0.00000001,(1-$A$43/100)*($A$39*(D405^($A$41))))</f>
        <v>6.250937156106354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7.9959660947712425</v>
      </c>
      <c r="AO405">
        <v>12.9040870850563</v>
      </c>
      <c r="AP405">
        <v>89.127994425625076</v>
      </c>
      <c r="AQ405">
        <v>15.714832212286712</v>
      </c>
      <c r="AR405">
        <v>12.454337525263467</v>
      </c>
      <c r="AS405">
        <v>57.209991600208149</v>
      </c>
      <c r="AT405" t="e">
        <v>#DIV/0!</v>
      </c>
      <c r="AU405" t="e">
        <v>#DIV/0!</v>
      </c>
      <c r="AV405"/>
      <c r="AW405"/>
      <c r="FY405" s="210">
        <v>400</v>
      </c>
      <c r="FZ405">
        <v>5.3649249735333289</v>
      </c>
      <c r="GA405">
        <v>15.652886177498793</v>
      </c>
      <c r="GB405">
        <v>3.9172118116303096</v>
      </c>
      <c r="GC405">
        <v>0.4021751487753501</v>
      </c>
      <c r="GD405">
        <v>0.68717194389566005</v>
      </c>
      <c r="GE405">
        <v>1.4694915113200402</v>
      </c>
      <c r="GF405">
        <v>3.9447163293248155</v>
      </c>
      <c r="GG405">
        <v>3.1256098910530015</v>
      </c>
      <c r="GH405">
        <v>0.17282465026292085</v>
      </c>
      <c r="GI405">
        <v>3.8040933333225486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18</v>
      </c>
      <c r="E406" s="108">
        <f t="shared" si="378"/>
        <v>6.2509371561063425</v>
      </c>
      <c r="F406" s="19">
        <f t="shared" ref="F406:F414" si="379">IF(C374&lt;1,0,LN(E406/E405)/E21)</f>
        <v>-6.9902931180102525E-17</v>
      </c>
      <c r="G406" s="19">
        <f t="shared" ref="G406:G414" si="380">IF(D406=0, 0, 0.051-(0.068*LN(D406))+(0.006*A406))</f>
        <v>-8.8845279536939215E-2</v>
      </c>
      <c r="H406" s="19">
        <f t="shared" ref="H406:H414" si="381">+IF((G406&gt;0),G406,0)</f>
        <v>0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14.411932481325863</v>
      </c>
      <c r="AO406">
        <v>19.747134987123491</v>
      </c>
      <c r="AP406">
        <v>158.99591514392847</v>
      </c>
      <c r="AQ406">
        <v>40.172146705441762</v>
      </c>
      <c r="AR406">
        <v>18.285048138423228</v>
      </c>
      <c r="AS406">
        <v>98.205964768480158</v>
      </c>
      <c r="AT406">
        <v>11.062451571253641</v>
      </c>
      <c r="AU406">
        <v>11.746125810807644</v>
      </c>
      <c r="AV406"/>
      <c r="AW406"/>
      <c r="FY406" s="210">
        <v>401</v>
      </c>
      <c r="FZ406">
        <v>11.862724841291993</v>
      </c>
      <c r="GA406">
        <v>13.850105678197632</v>
      </c>
      <c r="GB406">
        <v>2.1745737903601268</v>
      </c>
      <c r="GC406">
        <v>1.0540746432833927</v>
      </c>
      <c r="GD406">
        <v>0.8837132471132505</v>
      </c>
      <c r="GE406">
        <v>1.1743335749872037</v>
      </c>
      <c r="GF406">
        <v>3.1793642162408631</v>
      </c>
      <c r="GG406">
        <v>1.9869679269521878</v>
      </c>
      <c r="GH406">
        <v>0.40861888541082891</v>
      </c>
      <c r="GI406">
        <v>4.3811045605473815</v>
      </c>
      <c r="GJ406"/>
      <c r="GK406"/>
      <c r="GL406"/>
      <c r="GM406"/>
    </row>
    <row r="407" spans="1:195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11</v>
      </c>
      <c r="E407" s="108">
        <f t="shared" si="378"/>
        <v>1.6695697117709549</v>
      </c>
      <c r="F407" s="19">
        <f t="shared" si="379"/>
        <v>-3.2199157606771889E-2</v>
      </c>
      <c r="G407" s="19">
        <f t="shared" si="380"/>
        <v>-8.7876878550289222E-2</v>
      </c>
      <c r="H407" s="19">
        <f t="shared" si="38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8.1310763888888893</v>
      </c>
      <c r="AO407">
        <v>15.696605490004888</v>
      </c>
      <c r="AP407">
        <v>117.8328701483706</v>
      </c>
      <c r="AQ407">
        <v>16.196737688412853</v>
      </c>
      <c r="AR407">
        <v>14.951586140418996</v>
      </c>
      <c r="AS407">
        <v>66.219589771170888</v>
      </c>
      <c r="AT407" t="e">
        <v>#DIV/0!</v>
      </c>
      <c r="AU407" t="e">
        <v>#DIV/0!</v>
      </c>
      <c r="AV407"/>
      <c r="AW407"/>
      <c r="FY407" s="210">
        <v>402</v>
      </c>
      <c r="FZ407">
        <v>10.21383287196748</v>
      </c>
      <c r="GA407">
        <v>20.71987900851925</v>
      </c>
      <c r="GB407">
        <v>6.3295908321690879</v>
      </c>
      <c r="GC407">
        <v>0.58710692112589946</v>
      </c>
      <c r="GD407">
        <v>0.73271999484416006</v>
      </c>
      <c r="GE407">
        <v>1.6290760771058315</v>
      </c>
      <c r="GF407">
        <v>4.2432341098650843</v>
      </c>
      <c r="GG407">
        <v>3.0552984226073874</v>
      </c>
      <c r="GH407">
        <v>0.75426818593667067</v>
      </c>
      <c r="GI407">
        <v>6.1855430433909069</v>
      </c>
      <c r="GJ407"/>
      <c r="GK407"/>
      <c r="GL407"/>
      <c r="GM407"/>
    </row>
    <row r="408" spans="1:195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>
        <f t="shared" si="377"/>
        <v>5.5454545454545459</v>
      </c>
      <c r="E408" s="108">
        <f t="shared" si="378"/>
        <v>0.26621058511755308</v>
      </c>
      <c r="F408" s="19">
        <f t="shared" si="379"/>
        <v>-5.5637380170948554E-2</v>
      </c>
      <c r="G408" s="19">
        <f t="shared" si="380"/>
        <v>-6.0802544213495971E-2</v>
      </c>
      <c r="H408" s="19">
        <f t="shared" si="38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7.2387152777777768</v>
      </c>
      <c r="AO408">
        <v>12.585712621853263</v>
      </c>
      <c r="AP408">
        <v>120.10391170846313</v>
      </c>
      <c r="AQ408">
        <v>35.306539310483465</v>
      </c>
      <c r="AR408">
        <v>11.665882762929899</v>
      </c>
      <c r="AS408">
        <v>55.071920131252789</v>
      </c>
      <c r="AT408" t="e">
        <v>#DIV/0!</v>
      </c>
      <c r="AU408" t="e">
        <v>#DIV/0!</v>
      </c>
      <c r="AV408"/>
      <c r="AW408"/>
      <c r="FY408" s="210">
        <v>403</v>
      </c>
      <c r="FZ408">
        <v>9.9037911557269513</v>
      </c>
      <c r="GA408">
        <v>17.248203232121973</v>
      </c>
      <c r="GB408">
        <v>3.2264764915791604</v>
      </c>
      <c r="GC408">
        <v>0.62995750498766934</v>
      </c>
      <c r="GD408">
        <v>0.89741291801336021</v>
      </c>
      <c r="GE408">
        <v>1.752385733857702</v>
      </c>
      <c r="GF408">
        <v>2.3996834138217613</v>
      </c>
      <c r="GG408">
        <v>1.5410277012290603</v>
      </c>
      <c r="GH408">
        <v>0.81723777082165783</v>
      </c>
      <c r="GI408">
        <v>5.2958045825482651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4.5454545454545459</v>
      </c>
      <c r="E409" s="108">
        <f t="shared" si="378"/>
        <v>0.15621522970859303</v>
      </c>
      <c r="F409" s="19">
        <f t="shared" si="379"/>
        <v>-1.9037604819993777E-2</v>
      </c>
      <c r="G409" s="19">
        <f t="shared" si="380"/>
        <v>-5.1120685818824743E-2</v>
      </c>
      <c r="H409" s="19">
        <f t="shared" si="38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11.229538690476186</v>
      </c>
      <c r="AO409">
        <v>10.41003462784894</v>
      </c>
      <c r="AP409">
        <v>94.668763119467783</v>
      </c>
      <c r="AQ409">
        <v>27.990495589081132</v>
      </c>
      <c r="AR409">
        <v>9.6720256513241907</v>
      </c>
      <c r="AS409">
        <v>67.537993285526994</v>
      </c>
      <c r="AT409" t="e">
        <v>#DIV/0!</v>
      </c>
      <c r="AU409" t="e">
        <v>#DIV/0!</v>
      </c>
      <c r="AV409"/>
      <c r="AW409"/>
      <c r="FY409" s="210">
        <v>404</v>
      </c>
      <c r="FZ409">
        <v>4.0279104951012314</v>
      </c>
      <c r="GA409">
        <v>9.1636149328703951</v>
      </c>
      <c r="GB409">
        <v>2.6693774863465696</v>
      </c>
      <c r="GC409">
        <v>0.2166355788781627</v>
      </c>
      <c r="GD409">
        <v>0.81740443514877237</v>
      </c>
      <c r="GE409">
        <v>1.9187074610678467</v>
      </c>
      <c r="GF409">
        <v>0.98342086402103024</v>
      </c>
      <c r="GG409">
        <v>0.42416298142568709</v>
      </c>
      <c r="GH409">
        <v>0.40861888541082891</v>
      </c>
      <c r="GI409">
        <v>3.4175151384823472</v>
      </c>
      <c r="GJ409"/>
      <c r="GK409"/>
      <c r="GL409"/>
      <c r="GM409"/>
    </row>
    <row r="410" spans="1:195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9.0000000000000018</v>
      </c>
      <c r="E410" s="108">
        <f t="shared" si="378"/>
        <v>0.97495362269196928</v>
      </c>
      <c r="F410" s="19">
        <f t="shared" si="379"/>
        <v>7.62981320586954E-2</v>
      </c>
      <c r="G410" s="19">
        <f t="shared" si="380"/>
        <v>-9.7151271258862956E-2</v>
      </c>
      <c r="H410" s="19">
        <f t="shared" si="38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6.7092013888888884</v>
      </c>
      <c r="AO410">
        <v>17.111621645005858</v>
      </c>
      <c r="AP410">
        <v>130.2307081538365</v>
      </c>
      <c r="AQ410">
        <v>20.734551550834265</v>
      </c>
      <c r="AR410">
        <v>16.351620637029374</v>
      </c>
      <c r="AS410">
        <v>68.143912914586167</v>
      </c>
      <c r="AT410" t="e">
        <v>#DIV/0!</v>
      </c>
      <c r="AU410" t="e">
        <v>#DIV/0!</v>
      </c>
      <c r="AV410"/>
      <c r="AW410"/>
      <c r="FY410" s="210">
        <v>405</v>
      </c>
      <c r="FZ410">
        <v>12.202540054321645</v>
      </c>
      <c r="GA410">
        <v>10.337273690553596</v>
      </c>
      <c r="GB410">
        <v>2.8415461752627413</v>
      </c>
      <c r="GC410">
        <v>0.84281786502293898</v>
      </c>
      <c r="GD410">
        <v>0.70149922731213421</v>
      </c>
      <c r="GE410">
        <v>0.86094678660605861</v>
      </c>
      <c r="GF410">
        <v>4.244346319656505</v>
      </c>
      <c r="GG410">
        <v>3.1954456472175239</v>
      </c>
      <c r="GH410">
        <v>0</v>
      </c>
      <c r="GI410">
        <v>4.5712161627361736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6.6666666666666661</v>
      </c>
      <c r="E411" s="108">
        <f t="shared" si="378"/>
        <v>0.43611650714133632</v>
      </c>
      <c r="F411" s="19">
        <f t="shared" si="379"/>
        <v>-1.676000994854315E-2</v>
      </c>
      <c r="G411" s="19">
        <f t="shared" si="380"/>
        <v>-7.0324158972239939E-2</v>
      </c>
      <c r="H411" s="19">
        <f t="shared" si="38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10.637874941643323</v>
      </c>
      <c r="AO411">
        <v>17.99632891101453</v>
      </c>
      <c r="AP411">
        <v>128.15230236572216</v>
      </c>
      <c r="AQ411">
        <v>40.124839383872988</v>
      </c>
      <c r="AR411">
        <v>16.74367670043825</v>
      </c>
      <c r="AS411">
        <v>83.099675929655689</v>
      </c>
      <c r="AT411">
        <v>10.003655868537603</v>
      </c>
      <c r="AU411">
        <v>121.63668667447008</v>
      </c>
      <c r="AV411"/>
      <c r="AW411"/>
      <c r="FY411" s="210">
        <v>406</v>
      </c>
      <c r="FZ411">
        <v>4.7071605451216492</v>
      </c>
      <c r="GA411">
        <v>10.211831467377623</v>
      </c>
      <c r="GB411">
        <v>3.2554115183334806</v>
      </c>
      <c r="GC411">
        <v>0.4319803407614512</v>
      </c>
      <c r="GD411">
        <v>0.5588559156054046</v>
      </c>
      <c r="GE411">
        <v>1.2714351655697862</v>
      </c>
      <c r="GF411">
        <v>1.9151516845911551</v>
      </c>
      <c r="GG411">
        <v>0.91863743129698849</v>
      </c>
      <c r="GH411">
        <v>0.75426818593667067</v>
      </c>
      <c r="GI411">
        <v>3.8422466332910261</v>
      </c>
      <c r="GJ411"/>
      <c r="GK411"/>
      <c r="GL411"/>
      <c r="GM411"/>
    </row>
    <row r="412" spans="1:195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>
        <f t="shared" si="377"/>
        <v>9.2499999999999982</v>
      </c>
      <c r="E412" s="108">
        <f t="shared" si="378"/>
        <v>1.0492568486061378</v>
      </c>
      <c r="F412" s="19">
        <f t="shared" si="379"/>
        <v>1.3935365134444443E-2</v>
      </c>
      <c r="G412" s="19">
        <f t="shared" si="380"/>
        <v>-7.6274401503654721E-2</v>
      </c>
      <c r="H412" s="19">
        <f t="shared" si="38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9.3814484126984112</v>
      </c>
      <c r="AO412">
        <v>17.067562310376815</v>
      </c>
      <c r="AP412">
        <v>141.89617669076208</v>
      </c>
      <c r="AQ412">
        <v>32.579111821953333</v>
      </c>
      <c r="AR412">
        <v>16.285560633801268</v>
      </c>
      <c r="AS412">
        <v>78.203809994022421</v>
      </c>
      <c r="AT412" t="e">
        <v>#DIV/0!</v>
      </c>
      <c r="AU412" t="e">
        <v>#DIV/0!</v>
      </c>
      <c r="AV412"/>
      <c r="AW412"/>
      <c r="FY412" s="210">
        <v>407</v>
      </c>
      <c r="FZ412">
        <v>8.7052975434337565</v>
      </c>
      <c r="GA412">
        <v>8.6168316100664857</v>
      </c>
      <c r="GB412">
        <v>2.6717109442041282</v>
      </c>
      <c r="GC412">
        <v>1.3172565247377341</v>
      </c>
      <c r="GD412">
        <v>0.99572933560083121</v>
      </c>
      <c r="GE412">
        <v>0.86074997553673915</v>
      </c>
      <c r="GF412">
        <v>1.0305072280641139</v>
      </c>
      <c r="GG412">
        <v>0.1769257564900365</v>
      </c>
      <c r="GH412">
        <v>0.23579423514790807</v>
      </c>
      <c r="GI412">
        <v>3.8889678416972293</v>
      </c>
      <c r="GJ412"/>
      <c r="GK412"/>
      <c r="GL412"/>
      <c r="GM412"/>
    </row>
    <row r="413" spans="1:195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14.000000000000002</v>
      </c>
      <c r="E413" s="108">
        <f t="shared" si="378"/>
        <v>3.1868759246430027</v>
      </c>
      <c r="F413" s="19">
        <f t="shared" si="379"/>
        <v>2.8486126990094035E-2</v>
      </c>
      <c r="G413" s="19">
        <f t="shared" si="380"/>
        <v>-8.4475898413837625E-2</v>
      </c>
      <c r="H413" s="19">
        <f t="shared" si="38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10.927389705882351</v>
      </c>
      <c r="AO413">
        <v>15.603088586925264</v>
      </c>
      <c r="AP413">
        <v>89.335750737323792</v>
      </c>
      <c r="AQ413">
        <v>36.932063471280401</v>
      </c>
      <c r="AR413">
        <v>15.856563829967232</v>
      </c>
      <c r="AS413">
        <v>71.594555978420132</v>
      </c>
      <c r="AT413" t="e">
        <v>#DIV/0!</v>
      </c>
      <c r="AU413" t="e">
        <v>#DIV/0!</v>
      </c>
      <c r="AV413"/>
      <c r="AW413"/>
      <c r="FY413" s="210">
        <v>408</v>
      </c>
      <c r="FZ413">
        <v>3.1155994186846074</v>
      </c>
      <c r="GA413">
        <v>9.1636149328703951</v>
      </c>
      <c r="GB413">
        <v>2.7752894226584299</v>
      </c>
      <c r="GC413">
        <v>1.2095934885562671</v>
      </c>
      <c r="GD413">
        <v>1.406501771866147</v>
      </c>
      <c r="GE413">
        <v>2.1856359026880221</v>
      </c>
      <c r="GF413">
        <v>6.6147076296525151</v>
      </c>
      <c r="GG413">
        <v>5.2404936380659599</v>
      </c>
      <c r="GH413">
        <v>0.47158847029581613</v>
      </c>
      <c r="GI413">
        <v>4.4503431552806072</v>
      </c>
      <c r="GJ413"/>
      <c r="GK413"/>
      <c r="GL413"/>
      <c r="GM413"/>
    </row>
    <row r="414" spans="1:195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 t="e">
        <f t="shared" si="377"/>
        <v>#DIV/0!</v>
      </c>
      <c r="E414" s="108" t="e">
        <f t="shared" si="378"/>
        <v>#DIV/0!</v>
      </c>
      <c r="F414" s="19">
        <f t="shared" si="379"/>
        <v>0</v>
      </c>
      <c r="G414" s="19" t="e">
        <f t="shared" si="380"/>
        <v>#DIV/0!</v>
      </c>
      <c r="H414" s="19" t="e">
        <f t="shared" si="381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9.5392667483660141</v>
      </c>
      <c r="AO414">
        <v>10.93083015398612</v>
      </c>
      <c r="AP414">
        <v>89.226702878764939</v>
      </c>
      <c r="AQ414">
        <v>37.167170595366343</v>
      </c>
      <c r="AR414">
        <v>10.987635425439684</v>
      </c>
      <c r="AS414">
        <v>60.814780106891526</v>
      </c>
      <c r="AT414" t="e">
        <v>#DIV/0!</v>
      </c>
      <c r="AU414" t="e">
        <v>#DIV/0!</v>
      </c>
      <c r="AV414"/>
      <c r="AW414"/>
      <c r="FY414" s="210">
        <v>409</v>
      </c>
      <c r="FZ414">
        <v>5.5893177487102639</v>
      </c>
      <c r="GA414">
        <v>13.356798268211342</v>
      </c>
      <c r="GB414">
        <v>3.8299607382434449</v>
      </c>
      <c r="GC414">
        <v>0.65632012184837285</v>
      </c>
      <c r="GD414">
        <v>1.1613979027352803</v>
      </c>
      <c r="GE414">
        <v>1.9698897063394254</v>
      </c>
      <c r="GF414">
        <v>7.1419677442994702</v>
      </c>
      <c r="GG414">
        <v>6.3791356021667731</v>
      </c>
      <c r="GH414">
        <v>0.23579423514790807</v>
      </c>
      <c r="GI414">
        <v>6.1932346416303048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6.7135416666666661</v>
      </c>
      <c r="AO415">
        <v>22.20990515165871</v>
      </c>
      <c r="AP415">
        <v>174.4717767855031</v>
      </c>
      <c r="AQ415">
        <v>26.81496817890493</v>
      </c>
      <c r="AR415">
        <v>20.555887284270021</v>
      </c>
      <c r="AS415">
        <v>79.310241171466757</v>
      </c>
      <c r="AT415" t="e">
        <v>#DIV/0!</v>
      </c>
      <c r="AU415" t="e">
        <v>#DIV/0!</v>
      </c>
      <c r="AV415"/>
      <c r="AW415"/>
      <c r="FY415" s="210">
        <v>410</v>
      </c>
      <c r="FZ415">
        <v>5.7763415625257331</v>
      </c>
      <c r="GA415">
        <v>19.922229723051927</v>
      </c>
      <c r="GB415">
        <v>6.0121279167046016</v>
      </c>
      <c r="GC415">
        <v>0.69993322528686308</v>
      </c>
      <c r="GD415">
        <v>1.072795948760092</v>
      </c>
      <c r="GE415">
        <v>2.0141003676874747</v>
      </c>
      <c r="GF415">
        <v>4.7515890382786203</v>
      </c>
      <c r="GG415">
        <v>3.5710744044950373</v>
      </c>
      <c r="GH415">
        <v>0.3456493005258417</v>
      </c>
      <c r="GI415">
        <v>5.7940597106437917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12.42644140989729</v>
      </c>
      <c r="AO416">
        <v>9.3941820527414865</v>
      </c>
      <c r="AP416">
        <v>75.749169024117933</v>
      </c>
      <c r="AQ416">
        <v>38.54110577061676</v>
      </c>
      <c r="AR416">
        <v>8.7606166040428164</v>
      </c>
      <c r="AS416">
        <v>86.40640135029355</v>
      </c>
      <c r="AT416" t="e">
        <v>#DIV/0!</v>
      </c>
      <c r="AU416" t="e">
        <v>#DIV/0!</v>
      </c>
      <c r="AV416"/>
      <c r="AW416"/>
      <c r="FY416" s="210">
        <v>411</v>
      </c>
      <c r="FZ416">
        <v>10.48350210764738</v>
      </c>
      <c r="GA416">
        <v>15.778328400674766</v>
      </c>
      <c r="GB416">
        <v>3.2752830295060988</v>
      </c>
      <c r="GC416">
        <v>0.41189507660490476</v>
      </c>
      <c r="GD416">
        <v>0.65635909328246833</v>
      </c>
      <c r="GE416">
        <v>1.346932374635103</v>
      </c>
      <c r="GF416">
        <v>4.9012768686867121</v>
      </c>
      <c r="GG416">
        <v>3.9467031617725512</v>
      </c>
      <c r="GH416">
        <v>0.3456493005258417</v>
      </c>
      <c r="GI416">
        <v>4.8140382316926145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11.482244981325861</v>
      </c>
      <c r="AO417">
        <v>12.02724280046616</v>
      </c>
      <c r="AP417">
        <v>112.19188518112605</v>
      </c>
      <c r="AQ417">
        <v>40.955581364384869</v>
      </c>
      <c r="AR417">
        <v>12.07523879676809</v>
      </c>
      <c r="AS417">
        <v>77.926093895766726</v>
      </c>
      <c r="AT417">
        <v>5.5557366216785598</v>
      </c>
      <c r="AU417">
        <v>21.858525669003392</v>
      </c>
      <c r="AV417"/>
      <c r="AW417"/>
      <c r="FY417" s="210">
        <v>412</v>
      </c>
      <c r="FZ417">
        <v>3.5428993474297403</v>
      </c>
      <c r="GA417">
        <v>21.967433185987431</v>
      </c>
      <c r="GB417">
        <v>6.8447011958365707</v>
      </c>
      <c r="GC417">
        <v>0.18812120388693582</v>
      </c>
      <c r="GD417">
        <v>0.25445667385383575</v>
      </c>
      <c r="GE417">
        <v>0.46578531152394365</v>
      </c>
      <c r="GF417">
        <v>4.2486016235088613</v>
      </c>
      <c r="GG417">
        <v>3.9952373859207246</v>
      </c>
      <c r="GH417">
        <v>0.23579423514790807</v>
      </c>
      <c r="GI417">
        <v>4.5907882999880103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12.857077205882351</v>
      </c>
      <c r="AO418">
        <v>21.170332486552482</v>
      </c>
      <c r="AP418">
        <v>177.12337596043406</v>
      </c>
      <c r="AQ418">
        <v>54.450549467531758</v>
      </c>
      <c r="AR418">
        <v>20.598022461099767</v>
      </c>
      <c r="AS418">
        <v>157.53675556732793</v>
      </c>
      <c r="AT418">
        <v>9.5082496845592477</v>
      </c>
      <c r="AU418">
        <v>-104.50929950759675</v>
      </c>
      <c r="AV418"/>
      <c r="AW418"/>
      <c r="FY418" s="210">
        <v>413</v>
      </c>
      <c r="FZ418">
        <v>7.3954600350611237</v>
      </c>
      <c r="GA418">
        <v>10.357693197520952</v>
      </c>
      <c r="GB418">
        <v>1.6896969403322721</v>
      </c>
      <c r="GC418">
        <v>0.82371065308132518</v>
      </c>
      <c r="GD418">
        <v>0.94950895485439879</v>
      </c>
      <c r="GE418">
        <v>1.9557532280796694</v>
      </c>
      <c r="GF418">
        <v>3.0359216290938535</v>
      </c>
      <c r="GG418">
        <v>1.3155677205908503</v>
      </c>
      <c r="GH418">
        <v>0.51847395078876257</v>
      </c>
      <c r="GI418">
        <v>3.6729256882084984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9.2232945261437909</v>
      </c>
      <c r="AO419">
        <v>18.766568256385614</v>
      </c>
      <c r="AP419">
        <v>154.93272990866109</v>
      </c>
      <c r="AQ419">
        <v>43.711980504707554</v>
      </c>
      <c r="AR419">
        <v>17.476980654877394</v>
      </c>
      <c r="AS419">
        <v>79.186650652164005</v>
      </c>
      <c r="AT419">
        <v>8.120249639871755</v>
      </c>
      <c r="AU419">
        <v>-60.509058631389273</v>
      </c>
      <c r="AV419"/>
      <c r="AW419"/>
      <c r="FY419" s="210">
        <v>414</v>
      </c>
      <c r="FZ419">
        <v>3.6009909423949833</v>
      </c>
      <c r="GA419">
        <v>5.1386419440667641</v>
      </c>
      <c r="GB419">
        <v>1.7769480137191371</v>
      </c>
      <c r="GC419">
        <v>0.3319838958379443</v>
      </c>
      <c r="GD419">
        <v>0.31732410010477419</v>
      </c>
      <c r="GE419">
        <v>1.3941583827563497</v>
      </c>
      <c r="GF419">
        <v>8.5980811355780933</v>
      </c>
      <c r="GG419">
        <v>7.1203715646926344</v>
      </c>
      <c r="GH419">
        <v>0.64441312055873701</v>
      </c>
      <c r="GI419">
        <v>4.0652486797772651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8.3019374416433234</v>
      </c>
      <c r="AO420">
        <v>14.103660861693367</v>
      </c>
      <c r="AP420">
        <v>83.665728345225233</v>
      </c>
      <c r="AQ420">
        <v>24.047368258752872</v>
      </c>
      <c r="AR420">
        <v>13.158656828450765</v>
      </c>
      <c r="AS420">
        <v>62.593415314783762</v>
      </c>
      <c r="AT420">
        <v>4.8872912549809877</v>
      </c>
      <c r="AU420">
        <v>-19.636530149281423</v>
      </c>
      <c r="AV420"/>
      <c r="AW420"/>
      <c r="FY420" s="210">
        <v>415</v>
      </c>
      <c r="FZ420">
        <v>2.2911534340223501</v>
      </c>
      <c r="GA420">
        <v>7.2353922103932602</v>
      </c>
      <c r="GB420">
        <v>1.6222295394803388</v>
      </c>
      <c r="GC420">
        <v>0.80900418954248765</v>
      </c>
      <c r="GD420">
        <v>0.51907032427142852</v>
      </c>
      <c r="GE420">
        <v>0.96915792641427245</v>
      </c>
      <c r="GF420">
        <v>2.7901232763629222</v>
      </c>
      <c r="GG420">
        <v>1.669419233570923</v>
      </c>
      <c r="GH420">
        <v>0.81723777082165783</v>
      </c>
      <c r="GI420">
        <v>2.0467604496340317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10.542906746031747</v>
      </c>
      <c r="AO421">
        <v>15.889652081594175</v>
      </c>
      <c r="AP421">
        <v>108.06449850083501</v>
      </c>
      <c r="AQ421">
        <v>39.797631928689313</v>
      </c>
      <c r="AR421">
        <v>16.120684075546148</v>
      </c>
      <c r="AS421">
        <v>123.8941763111405</v>
      </c>
      <c r="AT421" t="e">
        <v>#DIV/0!</v>
      </c>
      <c r="AU421" t="e">
        <v>#DIV/0!</v>
      </c>
      <c r="AV421"/>
      <c r="AW421"/>
      <c r="FY421" s="210">
        <v>416</v>
      </c>
      <c r="FZ421">
        <v>2.2911534340223501</v>
      </c>
      <c r="GA421">
        <v>4.8654088813208318</v>
      </c>
      <c r="GB421">
        <v>0.84545379428994738</v>
      </c>
      <c r="GC421">
        <v>0.47215086907454396</v>
      </c>
      <c r="GD421">
        <v>1.3031932648643003</v>
      </c>
      <c r="GE421">
        <v>2.6673284205770544</v>
      </c>
      <c r="GF421">
        <v>2.3318823769569397</v>
      </c>
      <c r="GG421">
        <v>1.4924934770808866</v>
      </c>
      <c r="GH421">
        <v>0.40861888541082891</v>
      </c>
      <c r="GI421">
        <v>3.1330207630507156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4.2074249396425957E-4</v>
      </c>
      <c r="H422" s="44">
        <f t="shared" ref="H422:AK422" si="383">H372</f>
        <v>2.6975999960000001E-3</v>
      </c>
      <c r="I422" s="44">
        <f t="shared" si="383"/>
        <v>1.729572325783988E-2</v>
      </c>
      <c r="J422" s="44">
        <f t="shared" si="383"/>
        <v>5.1283865773496855E-2</v>
      </c>
      <c r="K422" s="44">
        <f t="shared" si="383"/>
        <v>0.11089192002348423</v>
      </c>
      <c r="L422" s="44">
        <f t="shared" si="383"/>
        <v>0.20168954067263015</v>
      </c>
      <c r="M422" s="44">
        <f t="shared" si="383"/>
        <v>0.32880766285803609</v>
      </c>
      <c r="N422" s="44">
        <f t="shared" si="383"/>
        <v>0.49705446562765726</v>
      </c>
      <c r="O422" s="44">
        <f t="shared" si="383"/>
        <v>0.71098604800587151</v>
      </c>
      <c r="P422" s="44">
        <f t="shared" si="383"/>
        <v>0.97495362269196928</v>
      </c>
      <c r="Q422" s="44">
        <f t="shared" si="383"/>
        <v>1.2931370420548645</v>
      </c>
      <c r="R422" s="44">
        <f t="shared" si="383"/>
        <v>1.6695697117709549</v>
      </c>
      <c r="S422" s="44">
        <f t="shared" si="383"/>
        <v>2.1081577514391845</v>
      </c>
      <c r="T422" s="44">
        <f t="shared" si="383"/>
        <v>2.6126951356643624</v>
      </c>
      <c r="U422" s="44">
        <f t="shared" si="383"/>
        <v>3.186875924642997</v>
      </c>
      <c r="V422" s="44">
        <f t="shared" si="383"/>
        <v>3.8343043249965225</v>
      </c>
      <c r="W422" s="44">
        <f t="shared" si="383"/>
        <v>4.558503093389989</v>
      </c>
      <c r="X422" s="44">
        <f t="shared" si="383"/>
        <v>5.3629206481954421</v>
      </c>
      <c r="Y422" s="44">
        <f t="shared" si="383"/>
        <v>6.2509371561063425</v>
      </c>
      <c r="Z422" s="44">
        <f t="shared" si="383"/>
        <v>7.2258697929900224</v>
      </c>
      <c r="AA422" s="44">
        <f t="shared" si="383"/>
        <v>8.2909773305925594</v>
      </c>
      <c r="AB422" s="44">
        <f t="shared" si="383"/>
        <v>9.4494641663567052</v>
      </c>
      <c r="AC422" s="44">
        <f t="shared" si="383"/>
        <v>10.70448388837481</v>
      </c>
      <c r="AD422" s="44">
        <f t="shared" si="383"/>
        <v>12.05914244863688</v>
      </c>
      <c r="AE422" s="44">
        <f t="shared" si="383"/>
        <v>13.516501003420878</v>
      </c>
      <c r="AF422" s="44">
        <f t="shared" si="383"/>
        <v>15.079578468659118</v>
      </c>
      <c r="AG422" s="44">
        <f t="shared" si="383"/>
        <v>16.751353829537599</v>
      </c>
      <c r="AH422" s="44">
        <f t="shared" si="383"/>
        <v>18.534768236824771</v>
      </c>
      <c r="AI422" s="44">
        <f t="shared" si="383"/>
        <v>20.432726917048022</v>
      </c>
      <c r="AJ422" s="44">
        <f t="shared" si="383"/>
        <v>22.448100919312303</v>
      </c>
      <c r="AK422" s="44">
        <f t="shared" si="383"/>
        <v>24.583728718050597</v>
      </c>
      <c r="AL422" s="4"/>
      <c r="AM422" s="43">
        <v>406</v>
      </c>
      <c r="AN422">
        <v>11.016303396358543</v>
      </c>
      <c r="AO422">
        <v>14.28878462114589</v>
      </c>
      <c r="AP422">
        <v>99.754179882212398</v>
      </c>
      <c r="AQ422">
        <v>27.866978887885239</v>
      </c>
      <c r="AR422">
        <v>13.748913214932482</v>
      </c>
      <c r="AS422">
        <v>64.669279653865857</v>
      </c>
      <c r="AT422">
        <v>5.4417259592705109</v>
      </c>
      <c r="AU422">
        <v>-89.061864842583276</v>
      </c>
      <c r="AV422"/>
      <c r="AW422"/>
      <c r="FY422" s="210">
        <v>417</v>
      </c>
      <c r="FZ422">
        <v>4.0279104951012314</v>
      </c>
      <c r="GA422">
        <v>11.533598261942824</v>
      </c>
      <c r="GB422">
        <v>3.3613234546453414</v>
      </c>
      <c r="GC422">
        <v>0.26114723440310134</v>
      </c>
      <c r="GD422">
        <v>0.31925030389717191</v>
      </c>
      <c r="GE422">
        <v>1.4194522535549772</v>
      </c>
      <c r="GF422">
        <v>1.5290474616131053</v>
      </c>
      <c r="GG422">
        <v>0.353851512980073</v>
      </c>
      <c r="GH422">
        <v>0.64441312055873701</v>
      </c>
      <c r="GI422">
        <v>4.3170485870205653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4">SUM(G423:AK423)</f>
        <v>19.371994507528385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0</v>
      </c>
      <c r="I423" s="107">
        <f t="shared" si="385"/>
        <v>0</v>
      </c>
      <c r="J423" s="107">
        <f t="shared" si="385"/>
        <v>0</v>
      </c>
      <c r="K423" s="107">
        <f t="shared" si="385"/>
        <v>0</v>
      </c>
      <c r="L423" s="107">
        <f t="shared" si="385"/>
        <v>0</v>
      </c>
      <c r="M423" s="107">
        <f t="shared" si="385"/>
        <v>0</v>
      </c>
      <c r="N423" s="107">
        <f t="shared" si="385"/>
        <v>0</v>
      </c>
      <c r="O423" s="107">
        <f t="shared" si="385"/>
        <v>0</v>
      </c>
      <c r="P423" s="107">
        <f t="shared" si="385"/>
        <v>0.48501114767149078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11.167211075479962</v>
      </c>
      <c r="Z423" s="107">
        <f t="shared" si="385"/>
        <v>0</v>
      </c>
      <c r="AA423" s="107">
        <f t="shared" si="385"/>
        <v>0</v>
      </c>
      <c r="AB423" s="107">
        <f t="shared" si="385"/>
        <v>7.7197722843769325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14.32824900793651</v>
      </c>
      <c r="AO423">
        <v>24.623716207030917</v>
      </c>
      <c r="AP423">
        <v>184.72876498632979</v>
      </c>
      <c r="AQ423">
        <v>28.499770994978959</v>
      </c>
      <c r="AR423">
        <v>23.806937753894601</v>
      </c>
      <c r="AS423">
        <v>114.49641874188148</v>
      </c>
      <c r="AT423" t="e">
        <v>#DIV/0!</v>
      </c>
      <c r="AU423" t="e">
        <v>#DIV/0!</v>
      </c>
      <c r="AV423"/>
      <c r="AW423"/>
      <c r="FY423" s="210">
        <v>418</v>
      </c>
      <c r="FZ423">
        <v>6.455971988585036</v>
      </c>
      <c r="GA423">
        <v>1.3729964006441531</v>
      </c>
      <c r="GB423">
        <v>0.49775736518583225</v>
      </c>
      <c r="GC423">
        <v>0.56884077138238098</v>
      </c>
      <c r="GD423">
        <v>0.87154518679978987</v>
      </c>
      <c r="GE423">
        <v>1.9524268923014954</v>
      </c>
      <c r="GF423">
        <v>7.6597556881622708</v>
      </c>
      <c r="GG423">
        <v>6.2507440698249113</v>
      </c>
      <c r="GH423">
        <v>0.23579423514790807</v>
      </c>
      <c r="GI423">
        <v>4.2046573969825083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4"/>
        <v>24.284257799554283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0</v>
      </c>
      <c r="I424" s="107">
        <f t="shared" si="386"/>
        <v>0</v>
      </c>
      <c r="J424" s="107">
        <f t="shared" si="386"/>
        <v>0</v>
      </c>
      <c r="K424" s="107">
        <f t="shared" si="386"/>
        <v>6.8202478030557234E-2</v>
      </c>
      <c r="L424" s="107">
        <f t="shared" si="386"/>
        <v>0.12330742200068667</v>
      </c>
      <c r="M424" s="107">
        <f t="shared" si="386"/>
        <v>0.79735057184381319</v>
      </c>
      <c r="N424" s="107">
        <f t="shared" si="386"/>
        <v>0</v>
      </c>
      <c r="O424" s="107">
        <f t="shared" si="386"/>
        <v>0</v>
      </c>
      <c r="P424" s="107">
        <f t="shared" si="386"/>
        <v>0</v>
      </c>
      <c r="Q424" s="107">
        <f t="shared" si="386"/>
        <v>0.7336465500523488</v>
      </c>
      <c r="R424" s="107">
        <f t="shared" si="386"/>
        <v>0</v>
      </c>
      <c r="S424" s="107">
        <f t="shared" si="386"/>
        <v>0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3.9713612439723405</v>
      </c>
      <c r="X424" s="107">
        <f t="shared" si="385"/>
        <v>0</v>
      </c>
      <c r="Y424" s="107">
        <f t="shared" si="385"/>
        <v>11.480439546437248</v>
      </c>
      <c r="Z424" s="107">
        <f t="shared" si="385"/>
        <v>7.1099499872172878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13.186383928571427</v>
      </c>
      <c r="AO424">
        <v>11.30990433990152</v>
      </c>
      <c r="AP424">
        <v>90.771012973233027</v>
      </c>
      <c r="AQ424">
        <v>36.633367830618766</v>
      </c>
      <c r="AR424">
        <v>10.417417395251269</v>
      </c>
      <c r="AS424">
        <v>84.594374353960703</v>
      </c>
      <c r="AT424" t="e">
        <v>#DIV/0!</v>
      </c>
      <c r="AU424" t="e">
        <v>#DIV/0!</v>
      </c>
      <c r="AV424"/>
      <c r="AW424"/>
      <c r="FY424" s="210">
        <v>419</v>
      </c>
      <c r="FZ424">
        <v>5.7767219385646182</v>
      </c>
      <c r="GA424">
        <v>10.758614790181531</v>
      </c>
      <c r="GB424">
        <v>3.392679777894906</v>
      </c>
      <c r="GC424">
        <v>0.47150546057710685</v>
      </c>
      <c r="GD424">
        <v>0.3210992365109529</v>
      </c>
      <c r="GE424">
        <v>1.7332728104092145</v>
      </c>
      <c r="GF424">
        <v>5.0020942708777172</v>
      </c>
      <c r="GG424">
        <v>2.6093581968842599</v>
      </c>
      <c r="GH424">
        <v>0.47158847029581613</v>
      </c>
      <c r="GI424">
        <v>3.7174651633881162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4"/>
        <v>3.6546576756848395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0</v>
      </c>
      <c r="I425" s="107">
        <f t="shared" si="385"/>
        <v>0</v>
      </c>
      <c r="J425" s="107">
        <f t="shared" si="385"/>
        <v>3.2479132859501159E-2</v>
      </c>
      <c r="K425" s="107">
        <f t="shared" si="385"/>
        <v>0.31410386419271358</v>
      </c>
      <c r="L425" s="107">
        <f t="shared" si="385"/>
        <v>6.2882022035622348E-2</v>
      </c>
      <c r="M425" s="107">
        <f t="shared" si="385"/>
        <v>0.404628727836228</v>
      </c>
      <c r="N425" s="107">
        <f t="shared" si="385"/>
        <v>0</v>
      </c>
      <c r="O425" s="107">
        <f t="shared" si="385"/>
        <v>0</v>
      </c>
      <c r="P425" s="107">
        <f t="shared" si="385"/>
        <v>0</v>
      </c>
      <c r="Q425" s="107">
        <f t="shared" si="385"/>
        <v>0.35733832349634215</v>
      </c>
      <c r="R425" s="107">
        <f t="shared" si="385"/>
        <v>0</v>
      </c>
      <c r="S425" s="107">
        <f t="shared" si="385"/>
        <v>0</v>
      </c>
      <c r="T425" s="107">
        <f t="shared" si="385"/>
        <v>0</v>
      </c>
      <c r="U425" s="107">
        <f t="shared" si="385"/>
        <v>0</v>
      </c>
      <c r="V425" s="107">
        <f t="shared" si="385"/>
        <v>0</v>
      </c>
      <c r="W425" s="107">
        <f t="shared" si="385"/>
        <v>1.5526295178158398</v>
      </c>
      <c r="X425" s="107">
        <f t="shared" si="385"/>
        <v>0</v>
      </c>
      <c r="Y425" s="107">
        <f t="shared" si="385"/>
        <v>0</v>
      </c>
      <c r="Z425" s="107">
        <f t="shared" si="385"/>
        <v>1.8140846847357199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-0.88348859728712759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14.923735119047617</v>
      </c>
      <c r="AO425">
        <v>25.745411429637567</v>
      </c>
      <c r="AP425">
        <v>222.74011340496361</v>
      </c>
      <c r="AQ425">
        <v>46.513816709332581</v>
      </c>
      <c r="AR425">
        <v>24.356325254033532</v>
      </c>
      <c r="AS425">
        <v>118.17014847073651</v>
      </c>
      <c r="AT425" t="e">
        <v>#DIV/0!</v>
      </c>
      <c r="AU425" t="e">
        <v>#DIV/0!</v>
      </c>
      <c r="AV425"/>
      <c r="AW425"/>
      <c r="FY425" s="210">
        <v>420</v>
      </c>
      <c r="FZ425">
        <v>4.6400180869710583</v>
      </c>
      <c r="GA425">
        <v>12.656027413547076</v>
      </c>
      <c r="GB425">
        <v>3.2764058391160349</v>
      </c>
      <c r="GC425">
        <v>0.79928426171293299</v>
      </c>
      <c r="GD425">
        <v>0.72287342014717693</v>
      </c>
      <c r="GE425">
        <v>0.5267704432109106</v>
      </c>
      <c r="GF425">
        <v>3.1238742211069477</v>
      </c>
      <c r="GG425">
        <v>3.0552984226073874</v>
      </c>
      <c r="GH425">
        <v>0.40861888541082891</v>
      </c>
      <c r="GI425">
        <v>4.0158578244283829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4"/>
        <v>-0.92815214307143035</v>
      </c>
      <c r="D426" s="191">
        <f>A$408</f>
        <v>0.78</v>
      </c>
      <c r="E426" s="8"/>
      <c r="F426" s="124"/>
      <c r="G426" s="107">
        <f t="shared" si="386"/>
        <v>0</v>
      </c>
      <c r="H426" s="107">
        <f t="shared" si="385"/>
        <v>0</v>
      </c>
      <c r="I426" s="107">
        <f t="shared" si="385"/>
        <v>6.153241258313044E-3</v>
      </c>
      <c r="J426" s="107">
        <f t="shared" si="385"/>
        <v>3.62980773284702E-2</v>
      </c>
      <c r="K426" s="107">
        <f t="shared" si="385"/>
        <v>0.31103769054574865</v>
      </c>
      <c r="L426" s="107">
        <f t="shared" si="385"/>
        <v>0.27882021166685794</v>
      </c>
      <c r="M426" s="107">
        <f t="shared" si="385"/>
        <v>0</v>
      </c>
      <c r="N426" s="107">
        <f t="shared" si="385"/>
        <v>0</v>
      </c>
      <c r="O426" s="107">
        <f t="shared" si="385"/>
        <v>0</v>
      </c>
      <c r="P426" s="107">
        <f t="shared" si="385"/>
        <v>0.29540636069979254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0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-1.8558677245706128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12.965234010270773</v>
      </c>
      <c r="AO426">
        <v>20.93953499893421</v>
      </c>
      <c r="AP426">
        <v>150.37862707726418</v>
      </c>
      <c r="AQ426">
        <v>49.959901197959987</v>
      </c>
      <c r="AR426">
        <v>19.453657572434107</v>
      </c>
      <c r="AS426">
        <v>109.12654288428394</v>
      </c>
      <c r="AT426">
        <v>9.0568685552408184</v>
      </c>
      <c r="AU426">
        <v>-44.876275831269716</v>
      </c>
      <c r="AV426"/>
      <c r="AW426"/>
      <c r="FY426" s="210">
        <v>421</v>
      </c>
      <c r="FZ426">
        <v>1.8521794989315969</v>
      </c>
      <c r="GA426">
        <v>7.0668646665438999</v>
      </c>
      <c r="GB426">
        <v>2.9251653039067387</v>
      </c>
      <c r="GC426">
        <v>0.68354367984472553</v>
      </c>
      <c r="GD426">
        <v>0.54543261985101354</v>
      </c>
      <c r="GE426">
        <v>0.63517839408844412</v>
      </c>
      <c r="GF426">
        <v>0.5131901159300557</v>
      </c>
      <c r="GG426">
        <v>0.1769257564900365</v>
      </c>
      <c r="GH426">
        <v>0.40861888541082891</v>
      </c>
      <c r="GI426">
        <v>2.9784007199470715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4"/>
        <v>-5.4239868586608253</v>
      </c>
      <c r="D427" s="191">
        <f>A$409</f>
        <v>0.14000000000000001</v>
      </c>
      <c r="E427" s="8"/>
      <c r="F427" s="124"/>
      <c r="G427" s="107">
        <f t="shared" si="386"/>
        <v>0</v>
      </c>
      <c r="H427" s="107">
        <f t="shared" si="385"/>
        <v>0</v>
      </c>
      <c r="I427" s="107">
        <f t="shared" si="385"/>
        <v>4.7385928349909677E-3</v>
      </c>
      <c r="J427" s="107">
        <f t="shared" si="385"/>
        <v>2.7936320199570017E-2</v>
      </c>
      <c r="K427" s="107">
        <f t="shared" si="385"/>
        <v>0.14945682932450052</v>
      </c>
      <c r="L427" s="107">
        <f t="shared" si="385"/>
        <v>0.34775823237204856</v>
      </c>
      <c r="M427" s="107">
        <f t="shared" si="385"/>
        <v>4.2623557976760339E-2</v>
      </c>
      <c r="N427" s="107">
        <f t="shared" si="385"/>
        <v>0</v>
      </c>
      <c r="O427" s="107">
        <f t="shared" si="385"/>
        <v>8.5748508397868684E-2</v>
      </c>
      <c r="P427" s="107">
        <f t="shared" si="385"/>
        <v>0.22301308824086874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0.13557501633394403</v>
      </c>
      <c r="X427" s="107">
        <f t="shared" si="385"/>
        <v>0</v>
      </c>
      <c r="Y427" s="107">
        <f t="shared" si="385"/>
        <v>-6.3933457644207395E-2</v>
      </c>
      <c r="Z427" s="107">
        <f t="shared" si="385"/>
        <v>0</v>
      </c>
      <c r="AA427" s="107">
        <f t="shared" si="385"/>
        <v>0</v>
      </c>
      <c r="AB427" s="107">
        <f t="shared" si="385"/>
        <v>-0.81043360718175506</v>
      </c>
      <c r="AC427" s="107">
        <f t="shared" si="385"/>
        <v>0</v>
      </c>
      <c r="AD427" s="107">
        <f t="shared" si="385"/>
        <v>0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-5.5664699395154145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12.821508811858077</v>
      </c>
      <c r="AO427">
        <v>14.2503937130629</v>
      </c>
      <c r="AP427">
        <v>129.47605888031242</v>
      </c>
      <c r="AQ427">
        <v>45.959967645028442</v>
      </c>
      <c r="AR427">
        <v>13.760283233276274</v>
      </c>
      <c r="AS427">
        <v>85.015739450447555</v>
      </c>
      <c r="AT427">
        <v>8.0397430426456165</v>
      </c>
      <c r="AU427">
        <v>-81.065381876352589</v>
      </c>
      <c r="AV427"/>
      <c r="AW427"/>
      <c r="FY427" s="210">
        <v>422</v>
      </c>
      <c r="FZ427">
        <v>8.4076905856166189</v>
      </c>
      <c r="GA427">
        <v>8.1892938181481494</v>
      </c>
      <c r="GB427">
        <v>2.7030672674536933</v>
      </c>
      <c r="GC427">
        <v>1.1216842622310503</v>
      </c>
      <c r="GD427">
        <v>0.96516896990262357</v>
      </c>
      <c r="GE427">
        <v>0.64637884323626749</v>
      </c>
      <c r="GF427">
        <v>1.4190790816838581</v>
      </c>
      <c r="GG427">
        <v>1.1168647198033732</v>
      </c>
      <c r="GH427">
        <v>0.40861888541082891</v>
      </c>
      <c r="GI427">
        <v>3.5992954178530248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4"/>
        <v>-11.380140432608329</v>
      </c>
      <c r="D428" s="191">
        <f>A$410</f>
        <v>0.21</v>
      </c>
      <c r="E428" s="8"/>
      <c r="F428" s="124"/>
      <c r="G428" s="107">
        <f t="shared" si="386"/>
        <v>0</v>
      </c>
      <c r="H428" s="107">
        <f t="shared" si="385"/>
        <v>0</v>
      </c>
      <c r="I428" s="107">
        <f t="shared" si="385"/>
        <v>0</v>
      </c>
      <c r="J428" s="107">
        <f t="shared" si="385"/>
        <v>2.8283729927286127E-2</v>
      </c>
      <c r="K428" s="107">
        <f t="shared" si="385"/>
        <v>9.8367654643406341E-2</v>
      </c>
      <c r="L428" s="107">
        <f t="shared" si="385"/>
        <v>0.27092207102113741</v>
      </c>
      <c r="M428" s="107">
        <f t="shared" si="385"/>
        <v>8.6360828608578688E-2</v>
      </c>
      <c r="N428" s="107">
        <f t="shared" si="385"/>
        <v>0.15825080277117584</v>
      </c>
      <c r="O428" s="107">
        <f t="shared" si="385"/>
        <v>0.17390521541358925</v>
      </c>
      <c r="P428" s="107">
        <f t="shared" si="385"/>
        <v>0.28289422253766161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0.28659025245808661</v>
      </c>
      <c r="X428" s="107">
        <f t="shared" si="385"/>
        <v>0</v>
      </c>
      <c r="Y428" s="107">
        <f t="shared" si="385"/>
        <v>-0.10669420977353811</v>
      </c>
      <c r="Z428" s="107">
        <f t="shared" si="385"/>
        <v>0</v>
      </c>
      <c r="AA428" s="107">
        <f t="shared" si="385"/>
        <v>0</v>
      </c>
      <c r="AB428" s="107">
        <f t="shared" si="385"/>
        <v>-1.5888606980490392</v>
      </c>
      <c r="AC428" s="107">
        <f t="shared" si="385"/>
        <v>0</v>
      </c>
      <c r="AD428" s="107">
        <f t="shared" si="385"/>
        <v>0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-11.070160302166673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7.7723214285714279</v>
      </c>
      <c r="AO428">
        <v>16.962319809417217</v>
      </c>
      <c r="AP428">
        <v>155.70141970474646</v>
      </c>
      <c r="AQ428">
        <v>46.333818463083965</v>
      </c>
      <c r="AR428">
        <v>15.770308235710948</v>
      </c>
      <c r="AS428">
        <v>150.26969903838958</v>
      </c>
      <c r="AT428" t="e">
        <v>#DIV/0!</v>
      </c>
      <c r="AU428" t="e">
        <v>#DIV/0!</v>
      </c>
      <c r="AV428"/>
      <c r="AW428"/>
      <c r="FY428" s="210">
        <v>423</v>
      </c>
      <c r="FZ428">
        <v>4.6977293058974166</v>
      </c>
      <c r="GA428">
        <v>11.901463448753141</v>
      </c>
      <c r="GB428">
        <v>2.0897440134685068</v>
      </c>
      <c r="GC428">
        <v>0.26329899253362465</v>
      </c>
      <c r="GD428">
        <v>0.53509535608030745</v>
      </c>
      <c r="GE428">
        <v>2.0895132191103287</v>
      </c>
      <c r="GF428">
        <v>4.2728763987075995</v>
      </c>
      <c r="GG428">
        <v>2.1271151515623243</v>
      </c>
      <c r="GH428">
        <v>0.17282465026292085</v>
      </c>
      <c r="GI428">
        <v>3.5620921997855186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4"/>
        <v>2.3228206018127304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0</v>
      </c>
      <c r="I429" s="107">
        <f t="shared" si="385"/>
        <v>0</v>
      </c>
      <c r="J429" s="107">
        <f t="shared" si="385"/>
        <v>0</v>
      </c>
      <c r="K429" s="107">
        <f t="shared" si="385"/>
        <v>5.9076212728075478E-2</v>
      </c>
      <c r="L429" s="107">
        <f t="shared" si="385"/>
        <v>0</v>
      </c>
      <c r="M429" s="107">
        <f t="shared" si="385"/>
        <v>0</v>
      </c>
      <c r="N429" s="107">
        <f t="shared" si="385"/>
        <v>0.24992534893493346</v>
      </c>
      <c r="O429" s="107">
        <f t="shared" si="385"/>
        <v>0.55313016000197879</v>
      </c>
      <c r="P429" s="107">
        <f t="shared" si="385"/>
        <v>0.4541139032019802</v>
      </c>
      <c r="Q429" s="107">
        <f t="shared" si="385"/>
        <v>0.45634672842257079</v>
      </c>
      <c r="R429" s="107">
        <f t="shared" si="385"/>
        <v>0.55022824852319152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13.689666491596636</v>
      </c>
      <c r="AO429">
        <v>16.444758917751649</v>
      </c>
      <c r="AP429">
        <v>148.47672624928998</v>
      </c>
      <c r="AQ429">
        <v>31.714711997611701</v>
      </c>
      <c r="AR429">
        <v>15.679277768099787</v>
      </c>
      <c r="AS429">
        <v>106.87167695825813</v>
      </c>
      <c r="AT429">
        <v>10.212946795030124</v>
      </c>
      <c r="AU429">
        <v>-149.82154109627481</v>
      </c>
      <c r="AV429"/>
      <c r="AW429"/>
      <c r="FY429" s="210">
        <v>424</v>
      </c>
      <c r="FZ429">
        <v>3.2611757293653318</v>
      </c>
      <c r="GA429">
        <v>2.2960879092874493</v>
      </c>
      <c r="GB429">
        <v>0.15705193209635682</v>
      </c>
      <c r="GC429">
        <v>0.47357771857914588</v>
      </c>
      <c r="GD429">
        <v>0.73256456284031013</v>
      </c>
      <c r="GE429">
        <v>1.9364611113840091</v>
      </c>
      <c r="GF429">
        <v>3.6428834266965899</v>
      </c>
      <c r="GG429">
        <v>1.8798779266266734</v>
      </c>
      <c r="GH429">
        <v>0</v>
      </c>
      <c r="GI429">
        <v>2.5651456797801542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4"/>
        <v>-6.5709891351126437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0</v>
      </c>
      <c r="I430" s="107">
        <f t="shared" si="385"/>
        <v>0</v>
      </c>
      <c r="J430" s="107">
        <f t="shared" si="385"/>
        <v>0</v>
      </c>
      <c r="K430" s="107">
        <f t="shared" si="385"/>
        <v>0</v>
      </c>
      <c r="L430" s="107">
        <f t="shared" si="385"/>
        <v>0</v>
      </c>
      <c r="M430" s="107">
        <f t="shared" si="385"/>
        <v>0</v>
      </c>
      <c r="N430" s="107">
        <f t="shared" si="385"/>
        <v>0.353851512980073</v>
      </c>
      <c r="O430" s="107">
        <f t="shared" si="385"/>
        <v>0.49447444987130124</v>
      </c>
      <c r="P430" s="107">
        <f t="shared" si="385"/>
        <v>0</v>
      </c>
      <c r="Q430" s="107">
        <f t="shared" si="385"/>
        <v>0.42078374334573265</v>
      </c>
      <c r="R430" s="107">
        <f t="shared" si="385"/>
        <v>0.51915521996760405</v>
      </c>
      <c r="S430" s="107">
        <f t="shared" si="385"/>
        <v>0</v>
      </c>
      <c r="T430" s="107">
        <f t="shared" si="385"/>
        <v>0</v>
      </c>
      <c r="U430" s="107">
        <f t="shared" si="385"/>
        <v>0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-8.3592540612773547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7.4011437908496731</v>
      </c>
      <c r="AO430">
        <v>15.207638625098857</v>
      </c>
      <c r="AP430">
        <v>120.71423503089683</v>
      </c>
      <c r="AQ430">
        <v>32.988161779486681</v>
      </c>
      <c r="AR430">
        <v>14.60136212901487</v>
      </c>
      <c r="AS430">
        <v>76.845152242941495</v>
      </c>
      <c r="AT430" t="e">
        <v>#DIV/0!</v>
      </c>
      <c r="AU430" t="e">
        <v>#DIV/0!</v>
      </c>
      <c r="AV430"/>
      <c r="AW430"/>
      <c r="FY430" s="210">
        <v>425</v>
      </c>
      <c r="FZ430">
        <v>3.4554146317142589</v>
      </c>
      <c r="GA430">
        <v>0.97432111472224658</v>
      </c>
      <c r="GB430">
        <v>0.19195236145110275</v>
      </c>
      <c r="GC430">
        <v>1.0726159468560539</v>
      </c>
      <c r="GD430">
        <v>1.3638755836137362</v>
      </c>
      <c r="GE430">
        <v>2.3385299654739353</v>
      </c>
      <c r="GF430">
        <v>6.6902150208112712</v>
      </c>
      <c r="GG430">
        <v>5.1121021057240972</v>
      </c>
      <c r="GH430">
        <v>0.64441312055873701</v>
      </c>
      <c r="GI430">
        <v>3.763297066408958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4"/>
        <v>-5.0668954908433816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0</v>
      </c>
      <c r="I431" s="107">
        <f t="shared" si="385"/>
        <v>0</v>
      </c>
      <c r="J431" s="107">
        <f t="shared" si="385"/>
        <v>0</v>
      </c>
      <c r="K431" s="107">
        <f t="shared" si="385"/>
        <v>0</v>
      </c>
      <c r="L431" s="107">
        <f t="shared" si="385"/>
        <v>0</v>
      </c>
      <c r="M431" s="107">
        <f t="shared" si="385"/>
        <v>0</v>
      </c>
      <c r="N431" s="107">
        <f t="shared" si="385"/>
        <v>0.47158847029581613</v>
      </c>
      <c r="O431" s="107">
        <f t="shared" si="385"/>
        <v>0</v>
      </c>
      <c r="P431" s="107">
        <f t="shared" si="385"/>
        <v>0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0</v>
      </c>
      <c r="U431" s="107">
        <f t="shared" si="385"/>
        <v>0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-5.5384839611391978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7.3847528594771248</v>
      </c>
      <c r="AO431">
        <v>14.497686923615737</v>
      </c>
      <c r="AP431">
        <v>112.94094470478692</v>
      </c>
      <c r="AQ431">
        <v>20.769548354513674</v>
      </c>
      <c r="AR431">
        <v>13.41197275895467</v>
      </c>
      <c r="AS431">
        <v>75.160006907146894</v>
      </c>
      <c r="AT431">
        <v>6.9864513455121973</v>
      </c>
      <c r="AU431">
        <v>-38.249370327617783</v>
      </c>
      <c r="AV431"/>
      <c r="AW431"/>
      <c r="FY431" s="210">
        <v>426</v>
      </c>
      <c r="FZ431">
        <v>3.5432797234686255</v>
      </c>
      <c r="GA431">
        <v>5.8932059088606996</v>
      </c>
      <c r="GB431">
        <v>2.825218770195304</v>
      </c>
      <c r="GC431">
        <v>0.99381885081375365</v>
      </c>
      <c r="GD431">
        <v>0.8788363387518312</v>
      </c>
      <c r="GE431">
        <v>1.1417567260621717</v>
      </c>
      <c r="GF431">
        <v>3.8957145101086832</v>
      </c>
      <c r="GG431">
        <v>2.9269068902655246</v>
      </c>
      <c r="GH431">
        <v>0.40861888541082891</v>
      </c>
      <c r="GI431">
        <v>3.4653709197703924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4"/>
        <v>5.8715534259024862</v>
      </c>
      <c r="D432" s="191">
        <f>A$414</f>
        <v>10.51</v>
      </c>
      <c r="E432" s="8"/>
      <c r="F432" s="124"/>
      <c r="G432" s="107">
        <f t="shared" si="386"/>
        <v>0</v>
      </c>
      <c r="H432" s="107">
        <f t="shared" ref="H432:AK432" si="387">(($A$453+$A$455*(H$422)+($A$457*$D432))*($E30*H46))</f>
        <v>0</v>
      </c>
      <c r="I432" s="107">
        <f t="shared" si="387"/>
        <v>2.6834425491519135E-3</v>
      </c>
      <c r="J432" s="107">
        <f t="shared" si="387"/>
        <v>2.3820776958797023E-2</v>
      </c>
      <c r="K432" s="107">
        <f t="shared" si="387"/>
        <v>0.17320742992220076</v>
      </c>
      <c r="L432" s="107">
        <f t="shared" si="387"/>
        <v>0.21658660308877964</v>
      </c>
      <c r="M432" s="107">
        <f t="shared" si="387"/>
        <v>0.12511784535498691</v>
      </c>
      <c r="N432" s="107">
        <f t="shared" si="387"/>
        <v>0.121656677564237</v>
      </c>
      <c r="O432" s="107">
        <f t="shared" si="387"/>
        <v>0.15847633218353865</v>
      </c>
      <c r="P432" s="107">
        <f t="shared" si="387"/>
        <v>0.30269508641263343</v>
      </c>
      <c r="Q432" s="107">
        <f t="shared" si="387"/>
        <v>0.18504584936996846</v>
      </c>
      <c r="R432" s="107">
        <f t="shared" si="387"/>
        <v>0.11648791125577031</v>
      </c>
      <c r="S432" s="107">
        <f t="shared" si="387"/>
        <v>0</v>
      </c>
      <c r="T432" s="107">
        <f t="shared" si="387"/>
        <v>0</v>
      </c>
      <c r="U432" s="107">
        <f t="shared" si="387"/>
        <v>0</v>
      </c>
      <c r="V432" s="107">
        <f t="shared" si="387"/>
        <v>0</v>
      </c>
      <c r="W432" s="107">
        <f t="shared" si="387"/>
        <v>0.76755249219047683</v>
      </c>
      <c r="X432" s="107">
        <f t="shared" si="387"/>
        <v>0</v>
      </c>
      <c r="Y432" s="107">
        <f t="shared" si="387"/>
        <v>1.8052309038778482</v>
      </c>
      <c r="Z432" s="107">
        <f t="shared" si="387"/>
        <v>0.94357047307283082</v>
      </c>
      <c r="AA432" s="107">
        <f t="shared" si="387"/>
        <v>0</v>
      </c>
      <c r="AB432" s="107">
        <f t="shared" si="387"/>
        <v>1.2482678238606746</v>
      </c>
      <c r="AC432" s="107">
        <f t="shared" si="387"/>
        <v>0</v>
      </c>
      <c r="AD432" s="107">
        <f t="shared" si="387"/>
        <v>0.24960818505858107</v>
      </c>
      <c r="AE432" s="107">
        <f t="shared" si="387"/>
        <v>0</v>
      </c>
      <c r="AF432" s="107">
        <f t="shared" si="387"/>
        <v>0</v>
      </c>
      <c r="AG432" s="107">
        <f t="shared" si="387"/>
        <v>0</v>
      </c>
      <c r="AH432" s="107">
        <f t="shared" si="387"/>
        <v>-0.18325939921552825</v>
      </c>
      <c r="AI432" s="107">
        <f t="shared" si="387"/>
        <v>-0.38519500760246123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7.1086090686274499</v>
      </c>
      <c r="AO432">
        <v>10.149478174620153</v>
      </c>
      <c r="AP432">
        <v>75.016089488273224</v>
      </c>
      <c r="AQ432">
        <v>19.810704166648399</v>
      </c>
      <c r="AR432">
        <v>9.3827004788092303</v>
      </c>
      <c r="AS432">
        <v>50.93626049871169</v>
      </c>
      <c r="AT432">
        <v>5.0148059388675073</v>
      </c>
      <c r="AU432">
        <v>-14.336973796107293</v>
      </c>
      <c r="AV432"/>
      <c r="AW432"/>
      <c r="FY432" s="210">
        <v>427</v>
      </c>
      <c r="FZ432">
        <v>7.5828642249154772</v>
      </c>
      <c r="GA432">
        <v>15.026010742619505</v>
      </c>
      <c r="GB432">
        <v>3.9858020220921793</v>
      </c>
      <c r="GC432">
        <v>1.5088579147008665</v>
      </c>
      <c r="GD432">
        <v>1.3076921017256131</v>
      </c>
      <c r="GE432">
        <v>1.7829429098148029</v>
      </c>
      <c r="GF432">
        <v>3.1998108492178909</v>
      </c>
      <c r="GG432">
        <v>1.4924934770808866</v>
      </c>
      <c r="GH432">
        <v>0.23579423514790807</v>
      </c>
      <c r="GI432">
        <v>5.4481739848902819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8.9321457749766573</v>
      </c>
      <c r="AO433">
        <v>18.401793118008442</v>
      </c>
      <c r="AP433">
        <v>124.09434463365598</v>
      </c>
      <c r="AQ433">
        <v>27.767042685717122</v>
      </c>
      <c r="AR433">
        <v>17.100783150374454</v>
      </c>
      <c r="AS433">
        <v>77.299554458949274</v>
      </c>
      <c r="AT433" t="e">
        <v>#DIV/0!</v>
      </c>
      <c r="AU433" t="e">
        <v>#DIV/0!</v>
      </c>
      <c r="AV433"/>
      <c r="AW433"/>
      <c r="FY433" s="210">
        <v>428</v>
      </c>
      <c r="FZ433">
        <v>2.1339031169960054</v>
      </c>
      <c r="GA433">
        <v>18.275683062349795</v>
      </c>
      <c r="GB433">
        <v>6.2923569449567838</v>
      </c>
      <c r="GC433">
        <v>1.1829777281065526</v>
      </c>
      <c r="GD433">
        <v>1.1466622467230492</v>
      </c>
      <c r="GE433">
        <v>1.5757161139259153</v>
      </c>
      <c r="GF433">
        <v>2.5058459905929205</v>
      </c>
      <c r="GG433">
        <v>1.1168647198033732</v>
      </c>
      <c r="GH433">
        <v>0.40861888541082891</v>
      </c>
      <c r="GI433">
        <v>4.5591063870184474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9.3009672619047628</v>
      </c>
      <c r="AO434">
        <v>14.20290662164704</v>
      </c>
      <c r="AP434">
        <v>113.00403162786793</v>
      </c>
      <c r="AQ434">
        <v>30.070489995016285</v>
      </c>
      <c r="AR434">
        <v>14.064523376524157</v>
      </c>
      <c r="AS434">
        <v>75.940050361671879</v>
      </c>
      <c r="AT434" t="e">
        <v>#DIV/0!</v>
      </c>
      <c r="AU434" t="e">
        <v>#DIV/0!</v>
      </c>
      <c r="AV434"/>
      <c r="AW434"/>
      <c r="FY434" s="210">
        <v>429</v>
      </c>
      <c r="FZ434">
        <v>8.8349905143617526</v>
      </c>
      <c r="GA434">
        <v>2.4954255522484026</v>
      </c>
      <c r="GB434">
        <v>0.34424953919465628</v>
      </c>
      <c r="GC434">
        <v>0.94281430994644588</v>
      </c>
      <c r="GD434">
        <v>1.0537544334682769</v>
      </c>
      <c r="GE434">
        <v>1.8118176916175237</v>
      </c>
      <c r="GF434">
        <v>3.0666883563639109</v>
      </c>
      <c r="GG434">
        <v>1.5628049455265007</v>
      </c>
      <c r="GH434">
        <v>0.17282465026292085</v>
      </c>
      <c r="GI434">
        <v>3.7241060426595443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26.135119950186112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8.3420138888888875</v>
      </c>
      <c r="AO435">
        <v>19.282958294628607</v>
      </c>
      <c r="AP435">
        <v>134.20323038587415</v>
      </c>
      <c r="AQ435">
        <v>34.254400115584232</v>
      </c>
      <c r="AR435">
        <v>18.299044069841013</v>
      </c>
      <c r="AS435">
        <v>72.475645546106193</v>
      </c>
      <c r="AT435" t="e">
        <v>#DIV/0!</v>
      </c>
      <c r="AU435" t="e">
        <v>#DIV/0!</v>
      </c>
      <c r="AV435"/>
      <c r="AW435"/>
      <c r="FY435" s="210">
        <v>430</v>
      </c>
      <c r="FZ435">
        <v>3.4554146317142589</v>
      </c>
      <c r="GA435">
        <v>6.6681893806219925</v>
      </c>
      <c r="GB435">
        <v>2.517080308603016</v>
      </c>
      <c r="GC435">
        <v>0.20347307592321048</v>
      </c>
      <c r="GD435">
        <v>0.79593960819671583</v>
      </c>
      <c r="GE435">
        <v>2.4621531772020222</v>
      </c>
      <c r="GF435">
        <v>4.6130931803057855</v>
      </c>
      <c r="GG435">
        <v>2.749981133775488</v>
      </c>
      <c r="GH435">
        <v>0.17282465026292085</v>
      </c>
      <c r="GI435">
        <v>3.960639356434891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8.5226715686274481</v>
      </c>
      <c r="AO436">
        <v>23.156373110975302</v>
      </c>
      <c r="AP436">
        <v>195.10863657350771</v>
      </c>
      <c r="AQ436">
        <v>33.225028818258735</v>
      </c>
      <c r="AR436">
        <v>21.50804955536951</v>
      </c>
      <c r="AS436">
        <v>83.216856336399189</v>
      </c>
      <c r="AT436">
        <v>11.698355187804992</v>
      </c>
      <c r="AU436">
        <v>-18.986964638832113</v>
      </c>
      <c r="AV436"/>
      <c r="AW436"/>
      <c r="FY436" s="210">
        <v>431</v>
      </c>
      <c r="FZ436">
        <v>7.9011938163363897</v>
      </c>
      <c r="GA436">
        <v>15.151452965795478</v>
      </c>
      <c r="GB436">
        <v>3.3962238840000873</v>
      </c>
      <c r="GC436">
        <v>0.20932055276814254</v>
      </c>
      <c r="GD436">
        <v>7.5639193608635871E-2</v>
      </c>
      <c r="GE436">
        <v>0.77307341031870958</v>
      </c>
      <c r="GF436">
        <v>2.4811217146999134</v>
      </c>
      <c r="GG436">
        <v>1.8463449900609596</v>
      </c>
      <c r="GH436">
        <v>0.70738270544372439</v>
      </c>
      <c r="GI436">
        <v>3.194490918232995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8.6699929971988787</v>
      </c>
      <c r="AO437">
        <v>14.933336725013316</v>
      </c>
      <c r="AP437">
        <v>105.37316001275045</v>
      </c>
      <c r="AQ437">
        <v>17.785499640944408</v>
      </c>
      <c r="AR437">
        <v>13.940534039483573</v>
      </c>
      <c r="AS437">
        <v>63.219377157970797</v>
      </c>
      <c r="AT437" t="e">
        <v>#DIV/0!</v>
      </c>
      <c r="AU437" t="e">
        <v>#DIV/0!</v>
      </c>
      <c r="AV437"/>
      <c r="AW437"/>
      <c r="FY437" s="210">
        <v>432</v>
      </c>
      <c r="FZ437">
        <v>3.5428993474297403</v>
      </c>
      <c r="GA437">
        <v>11.533598261942824</v>
      </c>
      <c r="GB437">
        <v>3.2752830295060988</v>
      </c>
      <c r="GC437">
        <v>0.22876040842725182</v>
      </c>
      <c r="GD437">
        <v>0.33126341833162687</v>
      </c>
      <c r="GE437">
        <v>1.2508096910574098</v>
      </c>
      <c r="GF437">
        <v>2.6408839386199485</v>
      </c>
      <c r="GG437">
        <v>1.3155677205908503</v>
      </c>
      <c r="GH437">
        <v>0</v>
      </c>
      <c r="GI437">
        <v>3.8283917541096475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9.5547896241830053</v>
      </c>
      <c r="AO438">
        <v>24.143295868629046</v>
      </c>
      <c r="AP438">
        <v>208.32155165624482</v>
      </c>
      <c r="AQ438">
        <v>28.577141851339487</v>
      </c>
      <c r="AR438">
        <v>23.405235464997457</v>
      </c>
      <c r="AS438">
        <v>91.710875629527308</v>
      </c>
      <c r="AT438">
        <v>13.338362943033742</v>
      </c>
      <c r="AU438">
        <v>-39.618747603579081</v>
      </c>
      <c r="AV438"/>
      <c r="AW438"/>
      <c r="FY438" s="210">
        <v>433</v>
      </c>
      <c r="FZ438">
        <v>1.3094571323337481</v>
      </c>
      <c r="GA438">
        <v>8.2836087449004872</v>
      </c>
      <c r="GB438">
        <v>2.0722937987911338</v>
      </c>
      <c r="GC438">
        <v>0.37021819865872574</v>
      </c>
      <c r="GD438">
        <v>0.46964675404099043</v>
      </c>
      <c r="GE438">
        <v>1.4921685383462722</v>
      </c>
      <c r="GF438">
        <v>5.1833408533305239</v>
      </c>
      <c r="GG438">
        <v>3.4426828721531746</v>
      </c>
      <c r="GH438">
        <v>0.3456493005258417</v>
      </c>
      <c r="GI438">
        <v>3.5729032800765133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6.9332618464052285</v>
      </c>
      <c r="AO439">
        <v>17.103256285821367</v>
      </c>
      <c r="AP439">
        <v>145.23989410271938</v>
      </c>
      <c r="AQ439">
        <v>31.711752736161692</v>
      </c>
      <c r="AR439">
        <v>15.797517494657731</v>
      </c>
      <c r="AS439">
        <v>63.903918798427661</v>
      </c>
      <c r="AT439">
        <v>9.8878856832677258</v>
      </c>
      <c r="AU439">
        <v>-23.226767948338587</v>
      </c>
      <c r="AV439"/>
      <c r="AW439"/>
      <c r="FY439" s="210">
        <v>434</v>
      </c>
      <c r="FZ439">
        <v>4.4250565510183559</v>
      </c>
      <c r="GA439">
        <v>9.1840344398377525</v>
      </c>
      <c r="GB439">
        <v>1.4850491185565997</v>
      </c>
      <c r="GC439">
        <v>0.33327471283281845</v>
      </c>
      <c r="GD439">
        <v>1.03043130556308</v>
      </c>
      <c r="GE439">
        <v>2.7896329820360717</v>
      </c>
      <c r="GF439">
        <v>8.0547933786361749</v>
      </c>
      <c r="GG439">
        <v>6.0738183133348738</v>
      </c>
      <c r="GH439">
        <v>0.17282465026292085</v>
      </c>
      <c r="GI439">
        <v>4.8557112381824492</v>
      </c>
      <c r="GJ439"/>
      <c r="GK439"/>
      <c r="GL439"/>
      <c r="GM439"/>
    </row>
    <row r="440" spans="1:195" s="7" customFormat="1">
      <c r="A440" s="1">
        <v>28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5.5633680555555554</v>
      </c>
      <c r="AO440">
        <v>12.365337433752519</v>
      </c>
      <c r="AP440">
        <v>83.519670959779077</v>
      </c>
      <c r="AQ440">
        <v>16.944825996656022</v>
      </c>
      <c r="AR440">
        <v>11.481413481875858</v>
      </c>
      <c r="AS440">
        <v>50.950334903813733</v>
      </c>
      <c r="AT440" t="e">
        <v>#DIV/0!</v>
      </c>
      <c r="AU440" t="e">
        <v>#DIV/0!</v>
      </c>
      <c r="AV440"/>
      <c r="AW440"/>
      <c r="FY440" s="210">
        <v>435</v>
      </c>
      <c r="FZ440">
        <v>8.037721499758959</v>
      </c>
      <c r="GA440">
        <v>19.52355443713002</v>
      </c>
      <c r="GB440">
        <v>5.9120935443554803</v>
      </c>
      <c r="GC440">
        <v>0.60564822469856072</v>
      </c>
      <c r="GD440">
        <v>0.45645538293547444</v>
      </c>
      <c r="GE440">
        <v>1.1581562754527501</v>
      </c>
      <c r="GF440">
        <v>1.6014239873470479</v>
      </c>
      <c r="GG440">
        <v>0.42416298142568709</v>
      </c>
      <c r="GH440">
        <v>0.40861888541082891</v>
      </c>
      <c r="GI440">
        <v>4.7563620166424991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8">SUM(G441:AK441)</f>
        <v>19.371994507528385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 t="str">
        <f t="shared" ref="H441:AK441" si="390">IF(H423&lt;=0, "0.000", H423)</f>
        <v>0.000</v>
      </c>
      <c r="I441" s="107" t="str">
        <f t="shared" si="390"/>
        <v>0.000</v>
      </c>
      <c r="J441" s="107" t="str">
        <f t="shared" si="390"/>
        <v>0.000</v>
      </c>
      <c r="K441" s="107" t="str">
        <f t="shared" si="390"/>
        <v>0.000</v>
      </c>
      <c r="L441" s="107" t="str">
        <f t="shared" si="390"/>
        <v>0.000</v>
      </c>
      <c r="M441" s="107" t="str">
        <f t="shared" si="390"/>
        <v>0.000</v>
      </c>
      <c r="N441" s="107" t="str">
        <f t="shared" si="390"/>
        <v>0.000</v>
      </c>
      <c r="O441" s="107" t="str">
        <f t="shared" si="390"/>
        <v>0.000</v>
      </c>
      <c r="P441" s="107">
        <f t="shared" si="390"/>
        <v>0.48501114767149078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>
        <f t="shared" si="390"/>
        <v>11.167211075479962</v>
      </c>
      <c r="Z441" s="107" t="str">
        <f t="shared" si="390"/>
        <v>0.000</v>
      </c>
      <c r="AA441" s="107" t="str">
        <f t="shared" si="390"/>
        <v>0.000</v>
      </c>
      <c r="AB441" s="107">
        <f t="shared" si="390"/>
        <v>7.7197722843769325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10.412180497198879</v>
      </c>
      <c r="AO441">
        <v>13.691215367525293</v>
      </c>
      <c r="AP441">
        <v>106.36985933575234</v>
      </c>
      <c r="AQ441">
        <v>25.606736917334402</v>
      </c>
      <c r="AR441">
        <v>13.085603898604743</v>
      </c>
      <c r="AS441">
        <v>70.080606347861917</v>
      </c>
      <c r="AT441" t="e">
        <v>#DIV/0!</v>
      </c>
      <c r="AU441" t="e">
        <v>#DIV/0!</v>
      </c>
      <c r="AV441"/>
      <c r="AW441"/>
      <c r="FY441" s="210">
        <v>436</v>
      </c>
      <c r="FZ441">
        <v>3.8827145604593918</v>
      </c>
      <c r="GA441">
        <v>17.500699590588503</v>
      </c>
      <c r="GB441">
        <v>6.392303478668218</v>
      </c>
      <c r="GC441">
        <v>0.88883587018096377</v>
      </c>
      <c r="GD441">
        <v>1.175113577920081</v>
      </c>
      <c r="GE441">
        <v>1.8084913558393496</v>
      </c>
      <c r="GF441">
        <v>2.3950855858890177</v>
      </c>
      <c r="GG441">
        <v>1.3155677205908503</v>
      </c>
      <c r="GH441">
        <v>0</v>
      </c>
      <c r="GI441">
        <v>4.6482298479219217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88"/>
        <v>24.284257799554283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 t="str">
        <f t="shared" ref="H442:V442" si="391">IF(H424&lt;=0, "0.000", H424)</f>
        <v>0.000</v>
      </c>
      <c r="I442" s="173" t="str">
        <f t="shared" si="391"/>
        <v>0.000</v>
      </c>
      <c r="J442" s="173" t="str">
        <f t="shared" si="391"/>
        <v>0.000</v>
      </c>
      <c r="K442" s="173">
        <f t="shared" si="391"/>
        <v>6.8202478030557234E-2</v>
      </c>
      <c r="L442" s="173">
        <f t="shared" si="391"/>
        <v>0.12330742200068667</v>
      </c>
      <c r="M442" s="173">
        <f t="shared" si="391"/>
        <v>0.79735057184381319</v>
      </c>
      <c r="N442" s="173" t="str">
        <f t="shared" si="391"/>
        <v>0.000</v>
      </c>
      <c r="O442" s="173" t="str">
        <f t="shared" si="391"/>
        <v>0.000</v>
      </c>
      <c r="P442" s="173" t="str">
        <f t="shared" si="391"/>
        <v>0.000</v>
      </c>
      <c r="Q442" s="173">
        <f t="shared" si="391"/>
        <v>0.7336465500523488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>
        <f t="shared" ref="W442:AK442" si="392">IF(W424&lt;=0, "0.000", W424)</f>
        <v>3.9713612439723405</v>
      </c>
      <c r="X442" s="173" t="str">
        <f t="shared" si="392"/>
        <v>0.000</v>
      </c>
      <c r="Y442" s="173">
        <f t="shared" si="392"/>
        <v>11.480439546437248</v>
      </c>
      <c r="Z442" s="173">
        <f t="shared" si="392"/>
        <v>7.1099499872172878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9.5730187908496713</v>
      </c>
      <c r="AO442">
        <v>18.023312067793867</v>
      </c>
      <c r="AP442">
        <v>140.73898513071208</v>
      </c>
      <c r="AQ442">
        <v>25.972727523707814</v>
      </c>
      <c r="AR442">
        <v>17.236800693303202</v>
      </c>
      <c r="AS442">
        <v>74.641709281716714</v>
      </c>
      <c r="AT442" t="e">
        <v>#DIV/0!</v>
      </c>
      <c r="AU442" t="e">
        <v>#DIV/0!</v>
      </c>
      <c r="AV442"/>
      <c r="AW442"/>
      <c r="FY442" s="210">
        <v>437</v>
      </c>
      <c r="FZ442">
        <v>7.8649682190187704</v>
      </c>
      <c r="GA442">
        <v>5.0647465242817846</v>
      </c>
      <c r="GB442">
        <v>0.94540032800138196</v>
      </c>
      <c r="GC442">
        <v>1.0816904661881714</v>
      </c>
      <c r="GD442">
        <v>1.4513099867197694</v>
      </c>
      <c r="GE442">
        <v>1.8882148952243634</v>
      </c>
      <c r="GF442">
        <v>7.4259471841163318</v>
      </c>
      <c r="GG442">
        <v>6.6749070512505977</v>
      </c>
      <c r="GH442">
        <v>0.47158847029581613</v>
      </c>
      <c r="GI442">
        <v>5.4786793013649104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8"/>
        <v>4.538146272971967</v>
      </c>
      <c r="D443" s="191">
        <f>A$407</f>
        <v>4.03</v>
      </c>
      <c r="E443" s="8"/>
      <c r="F443" s="124"/>
      <c r="G443" s="173" t="str">
        <f t="shared" si="389"/>
        <v>0.000</v>
      </c>
      <c r="H443" s="173" t="str">
        <f t="shared" ref="H443:V443" si="393">IF(H425&lt;=0, "0.000", H425)</f>
        <v>0.000</v>
      </c>
      <c r="I443" s="173" t="str">
        <f t="shared" si="393"/>
        <v>0.000</v>
      </c>
      <c r="J443" s="173">
        <f t="shared" si="393"/>
        <v>3.2479132859501159E-2</v>
      </c>
      <c r="K443" s="173">
        <f t="shared" si="393"/>
        <v>0.31410386419271358</v>
      </c>
      <c r="L443" s="173">
        <f t="shared" si="393"/>
        <v>6.2882022035622348E-2</v>
      </c>
      <c r="M443" s="173">
        <f t="shared" si="393"/>
        <v>0.404628727836228</v>
      </c>
      <c r="N443" s="173" t="str">
        <f t="shared" si="393"/>
        <v>0.000</v>
      </c>
      <c r="O443" s="173" t="str">
        <f t="shared" si="393"/>
        <v>0.000</v>
      </c>
      <c r="P443" s="173" t="str">
        <f t="shared" si="393"/>
        <v>0.000</v>
      </c>
      <c r="Q443" s="173">
        <f t="shared" si="393"/>
        <v>0.35733832349634215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>
        <f t="shared" ref="W443:AK443" si="394">IF(W425&lt;=0, "0.000", W425)</f>
        <v>1.5526295178158398</v>
      </c>
      <c r="X443" s="173" t="str">
        <f t="shared" si="394"/>
        <v>0.000</v>
      </c>
      <c r="Y443" s="173" t="str">
        <f t="shared" si="394"/>
        <v>0.000</v>
      </c>
      <c r="Z443" s="173">
        <f t="shared" si="394"/>
        <v>1.8140846847357199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11.359375</v>
      </c>
      <c r="AO443">
        <v>25.841354549007605</v>
      </c>
      <c r="AP443">
        <v>189.21549077299017</v>
      </c>
      <c r="AQ443">
        <v>41.570442462205406</v>
      </c>
      <c r="AR443">
        <v>24.38030286258951</v>
      </c>
      <c r="AS443">
        <v>224.6172065286851</v>
      </c>
      <c r="AT443" t="e">
        <v>#DIV/0!</v>
      </c>
      <c r="AU443" t="e">
        <v>#DIV/0!</v>
      </c>
      <c r="AV443"/>
      <c r="AW443"/>
      <c r="FY443" s="210">
        <v>438</v>
      </c>
      <c r="FZ443">
        <v>4.6400180869710583</v>
      </c>
      <c r="GA443">
        <v>15.225348385580457</v>
      </c>
      <c r="GB443">
        <v>4.1928711403630965</v>
      </c>
      <c r="GC443">
        <v>0.74581519793516049</v>
      </c>
      <c r="GD443">
        <v>0.62347765368327712</v>
      </c>
      <c r="GE443">
        <v>0.84454723721548008</v>
      </c>
      <c r="GF443">
        <v>3.079470229823559</v>
      </c>
      <c r="GG443">
        <v>2.7282038894780474</v>
      </c>
      <c r="GH443">
        <v>0.47158847029581613</v>
      </c>
      <c r="GI443">
        <v>3.9877839986833159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88"/>
        <v>0.92771558149918243</v>
      </c>
      <c r="D444" s="191">
        <f>A$408</f>
        <v>0.78</v>
      </c>
      <c r="E444" s="8"/>
      <c r="F444" s="124"/>
      <c r="G444" s="173" t="str">
        <f t="shared" si="389"/>
        <v>0.000</v>
      </c>
      <c r="H444" s="173" t="str">
        <f t="shared" ref="H444:V444" si="395">IF(H426&lt;=0, "0.000", H426)</f>
        <v>0.000</v>
      </c>
      <c r="I444" s="173">
        <f t="shared" si="395"/>
        <v>6.153241258313044E-3</v>
      </c>
      <c r="J444" s="173">
        <f t="shared" si="395"/>
        <v>3.62980773284702E-2</v>
      </c>
      <c r="K444" s="173">
        <f t="shared" si="395"/>
        <v>0.31103769054574865</v>
      </c>
      <c r="L444" s="173">
        <f t="shared" si="395"/>
        <v>0.27882021166685794</v>
      </c>
      <c r="M444" s="173" t="str">
        <f t="shared" si="395"/>
        <v>0.000</v>
      </c>
      <c r="N444" s="173" t="str">
        <f t="shared" si="395"/>
        <v>0.000</v>
      </c>
      <c r="O444" s="173" t="str">
        <f t="shared" si="395"/>
        <v>0.000</v>
      </c>
      <c r="P444" s="173">
        <f t="shared" si="395"/>
        <v>0.29540636069979254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13.247001925770309</v>
      </c>
      <c r="AO444">
        <v>15.605050861304482</v>
      </c>
      <c r="AP444">
        <v>126.38467442975715</v>
      </c>
      <c r="AQ444">
        <v>39.197735195883673</v>
      </c>
      <c r="AR444">
        <v>14.459771235184409</v>
      </c>
      <c r="AS444">
        <v>84.963264102028674</v>
      </c>
      <c r="AT444">
        <v>6.9718322279437279</v>
      </c>
      <c r="AU444">
        <v>-0.51657975253879229</v>
      </c>
      <c r="AV444"/>
      <c r="AW444"/>
      <c r="FY444" s="210">
        <v>439</v>
      </c>
      <c r="FZ444">
        <v>3.94042577938575</v>
      </c>
      <c r="GA444">
        <v>9.4368479956163291</v>
      </c>
      <c r="GB444">
        <v>3.5334921435615128</v>
      </c>
      <c r="GC444">
        <v>0.80620702291452717</v>
      </c>
      <c r="GD444">
        <v>1.294685460173802</v>
      </c>
      <c r="GE444">
        <v>2.3663845392382568</v>
      </c>
      <c r="GF444">
        <v>6.0938053079534473</v>
      </c>
      <c r="GG444">
        <v>5.1121021057240972</v>
      </c>
      <c r="GH444">
        <v>0.47158847029581613</v>
      </c>
      <c r="GI444">
        <v>5.3684830562157693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8"/>
        <v>1.0168501456805519</v>
      </c>
      <c r="D445" s="191">
        <f>A$409</f>
        <v>0.14000000000000001</v>
      </c>
      <c r="E445" s="8"/>
      <c r="F445" s="124"/>
      <c r="G445" s="173" t="str">
        <f t="shared" si="389"/>
        <v>0.000</v>
      </c>
      <c r="H445" s="173" t="str">
        <f t="shared" ref="H445:V445" si="397">IF(H427&lt;=0, "0.000", H427)</f>
        <v>0.000</v>
      </c>
      <c r="I445" s="173">
        <f t="shared" si="397"/>
        <v>4.7385928349909677E-3</v>
      </c>
      <c r="J445" s="173">
        <f t="shared" si="397"/>
        <v>2.7936320199570017E-2</v>
      </c>
      <c r="K445" s="173">
        <f t="shared" si="397"/>
        <v>0.14945682932450052</v>
      </c>
      <c r="L445" s="173">
        <f t="shared" si="397"/>
        <v>0.34775823237204856</v>
      </c>
      <c r="M445" s="173">
        <f t="shared" si="397"/>
        <v>4.2623557976760339E-2</v>
      </c>
      <c r="N445" s="173" t="str">
        <f t="shared" si="397"/>
        <v>0.000</v>
      </c>
      <c r="O445" s="173">
        <f t="shared" si="397"/>
        <v>8.5748508397868684E-2</v>
      </c>
      <c r="P445" s="173">
        <f t="shared" si="397"/>
        <v>0.22301308824086874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>
        <f t="shared" ref="W445:AK445" si="398">IF(W427&lt;=0, "0.000", W427)</f>
        <v>0.13557501633394403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7.9506229575163401</v>
      </c>
      <c r="AO445">
        <v>19.15568321566699</v>
      </c>
      <c r="AP445">
        <v>108.89228574589846</v>
      </c>
      <c r="AQ445">
        <v>24.009476035649939</v>
      </c>
      <c r="AR445">
        <v>18.764983638945793</v>
      </c>
      <c r="AS445">
        <v>177.06213375993892</v>
      </c>
      <c r="AT445">
        <v>9.599548694458564</v>
      </c>
      <c r="AU445">
        <v>6.5581424103731383</v>
      </c>
      <c r="AV445"/>
      <c r="AW445"/>
      <c r="FY445" s="210">
        <v>440</v>
      </c>
      <c r="FZ445">
        <v>3.8827145604593918</v>
      </c>
      <c r="GA445">
        <v>12.561395289482693</v>
      </c>
      <c r="GB445">
        <v>4.9957160817461048</v>
      </c>
      <c r="GC445">
        <v>7.5177788646688781E-2</v>
      </c>
      <c r="GD445">
        <v>2.7936320199570017E-2</v>
      </c>
      <c r="GE445">
        <v>0.73443100757289059</v>
      </c>
      <c r="GF445">
        <v>4.8152630789394397</v>
      </c>
      <c r="GG445">
        <v>3.7965343851332478</v>
      </c>
      <c r="GH445">
        <v>0.64441312055873701</v>
      </c>
      <c r="GI445">
        <v>3.922976840494365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8"/>
        <v>1.3855747773809217</v>
      </c>
      <c r="D446" s="191">
        <f>A$410</f>
        <v>0.21</v>
      </c>
      <c r="E446" s="8"/>
      <c r="F446" s="124"/>
      <c r="G446" s="173" t="str">
        <f t="shared" si="389"/>
        <v>0.000</v>
      </c>
      <c r="H446" s="173" t="str">
        <f t="shared" ref="H446:V446" si="399">IF(H428&lt;=0, "0.000", H428)</f>
        <v>0.000</v>
      </c>
      <c r="I446" s="173" t="str">
        <f t="shared" si="399"/>
        <v>0.000</v>
      </c>
      <c r="J446" s="173">
        <f t="shared" si="399"/>
        <v>2.8283729927286127E-2</v>
      </c>
      <c r="K446" s="173">
        <f t="shared" si="399"/>
        <v>9.8367654643406341E-2</v>
      </c>
      <c r="L446" s="173">
        <f t="shared" si="399"/>
        <v>0.27092207102113741</v>
      </c>
      <c r="M446" s="173">
        <f t="shared" si="399"/>
        <v>8.6360828608578688E-2</v>
      </c>
      <c r="N446" s="173">
        <f t="shared" si="399"/>
        <v>0.15825080277117584</v>
      </c>
      <c r="O446" s="173">
        <f t="shared" si="399"/>
        <v>0.17390521541358925</v>
      </c>
      <c r="P446" s="173">
        <f t="shared" si="399"/>
        <v>0.28289422253766161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>
        <f t="shared" ref="W446:AK446" si="400">IF(W428&lt;=0, "0.000", W428)</f>
        <v>0.28659025245808661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9.4859652194211002</v>
      </c>
      <c r="AO446">
        <v>23.89788879757382</v>
      </c>
      <c r="AP446">
        <v>179.71396647431456</v>
      </c>
      <c r="AQ446">
        <v>27.598788503040304</v>
      </c>
      <c r="AR446">
        <v>22.555910073208885</v>
      </c>
      <c r="AS446">
        <v>271.33556372738343</v>
      </c>
      <c r="AT446">
        <v>13.523817913463612</v>
      </c>
      <c r="AU446">
        <v>-6.9601474156889864</v>
      </c>
      <c r="AV446"/>
      <c r="AW446"/>
      <c r="FY446" s="210">
        <v>441</v>
      </c>
      <c r="FZ446">
        <v>3.7160330042088141</v>
      </c>
      <c r="GA446">
        <v>13.903581591015254</v>
      </c>
      <c r="GB446">
        <v>4.0707196376214858</v>
      </c>
      <c r="GC446">
        <v>1.1970387831479532</v>
      </c>
      <c r="GD446">
        <v>0.98858884252001022</v>
      </c>
      <c r="GE446">
        <v>1.0435828951685222</v>
      </c>
      <c r="GF446">
        <v>1.9469190799949778</v>
      </c>
      <c r="GG446">
        <v>1.1168647198033732</v>
      </c>
      <c r="GH446">
        <v>0.40861888541082891</v>
      </c>
      <c r="GI446">
        <v>4.2668335416294969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8"/>
        <v>2.3228206018127304</v>
      </c>
      <c r="D447" s="191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1">IF(H429&lt;=0, "0.000", H429)</f>
        <v>0.000</v>
      </c>
      <c r="I447" s="173" t="str">
        <f t="shared" si="401"/>
        <v>0.000</v>
      </c>
      <c r="J447" s="173" t="str">
        <f t="shared" si="401"/>
        <v>0.000</v>
      </c>
      <c r="K447" s="173">
        <f t="shared" si="401"/>
        <v>5.9076212728075478E-2</v>
      </c>
      <c r="L447" s="173" t="str">
        <f t="shared" si="401"/>
        <v>0.000</v>
      </c>
      <c r="M447" s="173" t="str">
        <f t="shared" si="401"/>
        <v>0.000</v>
      </c>
      <c r="N447" s="173">
        <f t="shared" si="401"/>
        <v>0.24992534893493346</v>
      </c>
      <c r="O447" s="173">
        <f t="shared" si="401"/>
        <v>0.55313016000197879</v>
      </c>
      <c r="P447" s="173">
        <f t="shared" si="401"/>
        <v>0.4541139032019802</v>
      </c>
      <c r="Q447" s="173">
        <f t="shared" si="401"/>
        <v>0.45634672842257079</v>
      </c>
      <c r="R447" s="173">
        <f t="shared" si="401"/>
        <v>0.55022824852319152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6.1519097222222223</v>
      </c>
      <c r="AO447">
        <v>17.856831784728538</v>
      </c>
      <c r="AP447">
        <v>161.73977366255269</v>
      </c>
      <c r="AQ447">
        <v>35.736244151265034</v>
      </c>
      <c r="AR447">
        <v>16.620491556015057</v>
      </c>
      <c r="AS447">
        <v>66.630365854567202</v>
      </c>
      <c r="AT447" t="e">
        <v>#DIV/0!</v>
      </c>
      <c r="AU447" t="e">
        <v>#DIV/0!</v>
      </c>
      <c r="AV447"/>
      <c r="AW447"/>
      <c r="FY447" s="210">
        <v>442</v>
      </c>
      <c r="FZ447">
        <v>2.718453362767483</v>
      </c>
      <c r="GA447">
        <v>10.758614790181531</v>
      </c>
      <c r="GB447">
        <v>3.2193882793687987</v>
      </c>
      <c r="GC447">
        <v>0.19719572321905338</v>
      </c>
      <c r="GD447">
        <v>0.52524545141869927</v>
      </c>
      <c r="GE447">
        <v>1.1999462259274691</v>
      </c>
      <c r="GF447">
        <v>5.061382624716285</v>
      </c>
      <c r="GG447">
        <v>4.489236123510933</v>
      </c>
      <c r="GH447">
        <v>0.81723777082165783</v>
      </c>
      <c r="GI447">
        <v>4.0580276021851196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8"/>
        <v>1.788264926164711</v>
      </c>
      <c r="D448" s="191">
        <f>A$412</f>
        <v>4</v>
      </c>
      <c r="E448" s="8"/>
      <c r="F448" s="124"/>
      <c r="G448" s="173" t="str">
        <f t="shared" si="389"/>
        <v>0.000</v>
      </c>
      <c r="H448" s="173" t="str">
        <f t="shared" ref="H448:V448" si="403">IF(H430&lt;=0, "0.000", H430)</f>
        <v>0.000</v>
      </c>
      <c r="I448" s="173" t="str">
        <f t="shared" si="403"/>
        <v>0.000</v>
      </c>
      <c r="J448" s="173" t="str">
        <f t="shared" si="403"/>
        <v>0.000</v>
      </c>
      <c r="K448" s="173" t="str">
        <f t="shared" si="403"/>
        <v>0.000</v>
      </c>
      <c r="L448" s="173" t="str">
        <f t="shared" si="403"/>
        <v>0.000</v>
      </c>
      <c r="M448" s="173" t="str">
        <f t="shared" si="403"/>
        <v>0.000</v>
      </c>
      <c r="N448" s="173">
        <f t="shared" si="403"/>
        <v>0.353851512980073</v>
      </c>
      <c r="O448" s="173">
        <f t="shared" si="403"/>
        <v>0.49447444987130124</v>
      </c>
      <c r="P448" s="173" t="str">
        <f t="shared" si="403"/>
        <v>0.000</v>
      </c>
      <c r="Q448" s="173">
        <f t="shared" si="403"/>
        <v>0.42078374334573265</v>
      </c>
      <c r="R448" s="173">
        <f t="shared" si="403"/>
        <v>0.51915521996760405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7.6290922619047645</v>
      </c>
      <c r="AO448">
        <v>16.592359245689689</v>
      </c>
      <c r="AP448">
        <v>118.75985215271906</v>
      </c>
      <c r="AQ448">
        <v>27.947457570015395</v>
      </c>
      <c r="AR448">
        <v>15.367986678979776</v>
      </c>
      <c r="AS448">
        <v>122.32087474653787</v>
      </c>
      <c r="AT448" t="e">
        <v>#DIV/0!</v>
      </c>
      <c r="AU448" t="e">
        <v>#DIV/0!</v>
      </c>
      <c r="AV448"/>
      <c r="AW448"/>
      <c r="FY448" s="210">
        <v>443</v>
      </c>
      <c r="FZ448">
        <v>6.5136832075113933</v>
      </c>
      <c r="GA448">
        <v>0.97432111472224658</v>
      </c>
      <c r="GB448">
        <v>8.6040425139242482E-2</v>
      </c>
      <c r="GC448">
        <v>1.2947663588616534</v>
      </c>
      <c r="GD448">
        <v>1.2374142420969694</v>
      </c>
      <c r="GE448">
        <v>1.0599820393612018</v>
      </c>
      <c r="GF448">
        <v>5.1204588374443603</v>
      </c>
      <c r="GG448">
        <v>4.3123103670208973</v>
      </c>
      <c r="GH448">
        <v>0.58144353567374973</v>
      </c>
      <c r="GI448">
        <v>3.5416858870655683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8"/>
        <v>0.47158847029581613</v>
      </c>
      <c r="D449" s="191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5">IF(H431&lt;=0, "0.000", H431)</f>
        <v>0.000</v>
      </c>
      <c r="I449" s="173" t="str">
        <f t="shared" si="405"/>
        <v>0.000</v>
      </c>
      <c r="J449" s="173" t="str">
        <f t="shared" si="405"/>
        <v>0.000</v>
      </c>
      <c r="K449" s="173" t="str">
        <f t="shared" si="405"/>
        <v>0.000</v>
      </c>
      <c r="L449" s="173" t="str">
        <f t="shared" si="405"/>
        <v>0.000</v>
      </c>
      <c r="M449" s="173" t="str">
        <f t="shared" si="405"/>
        <v>0.000</v>
      </c>
      <c r="N449" s="173">
        <f t="shared" si="405"/>
        <v>0.47158847029581613</v>
      </c>
      <c r="O449" s="173" t="str">
        <f t="shared" si="405"/>
        <v>0.000</v>
      </c>
      <c r="P449" s="173" t="str">
        <f t="shared" si="405"/>
        <v>0.000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9.298567343604109</v>
      </c>
      <c r="AO449">
        <v>20.072015252182009</v>
      </c>
      <c r="AP449">
        <v>150.1812303326501</v>
      </c>
      <c r="AQ449">
        <v>26.541969473157408</v>
      </c>
      <c r="AR449">
        <v>18.620053957225785</v>
      </c>
      <c r="AS449">
        <v>141.04464580566943</v>
      </c>
      <c r="AT449">
        <v>10.502283508088274</v>
      </c>
      <c r="AU449">
        <v>-44.983638208085047</v>
      </c>
      <c r="AV449"/>
      <c r="AW449"/>
      <c r="FY449" s="210">
        <v>444</v>
      </c>
      <c r="FZ449">
        <v>2.7761645816938412</v>
      </c>
      <c r="GA449">
        <v>13.683824441086943</v>
      </c>
      <c r="GB449">
        <v>5.0865112612381509</v>
      </c>
      <c r="GC449">
        <v>0.88869983767123617</v>
      </c>
      <c r="GD449">
        <v>0.63549505512551729</v>
      </c>
      <c r="GE449">
        <v>0.84139968948658006</v>
      </c>
      <c r="GF449">
        <v>4.8522750494705793</v>
      </c>
      <c r="GG449">
        <v>3.7480001609850739</v>
      </c>
      <c r="GH449">
        <v>0.23579423514790807</v>
      </c>
      <c r="GI449">
        <v>4.8332593658166259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8"/>
        <v>6.4400078327204762</v>
      </c>
      <c r="D450" s="191">
        <f>A$414</f>
        <v>10.51</v>
      </c>
      <c r="E450" s="8"/>
      <c r="F450" s="124"/>
      <c r="G450" s="173" t="str">
        <f t="shared" si="389"/>
        <v>0.000</v>
      </c>
      <c r="H450" s="173" t="str">
        <f t="shared" ref="H450:V450" si="407">IF(H432&lt;=0, "0.000", H432)</f>
        <v>0.000</v>
      </c>
      <c r="I450" s="173">
        <f t="shared" si="407"/>
        <v>2.6834425491519135E-3</v>
      </c>
      <c r="J450" s="173">
        <f t="shared" si="407"/>
        <v>2.3820776958797023E-2</v>
      </c>
      <c r="K450" s="173">
        <f t="shared" si="407"/>
        <v>0.17320742992220076</v>
      </c>
      <c r="L450" s="173">
        <f t="shared" si="407"/>
        <v>0.21658660308877964</v>
      </c>
      <c r="M450" s="173">
        <f t="shared" si="407"/>
        <v>0.12511784535498691</v>
      </c>
      <c r="N450" s="173">
        <f t="shared" si="407"/>
        <v>0.121656677564237</v>
      </c>
      <c r="O450" s="173">
        <f t="shared" si="407"/>
        <v>0.15847633218353865</v>
      </c>
      <c r="P450" s="173">
        <f t="shared" si="407"/>
        <v>0.30269508641263343</v>
      </c>
      <c r="Q450" s="173">
        <f t="shared" si="407"/>
        <v>0.18504584936996846</v>
      </c>
      <c r="R450" s="173">
        <f t="shared" si="407"/>
        <v>0.11648791125577031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>
        <f t="shared" ref="W450:AK450" si="408">IF(W432&lt;=0, "0.000", W432)</f>
        <v>0.76755249219047683</v>
      </c>
      <c r="X450" s="173" t="str">
        <f t="shared" si="408"/>
        <v>0.000</v>
      </c>
      <c r="Y450" s="173">
        <f t="shared" si="408"/>
        <v>1.8052309038778482</v>
      </c>
      <c r="Z450" s="173">
        <f t="shared" si="408"/>
        <v>0.94357047307283082</v>
      </c>
      <c r="AA450" s="173" t="str">
        <f t="shared" si="408"/>
        <v>0.000</v>
      </c>
      <c r="AB450" s="173">
        <f t="shared" si="408"/>
        <v>1.2482678238606746</v>
      </c>
      <c r="AC450" s="173" t="str">
        <f t="shared" si="408"/>
        <v>0.000</v>
      </c>
      <c r="AD450" s="173">
        <f t="shared" si="408"/>
        <v>0.24960818505858107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11.762626925770309</v>
      </c>
      <c r="AO450">
        <v>21.304480103349459</v>
      </c>
      <c r="AP450">
        <v>172.88956285009286</v>
      </c>
      <c r="AQ450">
        <v>38.404626690261097</v>
      </c>
      <c r="AR450">
        <v>19.738557496324251</v>
      </c>
      <c r="AS450">
        <v>101.75975540681084</v>
      </c>
      <c r="AT450">
        <v>11.874471580430857</v>
      </c>
      <c r="AU450">
        <v>114.09645012743094</v>
      </c>
      <c r="AV450"/>
      <c r="AW450"/>
      <c r="FY450" s="210">
        <v>445</v>
      </c>
      <c r="FZ450">
        <v>11.262671631806672</v>
      </c>
      <c r="GA450">
        <v>13.704243948054298</v>
      </c>
      <c r="GB450">
        <v>3.8125105235660719</v>
      </c>
      <c r="GC450">
        <v>0.58329409133220744</v>
      </c>
      <c r="GD450">
        <v>0.5866640000125658</v>
      </c>
      <c r="GE450">
        <v>1.1068741545952638</v>
      </c>
      <c r="GF450">
        <v>4.231355802837748</v>
      </c>
      <c r="GG450">
        <v>3.351069871691212</v>
      </c>
      <c r="GH450">
        <v>0.47158847029581613</v>
      </c>
      <c r="GI450">
        <v>4.4187686619053625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11.062354108309988</v>
      </c>
      <c r="AO451">
        <v>17.991303155956718</v>
      </c>
      <c r="AP451">
        <v>144.5218033269212</v>
      </c>
      <c r="AQ451">
        <v>42.884197235157309</v>
      </c>
      <c r="AR451">
        <v>17.111106566907551</v>
      </c>
      <c r="AS451">
        <v>140.21910036037229</v>
      </c>
      <c r="AT451">
        <v>7.8777204809770636</v>
      </c>
      <c r="AU451">
        <v>-21.827861595517216</v>
      </c>
      <c r="AV451"/>
      <c r="AW451"/>
      <c r="FY451" s="210">
        <v>446</v>
      </c>
      <c r="FZ451">
        <v>4.8222026069354804</v>
      </c>
      <c r="GA451">
        <v>19.176108757287064</v>
      </c>
      <c r="GB451">
        <v>5.7213518311520009</v>
      </c>
      <c r="GC451">
        <v>0.59606432937873366</v>
      </c>
      <c r="GD451">
        <v>0.97106918905609829</v>
      </c>
      <c r="GE451">
        <v>1.8961097517028802</v>
      </c>
      <c r="GF451">
        <v>4.7264104182454165</v>
      </c>
      <c r="GG451">
        <v>3.4426828721531746</v>
      </c>
      <c r="GH451">
        <v>0.17282465026292085</v>
      </c>
      <c r="GI451">
        <v>5.1331019338240429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11.320064484126986</v>
      </c>
      <c r="AO452">
        <v>16.091226351798991</v>
      </c>
      <c r="AP452">
        <v>148.87647010751758</v>
      </c>
      <c r="AQ452">
        <v>40.0070415880583</v>
      </c>
      <c r="AR452">
        <v>15.377457676516133</v>
      </c>
      <c r="AS452">
        <v>81.480473145786092</v>
      </c>
      <c r="AT452" t="e">
        <v>#DIV/0!</v>
      </c>
      <c r="AU452" t="e">
        <v>#DIV/0!</v>
      </c>
      <c r="AV452"/>
      <c r="AW452"/>
      <c r="FY452" s="210">
        <v>447</v>
      </c>
      <c r="FZ452">
        <v>4.3673453320919977</v>
      </c>
      <c r="GA452">
        <v>6.6147134678043713</v>
      </c>
      <c r="GB452">
        <v>0.81409747104038221</v>
      </c>
      <c r="GC452">
        <v>0.54032639639115421</v>
      </c>
      <c r="GD452">
        <v>0.51240052138060177</v>
      </c>
      <c r="GE452">
        <v>1.6614621505227638</v>
      </c>
      <c r="GF452">
        <v>4.2336946434879055</v>
      </c>
      <c r="GG452">
        <v>2.2342051518878385</v>
      </c>
      <c r="GH452">
        <v>0.23579423514790807</v>
      </c>
      <c r="GI452">
        <v>3.2271316842562312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62.547220915609024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10.051215277777779</v>
      </c>
      <c r="AO453">
        <v>19.242863076089428</v>
      </c>
      <c r="AP453">
        <v>156.61893837051645</v>
      </c>
      <c r="AQ453">
        <v>38.347452426461892</v>
      </c>
      <c r="AR453">
        <v>18.772047684007315</v>
      </c>
      <c r="AS453">
        <v>88.431852402681173</v>
      </c>
      <c r="AT453" t="e">
        <v>#DIV/0!</v>
      </c>
      <c r="AU453" t="e">
        <v>#DIV/0!</v>
      </c>
      <c r="AV453"/>
      <c r="AW453"/>
      <c r="FY453" s="210">
        <v>448</v>
      </c>
      <c r="FZ453">
        <v>14.18403214814235</v>
      </c>
      <c r="GA453">
        <v>22.018979989378423</v>
      </c>
      <c r="GB453">
        <v>5.856198794218181</v>
      </c>
      <c r="GC453">
        <v>0.65133358613908987</v>
      </c>
      <c r="GD453">
        <v>1.058827788660307</v>
      </c>
      <c r="GE453">
        <v>1.6872070024187316</v>
      </c>
      <c r="GF453">
        <v>0.78975519593104504</v>
      </c>
      <c r="GG453">
        <v>0.24723722493565062</v>
      </c>
      <c r="GH453">
        <v>0</v>
      </c>
      <c r="GI453">
        <v>5.3634040463677799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8.4947916666666661</v>
      </c>
      <c r="AO454">
        <v>22.114163184057126</v>
      </c>
      <c r="AP454">
        <v>173.95381932129834</v>
      </c>
      <c r="AQ454">
        <v>36.539124290029264</v>
      </c>
      <c r="AR454">
        <v>20.501284875805595</v>
      </c>
      <c r="AS454">
        <v>188.48973322205737</v>
      </c>
      <c r="AT454" t="e">
        <v>#DIV/0!</v>
      </c>
      <c r="AU454" t="e">
        <v>#DIV/0!</v>
      </c>
      <c r="AV454"/>
      <c r="AW454"/>
      <c r="FY454" s="210">
        <v>449</v>
      </c>
      <c r="FZ454">
        <v>6.716209985040706</v>
      </c>
      <c r="GA454">
        <v>8.9108013770918202</v>
      </c>
      <c r="GB454">
        <v>0.86644811507250119</v>
      </c>
      <c r="GC454">
        <v>0.94909166265060296</v>
      </c>
      <c r="GD454">
        <v>1.2098258140620268</v>
      </c>
      <c r="GE454">
        <v>1.8768176350072201</v>
      </c>
      <c r="GF454">
        <v>2.6716506658900068</v>
      </c>
      <c r="GG454">
        <v>1.9166564585065737</v>
      </c>
      <c r="GH454">
        <v>0.81723777082165783</v>
      </c>
      <c r="GI454">
        <v>4.1082871494849122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30"/>
      <c r="P455" s="230"/>
      <c r="Q455" s="230"/>
      <c r="R455" s="230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12.948536706349207</v>
      </c>
      <c r="AO455">
        <v>24.980909424520867</v>
      </c>
      <c r="AP455">
        <v>185.29938878905762</v>
      </c>
      <c r="AQ455">
        <v>38.424021881079312</v>
      </c>
      <c r="AR455">
        <v>23.627564610194042</v>
      </c>
      <c r="AS455">
        <v>110.31850596325212</v>
      </c>
      <c r="AT455" t="e">
        <v>#DIV/0!</v>
      </c>
      <c r="AU455" t="e">
        <v>#DIV/0!</v>
      </c>
      <c r="AV455"/>
      <c r="AW455"/>
      <c r="FY455" s="210">
        <v>450</v>
      </c>
      <c r="FZ455">
        <v>6.0863832787662604</v>
      </c>
      <c r="GA455">
        <v>7.0668646665438999</v>
      </c>
      <c r="GB455">
        <v>2.8391248787674961</v>
      </c>
      <c r="GC455">
        <v>1.3718803730006535</v>
      </c>
      <c r="GD455">
        <v>1.2036795287876887</v>
      </c>
      <c r="GE455">
        <v>1.4817767786198803</v>
      </c>
      <c r="GF455">
        <v>6.9845443610295934</v>
      </c>
      <c r="GG455">
        <v>5.4391966388534367</v>
      </c>
      <c r="GH455">
        <v>0.92709283619959149</v>
      </c>
      <c r="GI455">
        <v>4.6953708387604172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7.7576666083099894</v>
      </c>
      <c r="AO456">
        <v>11.381468120245414</v>
      </c>
      <c r="AP456">
        <v>86.545873101197387</v>
      </c>
      <c r="AQ456">
        <v>35.45655847323313</v>
      </c>
      <c r="AR456">
        <v>11.016968198628151</v>
      </c>
      <c r="AS456">
        <v>66.856127914517899</v>
      </c>
      <c r="AT456">
        <v>6.6623625666718942</v>
      </c>
      <c r="AU456">
        <v>-33.468031765585849</v>
      </c>
      <c r="AV456"/>
      <c r="AW456"/>
      <c r="FY456" s="210">
        <v>451</v>
      </c>
      <c r="FZ456">
        <v>4.0554678411995813</v>
      </c>
      <c r="GA456">
        <v>6.6147134678043713</v>
      </c>
      <c r="GB456">
        <v>0.72563574940589493</v>
      </c>
      <c r="GC456">
        <v>0.78256207255329979</v>
      </c>
      <c r="GD456">
        <v>0.95322406650637093</v>
      </c>
      <c r="GE456">
        <v>1.4858910607106184</v>
      </c>
      <c r="GF456">
        <v>3.8587025395775427</v>
      </c>
      <c r="GG456">
        <v>2.9754411144136981</v>
      </c>
      <c r="GH456">
        <v>0.81723777082165783</v>
      </c>
      <c r="GI456">
        <v>3.9763634146777012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4.2074249396425957E-4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11.367909663865545</v>
      </c>
      <c r="AO457">
        <v>18.675074784498449</v>
      </c>
      <c r="AP457">
        <v>157.38321564957113</v>
      </c>
      <c r="AQ457">
        <v>32.658780980520717</v>
      </c>
      <c r="AR457">
        <v>17.35309633343725</v>
      </c>
      <c r="AS457">
        <v>83.432573499948674</v>
      </c>
      <c r="AT457">
        <v>9.49123666749656</v>
      </c>
      <c r="AU457">
        <v>-11.354229115146314</v>
      </c>
      <c r="AV457"/>
      <c r="AW457"/>
      <c r="FY457" s="210">
        <v>452</v>
      </c>
      <c r="FZ457">
        <v>4.8802942019007229</v>
      </c>
      <c r="GA457">
        <v>4.3186255585169224</v>
      </c>
      <c r="GB457">
        <v>0.74187531583564548</v>
      </c>
      <c r="GC457">
        <v>0.44312711809560773</v>
      </c>
      <c r="GD457">
        <v>0.72124335744281831</v>
      </c>
      <c r="GE457">
        <v>1.6684689999185836</v>
      </c>
      <c r="GF457">
        <v>1.4937944480679588</v>
      </c>
      <c r="GG457">
        <v>0.60108873791572359</v>
      </c>
      <c r="GH457">
        <v>0.99006242108457876</v>
      </c>
      <c r="GI457">
        <v>2.3514437968789723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1.0653614175644885E-3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7.0219056372549016</v>
      </c>
      <c r="AO458">
        <v>17.189152790551645</v>
      </c>
      <c r="AP458">
        <v>117.33427972954722</v>
      </c>
      <c r="AQ458">
        <v>33.044727954117022</v>
      </c>
      <c r="AR458">
        <v>15.991267191265923</v>
      </c>
      <c r="AS458">
        <v>126.60491185230978</v>
      </c>
      <c r="AT458" t="e">
        <v>#DIV/0!</v>
      </c>
      <c r="AU458" t="e">
        <v>#DIV/0!</v>
      </c>
      <c r="AV458"/>
      <c r="AW458"/>
      <c r="FY458" s="210">
        <v>453</v>
      </c>
      <c r="FZ458">
        <v>10.777660484135183</v>
      </c>
      <c r="GA458">
        <v>13.704243948054298</v>
      </c>
      <c r="GB458">
        <v>3.8474109529208178</v>
      </c>
      <c r="GC458">
        <v>1.1906819303153116</v>
      </c>
      <c r="GD458">
        <v>0.87956137666951206</v>
      </c>
      <c r="GE458">
        <v>0.9363592328310143</v>
      </c>
      <c r="GF458">
        <v>5.3700406542697561</v>
      </c>
      <c r="GG458">
        <v>3.9467031617725512</v>
      </c>
      <c r="GH458">
        <v>0.3456493005258417</v>
      </c>
      <c r="GI458">
        <v>5.3759881768533182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2.6975999960000001E-3</v>
      </c>
      <c r="F459" s="102">
        <f>+D459-D461</f>
        <v>-0.21258503401360543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10.593706232492996</v>
      </c>
      <c r="AO459">
        <v>17.842821816465989</v>
      </c>
      <c r="AP459">
        <v>149.8464457559503</v>
      </c>
      <c r="AQ459">
        <v>24.722106014897285</v>
      </c>
      <c r="AR459">
        <v>17.513147747189283</v>
      </c>
      <c r="AS459">
        <v>82.823640546371948</v>
      </c>
      <c r="AT459" t="e">
        <v>#DIV/0!</v>
      </c>
      <c r="AU459" t="e">
        <v>#DIV/0!</v>
      </c>
      <c r="AV459"/>
      <c r="AW459"/>
      <c r="FY459" s="210">
        <v>454</v>
      </c>
      <c r="FZ459">
        <v>1.3671683512601061</v>
      </c>
      <c r="GA459">
        <v>9.0381727096944218</v>
      </c>
      <c r="GB459">
        <v>3.2601662726862841</v>
      </c>
      <c r="GC459">
        <v>0.27800545607246219</v>
      </c>
      <c r="GD459">
        <v>0.36235117693861446</v>
      </c>
      <c r="GE459">
        <v>1.1274414597531417</v>
      </c>
      <c r="GF459">
        <v>3.356704396082745</v>
      </c>
      <c r="GG459">
        <v>2.3530508444816265</v>
      </c>
      <c r="GH459">
        <v>0.58144353567374973</v>
      </c>
      <c r="GI459">
        <v>2.4441696709279292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6.8305887733903269E-3</v>
      </c>
      <c r="I460" s="101">
        <f>+H460*F459</f>
        <v>-1.4520809467241341E-3</v>
      </c>
      <c r="J460" s="101">
        <f>+I460*$A$440</f>
        <v>-4.0658266508275753E-2</v>
      </c>
      <c r="K460" s="61">
        <f>IF(AND(J460&lt;0, J458&lt;0), 0, J460)</f>
        <v>-4.0658266508275753E-2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9.7977430555555571</v>
      </c>
      <c r="AO460">
        <v>26.334365957907529</v>
      </c>
      <c r="AP460">
        <v>195.85377000535121</v>
      </c>
      <c r="AQ460">
        <v>37.581423677722448</v>
      </c>
      <c r="AR460">
        <v>24.421445615532793</v>
      </c>
      <c r="AS460">
        <v>104.16722204972629</v>
      </c>
      <c r="AT460" t="e">
        <v>#DIV/0!</v>
      </c>
      <c r="AU460" t="e">
        <v>#DIV/0!</v>
      </c>
      <c r="AV460"/>
      <c r="AW460"/>
      <c r="FY460" s="210">
        <v>455</v>
      </c>
      <c r="FZ460">
        <v>0</v>
      </c>
      <c r="GA460">
        <v>6.2918811947826061</v>
      </c>
      <c r="GB460">
        <v>2.9938433530062944</v>
      </c>
      <c r="GC460">
        <v>0.69928781678942609</v>
      </c>
      <c r="GD460">
        <v>0.57101570224124676</v>
      </c>
      <c r="GE460">
        <v>1.1060072958193332</v>
      </c>
      <c r="GF460">
        <v>2.6262340562388844</v>
      </c>
      <c r="GG460">
        <v>1.4924934770808866</v>
      </c>
      <c r="GH460">
        <v>0.75426818593667067</v>
      </c>
      <c r="GI460">
        <v>2.4252626354417415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0.21258503401360543</v>
      </c>
      <c r="E461" s="97">
        <f>+I36</f>
        <v>1.729572325783988E-2</v>
      </c>
      <c r="F461" s="102">
        <f>+D461-D463</f>
        <v>-0.4251700680272108</v>
      </c>
      <c r="G461" s="101">
        <f>+D461*E461</f>
        <v>3.6768119170577976E-3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9.4971478174603181</v>
      </c>
      <c r="AO461">
        <v>21.340705733281379</v>
      </c>
      <c r="AP461">
        <v>179.58469012250114</v>
      </c>
      <c r="AQ461">
        <v>43.529041156097207</v>
      </c>
      <c r="AR461">
        <v>21.160202171393575</v>
      </c>
      <c r="AS461">
        <v>91.148520950673642</v>
      </c>
      <c r="AT461" t="e">
        <v>#DIV/0!</v>
      </c>
      <c r="AU461" t="e">
        <v>#DIV/0!</v>
      </c>
      <c r="AV461"/>
      <c r="AW461"/>
      <c r="FY461" s="210">
        <v>456</v>
      </c>
      <c r="FZ461">
        <v>10.893082921987897</v>
      </c>
      <c r="GA461">
        <v>11.334260618981871</v>
      </c>
      <c r="GB461">
        <v>3.241505409761289</v>
      </c>
      <c r="GC461">
        <v>1.0179920985931346</v>
      </c>
      <c r="GD461">
        <v>1.1231681999502625</v>
      </c>
      <c r="GE461">
        <v>1.9891969357806321</v>
      </c>
      <c r="GF461">
        <v>4.6547029787696701</v>
      </c>
      <c r="GG461">
        <v>2.749981133775488</v>
      </c>
      <c r="GH461">
        <v>0.17282465026292085</v>
      </c>
      <c r="GI461">
        <v>6.0321249594074287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2.9782403361894891E-2</v>
      </c>
      <c r="I462" s="101">
        <f>+H462*F461</f>
        <v>-1.2662586463390683E-2</v>
      </c>
      <c r="J462" s="101">
        <f>+I462*$A$440</f>
        <v>-0.35455242097493911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15.34744835434174</v>
      </c>
      <c r="AO462">
        <v>25.561870248811779</v>
      </c>
      <c r="AP462">
        <v>224.19176579800788</v>
      </c>
      <c r="AQ462">
        <v>46.657926339997807</v>
      </c>
      <c r="AR462">
        <v>23.68181215208439</v>
      </c>
      <c r="AS462">
        <v>113.95618451271578</v>
      </c>
      <c r="AT462">
        <v>14.593436613311409</v>
      </c>
      <c r="AU462">
        <v>31.983944964244607</v>
      </c>
      <c r="AV462"/>
      <c r="AW462"/>
      <c r="FY462" s="210">
        <v>457</v>
      </c>
      <c r="FZ462">
        <v>6.5710140503988672</v>
      </c>
      <c r="GA462">
        <v>14.877902705737501</v>
      </c>
      <c r="GB462">
        <v>3.983468564234621</v>
      </c>
      <c r="GC462">
        <v>1.3554908275585156</v>
      </c>
      <c r="GD462">
        <v>1.078561738339241</v>
      </c>
      <c r="GE462">
        <v>1.0570313027016216</v>
      </c>
      <c r="GF462">
        <v>2.7353247065508262</v>
      </c>
      <c r="GG462">
        <v>1.788264926164711</v>
      </c>
      <c r="GH462">
        <v>0.47158847029581613</v>
      </c>
      <c r="GI462">
        <v>4.4418406523538563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0.6377551020408162</v>
      </c>
      <c r="E463" s="97">
        <f>+J36</f>
        <v>5.1283865773496855E-2</v>
      </c>
      <c r="F463" s="102">
        <f>+D463-D465</f>
        <v>-1.4880952380952381</v>
      </c>
      <c r="G463" s="101">
        <f>+D463*E463</f>
        <v>3.2706547049424009E-2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9.1800595238095255</v>
      </c>
      <c r="AO463">
        <v>12.828439929123903</v>
      </c>
      <c r="AP463">
        <v>91.807377245315749</v>
      </c>
      <c r="AQ463">
        <v>24.441171054011154</v>
      </c>
      <c r="AR463">
        <v>11.834347712014921</v>
      </c>
      <c r="AS463">
        <v>62.844540167203832</v>
      </c>
      <c r="AT463" t="e">
        <v>#DIV/0!</v>
      </c>
      <c r="AU463" t="e">
        <v>#DIV/0!</v>
      </c>
      <c r="AV463"/>
      <c r="AW463"/>
      <c r="FY463" s="210">
        <v>458</v>
      </c>
      <c r="FZ463">
        <v>3.4554146317142589</v>
      </c>
      <c r="GA463">
        <v>14.931378618555122</v>
      </c>
      <c r="GB463">
        <v>5.8272637674638608</v>
      </c>
      <c r="GC463">
        <v>1.1490845524976168</v>
      </c>
      <c r="GD463">
        <v>0.9061737329689985</v>
      </c>
      <c r="GE463">
        <v>0.96207175935718725</v>
      </c>
      <c r="GF463">
        <v>4.6701507374004683</v>
      </c>
      <c r="GG463">
        <v>3.6196086286432112</v>
      </c>
      <c r="GH463">
        <v>0.40861888541082891</v>
      </c>
      <c r="GI463">
        <v>4.9889044891567575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7.5411977442908326E-2</v>
      </c>
      <c r="I464" s="101">
        <f>+H464*F463</f>
        <v>-0.1122202045281374</v>
      </c>
      <c r="J464" s="101">
        <f>+I464*$A$440</f>
        <v>-3.1421657267878471</v>
      </c>
      <c r="K464" s="61">
        <f>IF(AND(J464&lt;0, J462&lt;0), 0, J464)</f>
        <v>0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10.032738095238095</v>
      </c>
      <c r="AO464">
        <v>17.294715588747426</v>
      </c>
      <c r="AP464">
        <v>144.53519717157008</v>
      </c>
      <c r="AQ464">
        <v>51.856975776191561</v>
      </c>
      <c r="AR464">
        <v>17.074250414360595</v>
      </c>
      <c r="AS464">
        <v>88.10380049919857</v>
      </c>
      <c r="AT464" t="e">
        <v>#DIV/0!</v>
      </c>
      <c r="AU464" t="e">
        <v>#DIV/0!</v>
      </c>
      <c r="AV464"/>
      <c r="AW464"/>
      <c r="FY464" s="210">
        <v>459</v>
      </c>
      <c r="FZ464">
        <v>5.5225556665985582</v>
      </c>
      <c r="GA464">
        <v>14.082499727008848</v>
      </c>
      <c r="GB464">
        <v>5.3586264838657574</v>
      </c>
      <c r="GC464">
        <v>0.4814785319956727</v>
      </c>
      <c r="GD464">
        <v>1.131540151875942</v>
      </c>
      <c r="GE464">
        <v>2.8798124860631953</v>
      </c>
      <c r="GF464">
        <v>6.0000336262807661</v>
      </c>
      <c r="GG464">
        <v>4.5477918996882742</v>
      </c>
      <c r="GH464">
        <v>0.47158847029581613</v>
      </c>
      <c r="GI464">
        <v>5.5673754167115668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2.1258503401360542</v>
      </c>
      <c r="E465" s="97">
        <f>+K36</f>
        <v>0.11089192002348423</v>
      </c>
      <c r="F465" s="102">
        <f>+D465-D467</f>
        <v>0.63775510204081609</v>
      </c>
      <c r="G465" s="101">
        <f>+D465*E465</f>
        <v>0.23573962590026409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12.674187383286649</v>
      </c>
      <c r="AO465">
        <v>15.939915709826963</v>
      </c>
      <c r="AP465">
        <v>124.64939903392388</v>
      </c>
      <c r="AQ465">
        <v>30.043026633628028</v>
      </c>
      <c r="AR465">
        <v>14.825270541037547</v>
      </c>
      <c r="AS465">
        <v>80.973845026094153</v>
      </c>
      <c r="AT465">
        <v>7.1496845397602939</v>
      </c>
      <c r="AU465">
        <v>52.295901528432935</v>
      </c>
      <c r="AV465"/>
      <c r="AW465"/>
      <c r="FY465" s="210">
        <v>460</v>
      </c>
      <c r="FZ465">
        <v>8.3495989906513763</v>
      </c>
      <c r="GA465">
        <v>5.7658345762580989</v>
      </c>
      <c r="GB465">
        <v>0.22330868470066786</v>
      </c>
      <c r="GC465">
        <v>0.75782291640496613</v>
      </c>
      <c r="GD465">
        <v>1.0564531392471583</v>
      </c>
      <c r="GE465">
        <v>1.6012063905959633</v>
      </c>
      <c r="GF465">
        <v>4.476485069310483</v>
      </c>
      <c r="GG465">
        <v>3.4426828721531746</v>
      </c>
      <c r="GH465">
        <v>0</v>
      </c>
      <c r="GI465">
        <v>3.4959821793576915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0.14955179843065269</v>
      </c>
      <c r="I466" s="101">
        <f>+H466*F465</f>
        <v>9.5377422468528469E-2</v>
      </c>
      <c r="J466" s="101">
        <f>+I466*$A$440</f>
        <v>2.6705678291187973</v>
      </c>
      <c r="K466" s="61">
        <f>IF(AND(J466&lt;0, J464&lt;0), 0, J466)</f>
        <v>2.6705678291187973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13.227591036414562</v>
      </c>
      <c r="AO466">
        <v>18.635403055114089</v>
      </c>
      <c r="AP466">
        <v>148.41214058142907</v>
      </c>
      <c r="AQ466">
        <v>38.095914179328922</v>
      </c>
      <c r="AR466">
        <v>18.194720799298267</v>
      </c>
      <c r="AS466">
        <v>205.82890209975562</v>
      </c>
      <c r="AT466">
        <v>9.1818417618813211</v>
      </c>
      <c r="AU466">
        <v>-90.52812975100548</v>
      </c>
      <c r="AV466"/>
      <c r="AW466"/>
      <c r="FY466" s="210">
        <v>461</v>
      </c>
      <c r="FZ466">
        <v>5.009606796789833</v>
      </c>
      <c r="GA466">
        <v>4.7915134615358523</v>
      </c>
      <c r="GB466">
        <v>0.18719760709829947</v>
      </c>
      <c r="GC466">
        <v>0.61180846632343422</v>
      </c>
      <c r="GD466">
        <v>1.121476345001823</v>
      </c>
      <c r="GE466">
        <v>1.6687235751445033</v>
      </c>
      <c r="GF466">
        <v>2.285786292217967</v>
      </c>
      <c r="GG466">
        <v>1.8100421704621514</v>
      </c>
      <c r="GH466">
        <v>0.3456493005258417</v>
      </c>
      <c r="GI466">
        <v>3.2551526222451628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1.4880952380952381</v>
      </c>
      <c r="E467" s="97">
        <f>L36</f>
        <v>0.20168954067263015</v>
      </c>
      <c r="F467" s="102">
        <f>+D467-D469</f>
        <v>0.95663265306122458</v>
      </c>
      <c r="G467" s="101">
        <f>+D467*E467</f>
        <v>0.30013324504855676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11.747972105508868</v>
      </c>
      <c r="AO467">
        <v>18.53448845849271</v>
      </c>
      <c r="AP467">
        <v>99.384206427229017</v>
      </c>
      <c r="AQ467">
        <v>26.245239097670741</v>
      </c>
      <c r="AR467">
        <v>17.191599583145575</v>
      </c>
      <c r="AS467">
        <v>198.64695954263433</v>
      </c>
      <c r="AT467">
        <v>7.0412610335446688</v>
      </c>
      <c r="AU467">
        <v>80.444222873504998</v>
      </c>
      <c r="AV467"/>
      <c r="AW467"/>
      <c r="FY467" s="210">
        <v>462</v>
      </c>
      <c r="FZ467">
        <v>0.54272236659784878</v>
      </c>
      <c r="GA467">
        <v>24.19155478491653</v>
      </c>
      <c r="GB467">
        <v>9.2407528113079138</v>
      </c>
      <c r="GC467">
        <v>0.57856069921193565</v>
      </c>
      <c r="GD467">
        <v>1.173421722971641</v>
      </c>
      <c r="GE467">
        <v>2.5296121923960628</v>
      </c>
      <c r="GF467">
        <v>7.4692267369721765</v>
      </c>
      <c r="GG467">
        <v>5.8265810883992248</v>
      </c>
      <c r="GH467">
        <v>0.17282465026292085</v>
      </c>
      <c r="GI467">
        <v>7.450544207320327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0.25752100203959738</v>
      </c>
      <c r="I468" s="101">
        <f>+H468*F467</f>
        <v>0.24635299940012506</v>
      </c>
      <c r="J468" s="101">
        <f>+I468*$A$440</f>
        <v>6.8978839832035019</v>
      </c>
      <c r="K468" s="61">
        <f>IF(AND(J468&lt;0, J466&lt;0), 0, J468)</f>
        <v>6.8978839832035019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10.029324229691877</v>
      </c>
      <c r="AO468">
        <v>20.056818765084074</v>
      </c>
      <c r="AP468">
        <v>172.60899532363925</v>
      </c>
      <c r="AQ468">
        <v>18.210023955657537</v>
      </c>
      <c r="AR468">
        <v>19.10835259339251</v>
      </c>
      <c r="AS468">
        <v>77.030334004871989</v>
      </c>
      <c r="AT468">
        <v>10.623238409064843</v>
      </c>
      <c r="AU468">
        <v>-32.996477659831037</v>
      </c>
      <c r="AV468"/>
      <c r="AW468"/>
      <c r="FY468" s="210">
        <v>463</v>
      </c>
      <c r="FZ468">
        <v>6.1161567755553836</v>
      </c>
      <c r="GA468">
        <v>17.028128884881617</v>
      </c>
      <c r="GB468">
        <v>5.7748252847940549</v>
      </c>
      <c r="GC468">
        <v>0.66539464118049041</v>
      </c>
      <c r="GD468">
        <v>0.90053551454784542</v>
      </c>
      <c r="GE468">
        <v>1.6327773338323448</v>
      </c>
      <c r="GF468">
        <v>2.4633351154189578</v>
      </c>
      <c r="GG468">
        <v>1.9166564585065737</v>
      </c>
      <c r="GH468">
        <v>0.64441312055873701</v>
      </c>
      <c r="GI468">
        <v>4.655044496204308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0.53146258503401356</v>
      </c>
      <c r="E469" s="97">
        <f>M36</f>
        <v>0.32880766285803609</v>
      </c>
      <c r="F469" s="102">
        <f>+D469-D471</f>
        <v>0.2125850340136054</v>
      </c>
      <c r="G469" s="101">
        <f>+D469*E469</f>
        <v>0.17474897048152427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11.419227065826329</v>
      </c>
      <c r="AO469">
        <v>27.622493492190323</v>
      </c>
      <c r="AP469">
        <v>256.72040714002878</v>
      </c>
      <c r="AQ469">
        <v>46.374299218347602</v>
      </c>
      <c r="AR469">
        <v>26.956572438008905</v>
      </c>
      <c r="AS469">
        <v>136.12761087991942</v>
      </c>
      <c r="AT469">
        <v>18.3903901468606</v>
      </c>
      <c r="AU469">
        <v>-94.249095791760794</v>
      </c>
      <c r="AV469"/>
      <c r="AW469"/>
      <c r="FY469" s="210">
        <v>464</v>
      </c>
      <c r="FZ469">
        <v>7.9226794379451286</v>
      </c>
      <c r="GA469">
        <v>12.729922833332054</v>
      </c>
      <c r="GB469">
        <v>3.8823113822755637</v>
      </c>
      <c r="GC469">
        <v>0.55069173271814598</v>
      </c>
      <c r="GD469">
        <v>0.75113472330771835</v>
      </c>
      <c r="GE469">
        <v>1.7063027132429707</v>
      </c>
      <c r="GF469">
        <v>2.836010717742786</v>
      </c>
      <c r="GG469">
        <v>1.6113391696746744</v>
      </c>
      <c r="GH469">
        <v>0.58144353567374973</v>
      </c>
      <c r="GI469">
        <v>4.2505656227104778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0.40427134100277257</v>
      </c>
      <c r="I470" s="101">
        <f>+H470*F469</f>
        <v>8.5942036777800268E-2</v>
      </c>
      <c r="J470" s="101">
        <f>+I470*$A$440</f>
        <v>2.4063770297784073</v>
      </c>
      <c r="K470" s="61">
        <f>IF(AND(J470&lt;0, J468&lt;0), 0, J470)</f>
        <v>2.4063770297784073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8.2629770658263286</v>
      </c>
      <c r="AO470">
        <v>10.788405521993564</v>
      </c>
      <c r="AP470">
        <v>90.905846779223921</v>
      </c>
      <c r="AQ470">
        <v>24.16867387357108</v>
      </c>
      <c r="AR470">
        <v>10.039506426876013</v>
      </c>
      <c r="AS470">
        <v>52.934006748311909</v>
      </c>
      <c r="AT470">
        <v>4.9411419809398796</v>
      </c>
      <c r="AU470">
        <v>-26.021768137907362</v>
      </c>
      <c r="AV470"/>
      <c r="AW470"/>
      <c r="FY470" s="210">
        <v>465</v>
      </c>
      <c r="FZ470">
        <v>8.4076905856166189</v>
      </c>
      <c r="GA470">
        <v>18.423791099231799</v>
      </c>
      <c r="GB470">
        <v>6.2423397587822231</v>
      </c>
      <c r="GC470">
        <v>0.28966160939432806</v>
      </c>
      <c r="GD470">
        <v>0.5076239719110236</v>
      </c>
      <c r="GE470">
        <v>1.4257146184450835</v>
      </c>
      <c r="GF470">
        <v>2.5902123650118547</v>
      </c>
      <c r="GG470">
        <v>1.788264926164711</v>
      </c>
      <c r="GH470">
        <v>0.64441312055873701</v>
      </c>
      <c r="GI470">
        <v>6.6536507938381169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0.31887755102040816</v>
      </c>
      <c r="E471" s="97">
        <f>+N36</f>
        <v>0.49705446562765726</v>
      </c>
      <c r="F471" s="102">
        <f>+D471-D473</f>
        <v>0</v>
      </c>
      <c r="G471" s="101">
        <f>+D471*E471</f>
        <v>0.158499510723105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7.8371119281045747</v>
      </c>
      <c r="AO471">
        <v>11.596843687312516</v>
      </c>
      <c r="AP471">
        <v>88.239646005816738</v>
      </c>
      <c r="AQ471">
        <v>18.960293717337088</v>
      </c>
      <c r="AR471">
        <v>10.739072643633854</v>
      </c>
      <c r="AS471">
        <v>47.912428894240307</v>
      </c>
      <c r="AT471" t="e">
        <v>#DIV/0!</v>
      </c>
      <c r="AU471" t="e">
        <v>#DIV/0!</v>
      </c>
      <c r="AV471"/>
      <c r="AW471"/>
      <c r="FY471" s="210">
        <v>466</v>
      </c>
      <c r="FZ471">
        <v>1.5127446619408307</v>
      </c>
      <c r="GA471">
        <v>8.263189237933128</v>
      </c>
      <c r="GB471">
        <v>3.2403826001513529</v>
      </c>
      <c r="GC471">
        <v>0.52153194922948198</v>
      </c>
      <c r="GD471">
        <v>0.78438569168755279</v>
      </c>
      <c r="GE471">
        <v>2.2000632172260111</v>
      </c>
      <c r="GF471">
        <v>4.4133909123138277</v>
      </c>
      <c r="GG471">
        <v>2.9632097098643326</v>
      </c>
      <c r="GH471">
        <v>1.4616508913803949</v>
      </c>
      <c r="GI471">
        <v>3.2610066254210248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0.59447354033655553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12.003326330532211</v>
      </c>
      <c r="AO472">
        <v>27.869044233249333</v>
      </c>
      <c r="AP472">
        <v>234.14180936314298</v>
      </c>
      <c r="AQ472">
        <v>43.208839907270587</v>
      </c>
      <c r="AR472">
        <v>27.153087274388675</v>
      </c>
      <c r="AS472">
        <v>120.99243783848146</v>
      </c>
      <c r="AT472">
        <v>16.081696339262795</v>
      </c>
      <c r="AU472">
        <v>-5.5001647564135752</v>
      </c>
      <c r="AV472"/>
      <c r="AW472"/>
      <c r="FY472" s="210">
        <v>467</v>
      </c>
      <c r="FZ472">
        <v>4.5129216427727226</v>
      </c>
      <c r="GA472">
        <v>14.302256876937161</v>
      </c>
      <c r="GB472">
        <v>4.1135607729479977</v>
      </c>
      <c r="GC472">
        <v>1.382714385554868</v>
      </c>
      <c r="GD472">
        <v>1.0089948808617473</v>
      </c>
      <c r="GE472">
        <v>0.92018193329656084</v>
      </c>
      <c r="GF472">
        <v>5.3518055623236815</v>
      </c>
      <c r="GG472">
        <v>4.1721631424107617</v>
      </c>
      <c r="GH472">
        <v>0.47158847029581613</v>
      </c>
      <c r="GI472">
        <v>4.7777440074446478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0.31887755102040816</v>
      </c>
      <c r="E473" s="97">
        <f>O36</f>
        <v>0.71098604800587151</v>
      </c>
      <c r="F473" s="102">
        <f>+D473-D475</f>
        <v>-0.1062925170068027</v>
      </c>
      <c r="G473" s="101">
        <f>+D473*E473</f>
        <v>0.22671748979779066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12.876240079365079</v>
      </c>
      <c r="AO473">
        <v>19.120852420283438</v>
      </c>
      <c r="AP473">
        <v>157.24255756763486</v>
      </c>
      <c r="AQ473">
        <v>38.360487944335574</v>
      </c>
      <c r="AR473">
        <v>18.141729705731308</v>
      </c>
      <c r="AS473">
        <v>209.71649790498444</v>
      </c>
      <c r="AT473" t="e">
        <v>#DIV/0!</v>
      </c>
      <c r="AU473" t="e">
        <v>#DIV/0!</v>
      </c>
      <c r="AV473"/>
      <c r="AW473"/>
      <c r="FY473" s="210">
        <v>468</v>
      </c>
      <c r="FZ473">
        <v>8.8044562654948582</v>
      </c>
      <c r="GA473">
        <v>22.867858880924697</v>
      </c>
      <c r="GB473">
        <v>6.2051058715699181</v>
      </c>
      <c r="GC473">
        <v>0.41383130209721608</v>
      </c>
      <c r="GD473">
        <v>0.88042252027093115</v>
      </c>
      <c r="GE473">
        <v>1.7800826678795159</v>
      </c>
      <c r="GF473">
        <v>4.5355612820385582</v>
      </c>
      <c r="GG473">
        <v>3.4426828721531746</v>
      </c>
      <c r="GH473">
        <v>0.3456493005258417</v>
      </c>
      <c r="GI473">
        <v>5.7163306528456124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0.83257337405586707</v>
      </c>
      <c r="I474" s="101">
        <f>+H474*F473</f>
        <v>-8.8496319521244357E-2</v>
      </c>
      <c r="J474" s="101">
        <f>+I474*$A$440</f>
        <v>-2.4778969465948419</v>
      </c>
      <c r="K474" s="61">
        <f>IF(AND(J474&lt;0, J472&lt;0), 0, J474)</f>
        <v>-2.4778969465948419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11.968604108309993</v>
      </c>
      <c r="AO474">
        <v>13.646126899426687</v>
      </c>
      <c r="AP474">
        <v>99.201281046163132</v>
      </c>
      <c r="AQ474">
        <v>40.918669803168314</v>
      </c>
      <c r="AR474">
        <v>13.085770419078075</v>
      </c>
      <c r="AS474">
        <v>79.868701736665471</v>
      </c>
      <c r="AT474">
        <v>5.9573516303723411</v>
      </c>
      <c r="AU474">
        <v>20.97529516398756</v>
      </c>
      <c r="AV474"/>
      <c r="AW474"/>
      <c r="FY474" s="210">
        <v>469</v>
      </c>
      <c r="FZ474">
        <v>6.5133028314725081</v>
      </c>
      <c r="GA474">
        <v>16.230479599414295</v>
      </c>
      <c r="GB474">
        <v>5.3526610812653317</v>
      </c>
      <c r="GC474">
        <v>1.3483525337187094</v>
      </c>
      <c r="GD474">
        <v>1.0884783868871286</v>
      </c>
      <c r="GE474">
        <v>1.0570313027016216</v>
      </c>
      <c r="GF474">
        <v>3.1887695234946096</v>
      </c>
      <c r="GG474">
        <v>2.2337294396067464</v>
      </c>
      <c r="GH474">
        <v>0.64441312055873701</v>
      </c>
      <c r="GI474">
        <v>4.6477269681768796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0.42517006802721086</v>
      </c>
      <c r="E475" s="97">
        <f>P36</f>
        <v>0.97495362269196928</v>
      </c>
      <c r="F475" s="102">
        <f>+D475-D477</f>
        <v>0.21258503401360543</v>
      </c>
      <c r="G475" s="101">
        <f>+D475*E475</f>
        <v>0.41452109808332027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11.594618055555554</v>
      </c>
      <c r="AO475">
        <v>19.642244044668288</v>
      </c>
      <c r="AP475">
        <v>156.60876927647485</v>
      </c>
      <c r="AQ475">
        <v>46.043302460384396</v>
      </c>
      <c r="AR475">
        <v>18.657307944679175</v>
      </c>
      <c r="AS475">
        <v>206.76315823857138</v>
      </c>
      <c r="AT475" t="e">
        <v>#DIV/0!</v>
      </c>
      <c r="AU475" t="e">
        <v>#DIV/0!</v>
      </c>
      <c r="AV475"/>
      <c r="AW475"/>
      <c r="FY475" s="210">
        <v>470</v>
      </c>
      <c r="FZ475">
        <v>6.2617330862361094</v>
      </c>
      <c r="GA475">
        <v>7.434729853354213</v>
      </c>
      <c r="GB475">
        <v>1.4466045830966729</v>
      </c>
      <c r="GC475">
        <v>0.14795067557384306</v>
      </c>
      <c r="GD475">
        <v>0.62756949937280893</v>
      </c>
      <c r="GE475">
        <v>1.993375422787089</v>
      </c>
      <c r="GF475">
        <v>1.4401948009190826</v>
      </c>
      <c r="GG475">
        <v>0.1769257564900365</v>
      </c>
      <c r="GH475">
        <v>0.40861888541082891</v>
      </c>
      <c r="GI475">
        <v>3.8125618765723468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1.1228306389605547</v>
      </c>
      <c r="I476" s="101">
        <f>+H476*F475</f>
        <v>0.23869698957494784</v>
      </c>
      <c r="J476" s="101">
        <f>+I476*$A$440</f>
        <v>6.6835157080985397</v>
      </c>
      <c r="K476" s="61">
        <f>IF(AND(J476&lt;0, J474&lt;0), 0, J476)</f>
        <v>6.6835157080985397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8.9233630952380967</v>
      </c>
      <c r="AO476">
        <v>15.569872736320971</v>
      </c>
      <c r="AP476">
        <v>104.26653263241757</v>
      </c>
      <c r="AQ476">
        <v>29.169374818679579</v>
      </c>
      <c r="AR476">
        <v>14.901939778805742</v>
      </c>
      <c r="AS476">
        <v>70.33123297593329</v>
      </c>
      <c r="AT476" t="e">
        <v>#DIV/0!</v>
      </c>
      <c r="AU476" t="e">
        <v>#DIV/0!</v>
      </c>
      <c r="AV476"/>
      <c r="AW476"/>
      <c r="FY476" s="210">
        <v>471</v>
      </c>
      <c r="FZ476">
        <v>1.3094571323337481</v>
      </c>
      <c r="GA476">
        <v>5.7142877728671042</v>
      </c>
      <c r="GB476">
        <v>1.4885932246617808</v>
      </c>
      <c r="GC476">
        <v>0.2799416815647735</v>
      </c>
      <c r="GD476">
        <v>0.43966076738924337</v>
      </c>
      <c r="GE476">
        <v>1.3529983336537887</v>
      </c>
      <c r="GF476">
        <v>5.4148105167263054</v>
      </c>
      <c r="GG476">
        <v>4.3123103670208973</v>
      </c>
      <c r="GH476">
        <v>0.23579423514790807</v>
      </c>
      <c r="GI476">
        <v>4.0319315669344524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0.21258503401360543</v>
      </c>
      <c r="E477" s="97">
        <f>Q36</f>
        <v>1.2931370420548645</v>
      </c>
      <c r="F477" s="102">
        <f>+D477-D479</f>
        <v>0.10629251700680271</v>
      </c>
      <c r="G477" s="101">
        <f>+D477*E477</f>
        <v>0.27490158206948645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7.7146139705882346</v>
      </c>
      <c r="AO477">
        <v>19.713569090314003</v>
      </c>
      <c r="AP477">
        <v>165.4198736202575</v>
      </c>
      <c r="AQ477">
        <v>21.086956637344869</v>
      </c>
      <c r="AR477">
        <v>18.354539038609033</v>
      </c>
      <c r="AS477">
        <v>71.653159139341042</v>
      </c>
      <c r="AT477">
        <v>12.176644458325526</v>
      </c>
      <c r="AU477">
        <v>-99.539178617722698</v>
      </c>
      <c r="AV477"/>
      <c r="AW477"/>
      <c r="FY477" s="210">
        <v>472</v>
      </c>
      <c r="FZ477">
        <v>0</v>
      </c>
      <c r="GA477">
        <v>0.3986752859219066</v>
      </c>
      <c r="GB477">
        <v>0.39063478062634954</v>
      </c>
      <c r="GC477">
        <v>0.42660154014374235</v>
      </c>
      <c r="GD477">
        <v>0.71850576862351145</v>
      </c>
      <c r="GE477">
        <v>1.4389989454765568</v>
      </c>
      <c r="GF477">
        <v>5.0103675189986534</v>
      </c>
      <c r="GG477">
        <v>4.0655488543663392</v>
      </c>
      <c r="GH477">
        <v>0.17282465026292085</v>
      </c>
      <c r="GI477">
        <v>2.8157283008929577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1.4693476234655587</v>
      </c>
      <c r="I478" s="101">
        <f>+H478*F477</f>
        <v>0.15618065725611804</v>
      </c>
      <c r="J478" s="101">
        <f>+I478*$A$440</f>
        <v>4.3730584031713056</v>
      </c>
      <c r="K478" s="61">
        <f>IF(AND(J478&lt;0, J476&lt;0), 0, J478)</f>
        <v>4.3730584031713056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11.926317401960784</v>
      </c>
      <c r="AO478">
        <v>30.572370864147945</v>
      </c>
      <c r="AP478">
        <v>259.84963167864794</v>
      </c>
      <c r="AQ478">
        <v>59.175801260356572</v>
      </c>
      <c r="AR478">
        <v>28.352013796544526</v>
      </c>
      <c r="AS478">
        <v>184.11227803052088</v>
      </c>
      <c r="AT478" t="e">
        <v>#DIV/0!</v>
      </c>
      <c r="AU478" t="e">
        <v>#DIV/0!</v>
      </c>
      <c r="AV478"/>
      <c r="AW478"/>
      <c r="FY478" s="210">
        <v>473</v>
      </c>
      <c r="FZ478">
        <v>3.2891134515025664</v>
      </c>
      <c r="GA478">
        <v>6.2918811947826061</v>
      </c>
      <c r="GB478">
        <v>2.9402820607265534</v>
      </c>
      <c r="GC478">
        <v>0.61614959353527998</v>
      </c>
      <c r="GD478">
        <v>0.59433188600216702</v>
      </c>
      <c r="GE478">
        <v>1.2551996966808341</v>
      </c>
      <c r="GF478">
        <v>2.5594456377417965</v>
      </c>
      <c r="GG478">
        <v>1.1871761882489873</v>
      </c>
      <c r="GH478">
        <v>0.17282465026292085</v>
      </c>
      <c r="GI478">
        <v>2.5874448735283253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0.10629251700680271</v>
      </c>
      <c r="E479" s="97">
        <f>R36</f>
        <v>1.6695697117709549</v>
      </c>
      <c r="F479" s="102">
        <f>+D479-D481</f>
        <v>0.10629251700680271</v>
      </c>
      <c r="G479" s="101">
        <f>+D479*E479</f>
        <v>0.17746276698245694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11.414784663865547</v>
      </c>
      <c r="AO479">
        <v>16.974368207523995</v>
      </c>
      <c r="AP479">
        <v>141.66497808480523</v>
      </c>
      <c r="AQ479">
        <v>41.797267625480316</v>
      </c>
      <c r="AR479">
        <v>16.221815568537096</v>
      </c>
      <c r="AS479">
        <v>82.631700988016192</v>
      </c>
      <c r="AT479">
        <v>6.3264186809250047</v>
      </c>
      <c r="AU479">
        <v>-29.123999787552297</v>
      </c>
      <c r="AV479"/>
      <c r="AW479"/>
      <c r="FY479" s="210">
        <v>474</v>
      </c>
      <c r="FZ479">
        <v>10.553267708958245</v>
      </c>
      <c r="GA479">
        <v>8.3351555482914801</v>
      </c>
      <c r="GB479">
        <v>1.1024522600977387</v>
      </c>
      <c r="GC479">
        <v>0.4762388526973787</v>
      </c>
      <c r="GD479">
        <v>1.1177142633350967</v>
      </c>
      <c r="GE479">
        <v>2.9441821228828355</v>
      </c>
      <c r="GF479">
        <v>2.055537890549028</v>
      </c>
      <c r="GG479">
        <v>0.60108873791572359</v>
      </c>
      <c r="GH479">
        <v>0.47158847029581613</v>
      </c>
      <c r="GI479">
        <v>3.9984428756184096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1.8760907039474461</v>
      </c>
      <c r="I480" s="101">
        <f>+H480*F479</f>
        <v>0.1994144030556384</v>
      </c>
      <c r="J480" s="101">
        <f>+I480*$A$440</f>
        <v>5.5836032855578752</v>
      </c>
      <c r="K480" s="61">
        <f>IF(AND(J480&lt;0, J478&lt;0), 0, J480)</f>
        <v>5.5836032855578752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8.1260723039215694</v>
      </c>
      <c r="AO480">
        <v>15.639091105149131</v>
      </c>
      <c r="AP480">
        <v>129.55722356785333</v>
      </c>
      <c r="AQ480">
        <v>36.822401868623267</v>
      </c>
      <c r="AR480">
        <v>15.436157295440106</v>
      </c>
      <c r="AS480">
        <v>72.660503395987064</v>
      </c>
      <c r="AT480">
        <v>7.1597551181225088</v>
      </c>
      <c r="AU480">
        <v>-61.759312655509504</v>
      </c>
      <c r="AV480"/>
      <c r="AW480"/>
      <c r="FY480" s="210">
        <v>475</v>
      </c>
      <c r="FZ480">
        <v>6.8040750767950726</v>
      </c>
      <c r="GA480">
        <v>13.63034852826932</v>
      </c>
      <c r="GB480">
        <v>3.1903654139767923</v>
      </c>
      <c r="GC480">
        <v>0.75262084805747109</v>
      </c>
      <c r="GD480">
        <v>0.81150421599529754</v>
      </c>
      <c r="GE480">
        <v>1.8126267862368544</v>
      </c>
      <c r="GF480">
        <v>4.8993837525772861</v>
      </c>
      <c r="GG480">
        <v>2.9967426464300475</v>
      </c>
      <c r="GH480">
        <v>0.23579423514790807</v>
      </c>
      <c r="GI480">
        <v>4.7016914450385103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2.1081577514391845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9.6693729575163392</v>
      </c>
      <c r="AO481">
        <v>35.275149217752684</v>
      </c>
      <c r="AP481">
        <v>285.64672471888724</v>
      </c>
      <c r="AQ481">
        <v>46.973362848954501</v>
      </c>
      <c r="AR481">
        <v>33.69931996170034</v>
      </c>
      <c r="AS481">
        <v>125.54807278744967</v>
      </c>
      <c r="AT481">
        <v>18.127212048892478</v>
      </c>
      <c r="AU481">
        <v>-60.662684720718495</v>
      </c>
      <c r="AV481"/>
      <c r="AW481"/>
      <c r="FY481" s="210">
        <v>476</v>
      </c>
      <c r="FZ481">
        <v>9.7288217242959867</v>
      </c>
      <c r="GA481">
        <v>4.9908511044968051</v>
      </c>
      <c r="GB481">
        <v>0.32325521841210242</v>
      </c>
      <c r="GC481">
        <v>1.3088274139030536</v>
      </c>
      <c r="GD481">
        <v>1.5403818444221553</v>
      </c>
      <c r="GE481">
        <v>1.9108915170526961</v>
      </c>
      <c r="GF481">
        <v>2.0815085353568872</v>
      </c>
      <c r="GG481">
        <v>1.2937904762934096</v>
      </c>
      <c r="GH481">
        <v>0.64441312055873701</v>
      </c>
      <c r="GI481">
        <v>4.2744567504768023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2.3469072206626058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9.59579248366013</v>
      </c>
      <c r="AO482">
        <v>16.340323432558073</v>
      </c>
      <c r="AP482">
        <v>107.31114772933981</v>
      </c>
      <c r="AQ482">
        <v>28.621555497147934</v>
      </c>
      <c r="AR482">
        <v>15.246090274411346</v>
      </c>
      <c r="AS482">
        <v>169.02284167749207</v>
      </c>
      <c r="AT482" t="e">
        <v>#DIV/0!</v>
      </c>
      <c r="AU482" t="e">
        <v>#DIV/0!</v>
      </c>
      <c r="AV482"/>
      <c r="AW482"/>
      <c r="FY482" s="210">
        <v>477</v>
      </c>
      <c r="FZ482">
        <v>11.095990075556095</v>
      </c>
      <c r="GA482">
        <v>5.7658345762580989</v>
      </c>
      <c r="GB482">
        <v>0.20585847002329485</v>
      </c>
      <c r="GC482">
        <v>0.89085159580175954</v>
      </c>
      <c r="GD482">
        <v>1.0105810623808469</v>
      </c>
      <c r="GE482">
        <v>1.0038617098319063</v>
      </c>
      <c r="GF482">
        <v>1.4743380943950419</v>
      </c>
      <c r="GG482">
        <v>1.165874656232639</v>
      </c>
      <c r="GH482">
        <v>0.23579423514790807</v>
      </c>
      <c r="GI482">
        <v>2.8878124444962676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2.6126951356643624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12.585689484126984</v>
      </c>
      <c r="AO483">
        <v>17.062858689684099</v>
      </c>
      <c r="AP483">
        <v>134.15733966893214</v>
      </c>
      <c r="AQ483">
        <v>41.013931674845956</v>
      </c>
      <c r="AR483">
        <v>15.900291891802603</v>
      </c>
      <c r="AS483">
        <v>106.17153689178164</v>
      </c>
      <c r="AT483" t="e">
        <v>#DIV/0!</v>
      </c>
      <c r="AU483" t="e">
        <v>#DIV/0!</v>
      </c>
      <c r="AV483"/>
      <c r="AW483"/>
      <c r="FY483" s="210">
        <v>478</v>
      </c>
      <c r="FZ483">
        <v>3.5428993474297403</v>
      </c>
      <c r="GA483">
        <v>10.579696654187938</v>
      </c>
      <c r="GB483">
        <v>2.2257137861446235</v>
      </c>
      <c r="GC483">
        <v>1.1527802712120254</v>
      </c>
      <c r="GD483">
        <v>0.74837523675975548</v>
      </c>
      <c r="GE483">
        <v>0.7618729611708861</v>
      </c>
      <c r="GF483">
        <v>4.871522759784388</v>
      </c>
      <c r="GG483">
        <v>3.4426828721531746</v>
      </c>
      <c r="GH483">
        <v>0.3456493005258417</v>
      </c>
      <c r="GI483">
        <v>4.2321605260194897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2.8855389836702301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12.597798494397761</v>
      </c>
      <c r="AO484">
        <v>18.727012041614191</v>
      </c>
      <c r="AP484">
        <v>178.46612363903546</v>
      </c>
      <c r="AQ484">
        <v>54.991981615800334</v>
      </c>
      <c r="AR484">
        <v>17.825313045264803</v>
      </c>
      <c r="AS484">
        <v>94.385800777462222</v>
      </c>
      <c r="AT484">
        <v>10.0727314448516</v>
      </c>
      <c r="AU484">
        <v>-51.299932856195184</v>
      </c>
      <c r="AV484"/>
      <c r="AW484"/>
      <c r="FY484" s="210">
        <v>479</v>
      </c>
      <c r="FZ484">
        <v>7.3381291921736516</v>
      </c>
      <c r="GA484">
        <v>1.9486422294444932</v>
      </c>
      <c r="GB484">
        <v>0.22564214255822629</v>
      </c>
      <c r="GC484">
        <v>0.60273394699131666</v>
      </c>
      <c r="GD484">
        <v>0.70805198633730237</v>
      </c>
      <c r="GE484">
        <v>1.7798280926535961</v>
      </c>
      <c r="GF484">
        <v>4.2966995978905285</v>
      </c>
      <c r="GG484">
        <v>2.5512781329880112</v>
      </c>
      <c r="GH484">
        <v>0.40861888541082891</v>
      </c>
      <c r="GI484">
        <v>3.202629299563255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3.186875924642997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14.102036647992529</v>
      </c>
      <c r="AO485">
        <v>21.325239295393096</v>
      </c>
      <c r="AP485">
        <v>182.57982938419627</v>
      </c>
      <c r="AQ485">
        <v>42.304944787296563</v>
      </c>
      <c r="AR485">
        <v>20.198262066030445</v>
      </c>
      <c r="AS485">
        <v>97.04318015889821</v>
      </c>
      <c r="AT485">
        <v>9.6805561686812105</v>
      </c>
      <c r="AU485">
        <v>-10.26722182534327</v>
      </c>
      <c r="AV485"/>
      <c r="AW485"/>
      <c r="FY485" s="210">
        <v>480</v>
      </c>
      <c r="FZ485">
        <v>0.54272236659784878</v>
      </c>
      <c r="GA485">
        <v>16.327040832905304</v>
      </c>
      <c r="GB485">
        <v>6.2923569449567838</v>
      </c>
      <c r="GC485">
        <v>0.47486853557402003</v>
      </c>
      <c r="GD485">
        <v>0.88866478530699256</v>
      </c>
      <c r="GE485">
        <v>1.7044152412307416</v>
      </c>
      <c r="GF485">
        <v>2.4042589026908825</v>
      </c>
      <c r="GG485">
        <v>1.9166564585065737</v>
      </c>
      <c r="GH485">
        <v>0.47158847029581613</v>
      </c>
      <c r="GI485">
        <v>4.6071683327654762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3.4956332961404768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5.4914215686274517</v>
      </c>
      <c r="AO486">
        <v>18.69960785368874</v>
      </c>
      <c r="AP486">
        <v>139.92781127515718</v>
      </c>
      <c r="AQ486">
        <v>23.75026443981303</v>
      </c>
      <c r="AR486">
        <v>17.884122668274781</v>
      </c>
      <c r="AS486">
        <v>64.16899887795239</v>
      </c>
      <c r="AT486" t="e">
        <v>#DIV/0!</v>
      </c>
      <c r="AU486" t="e">
        <v>#DIV/0!</v>
      </c>
      <c r="AV486"/>
      <c r="AW486"/>
      <c r="FY486" s="210">
        <v>481</v>
      </c>
      <c r="FZ486">
        <v>4.806699643221636</v>
      </c>
      <c r="GA486">
        <v>7.9899561751871957</v>
      </c>
      <c r="GB486">
        <v>2.6717109442041282</v>
      </c>
      <c r="GC486">
        <v>0.63967743281722411</v>
      </c>
      <c r="GD486">
        <v>0.44550946047833345</v>
      </c>
      <c r="GE486">
        <v>0.83025740969325557</v>
      </c>
      <c r="GF486">
        <v>4.8253151333877593</v>
      </c>
      <c r="GG486">
        <v>3.5710744044950373</v>
      </c>
      <c r="GH486">
        <v>0</v>
      </c>
      <c r="GI486">
        <v>3.8040307015776911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3.8343043249965225</v>
      </c>
      <c r="F487" s="102">
        <f>+D487-D489</f>
        <v>-0.31887755102040816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8.1638144841269842</v>
      </c>
      <c r="AO487">
        <v>19.769983873199237</v>
      </c>
      <c r="AP487">
        <v>145.45052492231054</v>
      </c>
      <c r="AQ487">
        <v>24.579785598299999</v>
      </c>
      <c r="AR487">
        <v>18.333485440340347</v>
      </c>
      <c r="AS487">
        <v>194.05543636519627</v>
      </c>
      <c r="AT487" t="e">
        <v>#DIV/0!</v>
      </c>
      <c r="AU487" t="e">
        <v>#DIV/0!</v>
      </c>
      <c r="AV487"/>
      <c r="AW487"/>
      <c r="FY487" s="210">
        <v>482</v>
      </c>
      <c r="FZ487">
        <v>10.144067270656615</v>
      </c>
      <c r="GA487">
        <v>12.434023956880093</v>
      </c>
      <c r="GB487">
        <v>2.7030672674536933</v>
      </c>
      <c r="GC487">
        <v>0.78113522304869798</v>
      </c>
      <c r="GD487">
        <v>0.95776427462991265</v>
      </c>
      <c r="GE487">
        <v>2.0628799549337651</v>
      </c>
      <c r="GF487">
        <v>5.5591308334906202</v>
      </c>
      <c r="GG487">
        <v>3.7480001609850739</v>
      </c>
      <c r="GH487">
        <v>0.23579423514790807</v>
      </c>
      <c r="GI487">
        <v>4.6525467603320791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4.1807521005789452</v>
      </c>
      <c r="I488" s="101">
        <f>+H488*F487</f>
        <v>-1.3331479912560411</v>
      </c>
      <c r="J488" s="101">
        <f>+I488*$A$440</f>
        <v>-37.328143755169151</v>
      </c>
      <c r="K488" s="61">
        <f>IF(AND(J488&lt;0, J486&lt;0), 0, J488)</f>
        <v>-37.328143755169151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7.7527062908496731</v>
      </c>
      <c r="AO488">
        <v>20.26224960198514</v>
      </c>
      <c r="AP488">
        <v>154.00927945196088</v>
      </c>
      <c r="AQ488">
        <v>15.437885645312939</v>
      </c>
      <c r="AR488">
        <v>18.776187346868205</v>
      </c>
      <c r="AS488">
        <v>73.060028890380451</v>
      </c>
      <c r="AT488" t="e">
        <v>#DIV/0!</v>
      </c>
      <c r="AU488" t="e">
        <v>#DIV/0!</v>
      </c>
      <c r="AV488"/>
      <c r="AW488"/>
      <c r="FY488" s="210">
        <v>483</v>
      </c>
      <c r="FZ488">
        <v>10.056582554941134</v>
      </c>
      <c r="GA488">
        <v>18.201787642564817</v>
      </c>
      <c r="GB488">
        <v>5.7724918269364967</v>
      </c>
      <c r="GC488">
        <v>0.78547635026054363</v>
      </c>
      <c r="GD488">
        <v>0.71657314603699307</v>
      </c>
      <c r="GE488">
        <v>0.90702980722078985</v>
      </c>
      <c r="GF488">
        <v>4.3611491757374594</v>
      </c>
      <c r="GG488">
        <v>3.7965343851332478</v>
      </c>
      <c r="GH488">
        <v>0.64441312055873701</v>
      </c>
      <c r="GI488">
        <v>5.275855326713673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0.31887755102040816</v>
      </c>
      <c r="E489" s="97">
        <f>W36</f>
        <v>4.558503093389989</v>
      </c>
      <c r="F489" s="102">
        <f>+D489-D491</f>
        <v>0.31887755102040816</v>
      </c>
      <c r="G489" s="101">
        <f>+D489*E489</f>
        <v>1.4536043027391545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7.8794424019607847</v>
      </c>
      <c r="AO489">
        <v>23.047105697381106</v>
      </c>
      <c r="AP489">
        <v>172.80839371948198</v>
      </c>
      <c r="AQ489">
        <v>21.493849233012035</v>
      </c>
      <c r="AR489">
        <v>21.850676064095513</v>
      </c>
      <c r="AS489">
        <v>251.36713565569087</v>
      </c>
      <c r="AT489" t="e">
        <v>#DIV/0!</v>
      </c>
      <c r="AU489" t="e">
        <v>#DIV/0!</v>
      </c>
      <c r="AV489"/>
      <c r="AW489"/>
      <c r="FY489" s="210">
        <v>484</v>
      </c>
      <c r="FZ489">
        <v>9.5417979104805219</v>
      </c>
      <c r="GA489">
        <v>12.58181479645005</v>
      </c>
      <c r="GB489">
        <v>3.8799779244180055</v>
      </c>
      <c r="GC489">
        <v>0.27929627306733634</v>
      </c>
      <c r="GD489">
        <v>0.80802920734699113</v>
      </c>
      <c r="GE489">
        <v>2.00971036206405</v>
      </c>
      <c r="GF489">
        <v>4.4932710004576739</v>
      </c>
      <c r="GG489">
        <v>3.2444555836467894</v>
      </c>
      <c r="GH489">
        <v>0.17282465026292085</v>
      </c>
      <c r="GI489">
        <v>5.5606397492350892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4.9443796743781689</v>
      </c>
      <c r="I490" s="101">
        <f>+H490*F489</f>
        <v>1.5766516818807936</v>
      </c>
      <c r="J490" s="101">
        <f>+I490*$A$440</f>
        <v>44.146247092662222</v>
      </c>
      <c r="K490" s="61">
        <f>IF(AND(J490&lt;0, J488&lt;0), 0, J490)</f>
        <v>44.146247092662222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9.5162450396825395</v>
      </c>
      <c r="AO490">
        <v>15.621988716652762</v>
      </c>
      <c r="AP490">
        <v>116.96626481687487</v>
      </c>
      <c r="AQ490">
        <v>31.655668730641754</v>
      </c>
      <c r="AR490">
        <v>15.321505957212285</v>
      </c>
      <c r="AS490">
        <v>137.30079294306239</v>
      </c>
      <c r="AT490" t="e">
        <v>#DIV/0!</v>
      </c>
      <c r="AU490" t="e">
        <v>#DIV/0!</v>
      </c>
      <c r="AV490"/>
      <c r="AW490"/>
      <c r="FY490" s="210">
        <v>485</v>
      </c>
      <c r="FZ490">
        <v>4.4254369270572411</v>
      </c>
      <c r="GA490">
        <v>3.5436420867556286</v>
      </c>
      <c r="GB490">
        <v>0.87914357539707089</v>
      </c>
      <c r="GC490">
        <v>0.39464459002711788</v>
      </c>
      <c r="GD490">
        <v>0.53945967763934799</v>
      </c>
      <c r="GE490">
        <v>1.137563531508067</v>
      </c>
      <c r="GF490">
        <v>3.4552602099836562</v>
      </c>
      <c r="GG490">
        <v>2.5027439088398373</v>
      </c>
      <c r="GH490">
        <v>0.3456493005258417</v>
      </c>
      <c r="GI490">
        <v>2.9067260365707228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5.3629206481954421</v>
      </c>
      <c r="F491" s="102">
        <f>+D491-D493</f>
        <v>-0.6377551020408162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10.04141865079365</v>
      </c>
      <c r="AO491">
        <v>21.182289461016836</v>
      </c>
      <c r="AP491">
        <v>156.72948995559099</v>
      </c>
      <c r="AQ491">
        <v>39.835152948524566</v>
      </c>
      <c r="AR491">
        <v>19.694300608406067</v>
      </c>
      <c r="AS491">
        <v>143.02925786220973</v>
      </c>
      <c r="AT491" t="e">
        <v>#DIV/0!</v>
      </c>
      <c r="AU491" t="e">
        <v>#DIV/0!</v>
      </c>
      <c r="AV491"/>
      <c r="AW491"/>
      <c r="FY491" s="210">
        <v>486</v>
      </c>
      <c r="FZ491">
        <v>3.7160330042088141</v>
      </c>
      <c r="GA491">
        <v>5.8397299960430775</v>
      </c>
      <c r="GB491">
        <v>0.87914357539707089</v>
      </c>
      <c r="GC491">
        <v>0.81183896712124715</v>
      </c>
      <c r="GD491">
        <v>1.3296437624366115</v>
      </c>
      <c r="GE491">
        <v>2.4947296209291552</v>
      </c>
      <c r="GF491">
        <v>1.4214179223340162</v>
      </c>
      <c r="GG491">
        <v>0.53077726947010961</v>
      </c>
      <c r="GH491">
        <v>1.3986813064954078</v>
      </c>
      <c r="GI491">
        <v>3.3876369229452026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5.7899291830777004</v>
      </c>
      <c r="I492" s="101">
        <f>+H492*F491</f>
        <v>-3.6925568769628185</v>
      </c>
      <c r="J492" s="101">
        <f>+I492*$A$440</f>
        <v>-103.39159255495892</v>
      </c>
      <c r="K492" s="61">
        <f>IF(AND(J492&lt;0, J490&lt;0), 0, J492)</f>
        <v>-103.39159255495892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9.6259701797385624</v>
      </c>
      <c r="AO492">
        <v>12.316833788736815</v>
      </c>
      <c r="AP492">
        <v>81.770775164145988</v>
      </c>
      <c r="AQ492">
        <v>28.097197705268641</v>
      </c>
      <c r="AR492">
        <v>12.31161968687346</v>
      </c>
      <c r="AS492">
        <v>65.314145995224493</v>
      </c>
      <c r="AT492">
        <v>5.4779434450069369</v>
      </c>
      <c r="AU492">
        <v>9.8610589406335993</v>
      </c>
      <c r="AV492"/>
      <c r="AW492"/>
      <c r="FY492" s="210">
        <v>487</v>
      </c>
      <c r="FZ492">
        <v>3.6884756581104652</v>
      </c>
      <c r="GA492">
        <v>2.6947631952093558</v>
      </c>
      <c r="GB492">
        <v>0.30701565198235187</v>
      </c>
      <c r="GC492">
        <v>0.67550683391847099</v>
      </c>
      <c r="GD492">
        <v>1.1282703970152252</v>
      </c>
      <c r="GE492">
        <v>1.7883319751698603</v>
      </c>
      <c r="GF492">
        <v>2.3035728914989226</v>
      </c>
      <c r="GG492">
        <v>1.7397307020165371</v>
      </c>
      <c r="GH492">
        <v>0.58144353567374973</v>
      </c>
      <c r="GI492">
        <v>3.7232986336630893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0.6377551020408162</v>
      </c>
      <c r="E493" s="97">
        <f>+Y36</f>
        <v>6.2509371561063425</v>
      </c>
      <c r="F493" s="102">
        <f>+D493-D495</f>
        <v>0.31887755102040805</v>
      </c>
      <c r="G493" s="101">
        <f>+D493*E493</f>
        <v>3.9865670638433297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8.0561755952380931</v>
      </c>
      <c r="AO493">
        <v>7.38101541982447</v>
      </c>
      <c r="AP493">
        <v>60.895194388070465</v>
      </c>
      <c r="AQ493">
        <v>25.736796920123858</v>
      </c>
      <c r="AR493">
        <v>7.8041266962345706</v>
      </c>
      <c r="AS493">
        <v>52.077682537303666</v>
      </c>
      <c r="AT493" t="e">
        <v>#DIV/0!</v>
      </c>
      <c r="AU493" t="e">
        <v>#DIV/0!</v>
      </c>
      <c r="AV493"/>
      <c r="AW493"/>
      <c r="FY493" s="210">
        <v>488</v>
      </c>
      <c r="FZ493">
        <v>10.15612165304112</v>
      </c>
      <c r="GA493">
        <v>4.9908511044968051</v>
      </c>
      <c r="GB493">
        <v>0.46164628758346382</v>
      </c>
      <c r="GC493">
        <v>1.1437057518799079</v>
      </c>
      <c r="GD493">
        <v>0.7970556330014863</v>
      </c>
      <c r="GE493">
        <v>0.5769888942231467</v>
      </c>
      <c r="GF493">
        <v>3.8132635908627974</v>
      </c>
      <c r="GG493">
        <v>2.8783726661173508</v>
      </c>
      <c r="GH493">
        <v>0.17282465026292085</v>
      </c>
      <c r="GI493">
        <v>3.0399989278552733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6.7207483195093518</v>
      </c>
      <c r="I494" s="101">
        <f>+H494*F493</f>
        <v>2.1430957651496652</v>
      </c>
      <c r="J494" s="101">
        <f>+I494*$A$440</f>
        <v>60.006681424190624</v>
      </c>
      <c r="K494" s="61">
        <f>IF(AND(J494&lt;0, J492&lt;0), 0, J494)</f>
        <v>60.006681424190624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10.406206232492996</v>
      </c>
      <c r="AO494">
        <v>19.518176585989522</v>
      </c>
      <c r="AP494">
        <v>166.97300620969548</v>
      </c>
      <c r="AQ494">
        <v>31.903353715387865</v>
      </c>
      <c r="AR494">
        <v>18.119058285671414</v>
      </c>
      <c r="AS494">
        <v>125.02060782216199</v>
      </c>
      <c r="AT494">
        <v>12.912896959707297</v>
      </c>
      <c r="AU494">
        <v>72.269434999252553</v>
      </c>
      <c r="AV494"/>
      <c r="AW494"/>
      <c r="FY494" s="210">
        <v>489</v>
      </c>
      <c r="FZ494">
        <v>3.0578881997582497</v>
      </c>
      <c r="GA494">
        <v>15.256158484692049</v>
      </c>
      <c r="GB494">
        <v>5.3201819484058301</v>
      </c>
      <c r="GC494">
        <v>1.1296446968385077</v>
      </c>
      <c r="GD494">
        <v>1.1887674608608001</v>
      </c>
      <c r="GE494">
        <v>1.9671117221678991</v>
      </c>
      <c r="GF494">
        <v>3.1317178178750051</v>
      </c>
      <c r="GG494">
        <v>1.8463449900609596</v>
      </c>
      <c r="GH494">
        <v>0.88020735570664521</v>
      </c>
      <c r="GI494">
        <v>4.1977068126792867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0.31887755102040816</v>
      </c>
      <c r="E495" s="97">
        <f>Z36</f>
        <v>7.2258697929900224</v>
      </c>
      <c r="F495" s="102">
        <f>+D495-D497</f>
        <v>0.31887755102040816</v>
      </c>
      <c r="G495" s="101">
        <f>+D495*E495</f>
        <v>2.3041676635810018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9.7391894257703093</v>
      </c>
      <c r="AO495">
        <v>15.32194712323205</v>
      </c>
      <c r="AP495">
        <v>115.9176210463929</v>
      </c>
      <c r="AQ495">
        <v>23.062253506011206</v>
      </c>
      <c r="AR495">
        <v>15.099048787993148</v>
      </c>
      <c r="AS495">
        <v>76.022256654385785</v>
      </c>
      <c r="AT495" t="e">
        <v>#DIV/0!</v>
      </c>
      <c r="AU495" t="e">
        <v>#DIV/0!</v>
      </c>
      <c r="AV495"/>
      <c r="AW495"/>
      <c r="FY495" s="210">
        <v>490</v>
      </c>
      <c r="FZ495">
        <v>3.1736910136498504</v>
      </c>
      <c r="GA495">
        <v>5.6938682658997468</v>
      </c>
      <c r="GB495">
        <v>2.6019100854946364</v>
      </c>
      <c r="GC495">
        <v>0.8765343083616608</v>
      </c>
      <c r="GD495">
        <v>1.6228987800169308</v>
      </c>
      <c r="GE495">
        <v>3.0185489222825868</v>
      </c>
      <c r="GF495">
        <v>6.0822862909971969</v>
      </c>
      <c r="GG495">
        <v>4.9133991049366212</v>
      </c>
      <c r="GH495">
        <v>0.70738270544372439</v>
      </c>
      <c r="GI495">
        <v>5.4485401615398112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7.7401242010379798</v>
      </c>
      <c r="I496" s="101">
        <f>+H496*F495</f>
        <v>2.4681518498207842</v>
      </c>
      <c r="J496" s="101">
        <f>+I496*$A$440</f>
        <v>69.108251794981953</v>
      </c>
      <c r="K496" s="61">
        <f>IF(AND(J496&lt;0, J494&lt;0), 0, J496)</f>
        <v>69.108251794981953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7.6015624999999982</v>
      </c>
      <c r="AO496">
        <v>15.948164531454495</v>
      </c>
      <c r="AP496">
        <v>119.05889670592464</v>
      </c>
      <c r="AQ496">
        <v>35.629740870830446</v>
      </c>
      <c r="AR496">
        <v>14.804615488851512</v>
      </c>
      <c r="AS496">
        <v>87.945506749320515</v>
      </c>
      <c r="AT496" t="e">
        <v>#DIV/0!</v>
      </c>
      <c r="AU496" t="e">
        <v>#DIV/0!</v>
      </c>
      <c r="AV496"/>
      <c r="AW496"/>
      <c r="FY496" s="210">
        <v>491</v>
      </c>
      <c r="FZ496">
        <v>4.910067698689847</v>
      </c>
      <c r="GA496">
        <v>12.906594662586977</v>
      </c>
      <c r="GB496">
        <v>3.5088658780360915</v>
      </c>
      <c r="GC496">
        <v>0.55920034368131089</v>
      </c>
      <c r="GD496">
        <v>0.75569306750228682</v>
      </c>
      <c r="GE496">
        <v>1.7984691596703319</v>
      </c>
      <c r="GF496">
        <v>3.8855509140027076</v>
      </c>
      <c r="GG496">
        <v>2.4324324403942232</v>
      </c>
      <c r="GH496">
        <v>0.75426818593667067</v>
      </c>
      <c r="GI496">
        <v>3.6929784445874496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8.2909773305925594</v>
      </c>
      <c r="F497" s="102">
        <f>+D497-D499</f>
        <v>-0.42517006802721086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7.5295138888888902</v>
      </c>
      <c r="AO497">
        <v>15.941647262691831</v>
      </c>
      <c r="AP497">
        <v>134.37442563016765</v>
      </c>
      <c r="AQ497">
        <v>29.584231305062257</v>
      </c>
      <c r="AR497">
        <v>15.188650148611336</v>
      </c>
      <c r="AS497">
        <v>78.64785590915335</v>
      </c>
      <c r="AT497" t="e">
        <v>#DIV/0!</v>
      </c>
      <c r="AU497" t="e">
        <v>#DIV/0!</v>
      </c>
      <c r="AV497"/>
      <c r="AW497"/>
      <c r="FY497" s="210">
        <v>492</v>
      </c>
      <c r="FZ497">
        <v>13.641309781544503</v>
      </c>
      <c r="GA497">
        <v>18.495757409590155</v>
      </c>
      <c r="GB497">
        <v>4.0333979117714946</v>
      </c>
      <c r="GC497">
        <v>0.83906252511759982</v>
      </c>
      <c r="GD497">
        <v>0.9851698719560773</v>
      </c>
      <c r="GE497">
        <v>1.6982110456951336</v>
      </c>
      <c r="GF497">
        <v>4.3348583459128349</v>
      </c>
      <c r="GG497">
        <v>2.9972183587111387</v>
      </c>
      <c r="GH497">
        <v>0.3456493005258417</v>
      </c>
      <c r="GI497">
        <v>5.798027520887298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8.8512876571440255</v>
      </c>
      <c r="I498" s="101">
        <f>+H498*F497</f>
        <v>-3.7633025753163372</v>
      </c>
      <c r="J498" s="101">
        <f>+I498*$A$440</f>
        <v>-105.37247210885744</v>
      </c>
      <c r="K498" s="61">
        <f>IF(AND(J498&lt;0, J496&lt;0), 0, J498)</f>
        <v>-105.37247210885744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12.776413690476193</v>
      </c>
      <c r="AO498">
        <v>14.015373467703958</v>
      </c>
      <c r="AP498">
        <v>125.59632643304616</v>
      </c>
      <c r="AQ498">
        <v>43.278409937558457</v>
      </c>
      <c r="AR498">
        <v>13.503479057284926</v>
      </c>
      <c r="AS498">
        <v>82.871557558700118</v>
      </c>
      <c r="AT498" t="e">
        <v>#DIV/0!</v>
      </c>
      <c r="AU498" t="e">
        <v>#DIV/0!</v>
      </c>
      <c r="AV498"/>
      <c r="AW498"/>
      <c r="FY498" s="210">
        <v>493</v>
      </c>
      <c r="FZ498">
        <v>5.7465680657366089</v>
      </c>
      <c r="GA498">
        <v>10.579696654187938</v>
      </c>
      <c r="GB498">
        <v>2.2293457308874904</v>
      </c>
      <c r="GC498">
        <v>0.63382995597229197</v>
      </c>
      <c r="GD498">
        <v>0.60280607568710343</v>
      </c>
      <c r="GE498">
        <v>0.8823809505398672</v>
      </c>
      <c r="GF498">
        <v>2.1319714656058721</v>
      </c>
      <c r="GG498">
        <v>1.6113391696746744</v>
      </c>
      <c r="GH498">
        <v>0.40861888541082891</v>
      </c>
      <c r="GI498">
        <v>3.0705753417403732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0.42517006802721086</v>
      </c>
      <c r="E499" s="97">
        <f>AB36</f>
        <v>9.4494641663567052</v>
      </c>
      <c r="F499" s="102">
        <f>+D499-D501</f>
        <v>0.42517006802721086</v>
      </c>
      <c r="G499" s="101">
        <f>+D499*E499</f>
        <v>4.0176293224305715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13.220092203548083</v>
      </c>
      <c r="AO499">
        <v>15.96250186150418</v>
      </c>
      <c r="AP499">
        <v>136.47520035896599</v>
      </c>
      <c r="AQ499">
        <v>50.517893336103896</v>
      </c>
      <c r="AR499">
        <v>15.801454420881987</v>
      </c>
      <c r="AS499">
        <v>98.698038563694524</v>
      </c>
      <c r="AT499">
        <v>6.4525205401287193</v>
      </c>
      <c r="AU499">
        <v>-8.6758903078915495</v>
      </c>
      <c r="AV499"/>
      <c r="AW499"/>
      <c r="FY499" s="210">
        <v>494</v>
      </c>
      <c r="FZ499">
        <v>7.9803906568714869</v>
      </c>
      <c r="GA499">
        <v>10.559277147220579</v>
      </c>
      <c r="GB499">
        <v>3.2391719519037303</v>
      </c>
      <c r="GC499">
        <v>1.1997564496474293</v>
      </c>
      <c r="GD499">
        <v>1.0828807276158139</v>
      </c>
      <c r="GE499">
        <v>1.001989350565224</v>
      </c>
      <c r="GF499">
        <v>3.237771342710742</v>
      </c>
      <c r="GG499">
        <v>2.2555066839041871</v>
      </c>
      <c r="GH499">
        <v>0.51847395078876257</v>
      </c>
      <c r="GI499">
        <v>4.5000773092003472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10.057417010472443</v>
      </c>
      <c r="I500" s="101">
        <f>+H500*F499</f>
        <v>4.2761126745205962</v>
      </c>
      <c r="J500" s="101">
        <f>+I500*$A$440</f>
        <v>119.73115488657669</v>
      </c>
      <c r="K500" s="61">
        <f>IF(AND(J500&lt;0, J498&lt;0), 0, J500)</f>
        <v>119.73115488657669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12.824258870214752</v>
      </c>
      <c r="AO500">
        <v>28.079178346207886</v>
      </c>
      <c r="AP500">
        <v>250.18011203506276</v>
      </c>
      <c r="AQ500">
        <v>42.571817457429425</v>
      </c>
      <c r="AR500">
        <v>27.398313900011097</v>
      </c>
      <c r="AS500">
        <v>134.02753202104984</v>
      </c>
      <c r="AT500">
        <v>17.280311051985763</v>
      </c>
      <c r="AU500">
        <v>12.004122290473886</v>
      </c>
      <c r="AV500"/>
      <c r="AW500"/>
      <c r="FY500" s="210">
        <v>495</v>
      </c>
      <c r="FZ500">
        <v>9.0865602595981514</v>
      </c>
      <c r="GA500">
        <v>4.4440677816928957</v>
      </c>
      <c r="GB500">
        <v>0.22209803645304543</v>
      </c>
      <c r="GC500">
        <v>0.47035067609196035</v>
      </c>
      <c r="GD500">
        <v>0.90430237727640561</v>
      </c>
      <c r="GE500">
        <v>1.2210464969740926</v>
      </c>
      <c r="GF500">
        <v>3.6542933917174185</v>
      </c>
      <c r="GG500">
        <v>3.6196086286432112</v>
      </c>
      <c r="GH500">
        <v>0.58144353567374973</v>
      </c>
      <c r="GI500">
        <v>3.9727423936614512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10.70448388837481</v>
      </c>
      <c r="F501" s="102">
        <f>+D501-D503</f>
        <v>-0.10629251700680271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8.8081159547152179</v>
      </c>
      <c r="AO501">
        <v>22.064655773993049</v>
      </c>
      <c r="AP501">
        <v>154.86906556798181</v>
      </c>
      <c r="AQ501">
        <v>20.130269844304532</v>
      </c>
      <c r="AR501">
        <v>21.01449258556265</v>
      </c>
      <c r="AS501">
        <v>136.76123315001732</v>
      </c>
      <c r="AT501">
        <v>12.535389961278844</v>
      </c>
      <c r="AU501">
        <v>-61.874336541329768</v>
      </c>
      <c r="AV501"/>
      <c r="AW501"/>
      <c r="FY501" s="210">
        <v>496</v>
      </c>
      <c r="FZ501">
        <v>3.6583217852824563</v>
      </c>
      <c r="GA501">
        <v>8.9642772899094414</v>
      </c>
      <c r="GB501">
        <v>2.7427224511612422</v>
      </c>
      <c r="GC501">
        <v>1.173257800276998</v>
      </c>
      <c r="GD501">
        <v>1.1625294144037908</v>
      </c>
      <c r="GE501">
        <v>1.76878528324828</v>
      </c>
      <c r="GF501">
        <v>4.6708198236586647</v>
      </c>
      <c r="GG501">
        <v>3.1741441152011753</v>
      </c>
      <c r="GH501">
        <v>0.40861888541082891</v>
      </c>
      <c r="GI501">
        <v>3.4993983651745117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11.361641432867446</v>
      </c>
      <c r="I502" s="101">
        <f>+H502*F501</f>
        <v>-1.2076574652282572</v>
      </c>
      <c r="J502" s="101">
        <f>+I502*$A$440</f>
        <v>-33.814409026391203</v>
      </c>
      <c r="K502" s="61">
        <f>IF(AND(J502&lt;0, J500&lt;0), 0, J502)</f>
        <v>-33.814409026391203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12.024466036414566</v>
      </c>
      <c r="AO502">
        <v>21.01387178810241</v>
      </c>
      <c r="AP502">
        <v>149.75034103672687</v>
      </c>
      <c r="AQ502">
        <v>21.809632347380713</v>
      </c>
      <c r="AR502">
        <v>19.54391311430583</v>
      </c>
      <c r="AS502">
        <v>193.39984197735814</v>
      </c>
      <c r="AT502" t="e">
        <v>#DIV/0!</v>
      </c>
      <c r="AU502" t="e">
        <v>#DIV/0!</v>
      </c>
      <c r="AV502"/>
      <c r="AW502"/>
      <c r="FY502" s="210">
        <v>497</v>
      </c>
      <c r="FZ502">
        <v>7.1555642961703434</v>
      </c>
      <c r="GA502">
        <v>15.026010742619505</v>
      </c>
      <c r="GB502">
        <v>3.9346620263076826</v>
      </c>
      <c r="GC502">
        <v>1.7877839330999081</v>
      </c>
      <c r="GD502">
        <v>2.3228215585139966</v>
      </c>
      <c r="GE502">
        <v>2.9418612875954131</v>
      </c>
      <c r="GF502">
        <v>3.7642617716466651</v>
      </c>
      <c r="GG502">
        <v>2.8565954218199106</v>
      </c>
      <c r="GH502">
        <v>0.64441312055873701</v>
      </c>
      <c r="GI502">
        <v>6.7459121832351929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0.10629251700680271</v>
      </c>
      <c r="E503" s="97">
        <f>+AD36</f>
        <v>12.05914244863688</v>
      </c>
      <c r="F503" s="102">
        <f>+D503-D505</f>
        <v>0.10629251700680271</v>
      </c>
      <c r="G503" s="101">
        <f>+D503*E503</f>
        <v>1.2817966038091921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7.9967320261437909</v>
      </c>
      <c r="AO503">
        <v>21.03414662249093</v>
      </c>
      <c r="AP503">
        <v>116.07316592332701</v>
      </c>
      <c r="AQ503">
        <v>18.630409474258027</v>
      </c>
      <c r="AR503">
        <v>19.653497871578594</v>
      </c>
      <c r="AS503">
        <v>177.66136547449457</v>
      </c>
      <c r="AT503">
        <v>8.5215110972011647</v>
      </c>
      <c r="AU503">
        <v>-51.166261436166721</v>
      </c>
      <c r="AV503"/>
      <c r="AW503"/>
      <c r="FY503" s="210">
        <v>498</v>
      </c>
      <c r="FZ503">
        <v>0.88215720358861527</v>
      </c>
      <c r="GA503">
        <v>1.3729964006441531</v>
      </c>
      <c r="GB503">
        <v>0.44661736940133573</v>
      </c>
      <c r="GC503">
        <v>1.208049527972382</v>
      </c>
      <c r="GD503">
        <v>1.007652780890637</v>
      </c>
      <c r="GE503">
        <v>0.60854512991188048</v>
      </c>
      <c r="GF503">
        <v>3.7311562037264494</v>
      </c>
      <c r="GG503">
        <v>3.3723714037075605</v>
      </c>
      <c r="GH503">
        <v>0.23579423514790807</v>
      </c>
      <c r="GI503">
        <v>2.2123698778896657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12.767043941625474</v>
      </c>
      <c r="I504" s="101">
        <f>+H504*F503</f>
        <v>1.3570412352918233</v>
      </c>
      <c r="J504" s="101">
        <f>+I504*$A$440</f>
        <v>37.99715458817105</v>
      </c>
      <c r="K504" s="61">
        <f>IF(AND(J504&lt;0, J502&lt;0), 0, J504)</f>
        <v>37.99715458817105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8.0027062908496696</v>
      </c>
      <c r="AO504">
        <v>11.963212458536503</v>
      </c>
      <c r="AP504">
        <v>91.468510642091161</v>
      </c>
      <c r="AQ504">
        <v>28.03082915932427</v>
      </c>
      <c r="AR504">
        <v>12.036391297899028</v>
      </c>
      <c r="AS504">
        <v>58.681068030105507</v>
      </c>
      <c r="AT504">
        <v>7.5890364805817017</v>
      </c>
      <c r="AU504">
        <v>56.035084410432631</v>
      </c>
      <c r="AV504"/>
      <c r="AW504"/>
      <c r="FY504" s="210">
        <v>499</v>
      </c>
      <c r="FZ504">
        <v>1.3094571323337481</v>
      </c>
      <c r="GA504">
        <v>9.6361856385772828</v>
      </c>
      <c r="GB504">
        <v>3.5973275996705789</v>
      </c>
      <c r="GC504">
        <v>0.33976759817518759</v>
      </c>
      <c r="GD504">
        <v>0.14221597735183847</v>
      </c>
      <c r="GE504">
        <v>1.0254750670128878</v>
      </c>
      <c r="GF504">
        <v>6.0140367614672563</v>
      </c>
      <c r="GG504">
        <v>4.1353846105308607</v>
      </c>
      <c r="GH504">
        <v>0.51847395078876257</v>
      </c>
      <c r="GI504">
        <v>3.4063131999093867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13.516501003420878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13.676937441643322</v>
      </c>
      <c r="AO505">
        <v>17.315175433578027</v>
      </c>
      <c r="AP505">
        <v>142.66221256224617</v>
      </c>
      <c r="AQ505">
        <v>37.975729489045236</v>
      </c>
      <c r="AR505">
        <v>15.989993798007719</v>
      </c>
      <c r="AS505">
        <v>90.205629291425794</v>
      </c>
      <c r="AT505" t="e">
        <v>#DIV/0!</v>
      </c>
      <c r="AU505" t="e">
        <v>#DIV/0!</v>
      </c>
      <c r="AV505"/>
      <c r="AW505"/>
      <c r="FY505" s="210">
        <v>500</v>
      </c>
      <c r="FZ505">
        <v>9.5138601883432852</v>
      </c>
      <c r="GA505">
        <v>15.632466670531434</v>
      </c>
      <c r="GB505">
        <v>5.1189903940976524</v>
      </c>
      <c r="GC505">
        <v>0.39464459002711794</v>
      </c>
      <c r="GD505">
        <v>0.68279787357787391</v>
      </c>
      <c r="GE505">
        <v>1.752385733857702</v>
      </c>
      <c r="GF505">
        <v>2.3996834138217613</v>
      </c>
      <c r="GG505">
        <v>1.5410277012290603</v>
      </c>
      <c r="GH505">
        <v>0.47158847029581613</v>
      </c>
      <c r="GI505">
        <v>4.6268310124421479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14.276664088742679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10.505208333333332</v>
      </c>
      <c r="AO506">
        <v>14.18281027804297</v>
      </c>
      <c r="AP506">
        <v>95.360654708510054</v>
      </c>
      <c r="AQ506">
        <v>34.139059638622768</v>
      </c>
      <c r="AR506">
        <v>13.590295248437792</v>
      </c>
      <c r="AS506">
        <v>75.391744905753043</v>
      </c>
      <c r="AT506" t="e">
        <v>#DIV/0!</v>
      </c>
      <c r="AU506" t="e">
        <v>#DIV/0!</v>
      </c>
      <c r="AV506"/>
      <c r="AW506"/>
      <c r="FY506" s="210">
        <v>501</v>
      </c>
      <c r="FZ506">
        <v>3.997756622273223</v>
      </c>
      <c r="GA506">
        <v>8.9846967968768006</v>
      </c>
      <c r="GB506">
        <v>1.3664417219201699</v>
      </c>
      <c r="GC506">
        <v>0.62780574685714596</v>
      </c>
      <c r="GD506">
        <v>1.0400099164105439</v>
      </c>
      <c r="GE506">
        <v>1.7831332801250035</v>
      </c>
      <c r="GF506">
        <v>5.3313589293466546</v>
      </c>
      <c r="GG506">
        <v>4.4897118357920256</v>
      </c>
      <c r="GH506">
        <v>0.75426818593667067</v>
      </c>
      <c r="GI506">
        <v>5.0337306636260468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15.079578468659118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12.969428396358543</v>
      </c>
      <c r="AO507">
        <v>11.245623625262144</v>
      </c>
      <c r="AP507">
        <v>88.884624683927896</v>
      </c>
      <c r="AQ507">
        <v>35.204120795087896</v>
      </c>
      <c r="AR507">
        <v>10.50301001563453</v>
      </c>
      <c r="AS507">
        <v>66.585213539179961</v>
      </c>
      <c r="AT507">
        <v>4.6853298541930455</v>
      </c>
      <c r="AU507">
        <v>-34.609969543292692</v>
      </c>
      <c r="AV507"/>
      <c r="AW507"/>
      <c r="FY507" s="210">
        <v>502</v>
      </c>
      <c r="FZ507">
        <v>9.5711910312307573</v>
      </c>
      <c r="GA507">
        <v>29.336710618585737</v>
      </c>
      <c r="GB507">
        <v>8.8117707114173598</v>
      </c>
      <c r="GC507">
        <v>1.1691698166541633</v>
      </c>
      <c r="GD507">
        <v>0.99340971279705603</v>
      </c>
      <c r="GE507">
        <v>1.1373667204387472</v>
      </c>
      <c r="GF507">
        <v>4.5442861061753046</v>
      </c>
      <c r="GG507">
        <v>3.3142913398113123</v>
      </c>
      <c r="GH507">
        <v>0.3456493005258417</v>
      </c>
      <c r="GI507">
        <v>6.052837620469063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15.893500386283245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14.069400676937439</v>
      </c>
      <c r="AO508">
        <v>28.046116501520988</v>
      </c>
      <c r="AP508">
        <v>246.83482945939556</v>
      </c>
      <c r="AQ508">
        <v>53.16866207171207</v>
      </c>
      <c r="AR508">
        <v>27.00034248725736</v>
      </c>
      <c r="AS508">
        <v>116.20811810506811</v>
      </c>
      <c r="AT508">
        <v>15.986383788395363</v>
      </c>
      <c r="AU508">
        <v>-72.453704391435267</v>
      </c>
      <c r="AV508"/>
      <c r="AW508"/>
      <c r="FY508" s="210">
        <v>503</v>
      </c>
      <c r="FZ508">
        <v>7.6401950678029493</v>
      </c>
      <c r="GA508">
        <v>19.25032137438409</v>
      </c>
      <c r="GB508">
        <v>5.1887912528071443</v>
      </c>
      <c r="GC508">
        <v>1.0970423382244461</v>
      </c>
      <c r="GD508">
        <v>0.90155359653034872</v>
      </c>
      <c r="GE508">
        <v>0.65157753828112375</v>
      </c>
      <c r="GF508">
        <v>4.3212983342595681</v>
      </c>
      <c r="GG508">
        <v>4.1721631424107617</v>
      </c>
      <c r="GH508">
        <v>0.64441312055873701</v>
      </c>
      <c r="GI508">
        <v>4.884372028220592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16.751353829537599</v>
      </c>
      <c r="F509" s="102">
        <f>+D509-D511</f>
        <v>-0.10629251700680271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7.3809304971988805</v>
      </c>
      <c r="AO509">
        <v>11.897938480032167</v>
      </c>
      <c r="AP509">
        <v>114.14729531366532</v>
      </c>
      <c r="AQ509">
        <v>27.897132295443047</v>
      </c>
      <c r="AR509">
        <v>11.48951614278759</v>
      </c>
      <c r="AS509">
        <v>101.75263412360046</v>
      </c>
      <c r="AT509">
        <v>5.6838562402253787</v>
      </c>
      <c r="AU509">
        <v>-8.4060795389861127</v>
      </c>
      <c r="AV509"/>
      <c r="AW509"/>
      <c r="FY509" s="210">
        <v>504</v>
      </c>
      <c r="FZ509">
        <v>8.747125422607386</v>
      </c>
      <c r="GA509">
        <v>3.2704090240096959</v>
      </c>
      <c r="GB509">
        <v>0.137180420923739</v>
      </c>
      <c r="GC509">
        <v>0.70402120890969788</v>
      </c>
      <c r="GD509">
        <v>1.1362319998977828</v>
      </c>
      <c r="GE509">
        <v>2.1172097479342442</v>
      </c>
      <c r="GF509">
        <v>1.190269451984149</v>
      </c>
      <c r="GG509">
        <v>0</v>
      </c>
      <c r="GH509">
        <v>0.17282465026292085</v>
      </c>
      <c r="GI509">
        <v>3.1722483424495262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17.620512503429815</v>
      </c>
      <c r="I510" s="101">
        <f>+H510*F509</f>
        <v>-1.8729286249393935</v>
      </c>
      <c r="J510" s="101">
        <f>+I510*$A$440</f>
        <v>-52.442001498303014</v>
      </c>
      <c r="K510" s="61">
        <f>IF(AND(J510&lt;0, J508&lt;0), 0, J510)</f>
        <v>-52.442001498303014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10.040236928104573</v>
      </c>
      <c r="AO510">
        <v>24.060934388067487</v>
      </c>
      <c r="AP510">
        <v>202.56238037922384</v>
      </c>
      <c r="AQ510">
        <v>35.575295570428302</v>
      </c>
      <c r="AR510">
        <v>23.295187419569977</v>
      </c>
      <c r="AS510">
        <v>90.352134948243645</v>
      </c>
      <c r="AT510">
        <v>14.104806666534195</v>
      </c>
      <c r="AU510">
        <v>-164.75476438156079</v>
      </c>
      <c r="AV510"/>
      <c r="AW510"/>
      <c r="FY510" s="210">
        <v>505</v>
      </c>
      <c r="FZ510">
        <v>7.0978530772439861</v>
      </c>
      <c r="GA510">
        <v>7.1614967906082807</v>
      </c>
      <c r="GB510">
        <v>0.93149421942918975</v>
      </c>
      <c r="GC510">
        <v>0.68547990533703673</v>
      </c>
      <c r="GD510">
        <v>0.92726570117578688</v>
      </c>
      <c r="GE510">
        <v>1.0873450804958309</v>
      </c>
      <c r="GF510">
        <v>3.8538841180517212</v>
      </c>
      <c r="GG510">
        <v>3.7480001609850739</v>
      </c>
      <c r="GH510">
        <v>0.58144353567374973</v>
      </c>
      <c r="GI510">
        <v>4.2573950319176426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0.10629251700680271</v>
      </c>
      <c r="E511" s="97">
        <f>+AH36</f>
        <v>18.534768236824771</v>
      </c>
      <c r="F511" s="102">
        <f>+D511-D513</f>
        <v>0</v>
      </c>
      <c r="G511" s="101">
        <f>+D511*E511</f>
        <v>1.9701071680298436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10.048319327731095</v>
      </c>
      <c r="AO511">
        <v>10.747357783895648</v>
      </c>
      <c r="AP511">
        <v>76.574273765285596</v>
      </c>
      <c r="AQ511">
        <v>28.17651357778238</v>
      </c>
      <c r="AR511">
        <v>10.922183533377035</v>
      </c>
      <c r="AS511">
        <v>67.771978456770142</v>
      </c>
      <c r="AT511" t="e">
        <v>#DIV/0!</v>
      </c>
      <c r="AU511" t="e">
        <v>#DIV/0!</v>
      </c>
      <c r="AV511"/>
      <c r="AW511"/>
      <c r="FY511" s="210">
        <v>506</v>
      </c>
      <c r="FZ511">
        <v>3.6583217852824563</v>
      </c>
      <c r="GA511">
        <v>14.857483198770142</v>
      </c>
      <c r="GB511">
        <v>4.9957160817461048</v>
      </c>
      <c r="GC511">
        <v>0.56514505266797244</v>
      </c>
      <c r="GD511">
        <v>0.99860731711166162</v>
      </c>
      <c r="GE511">
        <v>2.1107358644271703</v>
      </c>
      <c r="GF511">
        <v>6.1408916719965294</v>
      </c>
      <c r="GG511">
        <v>4.6879391242984099</v>
      </c>
      <c r="GH511">
        <v>0.75426818593667067</v>
      </c>
      <c r="GI511">
        <v>5.2769825843850233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19.460623264783074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11.658708274976657</v>
      </c>
      <c r="AO512">
        <v>16.657597117762247</v>
      </c>
      <c r="AP512">
        <v>120.942812220245</v>
      </c>
      <c r="AQ512">
        <v>31.222875213727391</v>
      </c>
      <c r="AR512">
        <v>15.449348083924287</v>
      </c>
      <c r="AS512">
        <v>80.998078477693326</v>
      </c>
      <c r="AT512">
        <v>7.6484707247021122</v>
      </c>
      <c r="AU512">
        <v>19.397694886879204</v>
      </c>
      <c r="AV512"/>
      <c r="AW512"/>
      <c r="FY512" s="210">
        <v>507</v>
      </c>
      <c r="FZ512">
        <v>0.11542243785271598</v>
      </c>
      <c r="GA512">
        <v>8.263189237933128</v>
      </c>
      <c r="GB512">
        <v>3.3625341028929636</v>
      </c>
      <c r="GC512">
        <v>1.3969521728664827</v>
      </c>
      <c r="GD512">
        <v>1.9631525890155244</v>
      </c>
      <c r="GE512">
        <v>2.1015399755017312</v>
      </c>
      <c r="GF512">
        <v>0.33564129272906484</v>
      </c>
      <c r="GG512">
        <v>0.24723722493565062</v>
      </c>
      <c r="GH512">
        <v>0.17282465026292085</v>
      </c>
      <c r="GI512">
        <v>4.0932281952128209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0.10629251700680271</v>
      </c>
      <c r="E513" s="97">
        <f>AI36</f>
        <v>20.432726917048022</v>
      </c>
      <c r="F513" s="102">
        <f>+D513-D515</f>
        <v>0.10629251700680271</v>
      </c>
      <c r="G513" s="101">
        <f>+D513*E513</f>
        <v>2.1718459733256825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13.497497957516339</v>
      </c>
      <c r="AO513">
        <v>16.732505129292925</v>
      </c>
      <c r="AP513">
        <v>118.94919145657084</v>
      </c>
      <c r="AQ513">
        <v>47.179886341567354</v>
      </c>
      <c r="AR513">
        <v>15.946145225764576</v>
      </c>
      <c r="AS513">
        <v>89.480638575045816</v>
      </c>
      <c r="AT513">
        <v>7.2990913604647316</v>
      </c>
      <c r="AU513">
        <v>-17.431546936820965</v>
      </c>
      <c r="AV513"/>
      <c r="AW513"/>
      <c r="FY513" s="210">
        <v>508</v>
      </c>
      <c r="FZ513">
        <v>8.6894142036810287</v>
      </c>
      <c r="GA513">
        <v>5.6403923530821247</v>
      </c>
      <c r="GB513">
        <v>0.84899790039512824</v>
      </c>
      <c r="GC513">
        <v>0.52917961905699773</v>
      </c>
      <c r="GD513">
        <v>0.71278222249733436</v>
      </c>
      <c r="GE513">
        <v>2.1340992066046165</v>
      </c>
      <c r="GF513">
        <v>6.8115041631673137</v>
      </c>
      <c r="GG513">
        <v>4.6879391242984099</v>
      </c>
      <c r="GH513">
        <v>0.23579423514790807</v>
      </c>
      <c r="GI513">
        <v>4.2799320424513798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21.416720474681526</v>
      </c>
      <c r="I514" s="101">
        <f>+H514*F513</f>
        <v>2.276437125285026</v>
      </c>
      <c r="J514" s="101">
        <f>+I514*$A$440</f>
        <v>63.740239507980725</v>
      </c>
      <c r="K514" s="61">
        <f>IF(AND(J514&lt;0, J512&lt;0), 0, J514)</f>
        <v>63.740239507980725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9.0518353174603163</v>
      </c>
      <c r="AO514">
        <v>11.505271227329947</v>
      </c>
      <c r="AP514">
        <v>81.664609087700427</v>
      </c>
      <c r="AQ514">
        <v>15.077710132880588</v>
      </c>
      <c r="AR514">
        <v>10.660285990977634</v>
      </c>
      <c r="AS514">
        <v>122.64734669898681</v>
      </c>
      <c r="AT514" t="e">
        <v>#DIV/0!</v>
      </c>
      <c r="AU514" t="e">
        <v>#DIV/0!</v>
      </c>
      <c r="AV514"/>
      <c r="AW514"/>
      <c r="FY514" s="210">
        <v>509</v>
      </c>
      <c r="FZ514">
        <v>8.1255865915133256</v>
      </c>
      <c r="GA514">
        <v>10.68471937039655</v>
      </c>
      <c r="GB514">
        <v>2.7681133718103821</v>
      </c>
      <c r="GC514">
        <v>0.51181202139992732</v>
      </c>
      <c r="GD514">
        <v>0.83452735569139525</v>
      </c>
      <c r="GE514">
        <v>1.9923057173806187</v>
      </c>
      <c r="GF514">
        <v>4.7697245388010074</v>
      </c>
      <c r="GG514">
        <v>3.3025356475430381</v>
      </c>
      <c r="GH514">
        <v>0.58144353567374973</v>
      </c>
      <c r="GI514">
        <v>4.1801429298782731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22.448100919312303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9.2214125233426714</v>
      </c>
      <c r="AO515">
        <v>11.281578011369515</v>
      </c>
      <c r="AP515">
        <v>99.786342952618114</v>
      </c>
      <c r="AQ515">
        <v>30.12463753581779</v>
      </c>
      <c r="AR515">
        <v>10.474621285817745</v>
      </c>
      <c r="AS515">
        <v>60.51157715012031</v>
      </c>
      <c r="AT515">
        <v>7.6945950294091476</v>
      </c>
      <c r="AU515">
        <v>-118.28097003765851</v>
      </c>
      <c r="AV515"/>
      <c r="AW515"/>
      <c r="FY515" s="210">
        <v>510</v>
      </c>
      <c r="FZ515">
        <v>5.4946179444613241</v>
      </c>
      <c r="GA515">
        <v>9.3321424767197563</v>
      </c>
      <c r="GB515">
        <v>1.4326106358867945</v>
      </c>
      <c r="GC515">
        <v>0.29052255052997727</v>
      </c>
      <c r="GD515">
        <v>0.16100500772866927</v>
      </c>
      <c r="GE515">
        <v>0.26441079526343347</v>
      </c>
      <c r="GF515">
        <v>3.3147233573138055</v>
      </c>
      <c r="GG515">
        <v>2.8783726661173508</v>
      </c>
      <c r="GH515">
        <v>0.17282465026292085</v>
      </c>
      <c r="GI515">
        <v>2.5811349083946862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23.491658588439339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11.988219246031745</v>
      </c>
      <c r="AO516">
        <v>16.290465322553068</v>
      </c>
      <c r="AP516">
        <v>130.91536649625999</v>
      </c>
      <c r="AQ516">
        <v>42.134276048223846</v>
      </c>
      <c r="AR516">
        <v>16.012023470640834</v>
      </c>
      <c r="AS516">
        <v>91.154461358611741</v>
      </c>
      <c r="AT516" t="e">
        <v>#DIV/0!</v>
      </c>
      <c r="AU516" t="e">
        <v>#DIV/0!</v>
      </c>
      <c r="AV516"/>
      <c r="AW516"/>
      <c r="FY516" s="210">
        <v>511</v>
      </c>
      <c r="FZ516">
        <v>7.0861790708983659</v>
      </c>
      <c r="GA516">
        <v>11.334260618981871</v>
      </c>
      <c r="GB516">
        <v>3.4147969082873963</v>
      </c>
      <c r="GC516">
        <v>1.3104508746154231</v>
      </c>
      <c r="GD516">
        <v>1.0507536539320796</v>
      </c>
      <c r="GE516">
        <v>1.1706319130627914</v>
      </c>
      <c r="GF516">
        <v>2.4024999457048883</v>
      </c>
      <c r="GG516">
        <v>1.3641019447390237</v>
      </c>
      <c r="GH516">
        <v>0.75426818593667067</v>
      </c>
      <c r="GI516">
        <v>4.5967050153388174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24.583728718050597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13.403456174136323</v>
      </c>
      <c r="AO517">
        <v>24.212885777772819</v>
      </c>
      <c r="AP517">
        <v>170.29009533768868</v>
      </c>
      <c r="AQ517">
        <v>33.40891369916428</v>
      </c>
      <c r="AR517">
        <v>22.483984432823576</v>
      </c>
      <c r="AS517">
        <v>106.49966128859958</v>
      </c>
      <c r="AT517">
        <v>10.800271694973345</v>
      </c>
      <c r="AU517">
        <v>11.34022848240574</v>
      </c>
      <c r="AV517"/>
      <c r="AW517"/>
      <c r="FY517" s="210">
        <v>512</v>
      </c>
      <c r="FZ517">
        <v>5.5316065297839057</v>
      </c>
      <c r="GA517">
        <v>8.8161692530274394</v>
      </c>
      <c r="GB517">
        <v>2.7566285597334348</v>
      </c>
      <c r="GC517">
        <v>0.41946324630393605</v>
      </c>
      <c r="GD517">
        <v>0.74713496283240932</v>
      </c>
      <c r="GE517">
        <v>1.7258498103624489</v>
      </c>
      <c r="GF517">
        <v>2.5860853688078524</v>
      </c>
      <c r="GG517">
        <v>1.4344134131846378</v>
      </c>
      <c r="GH517">
        <v>0.3456493005258417</v>
      </c>
      <c r="GI517">
        <v>4.2237407712982513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24.583728718050597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17.256404645191406</v>
      </c>
      <c r="AO518">
        <v>18.215570467565794</v>
      </c>
      <c r="AP518">
        <v>185.96124612417825</v>
      </c>
      <c r="AQ518">
        <v>65.276682978105342</v>
      </c>
      <c r="AR518">
        <v>17.343300676330514</v>
      </c>
      <c r="AS518">
        <v>113.08422091176907</v>
      </c>
      <c r="AT518">
        <v>10.435363732259164</v>
      </c>
      <c r="AU518">
        <v>-86.646416300929928</v>
      </c>
      <c r="AV518"/>
      <c r="AW518"/>
      <c r="FY518" s="210">
        <v>513</v>
      </c>
      <c r="FZ518">
        <v>9.0077437951019412</v>
      </c>
      <c r="GA518">
        <v>7.9364802623695745</v>
      </c>
      <c r="GB518">
        <v>0.79664725636300937</v>
      </c>
      <c r="GC518">
        <v>1.297816669078625</v>
      </c>
      <c r="GD518">
        <v>1.973221363586555</v>
      </c>
      <c r="GE518">
        <v>2.9391798337093999</v>
      </c>
      <c r="GF518">
        <v>3.0786782050489032</v>
      </c>
      <c r="GG518">
        <v>2.1638936834422244</v>
      </c>
      <c r="GH518">
        <v>0.47158847029581613</v>
      </c>
      <c r="GI518">
        <v>4.4395179632850175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11.586659663865545</v>
      </c>
      <c r="AO519">
        <v>17.591210062624285</v>
      </c>
      <c r="AP519">
        <v>163.78981052847564</v>
      </c>
      <c r="AQ519">
        <v>48.751727793479759</v>
      </c>
      <c r="AR519">
        <v>16.329941376235446</v>
      </c>
      <c r="AS519">
        <v>93.957407018450184</v>
      </c>
      <c r="AT519">
        <v>7.4850867646232713</v>
      </c>
      <c r="AU519">
        <v>16.691959163937931</v>
      </c>
      <c r="AV519"/>
      <c r="AW519"/>
      <c r="FY519" s="210">
        <v>514</v>
      </c>
      <c r="FZ519">
        <v>5.7465680657366089</v>
      </c>
      <c r="GA519">
        <v>17.227466527842569</v>
      </c>
      <c r="GB519">
        <v>5.9794731065697277</v>
      </c>
      <c r="GC519">
        <v>0.37735649249853204</v>
      </c>
      <c r="GD519">
        <v>0.35008129058139004</v>
      </c>
      <c r="GE519">
        <v>1.4053588319041732</v>
      </c>
      <c r="GF519">
        <v>2.9436402570218752</v>
      </c>
      <c r="GG519">
        <v>1.6113391696746744</v>
      </c>
      <c r="GH519">
        <v>0.58144353567374973</v>
      </c>
      <c r="GI519">
        <v>4.1994427612364555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19.184825745811764</v>
      </c>
      <c r="H520" s="63" t="s">
        <v>30</v>
      </c>
      <c r="I520" s="101">
        <f>SUM(K458:K518)</f>
        <v>88.477561376708849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8.7038471638655466</v>
      </c>
      <c r="AO520">
        <v>20.434836515949414</v>
      </c>
      <c r="AP520">
        <v>143.10251481203338</v>
      </c>
      <c r="AQ520">
        <v>20.647520268979143</v>
      </c>
      <c r="AR520">
        <v>19.874702209501613</v>
      </c>
      <c r="AS520">
        <v>191.87417324702727</v>
      </c>
      <c r="AT520" t="e">
        <v>#DIV/0!</v>
      </c>
      <c r="AU520" t="e">
        <v>#DIV/0!</v>
      </c>
      <c r="AV520"/>
      <c r="AW520"/>
      <c r="FY520" s="210">
        <v>515</v>
      </c>
      <c r="FZ520">
        <v>7.4376682902736375</v>
      </c>
      <c r="GA520">
        <v>14.680512655891709</v>
      </c>
      <c r="GB520">
        <v>5.5561860934310676</v>
      </c>
      <c r="GC520">
        <v>1.0186375070905718</v>
      </c>
      <c r="GD520">
        <v>0.83673112461408006</v>
      </c>
      <c r="GE520">
        <v>0.86909662350839412</v>
      </c>
      <c r="GF520">
        <v>3.6104246059709477</v>
      </c>
      <c r="GG520">
        <v>3.1619127106518099</v>
      </c>
      <c r="GH520">
        <v>0.70738270544372439</v>
      </c>
      <c r="GI520">
        <v>4.5660606900499072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8.6026348039215694</v>
      </c>
      <c r="AO521">
        <v>22.052849528896918</v>
      </c>
      <c r="AP521">
        <v>173.1783727335573</v>
      </c>
      <c r="AQ521">
        <v>30.331657620918296</v>
      </c>
      <c r="AR521">
        <v>20.947210407296808</v>
      </c>
      <c r="AS521">
        <v>89.087858387512242</v>
      </c>
      <c r="AT521">
        <v>11.819930369401272</v>
      </c>
      <c r="AU521">
        <v>-35.423881176984715</v>
      </c>
      <c r="AV521"/>
      <c r="AW521"/>
      <c r="FY521" s="210">
        <v>516</v>
      </c>
      <c r="FZ521">
        <v>9.6711105053696294</v>
      </c>
      <c r="GA521">
        <v>10.286044084474646</v>
      </c>
      <c r="GB521">
        <v>2.6205709484196316</v>
      </c>
      <c r="GC521">
        <v>1.255358350125281</v>
      </c>
      <c r="GD521">
        <v>1.3359845956966336</v>
      </c>
      <c r="GE521">
        <v>1.9495343249964139</v>
      </c>
      <c r="GF521">
        <v>2.1412538343431597</v>
      </c>
      <c r="GG521">
        <v>0.67140020636133779</v>
      </c>
      <c r="GH521">
        <v>0.23579423514790807</v>
      </c>
      <c r="GI521">
        <v>4.4658979452403988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4.6118511864005001</v>
      </c>
      <c r="G522" s="63"/>
      <c r="H522" s="63" t="s">
        <v>101</v>
      </c>
      <c r="I522">
        <v>354.10140991210937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12.86985002334267</v>
      </c>
      <c r="AO522">
        <v>17.875274352365938</v>
      </c>
      <c r="AP522">
        <v>140.07834174604056</v>
      </c>
      <c r="AQ522">
        <v>44.046090866622144</v>
      </c>
      <c r="AR522">
        <v>16.618496469023057</v>
      </c>
      <c r="AS522">
        <v>92.580398044281793</v>
      </c>
      <c r="AT522">
        <v>7.85523244127321</v>
      </c>
      <c r="AU522">
        <v>-33.653457713089331</v>
      </c>
      <c r="AV522"/>
      <c r="AW522"/>
      <c r="FY522" s="210">
        <v>517</v>
      </c>
      <c r="FZ522">
        <v>1.4248795701864641</v>
      </c>
      <c r="GA522">
        <v>6.8675270235829462</v>
      </c>
      <c r="GB522">
        <v>2.757839207981057</v>
      </c>
      <c r="GC522">
        <v>0.25921100891078996</v>
      </c>
      <c r="GD522">
        <v>0.12843784528854357</v>
      </c>
      <c r="GE522">
        <v>1.3694767955077336</v>
      </c>
      <c r="GF522">
        <v>3.1644582442490581</v>
      </c>
      <c r="GG522">
        <v>1.3428004127226756</v>
      </c>
      <c r="GH522">
        <v>0.47158847029581613</v>
      </c>
      <c r="GI522">
        <v>2.6443105987558351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4.7537954832035165</v>
      </c>
      <c r="G523" s="63"/>
      <c r="H523" s="63" t="s">
        <v>103</v>
      </c>
      <c r="I523" s="123">
        <f>+I520*(365/I522)</f>
        <v>91.200737976486508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10.436734068627448</v>
      </c>
      <c r="AO523">
        <v>13.596987804739523</v>
      </c>
      <c r="AP523">
        <v>94.497956837483116</v>
      </c>
      <c r="AQ523">
        <v>22.051721879203001</v>
      </c>
      <c r="AR523">
        <v>12.637934216212436</v>
      </c>
      <c r="AS523">
        <v>67.369770059343111</v>
      </c>
      <c r="AT523" t="e">
        <v>#DIV/0!</v>
      </c>
      <c r="AU523" t="e">
        <v>#DIV/0!</v>
      </c>
      <c r="AV523"/>
      <c r="AW523"/>
      <c r="FY523" s="210">
        <v>518</v>
      </c>
      <c r="FZ523">
        <v>4.8527368558023731</v>
      </c>
      <c r="GA523">
        <v>14.732040975594169</v>
      </c>
      <c r="GB523">
        <v>5.7248959372571813</v>
      </c>
      <c r="GC523">
        <v>0.29310418451972564</v>
      </c>
      <c r="GD523">
        <v>0.57002646213167596</v>
      </c>
      <c r="GE523">
        <v>1.4768326588009439</v>
      </c>
      <c r="GF523">
        <v>4.7114403508475879</v>
      </c>
      <c r="GG523">
        <v>3.8668458535788619</v>
      </c>
      <c r="GH523">
        <v>0.23579423514790807</v>
      </c>
      <c r="GI523">
        <v>4.7433831317913491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9.5110367063492056</v>
      </c>
      <c r="AO524">
        <v>15.165385550307604</v>
      </c>
      <c r="AP524">
        <v>129.43546433791326</v>
      </c>
      <c r="AQ524">
        <v>34.570035070382239</v>
      </c>
      <c r="AR524">
        <v>14.914825039041725</v>
      </c>
      <c r="AS524">
        <v>73.840992101910516</v>
      </c>
      <c r="AT524" t="e">
        <v>#DIV/0!</v>
      </c>
      <c r="AU524" t="e">
        <v>#DIV/0!</v>
      </c>
      <c r="AV524"/>
      <c r="AW524"/>
      <c r="FY524" s="210">
        <v>519</v>
      </c>
      <c r="FZ524">
        <v>11.892498338081115</v>
      </c>
      <c r="GA524">
        <v>14.929449509128496</v>
      </c>
      <c r="GB524">
        <v>2.8054350976603724</v>
      </c>
      <c r="GC524">
        <v>0.69107423859295769</v>
      </c>
      <c r="GD524">
        <v>0.60162781901604234</v>
      </c>
      <c r="GE524">
        <v>1.0948650160260085</v>
      </c>
      <c r="GF524">
        <v>5.1655542540495683</v>
      </c>
      <c r="GG524">
        <v>3.6899200970888253</v>
      </c>
      <c r="GH524">
        <v>0.51847395078876257</v>
      </c>
      <c r="GI524">
        <v>4.4755447462253164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10.738051470588236</v>
      </c>
      <c r="AO525">
        <v>23.922773252873537</v>
      </c>
      <c r="AP525">
        <v>209.26421993947264</v>
      </c>
      <c r="AQ525">
        <v>37.750911080088265</v>
      </c>
      <c r="AR525">
        <v>22.711650326898638</v>
      </c>
      <c r="AS525">
        <v>96.109089094167913</v>
      </c>
      <c r="AT525">
        <v>13.216297010498664</v>
      </c>
      <c r="AU525">
        <v>-57.068224906789226</v>
      </c>
      <c r="AV525"/>
      <c r="AW525"/>
      <c r="FY525" s="210">
        <v>520</v>
      </c>
      <c r="FZ525">
        <v>0.11542243785271598</v>
      </c>
      <c r="GA525">
        <v>2.7686586149943353</v>
      </c>
      <c r="GB525">
        <v>0.97909010910850547</v>
      </c>
      <c r="GC525">
        <v>1.3749306832176249</v>
      </c>
      <c r="GD525">
        <v>1.1988298166377103</v>
      </c>
      <c r="GE525">
        <v>0.71470512240413819</v>
      </c>
      <c r="GF525">
        <v>5.0733724734012764</v>
      </c>
      <c r="GG525">
        <v>4.3826218354665114</v>
      </c>
      <c r="GH525">
        <v>0</v>
      </c>
      <c r="GI525">
        <v>3.8698206497434158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4.5695465686274499</v>
      </c>
      <c r="AO526">
        <v>9.7646173451066112</v>
      </c>
      <c r="AP526">
        <v>78.200186569649489</v>
      </c>
      <c r="AQ526">
        <v>25.922364992678723</v>
      </c>
      <c r="AR526">
        <v>9.1585029074767981</v>
      </c>
      <c r="AS526">
        <v>40.508610581138228</v>
      </c>
      <c r="AT526">
        <v>5.9850181899557215</v>
      </c>
      <c r="AU526">
        <v>-8.2225804795606301</v>
      </c>
      <c r="AV526"/>
      <c r="AW526"/>
      <c r="FY526" s="210">
        <v>521</v>
      </c>
      <c r="FZ526">
        <v>2.3488646529487083</v>
      </c>
      <c r="GA526">
        <v>7.9899561751871957</v>
      </c>
      <c r="GB526">
        <v>2.5507700897101397</v>
      </c>
      <c r="GC526">
        <v>1.0970423382244461</v>
      </c>
      <c r="GD526">
        <v>1.3421918867522569</v>
      </c>
      <c r="GE526">
        <v>1.9821107687235471</v>
      </c>
      <c r="GF526">
        <v>4.6984602228584853</v>
      </c>
      <c r="GG526">
        <v>3.5492971601975971</v>
      </c>
      <c r="GH526">
        <v>0.47158847029581613</v>
      </c>
      <c r="GI526">
        <v>3.7022979749516503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14.03044030112045</v>
      </c>
      <c r="AO527">
        <v>29.00602298481494</v>
      </c>
      <c r="AP527">
        <v>195.41377656718024</v>
      </c>
      <c r="AQ527">
        <v>34.48464813149733</v>
      </c>
      <c r="AR527">
        <v>27.499590658264911</v>
      </c>
      <c r="AS527">
        <v>114.20708316948674</v>
      </c>
      <c r="AT527">
        <v>14.131359930801279</v>
      </c>
      <c r="AU527">
        <v>-72.937031092177349</v>
      </c>
      <c r="AV527"/>
      <c r="AW527"/>
      <c r="FY527" s="210">
        <v>522</v>
      </c>
      <c r="FZ527">
        <v>4.4831481459835985</v>
      </c>
      <c r="GA527">
        <v>9.0381727096944218</v>
      </c>
      <c r="GB527">
        <v>3.1031143405899275</v>
      </c>
      <c r="GC527">
        <v>0.32072000742450435</v>
      </c>
      <c r="GD527">
        <v>1.115255698937007</v>
      </c>
      <c r="GE527">
        <v>2.3964437418065474</v>
      </c>
      <c r="GF527">
        <v>4.5209113996574946</v>
      </c>
      <c r="GG527">
        <v>3.4426828721531746</v>
      </c>
      <c r="GH527">
        <v>0</v>
      </c>
      <c r="GI527">
        <v>5.3859679306870998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12.940432422969186</v>
      </c>
      <c r="AO528">
        <v>23.014426651623374</v>
      </c>
      <c r="AP528">
        <v>177.42546816771687</v>
      </c>
      <c r="AQ528">
        <v>28.586741215860158</v>
      </c>
      <c r="AR528">
        <v>21.82914326299289</v>
      </c>
      <c r="AS528">
        <v>108.00939879638148</v>
      </c>
      <c r="AT528">
        <v>13.586453626699631</v>
      </c>
      <c r="AU528">
        <v>-159.71566422199959</v>
      </c>
      <c r="AV528"/>
      <c r="AW528"/>
      <c r="FY528" s="210">
        <v>523</v>
      </c>
      <c r="FZ528">
        <v>4.3677257081308829</v>
      </c>
      <c r="GA528">
        <v>3.3443044437946754</v>
      </c>
      <c r="GB528">
        <v>0.84899790039512824</v>
      </c>
      <c r="GC528">
        <v>0.57662447371962433</v>
      </c>
      <c r="GD528">
        <v>1.0883389199426583</v>
      </c>
      <c r="GE528">
        <v>2.353745226324488</v>
      </c>
      <c r="GF528">
        <v>2.5769120520059876</v>
      </c>
      <c r="GG528">
        <v>1.1871761882489873</v>
      </c>
      <c r="GH528">
        <v>0</v>
      </c>
      <c r="GI528">
        <v>3.4938259745047615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12.333953373015873</v>
      </c>
      <c r="AO529">
        <v>16.552417508348007</v>
      </c>
      <c r="AP529">
        <v>137.87431293132158</v>
      </c>
      <c r="AQ529">
        <v>34.104767502281064</v>
      </c>
      <c r="AR529">
        <v>15.859940791387048</v>
      </c>
      <c r="AS529">
        <v>88.166904221686266</v>
      </c>
      <c r="AT529" t="e">
        <v>#DIV/0!</v>
      </c>
      <c r="AU529" t="e">
        <v>#DIV/0!</v>
      </c>
      <c r="AV529"/>
      <c r="AW529"/>
      <c r="FY529" s="210">
        <v>524</v>
      </c>
      <c r="FZ529">
        <v>3.6006105663560986</v>
      </c>
      <c r="GA529">
        <v>5.8397299960430775</v>
      </c>
      <c r="GB529">
        <v>0.791892502010206</v>
      </c>
      <c r="GC529">
        <v>1.0963969297270089</v>
      </c>
      <c r="GD529">
        <v>1.020141537157284</v>
      </c>
      <c r="GE529">
        <v>1.2655914564072257</v>
      </c>
      <c r="GF529">
        <v>5.0148538052737415</v>
      </c>
      <c r="GG529">
        <v>3.7480001609850739</v>
      </c>
      <c r="GH529">
        <v>0.23579423514790807</v>
      </c>
      <c r="GI529">
        <v>3.5418054825583853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11.113671510270773</v>
      </c>
      <c r="AO530">
        <v>16.772404795752816</v>
      </c>
      <c r="AP530">
        <v>162.31979530170722</v>
      </c>
      <c r="AQ530">
        <v>40.42217003873975</v>
      </c>
      <c r="AR530">
        <v>15.989102909792447</v>
      </c>
      <c r="AS530">
        <v>76.372954371341891</v>
      </c>
      <c r="AT530">
        <v>7.622450419219974</v>
      </c>
      <c r="AU530">
        <v>-61.784188089188461</v>
      </c>
      <c r="AV530"/>
      <c r="AW530"/>
      <c r="FY530" s="210">
        <v>525</v>
      </c>
      <c r="FZ530">
        <v>12.671287486201521</v>
      </c>
      <c r="GA530">
        <v>25.605707396807443</v>
      </c>
      <c r="GB530">
        <v>5.7090915273358522</v>
      </c>
      <c r="GC530">
        <v>0.21904048059769715</v>
      </c>
      <c r="GD530">
        <v>9.4703131979262736E-2</v>
      </c>
      <c r="GE530">
        <v>1.0551589434349393</v>
      </c>
      <c r="GF530">
        <v>4.9564466788038626</v>
      </c>
      <c r="GG530">
        <v>3.4794614040330742</v>
      </c>
      <c r="GH530">
        <v>0.81723777082165783</v>
      </c>
      <c r="GI530">
        <v>5.7242533496533561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4.1666666666666661</v>
      </c>
      <c r="E531" s="108">
        <f>E405</f>
        <v>6.250937156106354</v>
      </c>
      <c r="F531" s="102"/>
      <c r="G531" s="101">
        <f>D531*E531</f>
        <v>26.04557148377647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9.2682291666666643</v>
      </c>
      <c r="AO531">
        <v>11.056728243743896</v>
      </c>
      <c r="AP531">
        <v>82.221547858837496</v>
      </c>
      <c r="AQ531">
        <v>42.444613006925849</v>
      </c>
      <c r="AR531">
        <v>11.127204430272357</v>
      </c>
      <c r="AS531">
        <v>69.717334343464444</v>
      </c>
      <c r="AT531" t="e">
        <v>#DIV/0!</v>
      </c>
      <c r="AU531" t="e">
        <v>#DIV/0!</v>
      </c>
      <c r="AV531"/>
      <c r="AW531"/>
      <c r="FY531" s="210">
        <v>526</v>
      </c>
      <c r="FZ531">
        <v>13.408629131187183</v>
      </c>
      <c r="GA531">
        <v>5.6403923530821247</v>
      </c>
      <c r="GB531">
        <v>0.76174682700826335</v>
      </c>
      <c r="GC531">
        <v>0.1639479561075548</v>
      </c>
      <c r="GD531">
        <v>0.21392790853115254</v>
      </c>
      <c r="GE531">
        <v>1.0570313027016216</v>
      </c>
      <c r="GF531">
        <v>4.5533478813195138</v>
      </c>
      <c r="GG531">
        <v>3.7262229166876337</v>
      </c>
      <c r="GH531">
        <v>0.70738270544372439</v>
      </c>
      <c r="GI531">
        <v>3.513282420939011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-1.1546319456101628E-14</v>
      </c>
      <c r="I532" s="101">
        <f>AVERAGE(D531:D533)</f>
        <v>4.6875</v>
      </c>
      <c r="J532" s="101">
        <f>I532*H532</f>
        <v>-5.4123372450476381E-14</v>
      </c>
      <c r="K532" s="61">
        <f>J532/(C533-C531)</f>
        <v>-2.0045693500176439E-15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10.280381944444443</v>
      </c>
      <c r="AO532">
        <v>15.791161189300718</v>
      </c>
      <c r="AP532">
        <v>128.40703529081276</v>
      </c>
      <c r="AQ532">
        <v>34.632949030175034</v>
      </c>
      <c r="AR532">
        <v>15.483341578487194</v>
      </c>
      <c r="AS532">
        <v>74.114044322244311</v>
      </c>
      <c r="AT532" t="e">
        <v>#DIV/0!</v>
      </c>
      <c r="AU532" t="e">
        <v>#DIV/0!</v>
      </c>
      <c r="AV532"/>
      <c r="AW532"/>
      <c r="FY532" s="210">
        <v>527</v>
      </c>
      <c r="FZ532">
        <v>7.0978530772439861</v>
      </c>
      <c r="GA532">
        <v>24.043763945346569</v>
      </c>
      <c r="GB532">
        <v>7.9976732403769777</v>
      </c>
      <c r="GC532">
        <v>0.22940581692468895</v>
      </c>
      <c r="GD532">
        <v>0.41989421417974754</v>
      </c>
      <c r="GE532">
        <v>1.6543759834656786</v>
      </c>
      <c r="GF532">
        <v>1.9062985528060545</v>
      </c>
      <c r="GG532">
        <v>0.24723722493565062</v>
      </c>
      <c r="GH532">
        <v>0</v>
      </c>
      <c r="GI532">
        <v>5.6108175651167933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5.208333333333333</v>
      </c>
      <c r="E533" s="108">
        <f>E406</f>
        <v>6.2509371561063425</v>
      </c>
      <c r="F533" s="102"/>
      <c r="G533" s="101">
        <f>D533*E533</f>
        <v>32.556964354720535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8.584821428571427</v>
      </c>
      <c r="AO533">
        <v>21.763939778706188</v>
      </c>
      <c r="AP533">
        <v>149.38107901694977</v>
      </c>
      <c r="AQ533">
        <v>20.430529177480921</v>
      </c>
      <c r="AR533">
        <v>20.1373740725912</v>
      </c>
      <c r="AS533">
        <v>191.36415769974852</v>
      </c>
      <c r="AT533" t="e">
        <v>#DIV/0!</v>
      </c>
      <c r="AU533" t="e">
        <v>#DIV/0!</v>
      </c>
      <c r="AV533"/>
      <c r="AW533"/>
      <c r="FY533" s="210">
        <v>528</v>
      </c>
      <c r="FZ533">
        <v>7.8351947222296481</v>
      </c>
      <c r="GA533">
        <v>5.8932059088606996</v>
      </c>
      <c r="GB533">
        <v>2.740388993303684</v>
      </c>
      <c r="GC533">
        <v>0.36114367932660818</v>
      </c>
      <c r="GD533">
        <v>0.80686165647783603</v>
      </c>
      <c r="GE533">
        <v>1.5573648876073893</v>
      </c>
      <c r="GF533">
        <v>2.4256540586296205</v>
      </c>
      <c r="GG533">
        <v>2.5875809525868192</v>
      </c>
      <c r="GH533">
        <v>1.288826241117474</v>
      </c>
      <c r="GI533">
        <v>3.8977989160480218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-4.5813674443353873</v>
      </c>
      <c r="I534" s="101">
        <f>AVERAGE(D533:D535)</f>
        <v>8.8541666666666661</v>
      </c>
      <c r="J534" s="101">
        <f>I534*H534</f>
        <v>-40.564190913386241</v>
      </c>
      <c r="K534" s="61">
        <f>J534/(C535-C533)</f>
        <v>-0.98937051008259125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9.8122519841269824</v>
      </c>
      <c r="AO534">
        <v>16.638231282566274</v>
      </c>
      <c r="AP534">
        <v>151.80993709943991</v>
      </c>
      <c r="AQ534">
        <v>41.207100645471769</v>
      </c>
      <c r="AR534">
        <v>15.992301033823789</v>
      </c>
      <c r="AS534">
        <v>91.003614657593729</v>
      </c>
      <c r="AT534" t="e">
        <v>#DIV/0!</v>
      </c>
      <c r="AU534" t="e">
        <v>#DIV/0!</v>
      </c>
      <c r="AV534"/>
      <c r="AW534"/>
      <c r="FY534" s="210">
        <v>529</v>
      </c>
      <c r="FZ534">
        <v>8.8349905143617526</v>
      </c>
      <c r="GA534">
        <v>8.1892938181481494</v>
      </c>
      <c r="GB534">
        <v>2.8240081219476814</v>
      </c>
      <c r="GC534">
        <v>0.64595478552138108</v>
      </c>
      <c r="GD534">
        <v>0.8604988893960942</v>
      </c>
      <c r="GE534">
        <v>1.6296150785557972</v>
      </c>
      <c r="GF534">
        <v>3.8957145101086832</v>
      </c>
      <c r="GG534">
        <v>2.749981133775488</v>
      </c>
      <c r="GH534">
        <v>0.17282465026292085</v>
      </c>
      <c r="GI534">
        <v>4.9556653673353024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12.5</v>
      </c>
      <c r="E535" s="108">
        <f>E407</f>
        <v>1.6695697117709549</v>
      </c>
      <c r="F535" s="102"/>
      <c r="G535" s="101">
        <f>D535*E535</f>
        <v>20.869621397136935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12.931233951914098</v>
      </c>
      <c r="AO535">
        <v>26.190555993537021</v>
      </c>
      <c r="AP535">
        <v>222.34932843367952</v>
      </c>
      <c r="AQ535">
        <v>45.864443066657458</v>
      </c>
      <c r="AR535">
        <v>24.831456328679351</v>
      </c>
      <c r="AS535">
        <v>104.86589076265426</v>
      </c>
      <c r="AT535">
        <v>15.440067942135217</v>
      </c>
      <c r="AU535">
        <v>-124.36193303463398</v>
      </c>
      <c r="AV535"/>
      <c r="AW535"/>
      <c r="FY535" s="210">
        <v>530</v>
      </c>
      <c r="FZ535">
        <v>5.9709608409135448</v>
      </c>
      <c r="GA535">
        <v>14.732040975594169</v>
      </c>
      <c r="GB535">
        <v>5.8271759288261737</v>
      </c>
      <c r="GC535">
        <v>0.7701244782242691</v>
      </c>
      <c r="GD535">
        <v>0.83001833837833228</v>
      </c>
      <c r="GE535">
        <v>1.3425423690116787</v>
      </c>
      <c r="GF535">
        <v>1.8141167721577629</v>
      </c>
      <c r="GG535">
        <v>1.1168647198033732</v>
      </c>
      <c r="GH535">
        <v>0.23579423514790807</v>
      </c>
      <c r="GI535">
        <v>4.6741440703803665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-1.4033591266534018</v>
      </c>
      <c r="I536" s="101">
        <f>AVERAGE(D535:D537)</f>
        <v>11.979166666666664</v>
      </c>
      <c r="J536" s="101">
        <f>I536*H536</f>
        <v>-16.811072871368872</v>
      </c>
      <c r="K536" s="61">
        <f>J536/(C537-C535)</f>
        <v>-0.50942645064754155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9.3394097222222197</v>
      </c>
      <c r="AO536">
        <v>20.177147845579334</v>
      </c>
      <c r="AP536">
        <v>159.42407989261849</v>
      </c>
      <c r="AQ536">
        <v>20.477451742826236</v>
      </c>
      <c r="AR536">
        <v>18.707109411779989</v>
      </c>
      <c r="AS536">
        <v>81.915791182430823</v>
      </c>
      <c r="AT536" t="e">
        <v>#DIV/0!</v>
      </c>
      <c r="AU536" t="e">
        <v>#DIV/0!</v>
      </c>
      <c r="AV536"/>
      <c r="AW536"/>
      <c r="FY536" s="210">
        <v>531</v>
      </c>
      <c r="FZ536">
        <v>4.9677789176162044</v>
      </c>
      <c r="GA536">
        <v>18.600462928486724</v>
      </c>
      <c r="GB536">
        <v>5.8713155510379949</v>
      </c>
      <c r="GC536">
        <v>0.96724070131483808</v>
      </c>
      <c r="GD536">
        <v>0.81484900447462572</v>
      </c>
      <c r="GE536">
        <v>0.38680625664464335</v>
      </c>
      <c r="GF536">
        <v>3.8315220299016444</v>
      </c>
      <c r="GG536">
        <v>3.4426828721531746</v>
      </c>
      <c r="GH536">
        <v>0.3456493005258417</v>
      </c>
      <c r="GI536">
        <v>4.2379808738505202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11.45833333333333</v>
      </c>
      <c r="E537" s="108">
        <f>E408</f>
        <v>0.26621058511755308</v>
      </c>
      <c r="F537" s="102"/>
      <c r="G537" s="101">
        <f>D537*E537</f>
        <v>3.0503296211386282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9.3394097222222197</v>
      </c>
      <c r="AO537">
        <v>9.2327059785957282</v>
      </c>
      <c r="AP537">
        <v>72.275655082769134</v>
      </c>
      <c r="AQ537">
        <v>29.732579739849847</v>
      </c>
      <c r="AR537">
        <v>8.5027507986535174</v>
      </c>
      <c r="AS537">
        <v>57.696705521373062</v>
      </c>
      <c r="AT537" t="e">
        <v>#DIV/0!</v>
      </c>
      <c r="AU537" t="e">
        <v>#DIV/0!</v>
      </c>
      <c r="AV537"/>
      <c r="AW537"/>
      <c r="FY537" s="210">
        <v>532</v>
      </c>
      <c r="FZ537">
        <v>9.9988713360147763</v>
      </c>
      <c r="GA537">
        <v>9.7820473687206118</v>
      </c>
      <c r="GB537">
        <v>1.8222104455408945</v>
      </c>
      <c r="GC537">
        <v>0.66578690608891633</v>
      </c>
      <c r="GD537">
        <v>0.41954632201512004</v>
      </c>
      <c r="GE537">
        <v>0.51681245195761161</v>
      </c>
      <c r="GF537">
        <v>5.3876186101916037</v>
      </c>
      <c r="GG537">
        <v>4.4897118357920256</v>
      </c>
      <c r="GH537">
        <v>0.58144353567374973</v>
      </c>
      <c r="GI537">
        <v>4.6846370405184992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-0.10999535540896005</v>
      </c>
      <c r="I538" s="101">
        <f>AVERAGE(D537:D539)</f>
        <v>17.187499999999996</v>
      </c>
      <c r="J538" s="101">
        <f>I538*H538</f>
        <v>-1.8905451710915004</v>
      </c>
      <c r="K538" s="61">
        <f>J538/(C539-C537)</f>
        <v>-6.751947039612502E-2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9.8174603174603163</v>
      </c>
      <c r="AO538">
        <v>29.471711787899192</v>
      </c>
      <c r="AP538">
        <v>253.66296883538155</v>
      </c>
      <c r="AQ538">
        <v>33.806416846933772</v>
      </c>
      <c r="AR538">
        <v>27.854004443658141</v>
      </c>
      <c r="AS538">
        <v>108.10326004372155</v>
      </c>
      <c r="AT538" t="e">
        <v>#DIV/0!</v>
      </c>
      <c r="AU538" t="e">
        <v>#DIV/0!</v>
      </c>
      <c r="AV538"/>
      <c r="AW538"/>
      <c r="FY538" s="210">
        <v>533</v>
      </c>
      <c r="FZ538">
        <v>8.4073102095777337</v>
      </c>
      <c r="GA538">
        <v>10.505801234402956</v>
      </c>
      <c r="GB538">
        <v>1.4489380409542316</v>
      </c>
      <c r="GC538">
        <v>0.98818690660703357</v>
      </c>
      <c r="GD538">
        <v>1.2247896330655033</v>
      </c>
      <c r="GE538">
        <v>2.1516262255582652</v>
      </c>
      <c r="GF538">
        <v>7.7155668763421001</v>
      </c>
      <c r="GG538">
        <v>5.8751153125473978</v>
      </c>
      <c r="GH538">
        <v>0.58144353567374973</v>
      </c>
      <c r="GI538">
        <v>5.3157430382314299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22.916666666666664</v>
      </c>
      <c r="E539" s="108">
        <f>E409</f>
        <v>0.15621522970859303</v>
      </c>
      <c r="F539" s="102"/>
      <c r="G539" s="101">
        <f>D539*E539</f>
        <v>3.5799323474885898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9.6924603174603163</v>
      </c>
      <c r="AO539">
        <v>21.046694765192051</v>
      </c>
      <c r="AP539">
        <v>160.25675433974916</v>
      </c>
      <c r="AQ539">
        <v>19.837650887067195</v>
      </c>
      <c r="AR539">
        <v>20.005825799749765</v>
      </c>
      <c r="AS539">
        <v>317.96155165632223</v>
      </c>
      <c r="AT539" t="e">
        <v>#DIV/0!</v>
      </c>
      <c r="AU539" t="e">
        <v>#DIV/0!</v>
      </c>
      <c r="AV539"/>
      <c r="AW539"/>
      <c r="FY539" s="210">
        <v>534</v>
      </c>
      <c r="FZ539">
        <v>7.9800102808326017</v>
      </c>
      <c r="GA539">
        <v>21.893537766202449</v>
      </c>
      <c r="GB539">
        <v>6.3085965113865345</v>
      </c>
      <c r="GC539">
        <v>0.39744175665507842</v>
      </c>
      <c r="GD539">
        <v>0.29838197873243544</v>
      </c>
      <c r="GE539">
        <v>0.36242095085335557</v>
      </c>
      <c r="GF539">
        <v>4.3657246646065797</v>
      </c>
      <c r="GG539">
        <v>4.1721631424107617</v>
      </c>
      <c r="GH539">
        <v>0.64441312055873701</v>
      </c>
      <c r="GI539">
        <v>5.2197668057388444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0.81873839298337625</v>
      </c>
      <c r="I540" s="101">
        <f>AVERAGE(D539:D541)</f>
        <v>19.270833333333329</v>
      </c>
      <c r="J540" s="101">
        <f>I540*H540</f>
        <v>15.777771114783809</v>
      </c>
      <c r="K540" s="61">
        <f>J540/(C541-C539)</f>
        <v>0.65740712978265869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10.594370039682538</v>
      </c>
      <c r="AO540">
        <v>24.121326240748566</v>
      </c>
      <c r="AP540">
        <v>200.19188735088193</v>
      </c>
      <c r="AQ540">
        <v>26.154816671666008</v>
      </c>
      <c r="AR540">
        <v>22.360929549550761</v>
      </c>
      <c r="AS540">
        <v>97.103445931866275</v>
      </c>
      <c r="AT540" t="e">
        <v>#DIV/0!</v>
      </c>
      <c r="AU540" t="e">
        <v>#DIV/0!</v>
      </c>
      <c r="AV540"/>
      <c r="AW540"/>
      <c r="FY540" s="210">
        <v>535</v>
      </c>
      <c r="FZ540">
        <v>4.8644108621479933</v>
      </c>
      <c r="GA540">
        <v>18.822466385153707</v>
      </c>
      <c r="GB540">
        <v>6.5668056254419476</v>
      </c>
      <c r="GC540">
        <v>0.64452793601677927</v>
      </c>
      <c r="GD540">
        <v>0.72724416050033791</v>
      </c>
      <c r="GE540">
        <v>1.0713792995783451</v>
      </c>
      <c r="GF540">
        <v>4.0304322731189473</v>
      </c>
      <c r="GG540">
        <v>3.9036243854587616</v>
      </c>
      <c r="GH540">
        <v>0.88020735570664521</v>
      </c>
      <c r="GI540">
        <v>4.7266920546988143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15.624999999999996</v>
      </c>
      <c r="E541" s="108">
        <f>E410</f>
        <v>0.97495362269196928</v>
      </c>
      <c r="F541" s="102"/>
      <c r="G541" s="101">
        <f>D541*E541</f>
        <v>15.233650354562016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9.7334631769374393</v>
      </c>
      <c r="AO541">
        <v>24.219882646346015</v>
      </c>
      <c r="AP541">
        <v>216.5878939076606</v>
      </c>
      <c r="AQ541">
        <v>60.332388169668675</v>
      </c>
      <c r="AR541">
        <v>23.324037737837926</v>
      </c>
      <c r="AS541">
        <v>128.33445376914997</v>
      </c>
      <c r="AT541">
        <v>12.871945834627383</v>
      </c>
      <c r="AU541">
        <v>-112.78884984008471</v>
      </c>
      <c r="AV541"/>
      <c r="AW541"/>
      <c r="FY541" s="210">
        <v>536</v>
      </c>
      <c r="FZ541">
        <v>1.9400445906859631</v>
      </c>
      <c r="GA541">
        <v>11.387736531799494</v>
      </c>
      <c r="GB541">
        <v>5.0479788871405376</v>
      </c>
      <c r="GC541">
        <v>0.33567961455235296</v>
      </c>
      <c r="GD541">
        <v>0.35130487953491873</v>
      </c>
      <c r="GE541">
        <v>0.89143935244954209</v>
      </c>
      <c r="GF541">
        <v>5.5498484647533335</v>
      </c>
      <c r="GG541">
        <v>4.6879391242984099</v>
      </c>
      <c r="GH541">
        <v>0.40861888541082891</v>
      </c>
      <c r="GI541">
        <v>3.8522181521177781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-0.53883711555063296</v>
      </c>
      <c r="I542" s="101">
        <f>AVERAGE(D541:D543)</f>
        <v>9.7656249999999982</v>
      </c>
      <c r="J542" s="101">
        <f>I542*H542</f>
        <v>-5.2620812065491487</v>
      </c>
      <c r="K542" s="61">
        <f>J542/(C543-C541)</f>
        <v>-0.10962669180310726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6.3799603174603172</v>
      </c>
      <c r="AO542">
        <v>15.479498655485529</v>
      </c>
      <c r="AP542">
        <v>134.50897834775307</v>
      </c>
      <c r="AQ542">
        <v>33.745911403007781</v>
      </c>
      <c r="AR542">
        <v>16.128139158756134</v>
      </c>
      <c r="AS542">
        <v>67.272345323330129</v>
      </c>
      <c r="AT542" t="e">
        <v>#DIV/0!</v>
      </c>
      <c r="AU542" t="e">
        <v>#DIV/0!</v>
      </c>
      <c r="AV542"/>
      <c r="AW542"/>
      <c r="FY542" s="210">
        <v>537</v>
      </c>
      <c r="FZ542">
        <v>8.4076905856166189</v>
      </c>
      <c r="GA542">
        <v>10.559277147220579</v>
      </c>
      <c r="GB542">
        <v>3.4323349616024554</v>
      </c>
      <c r="GC542">
        <v>0.73343413598737295</v>
      </c>
      <c r="GD542">
        <v>1.0539780765103286</v>
      </c>
      <c r="GE542">
        <v>2.0823271764673361</v>
      </c>
      <c r="GF542">
        <v>4.6270739764286537</v>
      </c>
      <c r="GG542">
        <v>3.3723714037075605</v>
      </c>
      <c r="GH542">
        <v>0.40861888541082891</v>
      </c>
      <c r="GI542">
        <v>4.5140365701323866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3.90625</v>
      </c>
      <c r="E543" s="108">
        <f>E411</f>
        <v>0.43611650714133632</v>
      </c>
      <c r="F543" s="102"/>
      <c r="G543" s="101">
        <f>D543*E543</f>
        <v>1.7035801060208451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8.6519097222222214</v>
      </c>
      <c r="AO543">
        <v>27.998550735585535</v>
      </c>
      <c r="AP543">
        <v>238.47638285470038</v>
      </c>
      <c r="AQ543">
        <v>49.207319620396149</v>
      </c>
      <c r="AR543">
        <v>26.345806083731471</v>
      </c>
      <c r="AS543">
        <v>112.23879291373825</v>
      </c>
      <c r="AT543" t="e">
        <v>#DIV/0!</v>
      </c>
      <c r="AU543" t="e">
        <v>#DIV/0!</v>
      </c>
      <c r="AV543"/>
      <c r="AW543"/>
      <c r="FY543" s="210">
        <v>538</v>
      </c>
      <c r="FZ543">
        <v>4.5706328616990799</v>
      </c>
      <c r="GA543">
        <v>14.857483198770142</v>
      </c>
      <c r="GB543">
        <v>5.0829671551329705</v>
      </c>
      <c r="GC543">
        <v>0.17840127605738121</v>
      </c>
      <c r="GD543">
        <v>0.66250060542417732</v>
      </c>
      <c r="GE543">
        <v>2.1119528835348889</v>
      </c>
      <c r="GF543">
        <v>6.7168547518773263</v>
      </c>
      <c r="GG543">
        <v>5.1824135741697113</v>
      </c>
      <c r="GH543">
        <v>0.40861888541082891</v>
      </c>
      <c r="GI543">
        <v>4.9258273780118964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0.61314034146480145</v>
      </c>
      <c r="I544" s="101">
        <f>AVERAGE(D543:D545)</f>
        <v>4.036458333333333</v>
      </c>
      <c r="J544" s="101">
        <f>I544*H544</f>
        <v>2.4749154408084433</v>
      </c>
      <c r="K544" s="61">
        <f>J544/(C545-C543)</f>
        <v>3.9284372076324493E-2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8.3795445261437926</v>
      </c>
      <c r="AO544">
        <v>19.369306666089635</v>
      </c>
      <c r="AP544">
        <v>171.51797860350621</v>
      </c>
      <c r="AQ544">
        <v>29.394020016187802</v>
      </c>
      <c r="AR544">
        <v>19.361375512668936</v>
      </c>
      <c r="AS544">
        <v>76.830449246609078</v>
      </c>
      <c r="AT544" t="e">
        <v>#DIV/0!</v>
      </c>
      <c r="AU544" t="e">
        <v>#DIV/0!</v>
      </c>
      <c r="AV544"/>
      <c r="AW544"/>
      <c r="FY544" s="210">
        <v>539</v>
      </c>
      <c r="FZ544">
        <v>5.3490416337806002</v>
      </c>
      <c r="GA544">
        <v>13.63034852826932</v>
      </c>
      <c r="GB544">
        <v>3.2764058391160349</v>
      </c>
      <c r="GC544">
        <v>0.59800055487104498</v>
      </c>
      <c r="GD544">
        <v>0.63288746958849362</v>
      </c>
      <c r="GE544">
        <v>0.98854094303212459</v>
      </c>
      <c r="GF544">
        <v>3.2790609561578625</v>
      </c>
      <c r="GG544">
        <v>2.5027439088398373</v>
      </c>
      <c r="GH544">
        <v>0.3456493005258417</v>
      </c>
      <c r="GI544">
        <v>4.6238194794466407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4.1666666666666661</v>
      </c>
      <c r="E545" s="108">
        <f>E412</f>
        <v>1.0492568486061378</v>
      </c>
      <c r="F545" s="102"/>
      <c r="G545" s="101">
        <f>D545*E545</f>
        <v>4.3719035358589071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9.7553104575163392</v>
      </c>
      <c r="AO545">
        <v>27.31242048506034</v>
      </c>
      <c r="AP545">
        <v>224.97601804747114</v>
      </c>
      <c r="AQ545">
        <v>34.758546869413252</v>
      </c>
      <c r="AR545">
        <v>26.357437839666311</v>
      </c>
      <c r="AS545">
        <v>107.35116086614308</v>
      </c>
      <c r="AT545">
        <v>15.992192274892576</v>
      </c>
      <c r="AU545">
        <v>-8.0669530744492128</v>
      </c>
      <c r="AV545"/>
      <c r="AW545"/>
      <c r="FY545" s="210">
        <v>540</v>
      </c>
      <c r="FZ545">
        <v>6.2315792134081001</v>
      </c>
      <c r="GA545">
        <v>17.028128884881617</v>
      </c>
      <c r="GB545">
        <v>5.5865048680858198</v>
      </c>
      <c r="GC545">
        <v>1.0948529691431237</v>
      </c>
      <c r="GD545">
        <v>1.0789179121106915</v>
      </c>
      <c r="GE545">
        <v>1.5000486872771412</v>
      </c>
      <c r="GF545">
        <v>1.3811185881910069</v>
      </c>
      <c r="GG545">
        <v>0.53077726947010961</v>
      </c>
      <c r="GH545">
        <v>0.88020735570664521</v>
      </c>
      <c r="GI545">
        <v>5.0947619987757742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2.1376190760368647</v>
      </c>
      <c r="I546" s="101">
        <f>AVERAGE(D545:D547)</f>
        <v>3.645833333333333</v>
      </c>
      <c r="J546" s="101">
        <f>I546*H546</f>
        <v>7.7934028813844023</v>
      </c>
      <c r="K546" s="61">
        <f>J546/(C547-C545)</f>
        <v>0.19983084311242058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10.51798115079365</v>
      </c>
      <c r="AO546">
        <v>21.443543502557709</v>
      </c>
      <c r="AP546">
        <v>176.80582763843503</v>
      </c>
      <c r="AQ546">
        <v>37.313782728437573</v>
      </c>
      <c r="AR546">
        <v>20.761294784489074</v>
      </c>
      <c r="AS546">
        <v>88.462182464328833</v>
      </c>
      <c r="AT546" t="e">
        <v>#DIV/0!</v>
      </c>
      <c r="AU546" t="e">
        <v>#DIV/0!</v>
      </c>
      <c r="AV546"/>
      <c r="AW546"/>
      <c r="FY546" s="210">
        <v>541</v>
      </c>
      <c r="FZ546">
        <v>2.8041023038310757</v>
      </c>
      <c r="GA546">
        <v>5.8932059088606996</v>
      </c>
      <c r="GB546">
        <v>2.6344770569918237</v>
      </c>
      <c r="GC546">
        <v>0.1231320192970249</v>
      </c>
      <c r="GD546">
        <v>7.6616716441300914E-2</v>
      </c>
      <c r="GE546">
        <v>0.5955304908518736</v>
      </c>
      <c r="GF546">
        <v>3.1961615442468574</v>
      </c>
      <c r="GG546">
        <v>2.2555066839041871</v>
      </c>
      <c r="GH546">
        <v>0.17282465026292085</v>
      </c>
      <c r="GI546">
        <v>2.4219964939433538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3.1249999999999996</v>
      </c>
      <c r="E547" s="108">
        <f>E413</f>
        <v>3.1868759246430027</v>
      </c>
      <c r="F547" s="102"/>
      <c r="G547" s="101">
        <f>D547*E547</f>
        <v>9.958987264509382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13.920715161064425</v>
      </c>
      <c r="AO547">
        <v>21.54314122887137</v>
      </c>
      <c r="AP547">
        <v>195.74511658539558</v>
      </c>
      <c r="AQ547">
        <v>43.466288436006217</v>
      </c>
      <c r="AR547">
        <v>20.114454198004289</v>
      </c>
      <c r="AS547">
        <v>105.28093321326212</v>
      </c>
      <c r="AT547">
        <v>12.668895589391093</v>
      </c>
      <c r="AU547">
        <v>-46.536546328404768</v>
      </c>
      <c r="AV547"/>
      <c r="AW547"/>
      <c r="FY547" s="210">
        <v>542</v>
      </c>
      <c r="FZ547">
        <v>4.5823068680447001</v>
      </c>
      <c r="GA547">
        <v>7.1614967906082807</v>
      </c>
      <c r="GB547">
        <v>0.98263421521368643</v>
      </c>
      <c r="GC547">
        <v>0.73343413598737284</v>
      </c>
      <c r="GD547">
        <v>0.81719892024854213</v>
      </c>
      <c r="GE547">
        <v>1.3921072354403934</v>
      </c>
      <c r="GF547">
        <v>4.3624987451126556</v>
      </c>
      <c r="GG547">
        <v>3.1954456472175239</v>
      </c>
      <c r="GH547">
        <v>0.17282465026292085</v>
      </c>
      <c r="GI547">
        <v>3.7910049917323425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1.5624999999999998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10.282694327731091</v>
      </c>
      <c r="AO548">
        <v>17.692939128725307</v>
      </c>
      <c r="AP548">
        <v>154.04902868509379</v>
      </c>
      <c r="AQ548">
        <v>38.34868585251381</v>
      </c>
      <c r="AR548">
        <v>17.409051169503364</v>
      </c>
      <c r="AS548">
        <v>104.0003222240446</v>
      </c>
      <c r="AT548">
        <v>9.7968894037254675</v>
      </c>
      <c r="AU548">
        <v>-9.7283192496756481</v>
      </c>
      <c r="AV548"/>
      <c r="AW548"/>
      <c r="FY548" s="210">
        <v>543</v>
      </c>
      <c r="FZ548">
        <v>0.54272236659784878</v>
      </c>
      <c r="GA548">
        <v>4.9393043011058113</v>
      </c>
      <c r="GB548">
        <v>1.5187388996637234</v>
      </c>
      <c r="GC548">
        <v>1.0324454185429612</v>
      </c>
      <c r="GD548">
        <v>0.95555674404959845</v>
      </c>
      <c r="GE548">
        <v>1.0169496309919586</v>
      </c>
      <c r="GF548">
        <v>2.4217253169550736</v>
      </c>
      <c r="GG548">
        <v>1.5628049455265007</v>
      </c>
      <c r="GH548">
        <v>0</v>
      </c>
      <c r="GI548">
        <v>3.5266047090463473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11.93485206582633</v>
      </c>
      <c r="AO549">
        <v>17.763244013331871</v>
      </c>
      <c r="AP549">
        <v>152.36494578537005</v>
      </c>
      <c r="AQ549">
        <v>44.214521012960404</v>
      </c>
      <c r="AR549">
        <v>16.930454952314381</v>
      </c>
      <c r="AS549">
        <v>89.963777596815035</v>
      </c>
      <c r="AT549">
        <v>9.3973648720767944</v>
      </c>
      <c r="AU549">
        <v>18.086238866543454</v>
      </c>
      <c r="AV549"/>
      <c r="AW549"/>
      <c r="FY549" s="210">
        <v>544</v>
      </c>
      <c r="FZ549">
        <v>10.48350210764738</v>
      </c>
      <c r="GA549">
        <v>7.5151391627416375</v>
      </c>
      <c r="GB549">
        <v>0.26054257191297231</v>
      </c>
      <c r="GC549">
        <v>0.28772538390201685</v>
      </c>
      <c r="GD549">
        <v>0.33224094116429193</v>
      </c>
      <c r="GE549">
        <v>1.5777030563261529</v>
      </c>
      <c r="GF549">
        <v>3.1435511683729427</v>
      </c>
      <c r="GG549">
        <v>1.669419233570923</v>
      </c>
      <c r="GH549">
        <v>0.81723777082165783</v>
      </c>
      <c r="GI549">
        <v>4.118205086796884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10.2359652194211</v>
      </c>
      <c r="AO550">
        <v>19.101915529879108</v>
      </c>
      <c r="AP550">
        <v>184.97354936187514</v>
      </c>
      <c r="AQ550">
        <v>51.642456977977375</v>
      </c>
      <c r="AR550">
        <v>18.186176663991397</v>
      </c>
      <c r="AS550">
        <v>83.108329593092193</v>
      </c>
      <c r="AT550">
        <v>7.934030455474133</v>
      </c>
      <c r="AU550">
        <v>7.509978827046135</v>
      </c>
      <c r="AV550"/>
      <c r="AW550"/>
      <c r="FY550" s="210">
        <v>545</v>
      </c>
      <c r="FZ550">
        <v>8.8346101383228675</v>
      </c>
      <c r="GA550">
        <v>19.324216794169068</v>
      </c>
      <c r="GB550">
        <v>5.5516044387310739</v>
      </c>
      <c r="GC550">
        <v>0.47060690849065862</v>
      </c>
      <c r="GD550">
        <v>0.99829945874671666</v>
      </c>
      <c r="GE550">
        <v>1.9434679607798291</v>
      </c>
      <c r="GF550">
        <v>4.81983856780856</v>
      </c>
      <c r="GG550">
        <v>3.818311629430688</v>
      </c>
      <c r="GH550">
        <v>0.17282465026292085</v>
      </c>
      <c r="GI550">
        <v>5.137235799548562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10.599060457516339</v>
      </c>
      <c r="AO551">
        <v>22.666489790538805</v>
      </c>
      <c r="AP551">
        <v>208.36547571615537</v>
      </c>
      <c r="AQ551">
        <v>46.237790337822283</v>
      </c>
      <c r="AR551">
        <v>21.481580612884834</v>
      </c>
      <c r="AS551">
        <v>97.870488781600869</v>
      </c>
      <c r="AT551">
        <v>10.839319943154083</v>
      </c>
      <c r="AU551">
        <v>-50.757307165980478</v>
      </c>
      <c r="AV551"/>
      <c r="AW551"/>
      <c r="FY551" s="210">
        <v>546</v>
      </c>
      <c r="FZ551">
        <v>5.4071332287458427</v>
      </c>
      <c r="GA551">
        <v>12.929260476293006</v>
      </c>
      <c r="GB551">
        <v>3.964807701309625</v>
      </c>
      <c r="GC551">
        <v>0.71270346333338941</v>
      </c>
      <c r="GD551">
        <v>0.97134409704989433</v>
      </c>
      <c r="GE551">
        <v>1.777998789995866</v>
      </c>
      <c r="GF551">
        <v>4.7438768325096072</v>
      </c>
      <c r="GG551">
        <v>3.6196086286432112</v>
      </c>
      <c r="GH551">
        <v>0.40861888541082891</v>
      </c>
      <c r="GI551">
        <v>4.53307551718488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8.1745812908496731</v>
      </c>
      <c r="AO552">
        <v>13.361514662748124</v>
      </c>
      <c r="AP552">
        <v>91.010853692693331</v>
      </c>
      <c r="AQ552">
        <v>34.452808482743151</v>
      </c>
      <c r="AR552">
        <v>12.556376365549486</v>
      </c>
      <c r="AS552">
        <v>113.53450051623054</v>
      </c>
      <c r="AT552" t="e">
        <v>#DIV/0!</v>
      </c>
      <c r="AU552" t="e">
        <v>#DIV/0!</v>
      </c>
      <c r="AV552"/>
      <c r="AW552"/>
      <c r="FY552" s="210">
        <v>547</v>
      </c>
      <c r="FZ552">
        <v>3.1155994186846074</v>
      </c>
      <c r="GA552">
        <v>9.5622902187923025</v>
      </c>
      <c r="GB552">
        <v>3.0449833487907911</v>
      </c>
      <c r="GC552">
        <v>0.85351584506742617</v>
      </c>
      <c r="GD552">
        <v>1.0179559043056257</v>
      </c>
      <c r="GE552">
        <v>1.7412434540643775</v>
      </c>
      <c r="GF552">
        <v>4.2904320155658233</v>
      </c>
      <c r="GG552">
        <v>2.9972183587111387</v>
      </c>
      <c r="GH552">
        <v>0.3456493005258417</v>
      </c>
      <c r="GI552">
        <v>3.1886753559741763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10.137254901960782</v>
      </c>
      <c r="AO553">
        <v>17.396058034056445</v>
      </c>
      <c r="AP553">
        <v>128.36827421807135</v>
      </c>
      <c r="AQ553">
        <v>39.191142919084129</v>
      </c>
      <c r="AR553">
        <v>17.099956162343197</v>
      </c>
      <c r="AS553">
        <v>81.774157724824619</v>
      </c>
      <c r="AT553">
        <v>8.1053182531640307</v>
      </c>
      <c r="AU553">
        <v>-5.3096369642051329</v>
      </c>
      <c r="AV553"/>
      <c r="AW553"/>
      <c r="FY553" s="210">
        <v>548</v>
      </c>
      <c r="FZ553">
        <v>6.4555916125461508</v>
      </c>
      <c r="GA553">
        <v>18.201787642564817</v>
      </c>
      <c r="GB553">
        <v>5.7550416122591237</v>
      </c>
      <c r="GC553">
        <v>0.86259036439954373</v>
      </c>
      <c r="GD553">
        <v>0.59810702240834579</v>
      </c>
      <c r="GE553">
        <v>0.46472164167869334</v>
      </c>
      <c r="GF553">
        <v>7.3727960296325739</v>
      </c>
      <c r="GG553">
        <v>6.4494470706123881</v>
      </c>
      <c r="GH553">
        <v>0.17282465026292085</v>
      </c>
      <c r="GI553">
        <v>5.5468957066915312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9.5918679971988787</v>
      </c>
      <c r="AO554">
        <v>18.94426448985762</v>
      </c>
      <c r="AP554">
        <v>159.79465152919468</v>
      </c>
      <c r="AQ554">
        <v>44.697652570088401</v>
      </c>
      <c r="AR554">
        <v>17.656535784745891</v>
      </c>
      <c r="AS554">
        <v>202.11725176838016</v>
      </c>
      <c r="AT554">
        <v>8.9187640109385864</v>
      </c>
      <c r="AU554">
        <v>34.42388412689624</v>
      </c>
      <c r="AV554"/>
      <c r="AW554"/>
      <c r="FY554" s="210">
        <v>549</v>
      </c>
      <c r="FZ554">
        <v>7.3799570713472793</v>
      </c>
      <c r="GA554">
        <v>13.883162084047894</v>
      </c>
      <c r="GB554">
        <v>4.9770552188211106</v>
      </c>
      <c r="GC554">
        <v>0.70014875792507525</v>
      </c>
      <c r="GD554">
        <v>0.51327193116171776</v>
      </c>
      <c r="GE554">
        <v>1.136991799490408</v>
      </c>
      <c r="GF554">
        <v>3.9760629402590384</v>
      </c>
      <c r="GG554">
        <v>2.0572793953978019</v>
      </c>
      <c r="GH554">
        <v>0</v>
      </c>
      <c r="GI554">
        <v>4.9446729632527582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10.17703956582633</v>
      </c>
      <c r="AO555">
        <v>22.619366904931372</v>
      </c>
      <c r="AP555">
        <v>188.75489701719454</v>
      </c>
      <c r="AQ555">
        <v>35.226498613627797</v>
      </c>
      <c r="AR555">
        <v>20.987333629555003</v>
      </c>
      <c r="AS555">
        <v>89.97049639591971</v>
      </c>
      <c r="AT555">
        <v>12.389785042022973</v>
      </c>
      <c r="AU555">
        <v>-66.599282029754619</v>
      </c>
      <c r="AV555"/>
      <c r="AW555"/>
      <c r="FY555" s="210">
        <v>550</v>
      </c>
      <c r="FZ555">
        <v>4.0856217140275888</v>
      </c>
      <c r="GA555">
        <v>8.9642772899094414</v>
      </c>
      <c r="GB555">
        <v>2.534530523280389</v>
      </c>
      <c r="GC555">
        <v>1.0531760911969448</v>
      </c>
      <c r="GD555">
        <v>1.1899638536028878</v>
      </c>
      <c r="GE555">
        <v>1.1449042737910715</v>
      </c>
      <c r="GF555">
        <v>1.9277829113388256</v>
      </c>
      <c r="GG555">
        <v>2.1421164391447838</v>
      </c>
      <c r="GH555">
        <v>1.4616508913803949</v>
      </c>
      <c r="GI555">
        <v>3.0042010710083282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11.396555497198879</v>
      </c>
      <c r="AO556">
        <v>23.554283231442255</v>
      </c>
      <c r="AP556">
        <v>192.68578246716839</v>
      </c>
      <c r="AQ556">
        <v>40.406897747050031</v>
      </c>
      <c r="AR556">
        <v>22.306984951995766</v>
      </c>
      <c r="AS556">
        <v>270.40274491699569</v>
      </c>
      <c r="AT556" t="e">
        <v>#DIV/0!</v>
      </c>
      <c r="AU556" t="e">
        <v>#DIV/0!</v>
      </c>
      <c r="AV556"/>
      <c r="AW556"/>
      <c r="FY556" s="210">
        <v>551</v>
      </c>
      <c r="FZ556">
        <v>2.8338758006201989</v>
      </c>
      <c r="GA556">
        <v>10.359939504259625</v>
      </c>
      <c r="GB556">
        <v>3.312516916718403</v>
      </c>
      <c r="GC556">
        <v>0.31125322318396076</v>
      </c>
      <c r="GD556">
        <v>0.65146404885002263</v>
      </c>
      <c r="GE556">
        <v>1.9678205360034235</v>
      </c>
      <c r="GF556">
        <v>4.9938021814445408</v>
      </c>
      <c r="GG556">
        <v>3.9734601416232844</v>
      </c>
      <c r="GH556">
        <v>1.0530320059695661</v>
      </c>
      <c r="GI556">
        <v>3.9839426901251338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5.5348243464052285</v>
      </c>
      <c r="AO557">
        <v>12.083834499248677</v>
      </c>
      <c r="AP557">
        <v>94.274388705968875</v>
      </c>
      <c r="AQ557">
        <v>20.173553868631114</v>
      </c>
      <c r="AR557">
        <v>11.662854287581428</v>
      </c>
      <c r="AS557">
        <v>47.415921251513318</v>
      </c>
      <c r="AT557" t="e">
        <v>#DIV/0!</v>
      </c>
      <c r="AU557" t="e">
        <v>#DIV/0!</v>
      </c>
      <c r="AV557"/>
      <c r="AW557"/>
      <c r="FY557" s="210">
        <v>552</v>
      </c>
      <c r="FZ557">
        <v>2.8222017942745783</v>
      </c>
      <c r="GA557">
        <v>18.055925912421486</v>
      </c>
      <c r="GB557">
        <v>7.3580779161103251</v>
      </c>
      <c r="GC557">
        <v>0.82177442758901387</v>
      </c>
      <c r="GD557">
        <v>1.2041556567447245</v>
      </c>
      <c r="GE557">
        <v>1.9117002064741282</v>
      </c>
      <c r="GF557">
        <v>2.2545710722827899</v>
      </c>
      <c r="GG557">
        <v>1.5410277012290603</v>
      </c>
      <c r="GH557">
        <v>0.47158847029581613</v>
      </c>
      <c r="GI557">
        <v>5.0069494424246885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8.4792687908496731</v>
      </c>
      <c r="AO558">
        <v>20.785083073323555</v>
      </c>
      <c r="AP558">
        <v>160.13908284074827</v>
      </c>
      <c r="AQ558">
        <v>27.19095219986842</v>
      </c>
      <c r="AR558">
        <v>19.256259983180932</v>
      </c>
      <c r="AS558">
        <v>255.77395944869491</v>
      </c>
      <c r="AT558">
        <v>12.18425708826851</v>
      </c>
      <c r="AU558">
        <v>6.908982305943816</v>
      </c>
      <c r="AV558"/>
      <c r="AW558"/>
      <c r="FY558" s="210">
        <v>553</v>
      </c>
      <c r="FZ558">
        <v>12.874575015808603</v>
      </c>
      <c r="GA558">
        <v>18.475337902622794</v>
      </c>
      <c r="GB558">
        <v>5.0480667257782246</v>
      </c>
      <c r="GC558">
        <v>0.30024247835953194</v>
      </c>
      <c r="GD558">
        <v>0.74106166172890253</v>
      </c>
      <c r="GE558">
        <v>2.1403615714947231</v>
      </c>
      <c r="GF558">
        <v>4.494940754849635</v>
      </c>
      <c r="GG558">
        <v>2.749981133775488</v>
      </c>
      <c r="GH558">
        <v>0.3456493005258417</v>
      </c>
      <c r="GI558">
        <v>5.6238924263797303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7.8784722222222214</v>
      </c>
      <c r="AO559">
        <v>21.178386339536644</v>
      </c>
      <c r="AP559">
        <v>156.74119210938929</v>
      </c>
      <c r="AQ559">
        <v>17.516852332479825</v>
      </c>
      <c r="AR559">
        <v>19.658547246047142</v>
      </c>
      <c r="AS559">
        <v>93.439704710491327</v>
      </c>
      <c r="AT559" t="e">
        <v>#DIV/0!</v>
      </c>
      <c r="AU559" t="e">
        <v>#DIV/0!</v>
      </c>
      <c r="AV559"/>
      <c r="AW559"/>
      <c r="FY559" s="210">
        <v>554</v>
      </c>
      <c r="FZ559">
        <v>3.6009909423949833</v>
      </c>
      <c r="GA559">
        <v>10.633172567005557</v>
      </c>
      <c r="GB559">
        <v>3.9311179202025022</v>
      </c>
      <c r="GC559">
        <v>0.48394305490613754</v>
      </c>
      <c r="GD559">
        <v>1.0625765153178408</v>
      </c>
      <c r="GE559">
        <v>1.8718153458337845</v>
      </c>
      <c r="GF559">
        <v>4.0667974964555142</v>
      </c>
      <c r="GG559">
        <v>3.7965343851332478</v>
      </c>
      <c r="GH559">
        <v>0.81723777082165783</v>
      </c>
      <c r="GI559">
        <v>5.0184130838500938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12.210397700746965</v>
      </c>
      <c r="AO560">
        <v>15.955849503216323</v>
      </c>
      <c r="AP560">
        <v>124.12665698889569</v>
      </c>
      <c r="AQ560">
        <v>30.205266483256864</v>
      </c>
      <c r="AR560">
        <v>15.292163547362435</v>
      </c>
      <c r="AS560">
        <v>78.916749851104939</v>
      </c>
      <c r="AT560" t="e">
        <v>#DIV/0!</v>
      </c>
      <c r="AU560" t="e">
        <v>#DIV/0!</v>
      </c>
      <c r="AV560"/>
      <c r="AW560"/>
      <c r="FY560" s="210">
        <v>555</v>
      </c>
      <c r="FZ560">
        <v>6.3767751480499388</v>
      </c>
      <c r="GA560">
        <v>5.9651722192190517</v>
      </c>
      <c r="GB560">
        <v>0.42916715472396272</v>
      </c>
      <c r="GC560">
        <v>0.65671238675679877</v>
      </c>
      <c r="GD560">
        <v>0.62719276533524915</v>
      </c>
      <c r="GE560">
        <v>1.1558501477129757</v>
      </c>
      <c r="GF560">
        <v>2.7576867947009029</v>
      </c>
      <c r="GG560">
        <v>1.7397307020165371</v>
      </c>
      <c r="GH560">
        <v>0.58144353567374973</v>
      </c>
      <c r="GI560">
        <v>2.633513236392349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10.379194386087766</v>
      </c>
      <c r="AO561">
        <v>21.439347398320898</v>
      </c>
      <c r="AP561">
        <v>209.17274885305943</v>
      </c>
      <c r="AQ561">
        <v>51.071016346290939</v>
      </c>
      <c r="AR561">
        <v>20.412067143416003</v>
      </c>
      <c r="AS561">
        <v>93.696625629483705</v>
      </c>
      <c r="AT561">
        <v>13.460692049373934</v>
      </c>
      <c r="AU561">
        <v>10.485963230264373</v>
      </c>
      <c r="AV561"/>
      <c r="AW561"/>
      <c r="FY561" s="210">
        <v>556</v>
      </c>
      <c r="FZ561">
        <v>4.806699643221636</v>
      </c>
      <c r="GA561">
        <v>4.8654088813208318</v>
      </c>
      <c r="GB561">
        <v>0.84303249779470257</v>
      </c>
      <c r="GC561">
        <v>0.72844760027808997</v>
      </c>
      <c r="GD561">
        <v>0.68744043309533542</v>
      </c>
      <c r="GE561">
        <v>1.5494524133067253</v>
      </c>
      <c r="GF561">
        <v>5.7570741444965847</v>
      </c>
      <c r="GG561">
        <v>3.6899200970888253</v>
      </c>
      <c r="GH561">
        <v>0</v>
      </c>
      <c r="GI561">
        <v>4.7866100320184888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10.151143790849673</v>
      </c>
      <c r="AO562">
        <v>17.619210554357103</v>
      </c>
      <c r="AP562">
        <v>146.97353150406622</v>
      </c>
      <c r="AQ562">
        <v>39.068427620476157</v>
      </c>
      <c r="AR562">
        <v>16.819655712597388</v>
      </c>
      <c r="AS562">
        <v>84.378396917769351</v>
      </c>
      <c r="AT562">
        <v>8.9428904815627988</v>
      </c>
      <c r="AU562">
        <v>-9.8626704564607621</v>
      </c>
      <c r="AV562"/>
      <c r="AW562"/>
      <c r="FY562" s="210">
        <v>557</v>
      </c>
      <c r="FZ562">
        <v>2.2794794276767298</v>
      </c>
      <c r="GA562">
        <v>6.6681893806219925</v>
      </c>
      <c r="GB562">
        <v>2.5856705190648857</v>
      </c>
      <c r="GC562">
        <v>1.5100316206164572</v>
      </c>
      <c r="GD562">
        <v>1.1115420857330647</v>
      </c>
      <c r="GE562">
        <v>0.77307341031870958</v>
      </c>
      <c r="GF562">
        <v>1.3931084368759987</v>
      </c>
      <c r="GG562">
        <v>0.60108873791572359</v>
      </c>
      <c r="GH562">
        <v>0.47158847029581613</v>
      </c>
      <c r="GI562">
        <v>2.6754195305725661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12.545095121381884</v>
      </c>
      <c r="AO563">
        <v>16.300094471466629</v>
      </c>
      <c r="AP563">
        <v>137.75435429637869</v>
      </c>
      <c r="AQ563">
        <v>30.15756322048211</v>
      </c>
      <c r="AR563">
        <v>15.10397899635378</v>
      </c>
      <c r="AS563">
        <v>77.839121105651458</v>
      </c>
      <c r="AT563">
        <v>9.5160493554081906</v>
      </c>
      <c r="AU563">
        <v>-47.336158941118356</v>
      </c>
      <c r="AV563"/>
      <c r="AW563"/>
      <c r="FY563" s="210">
        <v>558</v>
      </c>
      <c r="FZ563">
        <v>3.0582685757971344</v>
      </c>
      <c r="GA563">
        <v>0.59801292888285995</v>
      </c>
      <c r="GB563">
        <v>0.54656390311277037</v>
      </c>
      <c r="GC563">
        <v>1.1246581611292248</v>
      </c>
      <c r="GD563">
        <v>0.9435617656861699</v>
      </c>
      <c r="GE563">
        <v>1.234632391522956</v>
      </c>
      <c r="GF563">
        <v>5.4332438632018345</v>
      </c>
      <c r="GG563">
        <v>4.3005546747526235</v>
      </c>
      <c r="GH563">
        <v>0.47158847029581613</v>
      </c>
      <c r="GI563">
        <v>3.4825672474188663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13.332939425770306</v>
      </c>
      <c r="AO564">
        <v>14.021422025377433</v>
      </c>
      <c r="AP564">
        <v>124.92925609572276</v>
      </c>
      <c r="AQ564">
        <v>51.879803353056083</v>
      </c>
      <c r="AR564">
        <v>13.445690272859158</v>
      </c>
      <c r="AS564">
        <v>99.284785055775501</v>
      </c>
      <c r="AT564">
        <v>7.3772247205781225</v>
      </c>
      <c r="AU564">
        <v>-31.683125404995252</v>
      </c>
      <c r="AV564"/>
      <c r="AW564"/>
      <c r="FY564" s="210">
        <v>559</v>
      </c>
      <c r="FZ564">
        <v>10.54121332657374</v>
      </c>
      <c r="GA564">
        <v>21.472196666574515</v>
      </c>
      <c r="GB564">
        <v>5.7538309640115024</v>
      </c>
      <c r="GC564">
        <v>0.52867024306928823</v>
      </c>
      <c r="GD564">
        <v>0.6826877738564916</v>
      </c>
      <c r="GE564">
        <v>1.847567527058261</v>
      </c>
      <c r="GF564">
        <v>3.252641818684884</v>
      </c>
      <c r="GG564">
        <v>1.4344134131846378</v>
      </c>
      <c r="GH564">
        <v>0.17282465026292085</v>
      </c>
      <c r="GI564">
        <v>5.3805697520128071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9.2248263888888893</v>
      </c>
      <c r="AO565">
        <v>17.105603689905593</v>
      </c>
      <c r="AP565">
        <v>140.55893591140384</v>
      </c>
      <c r="AQ565">
        <v>39.568602161703076</v>
      </c>
      <c r="AR565">
        <v>16.690442441596147</v>
      </c>
      <c r="AS565">
        <v>77.314801712959721</v>
      </c>
      <c r="AT565" t="e">
        <v>#DIV/0!</v>
      </c>
      <c r="AU565" t="e">
        <v>#DIV/0!</v>
      </c>
      <c r="AV565"/>
      <c r="AW565"/>
      <c r="FY565" s="210">
        <v>560</v>
      </c>
      <c r="FZ565">
        <v>6.841063662117655</v>
      </c>
      <c r="GA565">
        <v>20.978889256588229</v>
      </c>
      <c r="GB565">
        <v>7.5849307069161735</v>
      </c>
      <c r="GC565">
        <v>0.77425007279790292</v>
      </c>
      <c r="GD565">
        <v>0.47782080803884985</v>
      </c>
      <c r="GE565">
        <v>0.78346517004510108</v>
      </c>
      <c r="GF565">
        <v>4.139084819595424</v>
      </c>
      <c r="GG565">
        <v>3.1736684029200841</v>
      </c>
      <c r="GH565">
        <v>0.64441312055873701</v>
      </c>
      <c r="GI565">
        <v>4.9900039460034424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10.702315301120446</v>
      </c>
      <c r="AO566">
        <v>11.60552526363044</v>
      </c>
      <c r="AP566">
        <v>89.989333564538597</v>
      </c>
      <c r="AQ566">
        <v>27.508225058680654</v>
      </c>
      <c r="AR566">
        <v>10.89727154135395</v>
      </c>
      <c r="AS566">
        <v>60.58047029438017</v>
      </c>
      <c r="AT566">
        <v>4.360537074166035</v>
      </c>
      <c r="AU566">
        <v>-16.186544634620006</v>
      </c>
      <c r="AV566"/>
      <c r="AW566"/>
      <c r="FY566" s="210">
        <v>561</v>
      </c>
      <c r="FZ566">
        <v>7.7654291209187836</v>
      </c>
      <c r="GA566">
        <v>13.535716404204939</v>
      </c>
      <c r="GB566">
        <v>4.9957160817461048</v>
      </c>
      <c r="GC566">
        <v>1.2816038559067011</v>
      </c>
      <c r="GD566">
        <v>1.3223917185371994</v>
      </c>
      <c r="GE566">
        <v>1.2674638156739078</v>
      </c>
      <c r="GF566">
        <v>2.063721936075932</v>
      </c>
      <c r="GG566">
        <v>1.3641019447390237</v>
      </c>
      <c r="GH566">
        <v>0.58144353567374973</v>
      </c>
      <c r="GI566">
        <v>4.8975502131374249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9.056627859477123</v>
      </c>
      <c r="AO567">
        <v>11.138769446820751</v>
      </c>
      <c r="AP567">
        <v>93.546596389189034</v>
      </c>
      <c r="AQ567">
        <v>33.441107048798159</v>
      </c>
      <c r="AR567">
        <v>10.355362012424212</v>
      </c>
      <c r="AS567">
        <v>56.07373324142187</v>
      </c>
      <c r="AT567">
        <v>4.5045007133735089</v>
      </c>
      <c r="AU567">
        <v>-28.311637067965677</v>
      </c>
      <c r="AV567"/>
      <c r="AW567"/>
      <c r="FY567" s="210">
        <v>562</v>
      </c>
      <c r="FZ567">
        <v>6.1734876184428575</v>
      </c>
      <c r="GA567">
        <v>9.5088143059746812</v>
      </c>
      <c r="GB567">
        <v>1.0640077246378121</v>
      </c>
      <c r="GC567">
        <v>0.80200192821240912</v>
      </c>
      <c r="GD567">
        <v>1.1384570019147109</v>
      </c>
      <c r="GE567">
        <v>1.6851231245350817</v>
      </c>
      <c r="GF567">
        <v>3.2877857802946084</v>
      </c>
      <c r="GG567">
        <v>2.7282038894780474</v>
      </c>
      <c r="GH567">
        <v>0.47158847029581613</v>
      </c>
      <c r="GI567">
        <v>4.529583436953172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13.426835317460316</v>
      </c>
      <c r="AO568">
        <v>22.259721554432421</v>
      </c>
      <c r="AP568">
        <v>187.06884136257713</v>
      </c>
      <c r="AQ568">
        <v>41.447972599846608</v>
      </c>
      <c r="AR568">
        <v>20.792693600889848</v>
      </c>
      <c r="AS568">
        <v>282.99529543927537</v>
      </c>
      <c r="AT568" t="e">
        <v>#DIV/0!</v>
      </c>
      <c r="AU568" t="e">
        <v>#DIV/0!</v>
      </c>
      <c r="AV568"/>
      <c r="AW568"/>
      <c r="FY568" s="210">
        <v>563</v>
      </c>
      <c r="FZ568">
        <v>8.1048639579095489</v>
      </c>
      <c r="GA568">
        <v>11.186152582099869</v>
      </c>
      <c r="GB568">
        <v>3.535825601419071</v>
      </c>
      <c r="GC568">
        <v>1.0763116655704625</v>
      </c>
      <c r="GD568">
        <v>1.304282879920426</v>
      </c>
      <c r="GE568">
        <v>2.3875641279461455</v>
      </c>
      <c r="GF568">
        <v>1.6297334728050652</v>
      </c>
      <c r="GG568">
        <v>0</v>
      </c>
      <c r="GH568">
        <v>0.3456493005258417</v>
      </c>
      <c r="GI568">
        <v>4.024259887748844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9.6113153594771212</v>
      </c>
      <c r="AO569">
        <v>17.869772651035312</v>
      </c>
      <c r="AP569">
        <v>164.63725865980152</v>
      </c>
      <c r="AQ569">
        <v>52.794108971323467</v>
      </c>
      <c r="AR569">
        <v>17.537621508770144</v>
      </c>
      <c r="AS569">
        <v>83.372686088051324</v>
      </c>
      <c r="AT569">
        <v>10.930071927408747</v>
      </c>
      <c r="AU569">
        <v>-97.850977073324003</v>
      </c>
      <c r="AV569"/>
      <c r="AW569"/>
      <c r="FY569" s="210">
        <v>564</v>
      </c>
      <c r="FZ569">
        <v>10.43784527110553</v>
      </c>
      <c r="GA569">
        <v>13.829686171230275</v>
      </c>
      <c r="GB569">
        <v>3.1880319561192341</v>
      </c>
      <c r="GC569">
        <v>0.6714188502956363</v>
      </c>
      <c r="GD569">
        <v>0.51737205052886792</v>
      </c>
      <c r="GE569">
        <v>0.78122324722104497</v>
      </c>
      <c r="GF569">
        <v>1.1311932392560737</v>
      </c>
      <c r="GG569">
        <v>0.1769257564900365</v>
      </c>
      <c r="GH569">
        <v>0.23579423514790807</v>
      </c>
      <c r="GI569">
        <v>3.2406642108931498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9.1191278594771212</v>
      </c>
      <c r="AO570">
        <v>19.784215907663096</v>
      </c>
      <c r="AP570">
        <v>151.59458501405891</v>
      </c>
      <c r="AQ570">
        <v>35.282599081921319</v>
      </c>
      <c r="AR570">
        <v>18.92201754028844</v>
      </c>
      <c r="AS570">
        <v>83.240306368247403</v>
      </c>
      <c r="AT570" t="e">
        <v>#DIV/0!</v>
      </c>
      <c r="AU570" t="e">
        <v>#DIV/0!</v>
      </c>
      <c r="AV570"/>
      <c r="AW570"/>
      <c r="FY570" s="210">
        <v>565</v>
      </c>
      <c r="FZ570">
        <v>4.2798606163765163</v>
      </c>
      <c r="GA570">
        <v>22.816312077533702</v>
      </c>
      <c r="GB570">
        <v>7.3295780458644249</v>
      </c>
      <c r="GC570">
        <v>0.62995750498766934</v>
      </c>
      <c r="GD570">
        <v>1.0077546069344008</v>
      </c>
      <c r="GE570">
        <v>2.0832357414746761</v>
      </c>
      <c r="GF570">
        <v>4.4756930445358272</v>
      </c>
      <c r="GG570">
        <v>3.232224179097424</v>
      </c>
      <c r="GH570">
        <v>0.64441312055873701</v>
      </c>
      <c r="GI570">
        <v>5.9579033579042804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8.7508242880485536</v>
      </c>
      <c r="AO571">
        <v>19.975097991570514</v>
      </c>
      <c r="AP571">
        <v>151.32075960308913</v>
      </c>
      <c r="AQ571">
        <v>22.923244090581512</v>
      </c>
      <c r="AR571">
        <v>18.608781189992435</v>
      </c>
      <c r="AS571">
        <v>77.746755844435143</v>
      </c>
      <c r="AT571">
        <v>10.04416728625487</v>
      </c>
      <c r="AU571">
        <v>-58.895211968861801</v>
      </c>
      <c r="AV571"/>
      <c r="AW571"/>
      <c r="FY571" s="210">
        <v>566</v>
      </c>
      <c r="FZ571">
        <v>4.910067698689847</v>
      </c>
      <c r="GA571">
        <v>18.201787642564817</v>
      </c>
      <c r="GB571">
        <v>5.7737024751841197</v>
      </c>
      <c r="GC571">
        <v>0.93872632632361119</v>
      </c>
      <c r="GD571">
        <v>0.86584570148471118</v>
      </c>
      <c r="GE571">
        <v>1.4246509485998333</v>
      </c>
      <c r="GF571">
        <v>1.9786750785399971</v>
      </c>
      <c r="GG571">
        <v>0.49447444987130124</v>
      </c>
      <c r="GH571">
        <v>0.17282465026292085</v>
      </c>
      <c r="GI571">
        <v>3.6436948022742754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9.0095486111111125</v>
      </c>
      <c r="AO572">
        <v>20.776769769040818</v>
      </c>
      <c r="AP572">
        <v>156.89213143173578</v>
      </c>
      <c r="AQ572">
        <v>27.714085742621222</v>
      </c>
      <c r="AR572">
        <v>19.637718014959631</v>
      </c>
      <c r="AS572">
        <v>89.345704258431326</v>
      </c>
      <c r="AT572" t="e">
        <v>#DIV/0!</v>
      </c>
      <c r="AU572" t="e">
        <v>#DIV/0!</v>
      </c>
      <c r="AV572"/>
      <c r="AW572"/>
      <c r="FY572" s="210">
        <v>567</v>
      </c>
      <c r="FZ572">
        <v>7.8645878429798852</v>
      </c>
      <c r="GA572">
        <v>11.26036519919689</v>
      </c>
      <c r="GB572">
        <v>2.6205709484196316</v>
      </c>
      <c r="GC572">
        <v>1.0998395048524063</v>
      </c>
      <c r="GD572">
        <v>0.75105103333498113</v>
      </c>
      <c r="GE572">
        <v>0.76112244110395311</v>
      </c>
      <c r="GF572">
        <v>3.5642393186379424</v>
      </c>
      <c r="GG572">
        <v>2.4324324403942232</v>
      </c>
      <c r="GH572">
        <v>0.58144353567374973</v>
      </c>
      <c r="GI572">
        <v>3.9582672179680918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9.7783978174603163</v>
      </c>
      <c r="AO573">
        <v>12.614630640248466</v>
      </c>
      <c r="AP573">
        <v>91.765795698026167</v>
      </c>
      <c r="AQ573">
        <v>20.069191619691946</v>
      </c>
      <c r="AR573">
        <v>11.783270040891598</v>
      </c>
      <c r="AS573">
        <v>120.45207933433265</v>
      </c>
      <c r="AT573" t="e">
        <v>#DIV/0!</v>
      </c>
      <c r="AU573" t="e">
        <v>#DIV/0!</v>
      </c>
      <c r="AV573"/>
      <c r="AW573"/>
      <c r="FY573" s="210">
        <v>568</v>
      </c>
      <c r="FZ573">
        <v>8.8346101383228675</v>
      </c>
      <c r="GA573">
        <v>10.306463591442004</v>
      </c>
      <c r="GB573">
        <v>1.5547621386284054</v>
      </c>
      <c r="GC573">
        <v>0.59670973787617076</v>
      </c>
      <c r="GD573">
        <v>0.65257753808216901</v>
      </c>
      <c r="GE573">
        <v>1.7227022626335491</v>
      </c>
      <c r="GF573">
        <v>6.3720401423463979</v>
      </c>
      <c r="GG573">
        <v>4.6879391242984099</v>
      </c>
      <c r="GH573">
        <v>0.40861888541082891</v>
      </c>
      <c r="GI573">
        <v>4.5286885559022059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8.5373263888888893</v>
      </c>
      <c r="AO574">
        <v>19.032131569293938</v>
      </c>
      <c r="AP574">
        <v>107.75227226191711</v>
      </c>
      <c r="AQ574">
        <v>21.193651981800258</v>
      </c>
      <c r="AR574">
        <v>18.089415085287918</v>
      </c>
      <c r="AS574">
        <v>79.357727148884962</v>
      </c>
      <c r="AT574" t="e">
        <v>#DIV/0!</v>
      </c>
      <c r="AU574" t="e">
        <v>#DIV/0!</v>
      </c>
      <c r="AV574"/>
      <c r="AW574"/>
      <c r="FY574" s="210">
        <v>569</v>
      </c>
      <c r="FZ574">
        <v>3.3188869482916896</v>
      </c>
      <c r="GA574">
        <v>18.623128742192751</v>
      </c>
      <c r="GB574">
        <v>6.2562458673544157</v>
      </c>
      <c r="GC574">
        <v>0.77141529521914332</v>
      </c>
      <c r="GD574">
        <v>0.6932569622760727</v>
      </c>
      <c r="GE574">
        <v>1.6942608441060218</v>
      </c>
      <c r="GF574">
        <v>4.4783754172955224</v>
      </c>
      <c r="GG574">
        <v>2.1271151515623243</v>
      </c>
      <c r="GH574">
        <v>0.3456493005258417</v>
      </c>
      <c r="GI574">
        <v>4.5666523380522897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14.651267798786183</v>
      </c>
      <c r="AO575">
        <v>17.351799402611121</v>
      </c>
      <c r="AP575">
        <v>158.41428926538964</v>
      </c>
      <c r="AQ575">
        <v>51.066616135289038</v>
      </c>
      <c r="AR575">
        <v>16.58226700449358</v>
      </c>
      <c r="AS575">
        <v>94.105038338364579</v>
      </c>
      <c r="AT575">
        <v>9.1167037237930071</v>
      </c>
      <c r="AU575">
        <v>-35.20181130019823</v>
      </c>
      <c r="AV575"/>
      <c r="AW575"/>
      <c r="FY575" s="210">
        <v>570</v>
      </c>
      <c r="FZ575">
        <v>10.010925718399282</v>
      </c>
      <c r="GA575">
        <v>16.253145413120322</v>
      </c>
      <c r="GB575">
        <v>5.7550416122591237</v>
      </c>
      <c r="GC575">
        <v>0.51816887423256885</v>
      </c>
      <c r="GD575">
        <v>0.36880210992001877</v>
      </c>
      <c r="GE575">
        <v>0.59633918027330557</v>
      </c>
      <c r="GF575">
        <v>4.3757990581185231</v>
      </c>
      <c r="GG575">
        <v>3.7965343851332478</v>
      </c>
      <c r="GH575">
        <v>0.47158847029581613</v>
      </c>
      <c r="GI575">
        <v>4.8520227112539436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17.390603116246499</v>
      </c>
      <c r="AO576">
        <v>19.199087118303055</v>
      </c>
      <c r="AP576">
        <v>169.87573472484291</v>
      </c>
      <c r="AQ576">
        <v>50.387589965581597</v>
      </c>
      <c r="AR576">
        <v>18.321134293439457</v>
      </c>
      <c r="AS576">
        <v>229.55294583569946</v>
      </c>
      <c r="AT576">
        <v>9.1461213692253356</v>
      </c>
      <c r="AU576">
        <v>-38.189333232991622</v>
      </c>
      <c r="AV576"/>
      <c r="AW576"/>
      <c r="FY576" s="210">
        <v>571</v>
      </c>
      <c r="FZ576">
        <v>6.1738679944817427</v>
      </c>
      <c r="GA576">
        <v>8.2097133251155068</v>
      </c>
      <c r="GB576">
        <v>1.6210188912327164</v>
      </c>
      <c r="GC576">
        <v>1.0477972905792357</v>
      </c>
      <c r="GD576">
        <v>0.92396710444213759</v>
      </c>
      <c r="GE576">
        <v>1.1670505968607989</v>
      </c>
      <c r="GF576">
        <v>5.3047191982805986</v>
      </c>
      <c r="GG576">
        <v>4.5963261238364481</v>
      </c>
      <c r="GH576">
        <v>1.2258566562324869</v>
      </c>
      <c r="GI576">
        <v>3.6936691375610926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14.140333216619982</v>
      </c>
      <c r="AO577">
        <v>21.414128810946874</v>
      </c>
      <c r="AP577">
        <v>186.60133176194827</v>
      </c>
      <c r="AQ577">
        <v>39.075138626613764</v>
      </c>
      <c r="AR577">
        <v>20.866085399424797</v>
      </c>
      <c r="AS577">
        <v>106.49399223657683</v>
      </c>
      <c r="AT577">
        <v>12.665728810398733</v>
      </c>
      <c r="AU577">
        <v>-99.288325100220831</v>
      </c>
      <c r="AV577"/>
      <c r="AW577"/>
      <c r="FY577" s="210">
        <v>572</v>
      </c>
      <c r="FZ577">
        <v>5.3072137546069706</v>
      </c>
      <c r="GA577">
        <v>15.652886177498793</v>
      </c>
      <c r="GB577">
        <v>3.7788207424589482</v>
      </c>
      <c r="GC577">
        <v>0.72410647306624421</v>
      </c>
      <c r="GD577">
        <v>0.8941381954557317</v>
      </c>
      <c r="GE577">
        <v>1.4797256313039242</v>
      </c>
      <c r="GF577">
        <v>3.5926603457536146</v>
      </c>
      <c r="GG577">
        <v>2.3743523764979746</v>
      </c>
      <c r="GH577">
        <v>0</v>
      </c>
      <c r="GI577">
        <v>4.6307748875522439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11.233010912698415</v>
      </c>
      <c r="AO578">
        <v>19.65329258334943</v>
      </c>
      <c r="AP578">
        <v>152.52097983014855</v>
      </c>
      <c r="AQ578">
        <v>31.389053280739198</v>
      </c>
      <c r="AR578">
        <v>18.199645576990164</v>
      </c>
      <c r="AS578">
        <v>93.109662058194075</v>
      </c>
      <c r="AT578" t="e">
        <v>#DIV/0!</v>
      </c>
      <c r="AU578" t="e">
        <v>#DIV/0!</v>
      </c>
      <c r="AV578"/>
      <c r="AW578"/>
      <c r="FY578" s="210">
        <v>573</v>
      </c>
      <c r="FZ578">
        <v>10.289643581337339</v>
      </c>
      <c r="GA578">
        <v>21.694200123241497</v>
      </c>
      <c r="GB578">
        <v>6.2959010510619642</v>
      </c>
      <c r="GC578">
        <v>0.76298618438446286</v>
      </c>
      <c r="GD578">
        <v>0.97677217491616608</v>
      </c>
      <c r="GE578">
        <v>1.7983692840844245</v>
      </c>
      <c r="GF578">
        <v>3.4799844858766633</v>
      </c>
      <c r="GG578">
        <v>2.4809666645423967</v>
      </c>
      <c r="GH578">
        <v>0.47158847029581613</v>
      </c>
      <c r="GI578">
        <v>5.2408629151170114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15.227758811858076</v>
      </c>
      <c r="AO579">
        <v>15.919500809861409</v>
      </c>
      <c r="AP579">
        <v>143.35802608930095</v>
      </c>
      <c r="AQ579">
        <v>33.594643475945269</v>
      </c>
      <c r="AR579">
        <v>15.673054822329814</v>
      </c>
      <c r="AS579">
        <v>94.702954114214577</v>
      </c>
      <c r="AT579" t="e">
        <v>#DIV/0!</v>
      </c>
      <c r="AU579" t="e">
        <v>#DIV/0!</v>
      </c>
      <c r="AV579"/>
      <c r="AW579"/>
      <c r="FY579" s="210">
        <v>574</v>
      </c>
      <c r="FZ579">
        <v>7.3166435705649127</v>
      </c>
      <c r="GA579">
        <v>14.604669642991567</v>
      </c>
      <c r="GB579">
        <v>3.1704939028041745</v>
      </c>
      <c r="GC579">
        <v>0.64810654365190445</v>
      </c>
      <c r="GD579">
        <v>1.0229191597762735</v>
      </c>
      <c r="GE579">
        <v>2.4091623723815805</v>
      </c>
      <c r="GF579">
        <v>3.5208022595658912</v>
      </c>
      <c r="GG579">
        <v>1.9166564585065737</v>
      </c>
      <c r="GH579">
        <v>0.64441312055873701</v>
      </c>
      <c r="GI579">
        <v>4.4234213214320404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7.8921130952380949</v>
      </c>
      <c r="AO580">
        <v>18.145676949675586</v>
      </c>
      <c r="AP580">
        <v>148.49644806358913</v>
      </c>
      <c r="AQ580">
        <v>34.210154988287755</v>
      </c>
      <c r="AR580">
        <v>17.684657626670479</v>
      </c>
      <c r="AS580">
        <v>126.1691580117446</v>
      </c>
      <c r="AT580" t="e">
        <v>#DIV/0!</v>
      </c>
      <c r="AU580" t="e">
        <v>#DIV/0!</v>
      </c>
      <c r="AV580"/>
      <c r="AW580"/>
      <c r="FY580" s="210">
        <v>575</v>
      </c>
      <c r="FZ580">
        <v>4.7644913880091213</v>
      </c>
      <c r="GA580">
        <v>10.15835555456</v>
      </c>
      <c r="GB580">
        <v>1.4838384703089775</v>
      </c>
      <c r="GC580">
        <v>1.3379871973917177</v>
      </c>
      <c r="GD580">
        <v>0.98105856066217711</v>
      </c>
      <c r="GE580">
        <v>0.49017918778104796</v>
      </c>
      <c r="GF580">
        <v>7.322444641041244</v>
      </c>
      <c r="GG580">
        <v>6.497981294760562</v>
      </c>
      <c r="GH580">
        <v>0.23579423514790807</v>
      </c>
      <c r="GI580">
        <v>3.5446927076215604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14.149779703548083</v>
      </c>
      <c r="AO581">
        <v>28.566138854334309</v>
      </c>
      <c r="AP581">
        <v>225.88316872675173</v>
      </c>
      <c r="AQ581">
        <v>52.456932295267649</v>
      </c>
      <c r="AR581">
        <v>26.900319209360319</v>
      </c>
      <c r="AS581">
        <v>217.38934197256839</v>
      </c>
      <c r="AT581">
        <v>12.385155605531837</v>
      </c>
      <c r="AU581">
        <v>-2.6176897059102799</v>
      </c>
      <c r="AV581"/>
      <c r="AW581"/>
      <c r="FY581" s="210">
        <v>576</v>
      </c>
      <c r="FZ581">
        <v>13.026986038983903</v>
      </c>
      <c r="GA581">
        <v>9.9590179115990445</v>
      </c>
      <c r="GB581">
        <v>1.5397332204462773</v>
      </c>
      <c r="GC581">
        <v>0.55360601042538993</v>
      </c>
      <c r="GD581">
        <v>0.31744591710306225</v>
      </c>
      <c r="GE581">
        <v>1.3091779789719813</v>
      </c>
      <c r="GF581">
        <v>2.2569099129329482</v>
      </c>
      <c r="GG581">
        <v>0.24723722493565062</v>
      </c>
      <c r="GH581">
        <v>0</v>
      </c>
      <c r="GI581">
        <v>3.5818625476823036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12.474432481325861</v>
      </c>
      <c r="AO582">
        <v>13.503057544637613</v>
      </c>
      <c r="AP582">
        <v>119.00810573773484</v>
      </c>
      <c r="AQ582">
        <v>38.404449773795434</v>
      </c>
      <c r="AR582">
        <v>12.566516042744015</v>
      </c>
      <c r="AS582">
        <v>133.83409619257316</v>
      </c>
      <c r="AT582">
        <v>7.0579344509968633</v>
      </c>
      <c r="AU582">
        <v>-40.49845635998328</v>
      </c>
      <c r="AV582"/>
      <c r="AW582"/>
      <c r="FY582" s="210">
        <v>577</v>
      </c>
      <c r="FZ582">
        <v>4.806699643221636</v>
      </c>
      <c r="GA582">
        <v>10.359939504259625</v>
      </c>
      <c r="GB582">
        <v>3.1217752035149227</v>
      </c>
      <c r="GC582">
        <v>0.56884077138238098</v>
      </c>
      <c r="GD582">
        <v>0.57916733316029445</v>
      </c>
      <c r="GE582">
        <v>1.030398038525058</v>
      </c>
      <c r="GF582">
        <v>1.2924224256840391</v>
      </c>
      <c r="GG582">
        <v>0.60108873791572359</v>
      </c>
      <c r="GH582">
        <v>0.64441312055873701</v>
      </c>
      <c r="GI582">
        <v>3.7910658276405886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11.275129843604105</v>
      </c>
      <c r="AO583">
        <v>22.352591474290438</v>
      </c>
      <c r="AP583">
        <v>170.0507601317492</v>
      </c>
      <c r="AQ583">
        <v>34.893919482561756</v>
      </c>
      <c r="AR583">
        <v>21.16507450978267</v>
      </c>
      <c r="AS583">
        <v>202.70655910272365</v>
      </c>
      <c r="AT583">
        <v>13.550310744708291</v>
      </c>
      <c r="AU583">
        <v>-25.657504622922076</v>
      </c>
      <c r="AV583"/>
      <c r="AW583"/>
      <c r="FY583" s="210">
        <v>578</v>
      </c>
      <c r="FZ583">
        <v>1.7944682800052389</v>
      </c>
      <c r="GA583">
        <v>3.7429797297165819</v>
      </c>
      <c r="GB583">
        <v>0.90928925039901354</v>
      </c>
      <c r="GC583">
        <v>0.63623485769182642</v>
      </c>
      <c r="GD583">
        <v>1.0060563331918404</v>
      </c>
      <c r="GE583">
        <v>1.3784886103238367</v>
      </c>
      <c r="GF583">
        <v>2.5477014898378925</v>
      </c>
      <c r="GG583">
        <v>2.0572793953978019</v>
      </c>
      <c r="GH583">
        <v>0.17282465026292085</v>
      </c>
      <c r="GI583">
        <v>3.9512472069177069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9.6916943860877662</v>
      </c>
      <c r="AO584">
        <v>16.350526584964591</v>
      </c>
      <c r="AP584">
        <v>116.54626849864243</v>
      </c>
      <c r="AQ584">
        <v>39.665112114943014</v>
      </c>
      <c r="AR584">
        <v>15.646444792175149</v>
      </c>
      <c r="AS584">
        <v>75.413237136725698</v>
      </c>
      <c r="AT584">
        <v>7.1485741302464527</v>
      </c>
      <c r="AU584">
        <v>14.107713132770391</v>
      </c>
      <c r="AV584"/>
      <c r="AW584"/>
      <c r="FY584" s="210">
        <v>579</v>
      </c>
      <c r="FZ584">
        <v>12.331852649210756</v>
      </c>
      <c r="GA584">
        <v>13.379482565605908</v>
      </c>
      <c r="GB584">
        <v>3.1648013936748436</v>
      </c>
      <c r="GC584">
        <v>0.37150901565359989</v>
      </c>
      <c r="GD584">
        <v>0.38891178216151268</v>
      </c>
      <c r="GE584">
        <v>0.84454723721548008</v>
      </c>
      <c r="GF584">
        <v>4.6069251894047669</v>
      </c>
      <c r="GG584">
        <v>3.9467031617725512</v>
      </c>
      <c r="GH584">
        <v>0.17282465026292085</v>
      </c>
      <c r="GI584">
        <v>4.8170951184368684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9.8352736928104569</v>
      </c>
      <c r="AO585">
        <v>16.02035212474491</v>
      </c>
      <c r="AP585">
        <v>135.70212403845355</v>
      </c>
      <c r="AQ585">
        <v>42.874986866876071</v>
      </c>
      <c r="AR585">
        <v>14.881968121822768</v>
      </c>
      <c r="AS585">
        <v>134.91135539945921</v>
      </c>
      <c r="AT585">
        <v>9.1890468294173662</v>
      </c>
      <c r="AU585">
        <v>-125.89528029159789</v>
      </c>
      <c r="AV585"/>
      <c r="AW585"/>
      <c r="FY585" s="210">
        <v>580</v>
      </c>
      <c r="FZ585">
        <v>3.5428993474297403</v>
      </c>
      <c r="GA585">
        <v>11.533598261942824</v>
      </c>
      <c r="GB585">
        <v>3.2740723812584762</v>
      </c>
      <c r="GC585">
        <v>0.722170247573933</v>
      </c>
      <c r="GD585">
        <v>1.4862186696923259</v>
      </c>
      <c r="GE585">
        <v>2.9726877463260815</v>
      </c>
      <c r="GF585">
        <v>5.1759264935146527</v>
      </c>
      <c r="GG585">
        <v>4.1018516739651467</v>
      </c>
      <c r="GH585">
        <v>0.88020735570664521</v>
      </c>
      <c r="GI585">
        <v>5.0804638947616203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8.4331597222222232</v>
      </c>
      <c r="AO586">
        <v>15.030061832349933</v>
      </c>
      <c r="AP586">
        <v>128.28346834536217</v>
      </c>
      <c r="AQ586">
        <v>46.998367533006153</v>
      </c>
      <c r="AR586">
        <v>15.280580665110516</v>
      </c>
      <c r="AS586">
        <v>71.146855331487416</v>
      </c>
      <c r="AT586" t="e">
        <v>#DIV/0!</v>
      </c>
      <c r="AU586" t="e">
        <v>#DIV/0!</v>
      </c>
      <c r="AV586"/>
      <c r="AW586"/>
      <c r="FY586" s="210">
        <v>581</v>
      </c>
      <c r="FZ586">
        <v>7.0401418583176287</v>
      </c>
      <c r="GA586">
        <v>7.3608344335692344</v>
      </c>
      <c r="GB586">
        <v>0.90928925039901354</v>
      </c>
      <c r="GC586">
        <v>0.25293365620663288</v>
      </c>
      <c r="GD586">
        <v>0.86824804116334975</v>
      </c>
      <c r="GE586">
        <v>1.6929390685502324</v>
      </c>
      <c r="GF586">
        <v>3.082584607659828</v>
      </c>
      <c r="GG586">
        <v>2.9849869541617733</v>
      </c>
      <c r="GH586">
        <v>0.47158847029581613</v>
      </c>
      <c r="GI586">
        <v>4.4486942253700992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11.857697245564891</v>
      </c>
      <c r="AO587">
        <v>13.750464879204355</v>
      </c>
      <c r="AP587">
        <v>114.00698903878599</v>
      </c>
      <c r="AQ587">
        <v>33.963986318622766</v>
      </c>
      <c r="AR587">
        <v>13.263672157990527</v>
      </c>
      <c r="AS587">
        <v>133.34924386335439</v>
      </c>
      <c r="AT587">
        <v>5.8922737241071799</v>
      </c>
      <c r="AU587">
        <v>-17.237269255012336</v>
      </c>
      <c r="AV587"/>
      <c r="AW587"/>
      <c r="FY587" s="210">
        <v>582</v>
      </c>
      <c r="FZ587">
        <v>6.5133028314725081</v>
      </c>
      <c r="GA587">
        <v>6.6147134678043713</v>
      </c>
      <c r="GB587">
        <v>0.84657660389988343</v>
      </c>
      <c r="GC587">
        <v>0.24385913687451533</v>
      </c>
      <c r="GD587">
        <v>0.45750111680634153</v>
      </c>
      <c r="GE587">
        <v>1.2296301023495209</v>
      </c>
      <c r="GF587">
        <v>4.0992339781175335</v>
      </c>
      <c r="GG587">
        <v>3.3723714037075605</v>
      </c>
      <c r="GH587">
        <v>0.40861888541082891</v>
      </c>
      <c r="GI587">
        <v>2.9030378288972187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12.374255952380953</v>
      </c>
      <c r="AO588">
        <v>17.827212686116201</v>
      </c>
      <c r="AP588">
        <v>158.63950624190119</v>
      </c>
      <c r="AQ588">
        <v>38.434678584194444</v>
      </c>
      <c r="AR588">
        <v>16.53741452821501</v>
      </c>
      <c r="AS588">
        <v>96.253257281776499</v>
      </c>
      <c r="AT588" t="e">
        <v>#DIV/0!</v>
      </c>
      <c r="AU588" t="e">
        <v>#DIV/0!</v>
      </c>
      <c r="AV588"/>
      <c r="AW588"/>
      <c r="FY588" s="210">
        <v>583</v>
      </c>
      <c r="FZ588">
        <v>9.9113866202992966</v>
      </c>
      <c r="GA588">
        <v>19.229584670104686</v>
      </c>
      <c r="GB588">
        <v>7.6686376741978579</v>
      </c>
      <c r="GC588">
        <v>0.90049202350282975</v>
      </c>
      <c r="GD588">
        <v>0.95420158933903587</v>
      </c>
      <c r="GE588">
        <v>1.0343542756753896</v>
      </c>
      <c r="GF588">
        <v>2.3221515155545336</v>
      </c>
      <c r="GG588">
        <v>2.0568036831167102</v>
      </c>
      <c r="GH588">
        <v>0.58144353567374973</v>
      </c>
      <c r="GI588">
        <v>5.7267653923157864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11.321800595238093</v>
      </c>
      <c r="AO589">
        <v>18.215494834827474</v>
      </c>
      <c r="AP589">
        <v>165.46088344043312</v>
      </c>
      <c r="AQ589">
        <v>53.491274934857735</v>
      </c>
      <c r="AR589">
        <v>17.525451573118687</v>
      </c>
      <c r="AS589">
        <v>92.695623600901556</v>
      </c>
      <c r="AT589" t="e">
        <v>#DIV/0!</v>
      </c>
      <c r="AU589" t="e">
        <v>#DIV/0!</v>
      </c>
      <c r="AV589"/>
      <c r="AW589"/>
      <c r="FY589" s="210">
        <v>584</v>
      </c>
      <c r="FZ589">
        <v>6.1738679944817427</v>
      </c>
      <c r="GA589">
        <v>17.626141813764477</v>
      </c>
      <c r="GB589">
        <v>5.9411164097474876</v>
      </c>
      <c r="GC589">
        <v>1.0505944572071964</v>
      </c>
      <c r="GD589">
        <v>1.3098805391917407</v>
      </c>
      <c r="GE589">
        <v>2.058586884793753</v>
      </c>
      <c r="GF589">
        <v>3.7065351282937868</v>
      </c>
      <c r="GG589">
        <v>2.6093581968842599</v>
      </c>
      <c r="GH589">
        <v>0.47158847029581613</v>
      </c>
      <c r="GI589">
        <v>5.9235060685385381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12.404119981325866</v>
      </c>
      <c r="AO590">
        <v>13.977795436672181</v>
      </c>
      <c r="AP590">
        <v>123.62102364393097</v>
      </c>
      <c r="AQ590">
        <v>39.677288352233653</v>
      </c>
      <c r="AR590">
        <v>12.997069285373767</v>
      </c>
      <c r="AS590">
        <v>74.68759537383481</v>
      </c>
      <c r="AT590">
        <v>5.5600404037044671</v>
      </c>
      <c r="AU590">
        <v>7.3647996449497555</v>
      </c>
      <c r="AV590"/>
      <c r="AW590"/>
      <c r="FY590" s="210">
        <v>585</v>
      </c>
      <c r="FZ590">
        <v>6.6588791421532321</v>
      </c>
      <c r="GA590">
        <v>12.949679983260364</v>
      </c>
      <c r="GB590">
        <v>2.8502801922291474</v>
      </c>
      <c r="GC590">
        <v>0.32789591221510961</v>
      </c>
      <c r="GD590">
        <v>0.39706341308056037</v>
      </c>
      <c r="GE590">
        <v>1.1274996291076405</v>
      </c>
      <c r="GF590">
        <v>3.5688148075070631</v>
      </c>
      <c r="GG590">
        <v>2.8080611976717367</v>
      </c>
      <c r="GH590">
        <v>0.58144353567374973</v>
      </c>
      <c r="GI590">
        <v>5.5629196642391632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13.700644841269838</v>
      </c>
      <c r="AO591">
        <v>19.716993712051721</v>
      </c>
      <c r="AP591">
        <v>195.48785168815255</v>
      </c>
      <c r="AQ591">
        <v>36.816823237284311</v>
      </c>
      <c r="AR591">
        <v>18.261684278438494</v>
      </c>
      <c r="AS591">
        <v>118.84050217258003</v>
      </c>
      <c r="AT591" t="e">
        <v>#DIV/0!</v>
      </c>
      <c r="AU591" t="e">
        <v>#DIV/0!</v>
      </c>
      <c r="AV591"/>
      <c r="AW591"/>
      <c r="FY591" s="210">
        <v>586</v>
      </c>
      <c r="FZ591">
        <v>3.6006105663560986</v>
      </c>
      <c r="GA591">
        <v>13.903581591015254</v>
      </c>
      <c r="GB591">
        <v>3.8613170614930095</v>
      </c>
      <c r="GC591">
        <v>1.3561362360559528</v>
      </c>
      <c r="GD591">
        <v>1.3503280387367693</v>
      </c>
      <c r="GE591">
        <v>1.3735656388116666</v>
      </c>
      <c r="GF591">
        <v>4.6215974108494544</v>
      </c>
      <c r="GG591">
        <v>3.6196086286432112</v>
      </c>
      <c r="GH591">
        <v>0.23579423514790807</v>
      </c>
      <c r="GI591">
        <v>5.322576346540183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11.32998511904762</v>
      </c>
      <c r="AO592">
        <v>22.984619716152388</v>
      </c>
      <c r="AP592">
        <v>187.24565659894492</v>
      </c>
      <c r="AQ592">
        <v>32.791976763080555</v>
      </c>
      <c r="AR592">
        <v>22.638973311411799</v>
      </c>
      <c r="AS592">
        <v>117.7890741608603</v>
      </c>
      <c r="AT592" t="e">
        <v>#DIV/0!</v>
      </c>
      <c r="AU592" t="e">
        <v>#DIV/0!</v>
      </c>
      <c r="AV592"/>
      <c r="AW592"/>
      <c r="FY592" s="210">
        <v>587</v>
      </c>
      <c r="FZ592">
        <v>6.5710140503988672</v>
      </c>
      <c r="GA592">
        <v>6.6147134678043713</v>
      </c>
      <c r="GB592">
        <v>0.89892724793200229</v>
      </c>
      <c r="GC592">
        <v>1.0763116655704625</v>
      </c>
      <c r="GD592">
        <v>1.1043791695734317</v>
      </c>
      <c r="GE592">
        <v>1.2979563815173911</v>
      </c>
      <c r="GF592">
        <v>2.5577758833498354</v>
      </c>
      <c r="GG592">
        <v>1.6816506381202889</v>
      </c>
      <c r="GH592">
        <v>0.3456493005258417</v>
      </c>
      <c r="GI592">
        <v>4.5098174685181522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7.5764910130718945</v>
      </c>
      <c r="AO593">
        <v>19.580734007704912</v>
      </c>
      <c r="AP593">
        <v>166.71596376402022</v>
      </c>
      <c r="AQ593">
        <v>26.795810605863004</v>
      </c>
      <c r="AR593">
        <v>18.585614099452538</v>
      </c>
      <c r="AS593">
        <v>76.48608882987098</v>
      </c>
      <c r="AT593">
        <v>9.6949722933083411</v>
      </c>
      <c r="AU593">
        <v>-60.186564323224957</v>
      </c>
      <c r="AV593"/>
      <c r="AW593"/>
      <c r="FY593" s="210">
        <v>588</v>
      </c>
      <c r="FZ593">
        <v>3.0578881997582497</v>
      </c>
      <c r="GA593">
        <v>6.0390676390040312</v>
      </c>
      <c r="GB593">
        <v>1.0862126936679881</v>
      </c>
      <c r="GC593">
        <v>0.46587351637038699</v>
      </c>
      <c r="GD593">
        <v>0.61133201644862822</v>
      </c>
      <c r="GE593">
        <v>1.4850823712891867</v>
      </c>
      <c r="GF593">
        <v>5.3267834404775343</v>
      </c>
      <c r="GG593">
        <v>4.4679345914945863</v>
      </c>
      <c r="GH593">
        <v>0.70738270544372439</v>
      </c>
      <c r="GI593">
        <v>3.3875484889409124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9.4286735527544359</v>
      </c>
      <c r="AO594">
        <v>17.541127672372916</v>
      </c>
      <c r="AP594">
        <v>110.63543186898394</v>
      </c>
      <c r="AQ594">
        <v>18.196569803744662</v>
      </c>
      <c r="AR594">
        <v>16.365266624898041</v>
      </c>
      <c r="AS594">
        <v>74.686547936951897</v>
      </c>
      <c r="AT594">
        <v>8.1599299459839632</v>
      </c>
      <c r="AU594">
        <v>-15.160236704681115</v>
      </c>
      <c r="AV594"/>
      <c r="AW594"/>
      <c r="FY594" s="210">
        <v>589</v>
      </c>
      <c r="FZ594">
        <v>10.980567637703377</v>
      </c>
      <c r="GA594">
        <v>17.153571108057591</v>
      </c>
      <c r="GB594">
        <v>5.2201475760567089</v>
      </c>
      <c r="GC594">
        <v>0.5583394025456615</v>
      </c>
      <c r="GD594">
        <v>0.76767830503617429</v>
      </c>
      <c r="GE594">
        <v>1.8441830219255884</v>
      </c>
      <c r="GF594">
        <v>2.7901232763629222</v>
      </c>
      <c r="GG594">
        <v>1.3155677205908503</v>
      </c>
      <c r="GH594">
        <v>0</v>
      </c>
      <c r="GI594">
        <v>6.28252100910509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7.7205882352941186</v>
      </c>
      <c r="AO595">
        <v>26.342792177924423</v>
      </c>
      <c r="AP595">
        <v>195.19604389437401</v>
      </c>
      <c r="AQ595">
        <v>44.02465276339921</v>
      </c>
      <c r="AR595">
        <v>25.385079662449101</v>
      </c>
      <c r="AS595">
        <v>207.89425199977137</v>
      </c>
      <c r="AT595">
        <v>15.122354352757226</v>
      </c>
      <c r="AU595">
        <v>-5.9843587258038831</v>
      </c>
      <c r="AV595"/>
      <c r="AW595"/>
      <c r="FY595" s="210">
        <v>590</v>
      </c>
      <c r="FZ595">
        <v>6.1734876184428575</v>
      </c>
      <c r="GA595">
        <v>15.202682571874426</v>
      </c>
      <c r="GB595">
        <v>3.5124978227789585</v>
      </c>
      <c r="GC595">
        <v>0.43004411526913988</v>
      </c>
      <c r="GD595">
        <v>0.87434921916742414</v>
      </c>
      <c r="GE595">
        <v>2.0363436262406136</v>
      </c>
      <c r="GF595">
        <v>3.0933280874299678</v>
      </c>
      <c r="GG595">
        <v>1.8100421704621514</v>
      </c>
      <c r="GH595">
        <v>0.17282465026292085</v>
      </c>
      <c r="GI595">
        <v>4.4027453951781714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12.097076330532213</v>
      </c>
      <c r="AO596">
        <v>17.168438748457547</v>
      </c>
      <c r="AP596">
        <v>142.62443364483045</v>
      </c>
      <c r="AQ596">
        <v>38.770096072171441</v>
      </c>
      <c r="AR596">
        <v>15.912985037236423</v>
      </c>
      <c r="AS596">
        <v>90.542433270239783</v>
      </c>
      <c r="AT596">
        <v>7.1188748885864852</v>
      </c>
      <c r="AU596">
        <v>4.6043120216662921</v>
      </c>
      <c r="AV596"/>
      <c r="AW596"/>
      <c r="FY596" s="210">
        <v>591</v>
      </c>
      <c r="FZ596">
        <v>8.2504402685902747</v>
      </c>
      <c r="GA596">
        <v>2.5466551583273533</v>
      </c>
      <c r="GB596">
        <v>0.47676304440327844</v>
      </c>
      <c r="GC596">
        <v>1.4261119563551463</v>
      </c>
      <c r="GD596">
        <v>1.8608285410614147</v>
      </c>
      <c r="GE596">
        <v>2.2579184190062249</v>
      </c>
      <c r="GF596">
        <v>1.0841068752129899</v>
      </c>
      <c r="GG596">
        <v>0.42416298142568709</v>
      </c>
      <c r="GH596">
        <v>0.75426818593667067</v>
      </c>
      <c r="GI596">
        <v>4.2684558695851633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6.4982638888888884</v>
      </c>
      <c r="AO597">
        <v>20.506357642927149</v>
      </c>
      <c r="AP597">
        <v>150.78587787135638</v>
      </c>
      <c r="AQ597">
        <v>29.112240565693611</v>
      </c>
      <c r="AR597">
        <v>19.461278928603225</v>
      </c>
      <c r="AS597">
        <v>200.26880726004376</v>
      </c>
      <c r="AT597" t="e">
        <v>#DIV/0!</v>
      </c>
      <c r="AU597" t="e">
        <v>#DIV/0!</v>
      </c>
      <c r="AV597"/>
      <c r="AW597"/>
      <c r="FY597" s="210">
        <v>592</v>
      </c>
      <c r="FZ597">
        <v>2.7920479214465703</v>
      </c>
      <c r="GA597">
        <v>12.382477153489098</v>
      </c>
      <c r="GB597">
        <v>4.0929246066516614</v>
      </c>
      <c r="GC597">
        <v>1.232222775751763</v>
      </c>
      <c r="GD597">
        <v>1.8957644281746173</v>
      </c>
      <c r="GE597">
        <v>2.8571354590369644</v>
      </c>
      <c r="GF597">
        <v>0.76311546486498916</v>
      </c>
      <c r="GG597">
        <v>0</v>
      </c>
      <c r="GH597">
        <v>0</v>
      </c>
      <c r="GI597">
        <v>4.8396019667596359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8.8598491479925308</v>
      </c>
      <c r="AO598">
        <v>17.070249409774764</v>
      </c>
      <c r="AP598">
        <v>146.08248285463793</v>
      </c>
      <c r="AQ598">
        <v>26.68884535534028</v>
      </c>
      <c r="AR598">
        <v>16.277054712936781</v>
      </c>
      <c r="AS598">
        <v>252.10582046114365</v>
      </c>
      <c r="AT598">
        <v>9.3393319840040139</v>
      </c>
      <c r="AU598">
        <v>48.239080556695292</v>
      </c>
      <c r="AV598"/>
      <c r="AW598"/>
      <c r="FY598" s="210">
        <v>593</v>
      </c>
      <c r="FZ598">
        <v>0.48501114767149078</v>
      </c>
      <c r="GA598">
        <v>2.5693209720333821</v>
      </c>
      <c r="GB598">
        <v>1.0488031291803113</v>
      </c>
      <c r="GC598">
        <v>0.62651492986227186</v>
      </c>
      <c r="GD598">
        <v>0.4336863740803687</v>
      </c>
      <c r="GE598">
        <v>0.67281529634351167</v>
      </c>
      <c r="GF598">
        <v>1.5658507887851372</v>
      </c>
      <c r="GG598">
        <v>0.91863743129698849</v>
      </c>
      <c r="GH598">
        <v>0.23579423514790807</v>
      </c>
      <c r="GI598">
        <v>1.6453166915626447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13.782694327731093</v>
      </c>
      <c r="AO599">
        <v>20.96033758505261</v>
      </c>
      <c r="AP599">
        <v>175.80008449602423</v>
      </c>
      <c r="AQ599">
        <v>50.385820979779872</v>
      </c>
      <c r="AR599">
        <v>20.88368918906437</v>
      </c>
      <c r="AS599">
        <v>226.17820442029083</v>
      </c>
      <c r="AT599">
        <v>10.495747316942392</v>
      </c>
      <c r="AU599">
        <v>-90.620248536788822</v>
      </c>
      <c r="AV599"/>
      <c r="AW599"/>
      <c r="FY599" s="210">
        <v>594</v>
      </c>
      <c r="FZ599">
        <v>3.6006105663560986</v>
      </c>
      <c r="GA599">
        <v>3.6690843099316024</v>
      </c>
      <c r="GB599">
        <v>0.28835478905735645</v>
      </c>
      <c r="GC599">
        <v>0.24385913687451533</v>
      </c>
      <c r="GD599">
        <v>0.62184759097891851</v>
      </c>
      <c r="GE599">
        <v>1.9098278472074459</v>
      </c>
      <c r="GF599">
        <v>2.8345496067099338</v>
      </c>
      <c r="GG599">
        <v>1.3155677205908503</v>
      </c>
      <c r="GH599">
        <v>0</v>
      </c>
      <c r="GI599">
        <v>2.9256601597818626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12.480654761904763</v>
      </c>
      <c r="AO600">
        <v>17.392175970631659</v>
      </c>
      <c r="AP600">
        <v>142.81982984227412</v>
      </c>
      <c r="AQ600">
        <v>46.871175963198795</v>
      </c>
      <c r="AR600">
        <v>16.568891452927144</v>
      </c>
      <c r="AS600">
        <v>90.662779855790987</v>
      </c>
      <c r="AT600" t="e">
        <v>#DIV/0!</v>
      </c>
      <c r="AU600" t="e">
        <v>#DIV/0!</v>
      </c>
      <c r="AV600"/>
      <c r="AW600"/>
      <c r="FY600" s="210">
        <v>595</v>
      </c>
      <c r="FZ600">
        <v>5.4071332287458427</v>
      </c>
      <c r="GA600">
        <v>14.082499727008848</v>
      </c>
      <c r="GB600">
        <v>5.2364749811241467</v>
      </c>
      <c r="GC600">
        <v>0.50273750206780976</v>
      </c>
      <c r="GD600">
        <v>0.70245432706598754</v>
      </c>
      <c r="GE600">
        <v>1.2979563815173911</v>
      </c>
      <c r="GF600">
        <v>8.5509724324713865</v>
      </c>
      <c r="GG600">
        <v>7.5177775662675881</v>
      </c>
      <c r="GH600">
        <v>0.17282465026292085</v>
      </c>
      <c r="GI600">
        <v>5.2749926537944134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9.8966576213818858</v>
      </c>
      <c r="AO601">
        <v>24.716001076223147</v>
      </c>
      <c r="AP601">
        <v>200.1679522500836</v>
      </c>
      <c r="AQ601">
        <v>36.832537477137762</v>
      </c>
      <c r="AR601">
        <v>23.474908871274593</v>
      </c>
      <c r="AS601">
        <v>152.28983412639897</v>
      </c>
      <c r="AT601">
        <v>12.213118281767953</v>
      </c>
      <c r="AU601">
        <v>-52.068051341666887</v>
      </c>
      <c r="AV601"/>
      <c r="AW601"/>
      <c r="FY601" s="210">
        <v>596</v>
      </c>
      <c r="FZ601">
        <v>5.3494220098194845</v>
      </c>
      <c r="GA601">
        <v>12.729922833332054</v>
      </c>
      <c r="GB601">
        <v>3.831171386491067</v>
      </c>
      <c r="GC601">
        <v>0.62586952136483476</v>
      </c>
      <c r="GD601">
        <v>0.642034759411233</v>
      </c>
      <c r="GE601">
        <v>0.79557124409776847</v>
      </c>
      <c r="GF601">
        <v>2.6214275849470323</v>
      </c>
      <c r="GG601">
        <v>2.0572793953978019</v>
      </c>
      <c r="GH601">
        <v>0.3456493005258417</v>
      </c>
      <c r="GI601">
        <v>3.4974799680454227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11.873883928571427</v>
      </c>
      <c r="AO602">
        <v>25.962389978263143</v>
      </c>
      <c r="AP602">
        <v>207.91624683953117</v>
      </c>
      <c r="AQ602">
        <v>39.2451157536495</v>
      </c>
      <c r="AR602">
        <v>24.08155020796584</v>
      </c>
      <c r="AS602">
        <v>108.2813458399866</v>
      </c>
      <c r="AT602" t="e">
        <v>#DIV/0!</v>
      </c>
      <c r="AU602" t="e">
        <v>#DIV/0!</v>
      </c>
      <c r="AV602"/>
      <c r="AW602"/>
      <c r="FY602" s="210">
        <v>597</v>
      </c>
      <c r="FZ602">
        <v>8.8346101383228675</v>
      </c>
      <c r="GA602">
        <v>13.63034852826932</v>
      </c>
      <c r="GB602">
        <v>3.0868747741601767</v>
      </c>
      <c r="GC602">
        <v>0.51181202139992732</v>
      </c>
      <c r="GD602">
        <v>0.67164147645279593</v>
      </c>
      <c r="GE602">
        <v>1.6922096967900655</v>
      </c>
      <c r="GF602">
        <v>5.0665379972495703</v>
      </c>
      <c r="GG602">
        <v>3.5492971601975971</v>
      </c>
      <c r="GH602">
        <v>0.81723777082165783</v>
      </c>
      <c r="GI602">
        <v>5.4718489410021984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12.502312383286647</v>
      </c>
      <c r="AO603">
        <v>17.575520929424137</v>
      </c>
      <c r="AP603">
        <v>121.43447163251504</v>
      </c>
      <c r="AQ603">
        <v>26.658195273310646</v>
      </c>
      <c r="AR603">
        <v>16.768128711648565</v>
      </c>
      <c r="AS603">
        <v>89.648962375017888</v>
      </c>
      <c r="AT603">
        <v>9.9831576334543897</v>
      </c>
      <c r="AU603">
        <v>-6.1423827322603168</v>
      </c>
      <c r="AV603"/>
      <c r="AW603"/>
      <c r="FY603" s="210">
        <v>598</v>
      </c>
      <c r="FZ603">
        <v>5.5893177487102639</v>
      </c>
      <c r="GA603">
        <v>5.2929466732391681</v>
      </c>
      <c r="GB603">
        <v>0.83033703747013288</v>
      </c>
      <c r="GC603">
        <v>0.61959216866067757</v>
      </c>
      <c r="GD603">
        <v>0.69723429967257022</v>
      </c>
      <c r="GE603">
        <v>1.590987383357626</v>
      </c>
      <c r="GF603">
        <v>3.0296763858327709</v>
      </c>
      <c r="GG603">
        <v>1.788264926164711</v>
      </c>
      <c r="GH603">
        <v>0.47158847029581613</v>
      </c>
      <c r="GI603">
        <v>2.6928099878152727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8.8270089285714288</v>
      </c>
      <c r="AO604">
        <v>16.321590755889829</v>
      </c>
      <c r="AP604">
        <v>111.88382497891227</v>
      </c>
      <c r="AQ604">
        <v>26.635105662895224</v>
      </c>
      <c r="AR604">
        <v>15.084080254878458</v>
      </c>
      <c r="AS604">
        <v>74.122944434769934</v>
      </c>
      <c r="AT604" t="e">
        <v>#DIV/0!</v>
      </c>
      <c r="AU604" t="e">
        <v>#DIV/0!</v>
      </c>
      <c r="AV604"/>
      <c r="AW604"/>
      <c r="FY604" s="210">
        <v>599</v>
      </c>
      <c r="FZ604">
        <v>7.5251530059891198</v>
      </c>
      <c r="GA604">
        <v>9.7308177626416636</v>
      </c>
      <c r="GB604">
        <v>1.6373462963001533</v>
      </c>
      <c r="GC604">
        <v>0.77640183092842618</v>
      </c>
      <c r="GD604">
        <v>1.3734760921898554</v>
      </c>
      <c r="GE604">
        <v>2.1427000246042924</v>
      </c>
      <c r="GF604">
        <v>0.5131901159300557</v>
      </c>
      <c r="GG604">
        <v>0.1769257564900365</v>
      </c>
      <c r="GH604">
        <v>0.58144353567374973</v>
      </c>
      <c r="GI604">
        <v>4.0451620411911033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10.929439484126982</v>
      </c>
      <c r="AO605">
        <v>20.29693636632166</v>
      </c>
      <c r="AP605">
        <v>143.65667691566955</v>
      </c>
      <c r="AQ605">
        <v>46.912699057383961</v>
      </c>
      <c r="AR605">
        <v>19.717804114206871</v>
      </c>
      <c r="AS605">
        <v>94.022559047288425</v>
      </c>
      <c r="AT605" t="e">
        <v>#DIV/0!</v>
      </c>
      <c r="AU605" t="e">
        <v>#DIV/0!</v>
      </c>
      <c r="AV605"/>
      <c r="AW605"/>
      <c r="FY605" s="210">
        <v>600</v>
      </c>
      <c r="FZ605">
        <v>4.4831481459835985</v>
      </c>
      <c r="GA605">
        <v>5.7142877728671042</v>
      </c>
      <c r="GB605">
        <v>1.2954302149630554</v>
      </c>
      <c r="GC605">
        <v>1.1997564496474293</v>
      </c>
      <c r="GD605">
        <v>0.87885876183064315</v>
      </c>
      <c r="GE605">
        <v>0.46783645883989988</v>
      </c>
      <c r="GF605">
        <v>4.7484523213787284</v>
      </c>
      <c r="GG605">
        <v>4.1721631424107617</v>
      </c>
      <c r="GH605">
        <v>0.81723777082165783</v>
      </c>
      <c r="GI605">
        <v>3.7734927861497827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11.977036647992533</v>
      </c>
      <c r="AO606">
        <v>17.656292233584789</v>
      </c>
      <c r="AP606">
        <v>154.03778600737422</v>
      </c>
      <c r="AQ606">
        <v>37.708345277106631</v>
      </c>
      <c r="AR606">
        <v>16.338237340792922</v>
      </c>
      <c r="AS606">
        <v>85.976285361137769</v>
      </c>
      <c r="AT606">
        <v>9.4138368472584784</v>
      </c>
      <c r="AU606">
        <v>-2.6932821511095608</v>
      </c>
      <c r="AV606"/>
      <c r="AW606"/>
      <c r="FY606" s="210">
        <v>601</v>
      </c>
      <c r="FZ606">
        <v>4.7648717640480074</v>
      </c>
      <c r="GA606">
        <v>7.64251049534424</v>
      </c>
      <c r="GB606">
        <v>2.7427224511612422</v>
      </c>
      <c r="GC606">
        <v>0.27606923058015087</v>
      </c>
      <c r="GD606">
        <v>0.57622304738539343</v>
      </c>
      <c r="GE606">
        <v>2.2417562322173175</v>
      </c>
      <c r="GF606">
        <v>6.9013471031654472</v>
      </c>
      <c r="GG606">
        <v>5.1121021057240972</v>
      </c>
      <c r="GH606">
        <v>0.81723777082165783</v>
      </c>
      <c r="GI606">
        <v>3.9341268850886162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14.6031089519141</v>
      </c>
      <c r="AO607">
        <v>20.847795108289837</v>
      </c>
      <c r="AP607">
        <v>147.88563598360565</v>
      </c>
      <c r="AQ607">
        <v>23.349711299904204</v>
      </c>
      <c r="AR607">
        <v>20.400979385286725</v>
      </c>
      <c r="AS607">
        <v>95.667060178163098</v>
      </c>
      <c r="AT607">
        <v>10.292502962183923</v>
      </c>
      <c r="AU607">
        <v>-163.54268209276279</v>
      </c>
      <c r="AV607"/>
      <c r="AW607"/>
      <c r="FY607" s="210">
        <v>602</v>
      </c>
      <c r="FZ607">
        <v>9.5138601883432852</v>
      </c>
      <c r="GA607">
        <v>12.507919376665072</v>
      </c>
      <c r="GB607">
        <v>3.4660247427095792</v>
      </c>
      <c r="GC607">
        <v>0.70836233612154365</v>
      </c>
      <c r="GD607">
        <v>0.39298571679222183</v>
      </c>
      <c r="GE607">
        <v>0.45153678503522904</v>
      </c>
      <c r="GF607">
        <v>3.6311392787926859</v>
      </c>
      <c r="GG607">
        <v>3.1038326467555613</v>
      </c>
      <c r="GH607">
        <v>0.47158847029581613</v>
      </c>
      <c r="GI607">
        <v>4.3834839350499388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13.35453869047619</v>
      </c>
      <c r="AO608">
        <v>16.564503305120553</v>
      </c>
      <c r="AP608">
        <v>129.21196501080962</v>
      </c>
      <c r="AQ608">
        <v>30.855289776175297</v>
      </c>
      <c r="AR608">
        <v>15.434178429343516</v>
      </c>
      <c r="AS608">
        <v>90.91029550003573</v>
      </c>
      <c r="AT608" t="e">
        <v>#DIV/0!</v>
      </c>
      <c r="AU608" t="e">
        <v>#DIV/0!</v>
      </c>
      <c r="AV608"/>
      <c r="AW608"/>
      <c r="FY608" s="210">
        <v>603</v>
      </c>
      <c r="FZ608">
        <v>4.8225829829743656</v>
      </c>
      <c r="GA608">
        <v>21.400230356216163</v>
      </c>
      <c r="GB608">
        <v>7.9790123774519826</v>
      </c>
      <c r="GC608">
        <v>0.44514284371640345</v>
      </c>
      <c r="GD608">
        <v>0.90256951543040964</v>
      </c>
      <c r="GE608">
        <v>2.5283374091317441</v>
      </c>
      <c r="GF608">
        <v>6.9622046119431404</v>
      </c>
      <c r="GG608">
        <v>4.8067848168921987</v>
      </c>
      <c r="GH608">
        <v>0.40861888541082891</v>
      </c>
      <c r="GI608">
        <v>7.5314088752789496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6.0208333333333339</v>
      </c>
      <c r="AO609">
        <v>13.558496655081038</v>
      </c>
      <c r="AP609">
        <v>104.81718499118284</v>
      </c>
      <c r="AQ609">
        <v>10.201750995964016</v>
      </c>
      <c r="AR609">
        <v>12.586356256957608</v>
      </c>
      <c r="AS609">
        <v>169.82992990292655</v>
      </c>
      <c r="AT609" t="e">
        <v>#DIV/0!</v>
      </c>
      <c r="AU609" t="e">
        <v>#DIV/0!</v>
      </c>
      <c r="AV609"/>
      <c r="AW609"/>
      <c r="FY609" s="210">
        <v>604</v>
      </c>
      <c r="FZ609">
        <v>7.2430490118858248</v>
      </c>
      <c r="GA609">
        <v>20.845321231695223</v>
      </c>
      <c r="GB609">
        <v>5.6166505430877631</v>
      </c>
      <c r="GC609">
        <v>0.62586952136483465</v>
      </c>
      <c r="GD609">
        <v>0.75237644833227368</v>
      </c>
      <c r="GE609">
        <v>1.0885875383903554</v>
      </c>
      <c r="GF609">
        <v>4.0992339781175335</v>
      </c>
      <c r="GG609">
        <v>3.1954456472175239</v>
      </c>
      <c r="GH609">
        <v>0.3456493005258417</v>
      </c>
      <c r="GI609">
        <v>5.3788823829659256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7.7297867063492065</v>
      </c>
      <c r="AO610">
        <v>21.341258149130141</v>
      </c>
      <c r="AP610">
        <v>149.8407532970017</v>
      </c>
      <c r="AQ610">
        <v>17.409361727488584</v>
      </c>
      <c r="AR610">
        <v>19.771755115840762</v>
      </c>
      <c r="AS610">
        <v>76.755429549725818</v>
      </c>
      <c r="AT610" t="e">
        <v>#DIV/0!</v>
      </c>
      <c r="AU610" t="e">
        <v>#DIV/0!</v>
      </c>
      <c r="AV610"/>
      <c r="AW610"/>
      <c r="FY610" s="210">
        <v>605</v>
      </c>
      <c r="FZ610">
        <v>6.3190639291235815</v>
      </c>
      <c r="GA610">
        <v>11.459702842157846</v>
      </c>
      <c r="GB610">
        <v>2.686827701023943</v>
      </c>
      <c r="GC610">
        <v>1.0816904661881714</v>
      </c>
      <c r="GD610">
        <v>1.0047309181945479</v>
      </c>
      <c r="GE610">
        <v>0.78742140719543308</v>
      </c>
      <c r="GF610">
        <v>0.68906918473908529</v>
      </c>
      <c r="GG610">
        <v>0.60108873791572359</v>
      </c>
      <c r="GH610">
        <v>0.99006242108457876</v>
      </c>
      <c r="GI610">
        <v>3.6021795819689277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9.7214562908496713</v>
      </c>
      <c r="AO611">
        <v>16.891538189665763</v>
      </c>
      <c r="AP611">
        <v>142.21489975649689</v>
      </c>
      <c r="AQ611">
        <v>48.745823450326327</v>
      </c>
      <c r="AR611">
        <v>16.163736749338234</v>
      </c>
      <c r="AS611">
        <v>95.08844264793106</v>
      </c>
      <c r="AT611">
        <v>8.9223045080283168</v>
      </c>
      <c r="AU611">
        <v>52.256902413654686</v>
      </c>
      <c r="AV611"/>
      <c r="AW611"/>
      <c r="FY611" s="210">
        <v>606</v>
      </c>
      <c r="FZ611">
        <v>5.7763415625257331</v>
      </c>
      <c r="GA611">
        <v>18.370315186414178</v>
      </c>
      <c r="GB611">
        <v>4.3125041304137408</v>
      </c>
      <c r="GC611">
        <v>0.65348534426961336</v>
      </c>
      <c r="GD611">
        <v>0.83651867349877818</v>
      </c>
      <c r="GE611">
        <v>1.324589645693955</v>
      </c>
      <c r="GF611">
        <v>4.2589962020375687</v>
      </c>
      <c r="GG611">
        <v>3.1954456472175239</v>
      </c>
      <c r="GH611">
        <v>0.17282465026292085</v>
      </c>
      <c r="GI611">
        <v>5.1871916934828306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8.1495098039215659</v>
      </c>
      <c r="AO612">
        <v>17.116605754953461</v>
      </c>
      <c r="AP612">
        <v>167.28206174752989</v>
      </c>
      <c r="AQ612">
        <v>32.495828003432543</v>
      </c>
      <c r="AR612">
        <v>16.399084182559129</v>
      </c>
      <c r="AS612">
        <v>85.292834328980703</v>
      </c>
      <c r="AT612">
        <v>10.752673931394293</v>
      </c>
      <c r="AU612">
        <v>-109.58880929877242</v>
      </c>
      <c r="AV612"/>
      <c r="AW612"/>
      <c r="FY612" s="210">
        <v>607</v>
      </c>
      <c r="FZ612">
        <v>5.3373676274349791</v>
      </c>
      <c r="GA612">
        <v>12.707257019626024</v>
      </c>
      <c r="GB612">
        <v>3.4113406408199016</v>
      </c>
      <c r="GC612">
        <v>0.24949108108123536</v>
      </c>
      <c r="GD612">
        <v>0.29850622785501102</v>
      </c>
      <c r="GE612">
        <v>1.1824834118895393</v>
      </c>
      <c r="GF612">
        <v>2.6408839386199485</v>
      </c>
      <c r="GG612">
        <v>1.4924934770808866</v>
      </c>
      <c r="GH612">
        <v>0.23579423514790807</v>
      </c>
      <c r="GI612">
        <v>3.5210772186150399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10.20655345471522</v>
      </c>
      <c r="AO613">
        <v>18.13051932760068</v>
      </c>
      <c r="AP613">
        <v>134.88312197985547</v>
      </c>
      <c r="AQ613">
        <v>43.332418504666173</v>
      </c>
      <c r="AR613">
        <v>17.311701546631969</v>
      </c>
      <c r="AS613">
        <v>84.421998763435099</v>
      </c>
      <c r="AT613">
        <v>7.9651337598503789</v>
      </c>
      <c r="AU613">
        <v>-26.240015232774397</v>
      </c>
      <c r="AV613"/>
      <c r="AW613"/>
      <c r="FY613" s="210">
        <v>608</v>
      </c>
      <c r="FZ613">
        <v>4.0558482172384656</v>
      </c>
      <c r="GA613">
        <v>3.3443044437946754</v>
      </c>
      <c r="GB613">
        <v>0.72684639765351744</v>
      </c>
      <c r="GC613">
        <v>0.3548663266224511</v>
      </c>
      <c r="GD613">
        <v>0.52986558785734905</v>
      </c>
      <c r="GE613">
        <v>1.371481760928017</v>
      </c>
      <c r="GF613">
        <v>2.5401979274279887</v>
      </c>
      <c r="GG613">
        <v>1.4924934770808866</v>
      </c>
      <c r="GH613">
        <v>0.40861888541082891</v>
      </c>
      <c r="GI613">
        <v>2.9415401620966417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11.639012896825397</v>
      </c>
      <c r="AO614">
        <v>9.9372323186077445</v>
      </c>
      <c r="AP614">
        <v>84.908560233823891</v>
      </c>
      <c r="AQ614">
        <v>22.602755081219012</v>
      </c>
      <c r="AR614">
        <v>9.6494302192501795</v>
      </c>
      <c r="AS614">
        <v>61.560013771666341</v>
      </c>
      <c r="AT614" t="e">
        <v>#DIV/0!</v>
      </c>
      <c r="AU614" t="e">
        <v>#DIV/0!</v>
      </c>
      <c r="AV614"/>
      <c r="AW614"/>
      <c r="FY614" s="210">
        <v>609</v>
      </c>
      <c r="FZ614">
        <v>7.5828642249154772</v>
      </c>
      <c r="GA614">
        <v>4.7915134615358523</v>
      </c>
      <c r="GB614">
        <v>0.29310954341015977</v>
      </c>
      <c r="GC614">
        <v>0.63318454747485475</v>
      </c>
      <c r="GD614">
        <v>1.0287175528859844</v>
      </c>
      <c r="GE614">
        <v>2.2702618556605638</v>
      </c>
      <c r="GF614">
        <v>4.4679808387668141</v>
      </c>
      <c r="GG614">
        <v>2.749981133775488</v>
      </c>
      <c r="GH614">
        <v>0.17282465026292085</v>
      </c>
      <c r="GI614">
        <v>3.508738080947305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8.6026348039215677</v>
      </c>
      <c r="AO615">
        <v>17.66154885906953</v>
      </c>
      <c r="AP615">
        <v>144.70180878443071</v>
      </c>
      <c r="AQ615">
        <v>28.502616461938445</v>
      </c>
      <c r="AR615">
        <v>16.892433761961833</v>
      </c>
      <c r="AS615">
        <v>73.922996127160772</v>
      </c>
      <c r="AT615" t="e">
        <v>#DIV/0!</v>
      </c>
      <c r="AU615" t="e">
        <v>#DIV/0!</v>
      </c>
      <c r="AV615"/>
      <c r="AW615"/>
      <c r="FY615" s="210">
        <v>610</v>
      </c>
      <c r="FZ615">
        <v>6.0743288963817541</v>
      </c>
      <c r="GA615">
        <v>24.74453480001084</v>
      </c>
      <c r="GB615">
        <v>8.743180500955491</v>
      </c>
      <c r="GC615">
        <v>0.32725050371767256</v>
      </c>
      <c r="GD615">
        <v>0.53241955950508191</v>
      </c>
      <c r="GE615">
        <v>1.7391014068262285</v>
      </c>
      <c r="GF615">
        <v>4.3498284133106635</v>
      </c>
      <c r="GG615">
        <v>2.749981133775488</v>
      </c>
      <c r="GH615">
        <v>0.3456493005258417</v>
      </c>
      <c r="GI615">
        <v>5.942555513952759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9.9687062324929983</v>
      </c>
      <c r="AO616">
        <v>15.327071276633836</v>
      </c>
      <c r="AP616">
        <v>97.405282230071847</v>
      </c>
      <c r="AQ616">
        <v>27.550663824892659</v>
      </c>
      <c r="AR616">
        <v>14.775340997207714</v>
      </c>
      <c r="AS616">
        <v>71.438435482241928</v>
      </c>
      <c r="AT616">
        <v>9.3175880978128749</v>
      </c>
      <c r="AU616">
        <v>194.24872609443776</v>
      </c>
      <c r="AV616"/>
      <c r="AW616"/>
      <c r="FY616" s="210">
        <v>611</v>
      </c>
      <c r="FZ616">
        <v>4.5245956491183428</v>
      </c>
      <c r="GA616">
        <v>15.225348385580457</v>
      </c>
      <c r="GB616">
        <v>4.0532694229441129</v>
      </c>
      <c r="GC616">
        <v>0.80122048720524441</v>
      </c>
      <c r="GD616">
        <v>0.69033509957998351</v>
      </c>
      <c r="GE616">
        <v>1.7557124748337747</v>
      </c>
      <c r="GF616">
        <v>6.2766210453453786</v>
      </c>
      <c r="GG616">
        <v>3.937157322024476</v>
      </c>
      <c r="GH616">
        <v>0</v>
      </c>
      <c r="GI616">
        <v>4.2438340763472135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13.313944327731093</v>
      </c>
      <c r="AO617">
        <v>18.516741400760129</v>
      </c>
      <c r="AP617">
        <v>140.80247704933873</v>
      </c>
      <c r="AQ617">
        <v>35.008967085536163</v>
      </c>
      <c r="AR617">
        <v>17.62135526661336</v>
      </c>
      <c r="AS617">
        <v>150.99650696201789</v>
      </c>
      <c r="AT617">
        <v>7.7604982596363543</v>
      </c>
      <c r="AU617">
        <v>-22.561322818555688</v>
      </c>
      <c r="AV617"/>
      <c r="AW617"/>
      <c r="FY617" s="210">
        <v>612</v>
      </c>
      <c r="FZ617">
        <v>12.232693927149654</v>
      </c>
      <c r="GA617">
        <v>11.932273547864732</v>
      </c>
      <c r="GB617">
        <v>3.5100765262837141</v>
      </c>
      <c r="GC617">
        <v>0.65133358613908987</v>
      </c>
      <c r="GD617">
        <v>1.1749776115205997</v>
      </c>
      <c r="GE617">
        <v>2.3140387485355203</v>
      </c>
      <c r="GF617">
        <v>3.1887695234946096</v>
      </c>
      <c r="GG617">
        <v>2.0568036831167102</v>
      </c>
      <c r="GH617">
        <v>0.40861888541082891</v>
      </c>
      <c r="GI617">
        <v>5.2216028679625159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10.890128968253968</v>
      </c>
      <c r="AO618">
        <v>20.473246897660161</v>
      </c>
      <c r="AP618">
        <v>183.66972627042995</v>
      </c>
      <c r="AQ618">
        <v>38.630733476560934</v>
      </c>
      <c r="AR618">
        <v>19.916352334313203</v>
      </c>
      <c r="AS618">
        <v>94.734855015949577</v>
      </c>
      <c r="AT618" t="e">
        <v>#DIV/0!</v>
      </c>
      <c r="AU618" t="e">
        <v>#DIV/0!</v>
      </c>
      <c r="AV618"/>
      <c r="AW618"/>
      <c r="FY618" s="210">
        <v>613</v>
      </c>
      <c r="FZ618">
        <v>7.9226794379451286</v>
      </c>
      <c r="GA618">
        <v>16.253145413120322</v>
      </c>
      <c r="GB618">
        <v>5.6677905388722589</v>
      </c>
      <c r="GC618">
        <v>0.38273529311624077</v>
      </c>
      <c r="GD618">
        <v>0.38968857115578176</v>
      </c>
      <c r="GE618">
        <v>0.578052564068397</v>
      </c>
      <c r="GF618">
        <v>2.7836574395087617</v>
      </c>
      <c r="GG618">
        <v>2.4324324403942232</v>
      </c>
      <c r="GH618">
        <v>0.23579423514790807</v>
      </c>
      <c r="GI618">
        <v>4.3005605168164989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14.312974147992529</v>
      </c>
      <c r="AO619">
        <v>23.627493448839108</v>
      </c>
      <c r="AP619">
        <v>193.7265151227023</v>
      </c>
      <c r="AQ619">
        <v>57.786892674446186</v>
      </c>
      <c r="AR619">
        <v>22.337527819544409</v>
      </c>
      <c r="AS619">
        <v>113.99661506135848</v>
      </c>
      <c r="AT619">
        <v>11.380751762209185</v>
      </c>
      <c r="AU619">
        <v>32.779641893467222</v>
      </c>
      <c r="AV619"/>
      <c r="AW619"/>
      <c r="FY619" s="210">
        <v>614</v>
      </c>
      <c r="FZ619">
        <v>2.8915870195465572</v>
      </c>
      <c r="GA619">
        <v>12.729922833332054</v>
      </c>
      <c r="GB619">
        <v>3.8299607382434449</v>
      </c>
      <c r="GC619">
        <v>0.89867290908980202</v>
      </c>
      <c r="GD619">
        <v>0.63328419458057783</v>
      </c>
      <c r="GE619">
        <v>1.1041931059071497</v>
      </c>
      <c r="GF619">
        <v>2.6391249816339544</v>
      </c>
      <c r="GG619">
        <v>1.2937904762934096</v>
      </c>
      <c r="GH619">
        <v>0.81723777082165783</v>
      </c>
      <c r="GI619">
        <v>3.1308530077716883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10.025377859477123</v>
      </c>
      <c r="AO620">
        <v>20.722859102656649</v>
      </c>
      <c r="AP620">
        <v>170.3414841999757</v>
      </c>
      <c r="AQ620">
        <v>49.191065603583098</v>
      </c>
      <c r="AR620">
        <v>19.272935571495893</v>
      </c>
      <c r="AS620">
        <v>199.92083193530868</v>
      </c>
      <c r="AT620">
        <v>12.391395941582275</v>
      </c>
      <c r="AU620">
        <v>-105.08842732647477</v>
      </c>
      <c r="AV620"/>
      <c r="AW620"/>
      <c r="FY620" s="210">
        <v>615</v>
      </c>
      <c r="FZ620">
        <v>11.220463376594157</v>
      </c>
      <c r="GA620">
        <v>16.826544935181992</v>
      </c>
      <c r="GB620">
        <v>3.982257915986998</v>
      </c>
      <c r="GC620">
        <v>0.95059801228368923</v>
      </c>
      <c r="GD620">
        <v>0.76996431283438749</v>
      </c>
      <c r="GE620">
        <v>1.067423062428013</v>
      </c>
      <c r="GF620">
        <v>2.1850110784319741</v>
      </c>
      <c r="GG620">
        <v>1.1168647198033732</v>
      </c>
      <c r="GH620">
        <v>0.75426818593667067</v>
      </c>
      <c r="GI620">
        <v>5.8063025885497499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10.54953752334267</v>
      </c>
      <c r="AO621">
        <v>10.574029643046321</v>
      </c>
      <c r="AP621">
        <v>64.374307491891145</v>
      </c>
      <c r="AQ621">
        <v>29.221837189591831</v>
      </c>
      <c r="AR621">
        <v>9.9387010036584318</v>
      </c>
      <c r="AS621">
        <v>57.897685876027168</v>
      </c>
      <c r="AT621">
        <v>3.651608704960156</v>
      </c>
      <c r="AU621">
        <v>11.441711331763527</v>
      </c>
      <c r="AV621"/>
      <c r="AW621"/>
      <c r="FY621" s="210">
        <v>616</v>
      </c>
      <c r="FZ621">
        <v>9.3467982560538214</v>
      </c>
      <c r="GA621">
        <v>15.90377062385074</v>
      </c>
      <c r="GB621">
        <v>2.9101363857246101</v>
      </c>
      <c r="GC621">
        <v>0.50586731241326577</v>
      </c>
      <c r="GD621">
        <v>0.4503820818319676</v>
      </c>
      <c r="GE621">
        <v>1.1335074187718275</v>
      </c>
      <c r="GF621">
        <v>2.4734095089309012</v>
      </c>
      <c r="GG621">
        <v>1.5410277012290603</v>
      </c>
      <c r="GH621">
        <v>0.99006242108457876</v>
      </c>
      <c r="GI621">
        <v>4.5416490873261024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9.4903054971988805</v>
      </c>
      <c r="AO622">
        <v>19.339830431175294</v>
      </c>
      <c r="AP622">
        <v>140.95630544775304</v>
      </c>
      <c r="AQ622">
        <v>44.088212735816839</v>
      </c>
      <c r="AR622">
        <v>17.956626366491221</v>
      </c>
      <c r="AS622">
        <v>88.358416127147265</v>
      </c>
      <c r="AT622">
        <v>8.3402485140274347</v>
      </c>
      <c r="AU622">
        <v>13.723607781077806</v>
      </c>
      <c r="AV622"/>
      <c r="AW622"/>
      <c r="FY622" s="210">
        <v>617</v>
      </c>
      <c r="FZ622">
        <v>2.718453362767483</v>
      </c>
      <c r="GA622">
        <v>9.6053755394656903</v>
      </c>
      <c r="GB622">
        <v>2.2618248637469915</v>
      </c>
      <c r="GC622">
        <v>1.6247345290788018</v>
      </c>
      <c r="GD622">
        <v>1.3444778945504703</v>
      </c>
      <c r="GE622">
        <v>1.3532098522707561</v>
      </c>
      <c r="GF622">
        <v>4.3264537067928526</v>
      </c>
      <c r="GG622">
        <v>2.8783726661173508</v>
      </c>
      <c r="GH622">
        <v>0</v>
      </c>
      <c r="GI622">
        <v>3.8747927881759501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9.0472470238095237</v>
      </c>
      <c r="AO623">
        <v>12.26394990743189</v>
      </c>
      <c r="AP623">
        <v>108.67553873069429</v>
      </c>
      <c r="AQ623">
        <v>31.076694878170475</v>
      </c>
      <c r="AR623">
        <v>11.44697399880595</v>
      </c>
      <c r="AS623">
        <v>62.469963781540564</v>
      </c>
      <c r="AT623" t="e">
        <v>#DIV/0!</v>
      </c>
      <c r="AU623" t="e">
        <v>#DIV/0!</v>
      </c>
      <c r="AV623"/>
      <c r="AW623"/>
      <c r="FY623" s="210">
        <v>618</v>
      </c>
      <c r="FZ623">
        <v>9.3192409099554716</v>
      </c>
      <c r="GA623">
        <v>13.776210258412654</v>
      </c>
      <c r="GB623">
        <v>1.4326984745244808</v>
      </c>
      <c r="GC623">
        <v>0.95978964269509026</v>
      </c>
      <c r="GD623">
        <v>1.3097529601045399</v>
      </c>
      <c r="GE623">
        <v>1.3315964950897747</v>
      </c>
      <c r="GF623">
        <v>4.1528112862027875</v>
      </c>
      <c r="GG623">
        <v>4.1236289182625878</v>
      </c>
      <c r="GH623">
        <v>0.23579423514790807</v>
      </c>
      <c r="GI623">
        <v>4.5948079113522091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7.8401318860877698</v>
      </c>
      <c r="AO624">
        <v>26.177626232968599</v>
      </c>
      <c r="AP624">
        <v>187.44813626174727</v>
      </c>
      <c r="AQ624">
        <v>17.76606318611082</v>
      </c>
      <c r="AR624">
        <v>24.757368757829916</v>
      </c>
      <c r="AS624">
        <v>93.359639675724679</v>
      </c>
      <c r="AT624">
        <v>14.212376632843503</v>
      </c>
      <c r="AU624">
        <v>7.4070370720738588</v>
      </c>
      <c r="AV624"/>
      <c r="AW624"/>
      <c r="FY624" s="210">
        <v>619</v>
      </c>
      <c r="FZ624">
        <v>8.2624946509747819</v>
      </c>
      <c r="GA624">
        <v>0.3986752859219066</v>
      </c>
      <c r="GB624">
        <v>0.202314363918114</v>
      </c>
      <c r="GC624">
        <v>0.12851081991473376</v>
      </c>
      <c r="GD624">
        <v>0.31732410010477419</v>
      </c>
      <c r="GE624">
        <v>1.001989350565224</v>
      </c>
      <c r="GF624">
        <v>2.784326525766958</v>
      </c>
      <c r="GG624">
        <v>1.9869679269521878</v>
      </c>
      <c r="GH624">
        <v>0.40861888541082891</v>
      </c>
      <c r="GI624">
        <v>2.811761626849457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8.1120812908496731</v>
      </c>
      <c r="AO625">
        <v>15.576665011498278</v>
      </c>
      <c r="AP625">
        <v>101.71849574099166</v>
      </c>
      <c r="AQ625">
        <v>27.499175889635417</v>
      </c>
      <c r="AR625">
        <v>14.893635747220076</v>
      </c>
      <c r="AS625">
        <v>66.650986705188913</v>
      </c>
      <c r="AT625">
        <v>7.6346065020192926</v>
      </c>
      <c r="AU625">
        <v>12.900699005183316</v>
      </c>
      <c r="AV625"/>
      <c r="AW625"/>
      <c r="FY625" s="210">
        <v>620</v>
      </c>
      <c r="FZ625">
        <v>4.9518955778634757</v>
      </c>
      <c r="GA625">
        <v>11.702125805792186</v>
      </c>
      <c r="GB625">
        <v>2.0409374755415688</v>
      </c>
      <c r="GC625">
        <v>0.29245877602228859</v>
      </c>
      <c r="GD625">
        <v>1.1281533531495667</v>
      </c>
      <c r="GE625">
        <v>2.7491612766325231</v>
      </c>
      <c r="GF625">
        <v>3.0880835123026498</v>
      </c>
      <c r="GG625">
        <v>2.0568036831167102</v>
      </c>
      <c r="GH625">
        <v>0.40861888541082891</v>
      </c>
      <c r="GI625">
        <v>4.4579062516612069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15.634008811858077</v>
      </c>
      <c r="AO626">
        <v>24.248846415840571</v>
      </c>
      <c r="AP626">
        <v>202.79957479778454</v>
      </c>
      <c r="AQ626">
        <v>55.548830028961817</v>
      </c>
      <c r="AR626">
        <v>23.008333383493621</v>
      </c>
      <c r="AS626">
        <v>185.13694680194021</v>
      </c>
      <c r="AT626">
        <v>12.001575758402701</v>
      </c>
      <c r="AU626">
        <v>-76.428709319277786</v>
      </c>
      <c r="AV626"/>
      <c r="AW626"/>
      <c r="FY626" s="210">
        <v>621</v>
      </c>
      <c r="FZ626">
        <v>9.5138601883432852</v>
      </c>
      <c r="GA626">
        <v>9.9385984046316889</v>
      </c>
      <c r="GB626">
        <v>2.7752015840207438</v>
      </c>
      <c r="GC626">
        <v>0.73085250199762453</v>
      </c>
      <c r="GD626">
        <v>0.81210314197770028</v>
      </c>
      <c r="GE626">
        <v>1.8147688334750027</v>
      </c>
      <c r="GF626">
        <v>1.5436973439941695</v>
      </c>
      <c r="GG626">
        <v>0</v>
      </c>
      <c r="GH626">
        <v>0.51847395078876257</v>
      </c>
      <c r="GI626">
        <v>3.6357790273526396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8.5512152777777768</v>
      </c>
      <c r="AO627">
        <v>17.283545351985829</v>
      </c>
      <c r="AP627">
        <v>132.3166962100812</v>
      </c>
      <c r="AQ627">
        <v>41.508093962978982</v>
      </c>
      <c r="AR627">
        <v>15.924878289507483</v>
      </c>
      <c r="AS627">
        <v>130.01951198804829</v>
      </c>
      <c r="AT627" t="e">
        <v>#DIV/0!</v>
      </c>
      <c r="AU627" t="e">
        <v>#DIV/0!</v>
      </c>
      <c r="AV627"/>
      <c r="AW627"/>
      <c r="FY627" s="210">
        <v>622</v>
      </c>
      <c r="FZ627">
        <v>5.6315260039227786</v>
      </c>
      <c r="GA627">
        <v>10.433834924044604</v>
      </c>
      <c r="GB627">
        <v>3.84862160116844</v>
      </c>
      <c r="GC627">
        <v>0.34170382366749891</v>
      </c>
      <c r="GD627">
        <v>0.38409091188446692</v>
      </c>
      <c r="GE627">
        <v>1.001989350565224</v>
      </c>
      <c r="GF627">
        <v>2.1497580648868277</v>
      </c>
      <c r="GG627">
        <v>1.1871761882489873</v>
      </c>
      <c r="GH627">
        <v>0.3456493005258417</v>
      </c>
      <c r="GI627">
        <v>3.238439310763388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11.340131886087768</v>
      </c>
      <c r="AO628">
        <v>17.228389328028186</v>
      </c>
      <c r="AP628">
        <v>148.70343327766969</v>
      </c>
      <c r="AQ628">
        <v>42.691188907477979</v>
      </c>
      <c r="AR628">
        <v>17.446898521820469</v>
      </c>
      <c r="AS628">
        <v>92.531676027712635</v>
      </c>
      <c r="AT628">
        <v>8.8891879416798005</v>
      </c>
      <c r="AU628">
        <v>-24.748129499090947</v>
      </c>
      <c r="AV628"/>
      <c r="AW628"/>
      <c r="FY628" s="210">
        <v>623</v>
      </c>
      <c r="FZ628">
        <v>2.7463910849047179</v>
      </c>
      <c r="GA628">
        <v>2.5693209720333821</v>
      </c>
      <c r="GB628">
        <v>0.94894443410656282</v>
      </c>
      <c r="GC628">
        <v>0.77076988672170621</v>
      </c>
      <c r="GD628">
        <v>0.92327090839738934</v>
      </c>
      <c r="GE628">
        <v>1.5586073455019136</v>
      </c>
      <c r="GF628">
        <v>2.5755624826307906</v>
      </c>
      <c r="GG628">
        <v>1.788264926164711</v>
      </c>
      <c r="GH628">
        <v>0.64441312055873701</v>
      </c>
      <c r="GI628">
        <v>3.0481358913734731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6.8289930555555554</v>
      </c>
      <c r="AO629">
        <v>15.402620576127935</v>
      </c>
      <c r="AP629">
        <v>147.22868698792047</v>
      </c>
      <c r="AQ629">
        <v>40.946536450145516</v>
      </c>
      <c r="AR629">
        <v>15.232893389725017</v>
      </c>
      <c r="AS629">
        <v>66.516822993637589</v>
      </c>
      <c r="AT629" t="e">
        <v>#DIV/0!</v>
      </c>
      <c r="AU629" t="e">
        <v>#DIV/0!</v>
      </c>
      <c r="AV629"/>
      <c r="AW629"/>
      <c r="FY629" s="210">
        <v>624</v>
      </c>
      <c r="FZ629">
        <v>9.1442714785245105</v>
      </c>
      <c r="GA629">
        <v>7.0133887537262787</v>
      </c>
      <c r="GB629">
        <v>1.0152011867108739</v>
      </c>
      <c r="GC629">
        <v>0.75133003106259688</v>
      </c>
      <c r="GD629">
        <v>1.082018085566365</v>
      </c>
      <c r="GE629">
        <v>1.8053765386781429</v>
      </c>
      <c r="GF629">
        <v>2.208834277614903</v>
      </c>
      <c r="GG629">
        <v>1.3641019447390237</v>
      </c>
      <c r="GH629">
        <v>0.23579423514790807</v>
      </c>
      <c r="GI629">
        <v>3.4964217078481488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10.131280637254902</v>
      </c>
      <c r="AO630">
        <v>12.686287074834878</v>
      </c>
      <c r="AP630">
        <v>121.39041610063859</v>
      </c>
      <c r="AQ630">
        <v>29.968627037220298</v>
      </c>
      <c r="AR630">
        <v>11.780145492147755</v>
      </c>
      <c r="AS630">
        <v>84.926794684329579</v>
      </c>
      <c r="AT630">
        <v>6.3277908038798172</v>
      </c>
      <c r="AU630">
        <v>-50.492597087075652</v>
      </c>
      <c r="AV630"/>
      <c r="AW630"/>
      <c r="FY630" s="210">
        <v>625</v>
      </c>
      <c r="FZ630">
        <v>5.8340527814520904</v>
      </c>
      <c r="GA630">
        <v>11.858378128079753</v>
      </c>
      <c r="GB630">
        <v>2.9938433530062944</v>
      </c>
      <c r="GC630">
        <v>0.26523521802593591</v>
      </c>
      <c r="GD630">
        <v>0.30335594000498917</v>
      </c>
      <c r="GE630">
        <v>1.1112641602186881</v>
      </c>
      <c r="GF630">
        <v>2.3950855858890177</v>
      </c>
      <c r="GG630">
        <v>1.4924934770808866</v>
      </c>
      <c r="GH630">
        <v>0.58144353567374973</v>
      </c>
      <c r="GI630">
        <v>3.2358858927046263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16.850008753501402</v>
      </c>
      <c r="AO631">
        <v>26.904454357341546</v>
      </c>
      <c r="AP631">
        <v>204.29789273890057</v>
      </c>
      <c r="AQ631">
        <v>44.679698188031011</v>
      </c>
      <c r="AR631">
        <v>25.914834002299685</v>
      </c>
      <c r="AS631">
        <v>172.36018968398511</v>
      </c>
      <c r="AT631">
        <v>12.433127134338877</v>
      </c>
      <c r="AU631">
        <v>-145.84643039206603</v>
      </c>
      <c r="AV631"/>
      <c r="AW631"/>
      <c r="FY631" s="210">
        <v>626</v>
      </c>
      <c r="FZ631">
        <v>7.6775640291644169</v>
      </c>
      <c r="GA631">
        <v>13.356798268211342</v>
      </c>
      <c r="GB631">
        <v>3.9172118116303096</v>
      </c>
      <c r="GC631">
        <v>1.3221070279372893</v>
      </c>
      <c r="GD631">
        <v>1.4137977048800221</v>
      </c>
      <c r="GE631">
        <v>2.0527431756311922</v>
      </c>
      <c r="GF631">
        <v>6.2713541311544372</v>
      </c>
      <c r="GG631">
        <v>4.6879391242984099</v>
      </c>
      <c r="GH631">
        <v>0.75426818593667067</v>
      </c>
      <c r="GI631">
        <v>6.0955092423909214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14.03341649159664</v>
      </c>
      <c r="AO632">
        <v>17.354087345889269</v>
      </c>
      <c r="AP632">
        <v>126.84079458441674</v>
      </c>
      <c r="AQ632">
        <v>39.796610797216879</v>
      </c>
      <c r="AR632">
        <v>16.101386173650976</v>
      </c>
      <c r="AS632">
        <v>84.483338024733982</v>
      </c>
      <c r="AT632">
        <v>6.82387171188791</v>
      </c>
      <c r="AU632">
        <v>-24.033802062019458</v>
      </c>
      <c r="AV632"/>
      <c r="AW632"/>
      <c r="FY632" s="210">
        <v>627</v>
      </c>
      <c r="FZ632">
        <v>10.777660484135183</v>
      </c>
      <c r="GA632">
        <v>12.750342340299412</v>
      </c>
      <c r="GB632">
        <v>2.7491230102700905</v>
      </c>
      <c r="GC632">
        <v>0.7532662565549082</v>
      </c>
      <c r="GD632">
        <v>1.2164074149601274</v>
      </c>
      <c r="GE632">
        <v>1.928941175853832</v>
      </c>
      <c r="GF632">
        <v>4.8834902694057565</v>
      </c>
      <c r="GG632">
        <v>4.193940386708201</v>
      </c>
      <c r="GH632">
        <v>0.3456493005258417</v>
      </c>
      <c r="GI632">
        <v>5.4828113076706435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9.4487847222222179</v>
      </c>
      <c r="AO633">
        <v>15.175845988777734</v>
      </c>
      <c r="AP633">
        <v>132.16279241099366</v>
      </c>
      <c r="AQ633">
        <v>29.987695202966339</v>
      </c>
      <c r="AR633">
        <v>14.052256923911497</v>
      </c>
      <c r="AS633">
        <v>108.72585576942946</v>
      </c>
      <c r="AT633" t="e">
        <v>#DIV/0!</v>
      </c>
      <c r="AU633" t="e">
        <v>#DIV/0!</v>
      </c>
      <c r="AV633"/>
      <c r="AW633"/>
      <c r="FY633" s="210">
        <v>628</v>
      </c>
      <c r="FZ633">
        <v>7.4256139078891312</v>
      </c>
      <c r="GA633">
        <v>15.831804313492388</v>
      </c>
      <c r="GB633">
        <v>5.2225688725519541</v>
      </c>
      <c r="GC633">
        <v>0.79239911146213782</v>
      </c>
      <c r="GD633">
        <v>0.82396413038901206</v>
      </c>
      <c r="GE633">
        <v>1.25187336090266</v>
      </c>
      <c r="GF633">
        <v>2.2458462481460439</v>
      </c>
      <c r="GG633">
        <v>2.0232707465509963</v>
      </c>
      <c r="GH633">
        <v>1.1160015908545531</v>
      </c>
      <c r="GI633">
        <v>4.5396910575621039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12.536830357142858</v>
      </c>
      <c r="AO634">
        <v>18.538966063945203</v>
      </c>
      <c r="AP634">
        <v>168.57686843846733</v>
      </c>
      <c r="AQ634">
        <v>41.236331091747502</v>
      </c>
      <c r="AR634">
        <v>17.288819240738974</v>
      </c>
      <c r="AS634">
        <v>91.427738022815547</v>
      </c>
      <c r="AT634" t="e">
        <v>#DIV/0!</v>
      </c>
      <c r="AU634" t="e">
        <v>#DIV/0!</v>
      </c>
      <c r="AV634"/>
      <c r="AW634"/>
      <c r="FY634" s="210">
        <v>629</v>
      </c>
      <c r="FZ634">
        <v>7.8804711827326148</v>
      </c>
      <c r="GA634">
        <v>15.652886177498793</v>
      </c>
      <c r="GB634">
        <v>3.7439203131042023</v>
      </c>
      <c r="GC634">
        <v>1.1511568104996561</v>
      </c>
      <c r="GD634">
        <v>1.267619885120935</v>
      </c>
      <c r="GE634">
        <v>1.6870105965473106</v>
      </c>
      <c r="GF634">
        <v>3.5244108162236745</v>
      </c>
      <c r="GG634">
        <v>2.3040409080523605</v>
      </c>
      <c r="GH634">
        <v>0.23579423514790807</v>
      </c>
      <c r="GI634">
        <v>5.3033321831126798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4.5990604575163392</v>
      </c>
      <c r="AO635">
        <v>20.726150403507702</v>
      </c>
      <c r="AP635">
        <v>172.31293231128998</v>
      </c>
      <c r="AQ635">
        <v>18.302983536378967</v>
      </c>
      <c r="AR635">
        <v>20.618878260338672</v>
      </c>
      <c r="AS635">
        <v>72.220713279554332</v>
      </c>
      <c r="AT635" t="e">
        <v>#DIV/0!</v>
      </c>
      <c r="AU635" t="e">
        <v>#DIV/0!</v>
      </c>
      <c r="AV635"/>
      <c r="AW635"/>
      <c r="FY635" s="210">
        <v>630</v>
      </c>
      <c r="FZ635">
        <v>12.389563868137113</v>
      </c>
      <c r="GA635">
        <v>12.980807279684001</v>
      </c>
      <c r="GB635">
        <v>2.7019444578437573</v>
      </c>
      <c r="GC635">
        <v>0.57895296412036168</v>
      </c>
      <c r="GD635">
        <v>0.62356828780029083</v>
      </c>
      <c r="GE635">
        <v>0.72724496492989776</v>
      </c>
      <c r="GF635">
        <v>1.7102940440659116</v>
      </c>
      <c r="GG635">
        <v>1.3641019447390237</v>
      </c>
      <c r="GH635">
        <v>0.40861888541082891</v>
      </c>
      <c r="GI635">
        <v>4.2322333452774075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8.0061785130718945</v>
      </c>
      <c r="AO636">
        <v>16.43768379742005</v>
      </c>
      <c r="AP636">
        <v>135.93933750472962</v>
      </c>
      <c r="AQ636">
        <v>32.87614459749301</v>
      </c>
      <c r="AR636">
        <v>15.257592244882588</v>
      </c>
      <c r="AS636">
        <v>66.745838022442371</v>
      </c>
      <c r="AT636">
        <v>9.3072973193023039</v>
      </c>
      <c r="AU636">
        <v>-34.47383768765669</v>
      </c>
      <c r="AV636"/>
      <c r="AW636"/>
      <c r="FY636" s="210">
        <v>631</v>
      </c>
      <c r="FZ636">
        <v>4.3673453320919977</v>
      </c>
      <c r="GA636">
        <v>12.507919376665072</v>
      </c>
      <c r="GB636">
        <v>3.3625341028929636</v>
      </c>
      <c r="GC636">
        <v>0.63253913897741776</v>
      </c>
      <c r="GD636">
        <v>0.59798520541005762</v>
      </c>
      <c r="GE636">
        <v>1.4431343758740616</v>
      </c>
      <c r="GF636">
        <v>5.5015157317953971</v>
      </c>
      <c r="GG636">
        <v>3.6899200970888253</v>
      </c>
      <c r="GH636">
        <v>0</v>
      </c>
      <c r="GI636">
        <v>4.5847865364113494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13.332275618580766</v>
      </c>
      <c r="AO637">
        <v>20.321224110530963</v>
      </c>
      <c r="AP637">
        <v>124.00188625557448</v>
      </c>
      <c r="AQ637">
        <v>31.283334976581621</v>
      </c>
      <c r="AR637">
        <v>19.780096165077794</v>
      </c>
      <c r="AS637">
        <v>260.01240339124013</v>
      </c>
      <c r="AT637" t="e">
        <v>#DIV/0!</v>
      </c>
      <c r="AU637" t="e">
        <v>#DIV/0!</v>
      </c>
      <c r="AV637"/>
      <c r="AW637"/>
      <c r="FY637" s="210">
        <v>632</v>
      </c>
      <c r="FZ637">
        <v>5.3494220098194845</v>
      </c>
      <c r="GA637">
        <v>8.1892938181481494</v>
      </c>
      <c r="GB637">
        <v>2.7566285597334348</v>
      </c>
      <c r="GC637">
        <v>0.93743550932873709</v>
      </c>
      <c r="GD637">
        <v>0.86486817865204624</v>
      </c>
      <c r="GE637">
        <v>1.6207354646953962</v>
      </c>
      <c r="GF637">
        <v>3.3756899180269198</v>
      </c>
      <c r="GG637">
        <v>1.5628049455265007</v>
      </c>
      <c r="GH637">
        <v>0.17282465026292085</v>
      </c>
      <c r="GI637">
        <v>3.1515492310122659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6.3352736928104569</v>
      </c>
      <c r="AO638">
        <v>13.580922532335089</v>
      </c>
      <c r="AP638">
        <v>116.13833236314653</v>
      </c>
      <c r="AQ638">
        <v>28.562789479678059</v>
      </c>
      <c r="AR638">
        <v>13.545749824459689</v>
      </c>
      <c r="AS638">
        <v>57.971704181950443</v>
      </c>
      <c r="AT638" t="e">
        <v>#DIV/0!</v>
      </c>
      <c r="AU638" t="e">
        <v>#DIV/0!</v>
      </c>
      <c r="AV638"/>
      <c r="AW638"/>
      <c r="FY638" s="210">
        <v>633</v>
      </c>
      <c r="FZ638">
        <v>4.8527368558023731</v>
      </c>
      <c r="GA638">
        <v>14.732040975594169</v>
      </c>
      <c r="GB638">
        <v>5.6388555121179387</v>
      </c>
      <c r="GC638">
        <v>0.73382640089579887</v>
      </c>
      <c r="GD638">
        <v>1.0918582493984323</v>
      </c>
      <c r="GE638">
        <v>1.9922328404784724</v>
      </c>
      <c r="GF638">
        <v>3.5321230219926871</v>
      </c>
      <c r="GG638">
        <v>2.2555066839041871</v>
      </c>
      <c r="GH638">
        <v>0.3456493005258417</v>
      </c>
      <c r="GI638">
        <v>6.0465778041771898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7.5921160130718945</v>
      </c>
      <c r="AO639">
        <v>9.8754934031950903</v>
      </c>
      <c r="AP639">
        <v>70.253475703780026</v>
      </c>
      <c r="AQ639">
        <v>17.573681052393383</v>
      </c>
      <c r="AR639">
        <v>9.59868112913143</v>
      </c>
      <c r="AS639">
        <v>50.522485422273547</v>
      </c>
      <c r="AT639" t="e">
        <v>#DIV/0!</v>
      </c>
      <c r="AU639" t="e">
        <v>#DIV/0!</v>
      </c>
      <c r="AV639"/>
      <c r="AW639"/>
      <c r="FY639" s="210">
        <v>634</v>
      </c>
      <c r="FZ639">
        <v>3.9860826159276019</v>
      </c>
      <c r="GA639">
        <v>5.6916219591610737</v>
      </c>
      <c r="GB639">
        <v>1.0850020454203657</v>
      </c>
      <c r="GC639">
        <v>1.3066756557725303</v>
      </c>
      <c r="GD639">
        <v>1.1315611238575447</v>
      </c>
      <c r="GE639">
        <v>1.3235259758487046</v>
      </c>
      <c r="GF639">
        <v>7.7411939890404229</v>
      </c>
      <c r="GG639">
        <v>6.3791356021667731</v>
      </c>
      <c r="GH639">
        <v>0.40861888541082891</v>
      </c>
      <c r="GI639">
        <v>4.4679792929598117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11.019469246031745</v>
      </c>
      <c r="AO640">
        <v>19.575233865057562</v>
      </c>
      <c r="AP640">
        <v>145.21719869778218</v>
      </c>
      <c r="AQ640">
        <v>28.116738239618751</v>
      </c>
      <c r="AR640">
        <v>19.03299090809849</v>
      </c>
      <c r="AS640">
        <v>89.096515585759278</v>
      </c>
      <c r="AT640" t="e">
        <v>#DIV/0!</v>
      </c>
      <c r="AU640" t="e">
        <v>#DIV/0!</v>
      </c>
      <c r="AV640"/>
      <c r="AW640"/>
      <c r="FY640" s="210">
        <v>635</v>
      </c>
      <c r="FZ640">
        <v>3.0582685757971344</v>
      </c>
      <c r="GA640">
        <v>13.003155896077988</v>
      </c>
      <c r="GB640">
        <v>4.6729932360381472</v>
      </c>
      <c r="GC640">
        <v>0.59670973787617076</v>
      </c>
      <c r="GD640">
        <v>0.46372012513887084</v>
      </c>
      <c r="GE640">
        <v>1.1623826057724473</v>
      </c>
      <c r="GF640">
        <v>4.2624818201788921</v>
      </c>
      <c r="GG640">
        <v>2.9269068902655246</v>
      </c>
      <c r="GH640">
        <v>0.58144353567374973</v>
      </c>
      <c r="GI640">
        <v>4.0128581182567631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8.3393659547152179</v>
      </c>
      <c r="AO641">
        <v>13.808490287386231</v>
      </c>
      <c r="AP641">
        <v>105.8321913080951</v>
      </c>
      <c r="AQ641">
        <v>30.07103807213603</v>
      </c>
      <c r="AR641">
        <v>12.842709276403701</v>
      </c>
      <c r="AS641">
        <v>121.45897455912687</v>
      </c>
      <c r="AT641">
        <v>6.099901054161208</v>
      </c>
      <c r="AU641">
        <v>-58.352660016068583</v>
      </c>
      <c r="AV641"/>
      <c r="AW641"/>
      <c r="FY641" s="210">
        <v>636</v>
      </c>
      <c r="FZ641">
        <v>12.728998705127879</v>
      </c>
      <c r="GA641">
        <v>16.125774080517726</v>
      </c>
      <c r="GB641">
        <v>3.2915225959358496</v>
      </c>
      <c r="GC641">
        <v>0.60707507420316253</v>
      </c>
      <c r="GD641">
        <v>0.45777934683555793</v>
      </c>
      <c r="GE641">
        <v>1.018192088886483</v>
      </c>
      <c r="GF641">
        <v>1.6605002000751234</v>
      </c>
      <c r="GG641">
        <v>0.42416298142568709</v>
      </c>
      <c r="GH641">
        <v>0.40861888541082891</v>
      </c>
      <c r="GI641">
        <v>3.4100867968315614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18.110673436041083</v>
      </c>
      <c r="AO642">
        <v>21.324113173111151</v>
      </c>
      <c r="AP642">
        <v>147.53419724405219</v>
      </c>
      <c r="AQ642">
        <v>47.549292701235018</v>
      </c>
      <c r="AR642">
        <v>20.669909728442256</v>
      </c>
      <c r="AS642">
        <v>119.36110925946224</v>
      </c>
      <c r="AT642">
        <v>10.474912872131181</v>
      </c>
      <c r="AU642">
        <v>-78.069448865976995</v>
      </c>
      <c r="AV642"/>
      <c r="AW642"/>
      <c r="FY642" s="210">
        <v>637</v>
      </c>
      <c r="FZ642">
        <v>11.805013622365635</v>
      </c>
      <c r="GA642">
        <v>12.434023956880093</v>
      </c>
      <c r="GB642">
        <v>2.7566285597334348</v>
      </c>
      <c r="GC642">
        <v>0.61245387482087144</v>
      </c>
      <c r="GD642">
        <v>0.80563164873018667</v>
      </c>
      <c r="GE642">
        <v>1.6981528763406353</v>
      </c>
      <c r="GF642">
        <v>3.1793642162408631</v>
      </c>
      <c r="GG642">
        <v>1.9869679269521878</v>
      </c>
      <c r="GH642">
        <v>0.58144353567374973</v>
      </c>
      <c r="GI642">
        <v>4.308254092867581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9.9582895658263304</v>
      </c>
      <c r="AO643">
        <v>13.144793457125648</v>
      </c>
      <c r="AP643">
        <v>114.95908375881713</v>
      </c>
      <c r="AQ643">
        <v>45.081631946383993</v>
      </c>
      <c r="AR643">
        <v>13.568486588990037</v>
      </c>
      <c r="AS643">
        <v>88.180775201291411</v>
      </c>
      <c r="AT643">
        <v>9.2474158995397922</v>
      </c>
      <c r="AU643">
        <v>-67.677702286055947</v>
      </c>
      <c r="AV643"/>
      <c r="AW643"/>
      <c r="FY643" s="210">
        <v>638</v>
      </c>
      <c r="FZ643">
        <v>3.6884756581104652</v>
      </c>
      <c r="GA643">
        <v>7.2353922103932602</v>
      </c>
      <c r="GB643">
        <v>1.4675989038792268</v>
      </c>
      <c r="GC643">
        <v>0.92707017300174532</v>
      </c>
      <c r="GD643">
        <v>1.2678723700359193</v>
      </c>
      <c r="GE643">
        <v>2.0660275026626653</v>
      </c>
      <c r="GF643">
        <v>1.2200458999500965</v>
      </c>
      <c r="GG643">
        <v>0.1769257564900365</v>
      </c>
      <c r="GH643">
        <v>0.40861888541082891</v>
      </c>
      <c r="GI643">
        <v>3.4663542211653273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13.257418592436974</v>
      </c>
      <c r="AO644">
        <v>15.864740526630083</v>
      </c>
      <c r="AP644">
        <v>145.21714143443111</v>
      </c>
      <c r="AQ644">
        <v>41.273033339800982</v>
      </c>
      <c r="AR644">
        <v>15.236634271841629</v>
      </c>
      <c r="AS644">
        <v>87.09456065235949</v>
      </c>
      <c r="AT644">
        <v>6.670613147400247</v>
      </c>
      <c r="AU644">
        <v>-30.912041739647741</v>
      </c>
      <c r="AV644"/>
      <c r="AW644"/>
      <c r="FY644" s="210">
        <v>639</v>
      </c>
      <c r="FZ644">
        <v>4.8225829829743656</v>
      </c>
      <c r="GA644">
        <v>2.5466551583273533</v>
      </c>
      <c r="GB644">
        <v>0.51166347375802435</v>
      </c>
      <c r="GC644">
        <v>0.50080127657549844</v>
      </c>
      <c r="GD644">
        <v>0.70147680423332237</v>
      </c>
      <c r="GE644">
        <v>1.6819755768061815</v>
      </c>
      <c r="GF644">
        <v>6.0671655768873904</v>
      </c>
      <c r="GG644">
        <v>4.5110133678083741</v>
      </c>
      <c r="GH644">
        <v>0</v>
      </c>
      <c r="GI644">
        <v>4.113316129035212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14.546999007936506</v>
      </c>
      <c r="AO645">
        <v>21.358045361602592</v>
      </c>
      <c r="AP645">
        <v>183.61064598239747</v>
      </c>
      <c r="AQ645">
        <v>42.75064310804013</v>
      </c>
      <c r="AR645">
        <v>20.26120575802755</v>
      </c>
      <c r="AS645">
        <v>107.41453715454843</v>
      </c>
      <c r="AT645" t="e">
        <v>#DIV/0!</v>
      </c>
      <c r="AU645" t="e">
        <v>#DIV/0!</v>
      </c>
      <c r="AV645"/>
      <c r="AW645"/>
      <c r="FY645" s="210">
        <v>640</v>
      </c>
      <c r="FZ645">
        <v>9.5715714072696443</v>
      </c>
      <c r="GA645">
        <v>4.6434054246538494</v>
      </c>
      <c r="GB645">
        <v>0.39426672536921675</v>
      </c>
      <c r="GC645">
        <v>0.23134204241700027</v>
      </c>
      <c r="GD645">
        <v>0.53724042978212772</v>
      </c>
      <c r="GE645">
        <v>1.5102181971474076</v>
      </c>
      <c r="GF645">
        <v>4.3450323308484649</v>
      </c>
      <c r="GG645">
        <v>3.1954456472175239</v>
      </c>
      <c r="GH645">
        <v>0.17282465026292085</v>
      </c>
      <c r="GI645">
        <v>3.3845963849194165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6.4653799019607829</v>
      </c>
      <c r="AO646">
        <v>18.944219073578932</v>
      </c>
      <c r="AP646">
        <v>135.83364907784025</v>
      </c>
      <c r="AQ646">
        <v>37.717330042008598</v>
      </c>
      <c r="AR646">
        <v>18.534002810106291</v>
      </c>
      <c r="AS646">
        <v>72.109517761000745</v>
      </c>
      <c r="AT646">
        <v>9.4679550911342947</v>
      </c>
      <c r="AU646">
        <v>-25.782058534346891</v>
      </c>
      <c r="AV646"/>
      <c r="AW646"/>
      <c r="FY646" s="210">
        <v>641</v>
      </c>
      <c r="FZ646">
        <v>4.7648717640480074</v>
      </c>
      <c r="GA646">
        <v>20.446328748461273</v>
      </c>
      <c r="GB646">
        <v>6.8831457312964979</v>
      </c>
      <c r="GC646">
        <v>0.28273884819273398</v>
      </c>
      <c r="GD646">
        <v>0.6752723727818748</v>
      </c>
      <c r="GE646">
        <v>1.3866384472261721</v>
      </c>
      <c r="GF646">
        <v>3.3737995700418812</v>
      </c>
      <c r="GG646">
        <v>3.4091499355874602</v>
      </c>
      <c r="GH646">
        <v>0.88020735570664521</v>
      </c>
      <c r="GI646">
        <v>5.6973521261877309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10.917906746031745</v>
      </c>
      <c r="AO647">
        <v>21.496568166151985</v>
      </c>
      <c r="AP647">
        <v>168.19241896882835</v>
      </c>
      <c r="AQ647">
        <v>36.68767989720714</v>
      </c>
      <c r="AR647">
        <v>19.902427274555553</v>
      </c>
      <c r="AS647">
        <v>89.457831835252563</v>
      </c>
      <c r="AT647" t="e">
        <v>#DIV/0!</v>
      </c>
      <c r="AU647" t="e">
        <v>#DIV/0!</v>
      </c>
      <c r="AV647"/>
      <c r="AW647"/>
      <c r="FY647" s="210">
        <v>642</v>
      </c>
      <c r="FZ647">
        <v>3.4554146317142589</v>
      </c>
      <c r="GA647">
        <v>11.607493681727803</v>
      </c>
      <c r="GB647">
        <v>3.8962174908477563</v>
      </c>
      <c r="GC647">
        <v>0.50080127657549844</v>
      </c>
      <c r="GD647">
        <v>0.62876921415031695</v>
      </c>
      <c r="GE647">
        <v>1.7573880230311372</v>
      </c>
      <c r="GF647">
        <v>3.5708166971497581</v>
      </c>
      <c r="GG647">
        <v>1.8585763946103251</v>
      </c>
      <c r="GH647">
        <v>0.23579423514790807</v>
      </c>
      <c r="GI647">
        <v>4.5182626679786635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9.028747957516341</v>
      </c>
      <c r="AO648">
        <v>18.035790908009321</v>
      </c>
      <c r="AP648">
        <v>153.77005552459843</v>
      </c>
      <c r="AQ648">
        <v>27.981252285205855</v>
      </c>
      <c r="AR648">
        <v>17.164567053889918</v>
      </c>
      <c r="AS648">
        <v>234.83812348829011</v>
      </c>
      <c r="AT648">
        <v>10.664136893346052</v>
      </c>
      <c r="AU648">
        <v>-45.504797263996743</v>
      </c>
      <c r="AV648"/>
      <c r="AW648"/>
      <c r="FY648" s="210">
        <v>643</v>
      </c>
      <c r="FZ648">
        <v>8.6894142036810287</v>
      </c>
      <c r="GA648">
        <v>17.227466527842569</v>
      </c>
      <c r="GB648">
        <v>5.7388020458293738</v>
      </c>
      <c r="GC648">
        <v>0.35357550962757689</v>
      </c>
      <c r="GD648">
        <v>0.83867016599471922</v>
      </c>
      <c r="GE648">
        <v>2.6941404728028924</v>
      </c>
      <c r="GF648">
        <v>4.7731755892425856</v>
      </c>
      <c r="GG648">
        <v>2.6796696653298739</v>
      </c>
      <c r="GH648">
        <v>0.75426818593667067</v>
      </c>
      <c r="GI648">
        <v>5.0798128597929635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12.092838176937439</v>
      </c>
      <c r="AO649">
        <v>24.653157522613633</v>
      </c>
      <c r="AP649">
        <v>200.26870367484213</v>
      </c>
      <c r="AQ649">
        <v>41.221407644887087</v>
      </c>
      <c r="AR649">
        <v>23.439582021936133</v>
      </c>
      <c r="AS649">
        <v>107.57904180522011</v>
      </c>
      <c r="AT649">
        <v>15.295982288305609</v>
      </c>
      <c r="AU649">
        <v>-89.130775882329701</v>
      </c>
      <c r="AV649"/>
      <c r="AW649"/>
      <c r="FY649" s="210">
        <v>644</v>
      </c>
      <c r="FZ649">
        <v>6.455971988585036</v>
      </c>
      <c r="GA649">
        <v>17.500699590588503</v>
      </c>
      <c r="GB649">
        <v>6.410964341593214</v>
      </c>
      <c r="GC649">
        <v>0.4201086548013731</v>
      </c>
      <c r="GD649">
        <v>0.43667069365495209</v>
      </c>
      <c r="GE649">
        <v>0.9292730657739291</v>
      </c>
      <c r="GF649">
        <v>3.237771342710742</v>
      </c>
      <c r="GG649">
        <v>2.4324324403942232</v>
      </c>
      <c r="GH649">
        <v>0.40861888541082891</v>
      </c>
      <c r="GI649">
        <v>4.5412445650333666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14.498490021008402</v>
      </c>
      <c r="AO650">
        <v>13.790520109078065</v>
      </c>
      <c r="AP650">
        <v>107.61152041079679</v>
      </c>
      <c r="AQ650">
        <v>33.521397145565658</v>
      </c>
      <c r="AR650">
        <v>12.885449372282856</v>
      </c>
      <c r="AS650">
        <v>85.459007946170303</v>
      </c>
      <c r="AT650">
        <v>6.6884908642553453</v>
      </c>
      <c r="AU650">
        <v>54.912279911216082</v>
      </c>
      <c r="AV650"/>
      <c r="AW650"/>
      <c r="FY650" s="210">
        <v>645</v>
      </c>
      <c r="FZ650">
        <v>5.6315260039227786</v>
      </c>
      <c r="GA650">
        <v>16.127703189944352</v>
      </c>
      <c r="GB650">
        <v>6.5004610341999509</v>
      </c>
      <c r="GC650">
        <v>0.49335021795575068</v>
      </c>
      <c r="GD650">
        <v>0.5531817716182692</v>
      </c>
      <c r="GE650">
        <v>1.2377799392518563</v>
      </c>
      <c r="GF650">
        <v>3.025870582674683</v>
      </c>
      <c r="GG650">
        <v>2.3040409080523605</v>
      </c>
      <c r="GH650">
        <v>0.40861888541082891</v>
      </c>
      <c r="GI650">
        <v>5.5551292293766865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9.0991625816993444</v>
      </c>
      <c r="AO651">
        <v>21.795734877480999</v>
      </c>
      <c r="AP651">
        <v>192.89561334362759</v>
      </c>
      <c r="AQ651">
        <v>34.740920541075681</v>
      </c>
      <c r="AR651">
        <v>20.685862088225498</v>
      </c>
      <c r="AS651">
        <v>115.97094428977475</v>
      </c>
      <c r="AT651" t="e">
        <v>#DIV/0!</v>
      </c>
      <c r="AU651" t="e">
        <v>#DIV/0!</v>
      </c>
      <c r="AV651"/>
      <c r="AW651"/>
      <c r="FY651" s="210">
        <v>646</v>
      </c>
      <c r="FZ651">
        <v>5.3494220098194845</v>
      </c>
      <c r="GA651">
        <v>10.559277147220579</v>
      </c>
      <c r="GB651">
        <v>3.3450838882155907</v>
      </c>
      <c r="GC651">
        <v>0.25078189807610951</v>
      </c>
      <c r="GD651">
        <v>0.3520074943737877</v>
      </c>
      <c r="GE651">
        <v>1.0547833443163457</v>
      </c>
      <c r="GF651">
        <v>3.1293731257497699</v>
      </c>
      <c r="GG651">
        <v>2.3040409080523605</v>
      </c>
      <c r="GH651">
        <v>0.40861888541082891</v>
      </c>
      <c r="GI651">
        <v>3.5746123172424644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9.4816249416433251</v>
      </c>
      <c r="AO652">
        <v>12.957424753744954</v>
      </c>
      <c r="AP652">
        <v>134.85914792978252</v>
      </c>
      <c r="AQ652">
        <v>40.132710755249853</v>
      </c>
      <c r="AR652">
        <v>12.884347157499263</v>
      </c>
      <c r="AS652">
        <v>65.307932789164298</v>
      </c>
      <c r="AT652">
        <v>6.8644996949906085</v>
      </c>
      <c r="AU652">
        <v>-53.159316732289327</v>
      </c>
      <c r="AV652"/>
      <c r="AW652"/>
      <c r="FY652" s="210">
        <v>647</v>
      </c>
      <c r="FZ652">
        <v>0.82444598466225738</v>
      </c>
      <c r="GA652">
        <v>0.97432111472224658</v>
      </c>
      <c r="GB652">
        <v>0.24309235723559927</v>
      </c>
      <c r="GC652">
        <v>0.28209343969529682</v>
      </c>
      <c r="GD652">
        <v>0.83039507241589217</v>
      </c>
      <c r="GE652">
        <v>2.2201432802342356</v>
      </c>
      <c r="GF652">
        <v>2.1850110784319741</v>
      </c>
      <c r="GG652">
        <v>0.93993896331333671</v>
      </c>
      <c r="GH652">
        <v>0</v>
      </c>
      <c r="GI652">
        <v>2.7389603852333426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11.504916549953316</v>
      </c>
      <c r="AO653">
        <v>13.16535597226142</v>
      </c>
      <c r="AP653">
        <v>86.358812902216584</v>
      </c>
      <c r="AQ653">
        <v>40.16793431060524</v>
      </c>
      <c r="AR653">
        <v>13.142648983306197</v>
      </c>
      <c r="AS653">
        <v>72.368569575111366</v>
      </c>
      <c r="AT653">
        <v>4.859592732388065</v>
      </c>
      <c r="AU653">
        <v>-28.286672603447858</v>
      </c>
      <c r="AV653"/>
      <c r="AW653"/>
      <c r="FY653" s="210">
        <v>648</v>
      </c>
      <c r="FZ653">
        <v>8.8923213572492248</v>
      </c>
      <c r="GA653">
        <v>12.676446920514433</v>
      </c>
      <c r="GB653">
        <v>1.9711366168320767</v>
      </c>
      <c r="GC653">
        <v>0.509875795907616</v>
      </c>
      <c r="GD653">
        <v>0.32256558560463849</v>
      </c>
      <c r="GE653">
        <v>0.71513889087723048</v>
      </c>
      <c r="GF653">
        <v>1.3959249687591258</v>
      </c>
      <c r="GG653">
        <v>0.42416298142568709</v>
      </c>
      <c r="GH653">
        <v>0.75426818593667067</v>
      </c>
      <c r="GI653">
        <v>3.6738123736184578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8.7900326797385624</v>
      </c>
      <c r="AO654">
        <v>19.265220871792412</v>
      </c>
      <c r="AP654">
        <v>147.69927436129865</v>
      </c>
      <c r="AQ654">
        <v>21.924381581099571</v>
      </c>
      <c r="AR654">
        <v>17.964996247905201</v>
      </c>
      <c r="AS654">
        <v>74.406635254491192</v>
      </c>
      <c r="AT654" t="e">
        <v>#DIV/0!</v>
      </c>
      <c r="AU654" t="e">
        <v>#DIV/0!</v>
      </c>
      <c r="AV654"/>
      <c r="AW654"/>
      <c r="FY654" s="210">
        <v>649</v>
      </c>
      <c r="FZ654">
        <v>2.1916143359223637</v>
      </c>
      <c r="GA654">
        <v>13.336378761243985</v>
      </c>
      <c r="GB654">
        <v>4.8596584704323025</v>
      </c>
      <c r="GC654">
        <v>0.51181202139992732</v>
      </c>
      <c r="GD654">
        <v>0.9693997571864702</v>
      </c>
      <c r="GE654">
        <v>1.9487252303770832</v>
      </c>
      <c r="GF654">
        <v>2.1405847480849634</v>
      </c>
      <c r="GG654">
        <v>0.93993896331333671</v>
      </c>
      <c r="GH654">
        <v>0.17282465026292085</v>
      </c>
      <c r="GI654">
        <v>4.5821195302507762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11.181795634920634</v>
      </c>
      <c r="AO655">
        <v>22.637523464320914</v>
      </c>
      <c r="AP655">
        <v>167.41901040459314</v>
      </c>
      <c r="AQ655">
        <v>25.456650346405723</v>
      </c>
      <c r="AR655">
        <v>21.445886615068474</v>
      </c>
      <c r="AS655">
        <v>105.7044828732737</v>
      </c>
      <c r="AT655" t="e">
        <v>#DIV/0!</v>
      </c>
      <c r="AU655" t="e">
        <v>#DIV/0!</v>
      </c>
      <c r="AV655"/>
      <c r="AW655"/>
      <c r="FY655" s="210">
        <v>650</v>
      </c>
      <c r="FZ655">
        <v>6.7003266452879764</v>
      </c>
      <c r="GA655">
        <v>17.521436294867907</v>
      </c>
      <c r="GB655">
        <v>3.983468564234621</v>
      </c>
      <c r="GC655">
        <v>1.3138139496123364</v>
      </c>
      <c r="GD655">
        <v>0.89184939909776317</v>
      </c>
      <c r="GE655">
        <v>1.0929926567593262</v>
      </c>
      <c r="GF655">
        <v>4.3809544306518076</v>
      </c>
      <c r="GG655">
        <v>2.8565954218199106</v>
      </c>
      <c r="GH655">
        <v>0.47158847029581613</v>
      </c>
      <c r="GI655">
        <v>4.9722770629882458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9.4813769257703093</v>
      </c>
      <c r="AO656">
        <v>21.963047224750959</v>
      </c>
      <c r="AP656">
        <v>152.10662816769698</v>
      </c>
      <c r="AQ656">
        <v>27.985943239887572</v>
      </c>
      <c r="AR656">
        <v>21.301686627827323</v>
      </c>
      <c r="AS656">
        <v>194.59873826956979</v>
      </c>
      <c r="AT656">
        <v>11.964185696443559</v>
      </c>
      <c r="AU656">
        <v>-28.969020067943806</v>
      </c>
      <c r="AV656"/>
      <c r="AW656"/>
      <c r="FY656" s="210">
        <v>651</v>
      </c>
      <c r="FZ656">
        <v>14.817625361620918</v>
      </c>
      <c r="GA656">
        <v>11.901463448753141</v>
      </c>
      <c r="GB656">
        <v>2.0722937987911338</v>
      </c>
      <c r="GC656">
        <v>0.34041300667262475</v>
      </c>
      <c r="GD656">
        <v>0.66570711694360374</v>
      </c>
      <c r="GE656">
        <v>1.7300430049165541</v>
      </c>
      <c r="GF656">
        <v>2.5548478098090528</v>
      </c>
      <c r="GG656">
        <v>1.4924934770808866</v>
      </c>
      <c r="GH656">
        <v>0.40861888541082891</v>
      </c>
      <c r="GI656">
        <v>4.4457341779808273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11.653251925770308</v>
      </c>
      <c r="AO657">
        <v>16.686043639131032</v>
      </c>
      <c r="AP657">
        <v>132.20177050963775</v>
      </c>
      <c r="AQ657">
        <v>47.799504899530277</v>
      </c>
      <c r="AR657">
        <v>15.985618362066736</v>
      </c>
      <c r="AS657">
        <v>109.63124019761968</v>
      </c>
      <c r="AT657">
        <v>6.5860927720624529</v>
      </c>
      <c r="AU657">
        <v>-6.2711464638689129</v>
      </c>
      <c r="AV657"/>
      <c r="AW657"/>
      <c r="FY657" s="210">
        <v>652</v>
      </c>
      <c r="FZ657">
        <v>14.038455837461626</v>
      </c>
      <c r="GA657">
        <v>14.730111866167544</v>
      </c>
      <c r="GB657">
        <v>2.7229387786263111</v>
      </c>
      <c r="GC657">
        <v>0.52088654073204488</v>
      </c>
      <c r="GD657">
        <v>0.46372012513887084</v>
      </c>
      <c r="GE657">
        <v>1.0570313027016216</v>
      </c>
      <c r="GF657">
        <v>1.728749729605064</v>
      </c>
      <c r="GG657">
        <v>0.49447444987130124</v>
      </c>
      <c r="GH657">
        <v>0</v>
      </c>
      <c r="GI657">
        <v>4.3729254047917259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9.7158978174603199</v>
      </c>
      <c r="AO658">
        <v>19.131540097641096</v>
      </c>
      <c r="AP658">
        <v>144.22250895918106</v>
      </c>
      <c r="AQ658">
        <v>32.029534312933421</v>
      </c>
      <c r="AR658">
        <v>18.116923013991208</v>
      </c>
      <c r="AS658">
        <v>133.21779031879615</v>
      </c>
      <c r="AT658" t="e">
        <v>#DIV/0!</v>
      </c>
      <c r="AU658" t="e">
        <v>#DIV/0!</v>
      </c>
      <c r="AV658"/>
      <c r="AW658"/>
      <c r="FY658" s="210">
        <v>653</v>
      </c>
      <c r="FZ658">
        <v>7.3799570713472793</v>
      </c>
      <c r="GA658">
        <v>21.747676036059122</v>
      </c>
      <c r="GB658">
        <v>8.1685434424078398</v>
      </c>
      <c r="GC658">
        <v>0.41838796194727401</v>
      </c>
      <c r="GD658">
        <v>0.39975734572681249</v>
      </c>
      <c r="GE658">
        <v>1.1980738666607869</v>
      </c>
      <c r="GF658">
        <v>2.4587596265498366</v>
      </c>
      <c r="GG658">
        <v>1.5410277012290603</v>
      </c>
      <c r="GH658">
        <v>0.47158847029581613</v>
      </c>
      <c r="GI658">
        <v>4.7855461767850365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10.788252801120446</v>
      </c>
      <c r="AO659">
        <v>11.39720200787594</v>
      </c>
      <c r="AP659">
        <v>107.80669515269309</v>
      </c>
      <c r="AQ659">
        <v>48.828995226080259</v>
      </c>
      <c r="AR659">
        <v>11.463973423002168</v>
      </c>
      <c r="AS659">
        <v>64.010980223917656</v>
      </c>
      <c r="AT659">
        <v>5.9960347803216933</v>
      </c>
      <c r="AU659">
        <v>-62.315121941836551</v>
      </c>
      <c r="AV659"/>
      <c r="AW659"/>
      <c r="FY659" s="210">
        <v>654</v>
      </c>
      <c r="FZ659">
        <v>1.8521794989315969</v>
      </c>
      <c r="GA659">
        <v>3.3443044437946754</v>
      </c>
      <c r="GB659">
        <v>0.96630681014624953</v>
      </c>
      <c r="GC659">
        <v>0.67855714413544255</v>
      </c>
      <c r="GD659">
        <v>0.89690939928060065</v>
      </c>
      <c r="GE659">
        <v>2.1769200963568922</v>
      </c>
      <c r="GF659">
        <v>4.3822648949726828</v>
      </c>
      <c r="GG659">
        <v>2.8565954218199106</v>
      </c>
      <c r="GH659">
        <v>0.81723777082165783</v>
      </c>
      <c r="GI659">
        <v>3.1334956859261416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9.5484652194211002</v>
      </c>
      <c r="AO660">
        <v>13.474364681317814</v>
      </c>
      <c r="AP660">
        <v>132.22920095219413</v>
      </c>
      <c r="AQ660">
        <v>42.773755568546171</v>
      </c>
      <c r="AR660">
        <v>13.42989780113442</v>
      </c>
      <c r="AS660">
        <v>97.269168251874319</v>
      </c>
      <c r="AT660">
        <v>7.0201753581940336</v>
      </c>
      <c r="AU660">
        <v>-28.637686401139657</v>
      </c>
      <c r="AV660"/>
      <c r="AW660"/>
      <c r="FY660" s="210">
        <v>655</v>
      </c>
      <c r="FZ660">
        <v>0.88215720358861527</v>
      </c>
      <c r="GA660">
        <v>5.9136254158280579</v>
      </c>
      <c r="GB660">
        <v>1.5524286807708469</v>
      </c>
      <c r="GC660">
        <v>0.39180981244835833</v>
      </c>
      <c r="GD660">
        <v>0.41568055149192756</v>
      </c>
      <c r="GE660">
        <v>1.307348676314251</v>
      </c>
      <c r="GF660">
        <v>2.9806522275530156</v>
      </c>
      <c r="GG660">
        <v>1.5628049455265007</v>
      </c>
      <c r="GH660">
        <v>0.17282465026292085</v>
      </c>
      <c r="GI660">
        <v>1.8920493835052716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9.3247549019607838</v>
      </c>
      <c r="AO661">
        <v>17.792403291646085</v>
      </c>
      <c r="AP661">
        <v>146.16994722076643</v>
      </c>
      <c r="AQ661">
        <v>41.837661762407521</v>
      </c>
      <c r="AR661">
        <v>17.444015302122644</v>
      </c>
      <c r="AS661">
        <v>104.43464021490327</v>
      </c>
      <c r="AT661" t="e">
        <v>#DIV/0!</v>
      </c>
      <c r="AU661" t="e">
        <v>#DIV/0!</v>
      </c>
      <c r="AV661"/>
      <c r="AW661"/>
      <c r="FY661" s="210">
        <v>656</v>
      </c>
      <c r="FZ661">
        <v>8.4650214285040928</v>
      </c>
      <c r="GA661">
        <v>16.954233465096639</v>
      </c>
      <c r="GB661">
        <v>5.2224810339142671</v>
      </c>
      <c r="GC661">
        <v>0.33438879755747886</v>
      </c>
      <c r="GD661">
        <v>0.2755989420400034</v>
      </c>
      <c r="GE661">
        <v>1.0466977123297287</v>
      </c>
      <c r="GF661">
        <v>2.6863005482710705</v>
      </c>
      <c r="GG661">
        <v>1.7397307020165371</v>
      </c>
      <c r="GH661">
        <v>0.58144353567374973</v>
      </c>
      <c r="GI661">
        <v>4.2799824941779443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7.2527062908496731</v>
      </c>
      <c r="AO662">
        <v>14.648285655679553</v>
      </c>
      <c r="AP662">
        <v>115.71818364781845</v>
      </c>
      <c r="AQ662">
        <v>30.328001018477316</v>
      </c>
      <c r="AR662">
        <v>14.07154626906107</v>
      </c>
      <c r="AS662">
        <v>63.738213141132476</v>
      </c>
      <c r="AT662">
        <v>6.347661522458421</v>
      </c>
      <c r="AU662">
        <v>-31.052621035140568</v>
      </c>
      <c r="AV662"/>
      <c r="AW662"/>
      <c r="FY662" s="210">
        <v>657</v>
      </c>
      <c r="FZ662">
        <v>14.42009892966491</v>
      </c>
      <c r="GA662">
        <v>26.33985185463402</v>
      </c>
      <c r="GB662">
        <v>8.1210353913662114</v>
      </c>
      <c r="GC662">
        <v>1.4217708291433009</v>
      </c>
      <c r="GD662">
        <v>1.373747911354156</v>
      </c>
      <c r="GE662">
        <v>1.7391014068262285</v>
      </c>
      <c r="GF662">
        <v>3.61981851636589</v>
      </c>
      <c r="GG662">
        <v>2.0572793953978019</v>
      </c>
      <c r="GH662">
        <v>0.17282465026292085</v>
      </c>
      <c r="GI662">
        <v>7.0210177506365907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8.2254464285714288</v>
      </c>
      <c r="AO663">
        <v>17.119798605675136</v>
      </c>
      <c r="AP663">
        <v>100.3403837451048</v>
      </c>
      <c r="AQ663">
        <v>11.238401675944182</v>
      </c>
      <c r="AR663">
        <v>15.821586060375953</v>
      </c>
      <c r="AS663">
        <v>66.9739226374042</v>
      </c>
      <c r="AT663" t="e">
        <v>#DIV/0!</v>
      </c>
      <c r="AU663" t="e">
        <v>#DIV/0!</v>
      </c>
      <c r="AV663"/>
      <c r="AW663"/>
      <c r="FY663" s="210">
        <v>658</v>
      </c>
      <c r="FZ663">
        <v>8.3077711114777468</v>
      </c>
      <c r="GA663">
        <v>11.112257162314888</v>
      </c>
      <c r="GB663">
        <v>2.757839207981057</v>
      </c>
      <c r="GC663">
        <v>0.36957279016128863</v>
      </c>
      <c r="GD663">
        <v>0.17909142326663108</v>
      </c>
      <c r="GE663">
        <v>0.11350113997316119</v>
      </c>
      <c r="GF663">
        <v>3.4595155138360125</v>
      </c>
      <c r="GG663">
        <v>3.3025356475430381</v>
      </c>
      <c r="GH663">
        <v>0.58144353567374973</v>
      </c>
      <c r="GI663">
        <v>3.7523843984198386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9.1606486344537821</v>
      </c>
      <c r="AO664">
        <v>26.375537088157166</v>
      </c>
      <c r="AP664">
        <v>212.48739899905993</v>
      </c>
      <c r="AQ664">
        <v>31.335653676725162</v>
      </c>
      <c r="AR664">
        <v>25.017689813795123</v>
      </c>
      <c r="AS664">
        <v>120.88374542993894</v>
      </c>
      <c r="AT664">
        <v>17.515848024844626</v>
      </c>
      <c r="AU664">
        <v>-93.031630534868839</v>
      </c>
      <c r="AV664"/>
      <c r="AW664"/>
      <c r="FY664" s="210">
        <v>659</v>
      </c>
      <c r="FZ664">
        <v>4.3677257081308829</v>
      </c>
      <c r="GA664">
        <v>3.5436420867556286</v>
      </c>
      <c r="GB664">
        <v>0.93149421942918975</v>
      </c>
      <c r="GC664">
        <v>1.0380773627496811</v>
      </c>
      <c r="GD664">
        <v>1.2595018692074491</v>
      </c>
      <c r="GE664">
        <v>2.4417973906611117</v>
      </c>
      <c r="GF664">
        <v>8.5071259857885373</v>
      </c>
      <c r="GG664">
        <v>6.2022098456767374</v>
      </c>
      <c r="GH664">
        <v>0.17282465026292085</v>
      </c>
      <c r="GI664">
        <v>5.2602901285938817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12.230508870214752</v>
      </c>
      <c r="AO665">
        <v>17.790743400405571</v>
      </c>
      <c r="AP665">
        <v>140.73362579304904</v>
      </c>
      <c r="AQ665">
        <v>31.653056468474126</v>
      </c>
      <c r="AR665">
        <v>16.515160549484698</v>
      </c>
      <c r="AS665">
        <v>93.778055393316691</v>
      </c>
      <c r="AT665">
        <v>10.037374432939865</v>
      </c>
      <c r="AU665">
        <v>-33.465192645614216</v>
      </c>
      <c r="AV665"/>
      <c r="AW665"/>
      <c r="FY665" s="210">
        <v>660</v>
      </c>
      <c r="FZ665">
        <v>11.987578518368943</v>
      </c>
      <c r="GA665">
        <v>12.359811339783068</v>
      </c>
      <c r="GB665">
        <v>3.6020823540233819</v>
      </c>
      <c r="GC665">
        <v>1.4546263313463736</v>
      </c>
      <c r="GD665">
        <v>1.014793273971458</v>
      </c>
      <c r="GE665">
        <v>1.018192088886483</v>
      </c>
      <c r="GF665">
        <v>7.6859469265632079</v>
      </c>
      <c r="GG665">
        <v>6.4762040504631218</v>
      </c>
      <c r="GH665">
        <v>1.0530320059695661</v>
      </c>
      <c r="GI665">
        <v>5.989846832035318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10.236111111111111</v>
      </c>
      <c r="AO666">
        <v>23.655373770325433</v>
      </c>
      <c r="AP666">
        <v>165.80635108992661</v>
      </c>
      <c r="AQ666">
        <v>44.185302895615706</v>
      </c>
      <c r="AR666">
        <v>21.850321678719357</v>
      </c>
      <c r="AS666">
        <v>91.155158590098452</v>
      </c>
      <c r="AT666" t="e">
        <v>#DIV/0!</v>
      </c>
      <c r="AU666" t="e">
        <v>#DIV/0!</v>
      </c>
      <c r="AV666"/>
      <c r="AW666"/>
      <c r="FY666" s="210">
        <v>661</v>
      </c>
      <c r="FZ666">
        <v>0.65814480445056478</v>
      </c>
      <c r="GA666">
        <v>10.832510209966511</v>
      </c>
      <c r="GB666">
        <v>4.0497253168389316</v>
      </c>
      <c r="GC666">
        <v>0.57920610770937275</v>
      </c>
      <c r="GD666">
        <v>0.94313286885652836</v>
      </c>
      <c r="GE666">
        <v>2.4641401196022592</v>
      </c>
      <c r="GF666">
        <v>3.6096549202599144</v>
      </c>
      <c r="GG666">
        <v>1.5628049455265007</v>
      </c>
      <c r="GH666">
        <v>0.3456493005258417</v>
      </c>
      <c r="GI666">
        <v>3.6763658788903513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7.1867340686274499</v>
      </c>
      <c r="AO667">
        <v>25.18684744160371</v>
      </c>
      <c r="AP667">
        <v>212.36388437990212</v>
      </c>
      <c r="AQ667">
        <v>40.429240087979565</v>
      </c>
      <c r="AR667">
        <v>25.148868512965976</v>
      </c>
      <c r="AS667">
        <v>111.8889599218288</v>
      </c>
      <c r="AT667">
        <v>14.314685042082523</v>
      </c>
      <c r="AU667">
        <v>-19.477467101355924</v>
      </c>
      <c r="AV667"/>
      <c r="AW667"/>
      <c r="FY667" s="210">
        <v>662</v>
      </c>
      <c r="FZ667">
        <v>2.8338758006201989</v>
      </c>
      <c r="GA667">
        <v>15.498581448326389</v>
      </c>
      <c r="GB667">
        <v>4.6369699970734652</v>
      </c>
      <c r="GC667">
        <v>0.66578690608891633</v>
      </c>
      <c r="GD667">
        <v>0.79363667036675811</v>
      </c>
      <c r="GE667">
        <v>1.6893167242870852</v>
      </c>
      <c r="GF667">
        <v>1.719576412803199</v>
      </c>
      <c r="GG667">
        <v>0.42416298142568709</v>
      </c>
      <c r="GH667">
        <v>0.23579423514790807</v>
      </c>
      <c r="GI667">
        <v>3.9664758640697206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10.188740079365083</v>
      </c>
      <c r="AO668">
        <v>25.647018834124385</v>
      </c>
      <c r="AP668">
        <v>221.30088145794468</v>
      </c>
      <c r="AQ668">
        <v>40.129294035096109</v>
      </c>
      <c r="AR668">
        <v>24.693983156120304</v>
      </c>
      <c r="AS668">
        <v>99.097022702823566</v>
      </c>
      <c r="AT668" t="e">
        <v>#DIV/0!</v>
      </c>
      <c r="AU668" t="e">
        <v>#DIV/0!</v>
      </c>
      <c r="AV668"/>
      <c r="AW668"/>
      <c r="FY668" s="210">
        <v>663</v>
      </c>
      <c r="FZ668">
        <v>3.5432797234686255</v>
      </c>
      <c r="GA668">
        <v>8.6618645238550354</v>
      </c>
      <c r="GB668">
        <v>3.5473982521337044</v>
      </c>
      <c r="GC668">
        <v>0.58523031682451876</v>
      </c>
      <c r="GD668">
        <v>0.38383842696948262</v>
      </c>
      <c r="GE668">
        <v>0.65265632087192083</v>
      </c>
      <c r="GF668">
        <v>3.3965328984970125</v>
      </c>
      <c r="GG668">
        <v>2.4814423768234892</v>
      </c>
      <c r="GH668">
        <v>0.58144353567374973</v>
      </c>
      <c r="GI668">
        <v>3.2603899798664671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8.6805555555555554</v>
      </c>
      <c r="AO669">
        <v>17.780030250989206</v>
      </c>
      <c r="AP669">
        <v>143.55673724797109</v>
      </c>
      <c r="AQ669">
        <v>48.569317699008863</v>
      </c>
      <c r="AR669">
        <v>17.343757702980284</v>
      </c>
      <c r="AS669">
        <v>72.556511253613067</v>
      </c>
      <c r="AT669" t="e">
        <v>#DIV/0!</v>
      </c>
      <c r="AU669" t="e">
        <v>#DIV/0!</v>
      </c>
      <c r="AV669"/>
      <c r="AW669"/>
      <c r="FY669" s="210">
        <v>664</v>
      </c>
      <c r="FZ669">
        <v>3.8827145604593918</v>
      </c>
      <c r="GA669">
        <v>6.8675270235829462</v>
      </c>
      <c r="GB669">
        <v>2.7205174821310663</v>
      </c>
      <c r="GC669">
        <v>1.4436155865219447</v>
      </c>
      <c r="GD669">
        <v>1.2667930211594907</v>
      </c>
      <c r="GE669">
        <v>0.94567220996660883</v>
      </c>
      <c r="GF669">
        <v>4.6747262262695886</v>
      </c>
      <c r="GG669">
        <v>4.3490888989007974</v>
      </c>
      <c r="GH669">
        <v>0.70738270544372439</v>
      </c>
      <c r="GI669">
        <v>3.8978940669719959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10.63624095471522</v>
      </c>
      <c r="AO670">
        <v>16.664811897296904</v>
      </c>
      <c r="AP670">
        <v>112.37388353066341</v>
      </c>
      <c r="AQ670">
        <v>21.104771166185852</v>
      </c>
      <c r="AR670">
        <v>15.500347074235384</v>
      </c>
      <c r="AS670">
        <v>123.72211974690734</v>
      </c>
      <c r="AT670">
        <v>7.4915329180274668</v>
      </c>
      <c r="AU670">
        <v>-19.668877977943993</v>
      </c>
      <c r="AV670"/>
      <c r="AW670"/>
      <c r="FY670" s="210">
        <v>665</v>
      </c>
      <c r="FZ670">
        <v>10.980567637703377</v>
      </c>
      <c r="GA670">
        <v>25.018085060068813</v>
      </c>
      <c r="GB670">
        <v>7.963983459269854</v>
      </c>
      <c r="GC670">
        <v>0.52691074984719077</v>
      </c>
      <c r="GD670">
        <v>0.72419406201183989</v>
      </c>
      <c r="GE670">
        <v>1.8629361371712825</v>
      </c>
      <c r="GF670">
        <v>5.3875294075975706</v>
      </c>
      <c r="GG670">
        <v>3.4426828721531746</v>
      </c>
      <c r="GH670">
        <v>0</v>
      </c>
      <c r="GI670">
        <v>7.3382610928917922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7.2750277194211019</v>
      </c>
      <c r="AO671">
        <v>8.4024497352811736</v>
      </c>
      <c r="AP671">
        <v>81.28301104409968</v>
      </c>
      <c r="AQ671">
        <v>17.071381547289764</v>
      </c>
      <c r="AR671">
        <v>7.7475653547092644</v>
      </c>
      <c r="AS671">
        <v>39.90639575731403</v>
      </c>
      <c r="AT671">
        <v>5.6675233044089337</v>
      </c>
      <c r="AU671">
        <v>-13.817168310988839</v>
      </c>
      <c r="AV671"/>
      <c r="AW671"/>
      <c r="FY671" s="210">
        <v>666</v>
      </c>
      <c r="FZ671">
        <v>6.9983139791439992</v>
      </c>
      <c r="GA671">
        <v>9.1840344398377525</v>
      </c>
      <c r="GB671">
        <v>1.5187388996637234</v>
      </c>
      <c r="GC671">
        <v>1.1726123917795608</v>
      </c>
      <c r="GD671">
        <v>1.2143505432510333</v>
      </c>
      <c r="GE671">
        <v>1.6105344804771042</v>
      </c>
      <c r="GF671">
        <v>1.2200458999500965</v>
      </c>
      <c r="GG671">
        <v>0</v>
      </c>
      <c r="GH671">
        <v>0.17282465026292085</v>
      </c>
      <c r="GI671">
        <v>3.5974224608931884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10.765581232492996</v>
      </c>
      <c r="AO672">
        <v>21.171558328630073</v>
      </c>
      <c r="AP672">
        <v>203.87331707439321</v>
      </c>
      <c r="AQ672">
        <v>41.58587865958151</v>
      </c>
      <c r="AR672">
        <v>20.13368337813727</v>
      </c>
      <c r="AS672">
        <v>88.133216141653193</v>
      </c>
      <c r="AT672">
        <v>10.71018613292471</v>
      </c>
      <c r="AU672">
        <v>-74.015155846322713</v>
      </c>
      <c r="AV672"/>
      <c r="AW672"/>
      <c r="FY672" s="210">
        <v>667</v>
      </c>
      <c r="FZ672">
        <v>7.3799570713472793</v>
      </c>
      <c r="GA672">
        <v>10.359939504259625</v>
      </c>
      <c r="GB672">
        <v>3.2601662726862841</v>
      </c>
      <c r="GC672">
        <v>0.88819046168352678</v>
      </c>
      <c r="GD672">
        <v>0.79328049659530775</v>
      </c>
      <c r="GE672">
        <v>1.3563246694319628</v>
      </c>
      <c r="GF672">
        <v>3.7152599524305328</v>
      </c>
      <c r="GG672">
        <v>2.3040409080523605</v>
      </c>
      <c r="GH672">
        <v>0.58144353567374973</v>
      </c>
      <c r="GI672">
        <v>4.1313447013596756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12.924581290849673</v>
      </c>
      <c r="AO673">
        <v>28.189727219564823</v>
      </c>
      <c r="AP673">
        <v>233.14482760905361</v>
      </c>
      <c r="AQ673">
        <v>66.28654663565203</v>
      </c>
      <c r="AR673">
        <v>27.460593186580255</v>
      </c>
      <c r="AS673">
        <v>226.81632585751981</v>
      </c>
      <c r="AT673">
        <v>16.626579453791937</v>
      </c>
      <c r="AU673">
        <v>-70.08614862161734</v>
      </c>
      <c r="AV673"/>
      <c r="AW673"/>
      <c r="FY673" s="210">
        <v>668</v>
      </c>
      <c r="FZ673">
        <v>11.805013622365635</v>
      </c>
      <c r="GA673">
        <v>12.633361599841045</v>
      </c>
      <c r="GB673">
        <v>2.8577857416924912</v>
      </c>
      <c r="GC673">
        <v>0.81373758166275956</v>
      </c>
      <c r="GD673">
        <v>0.95583807083751515</v>
      </c>
      <c r="GE673">
        <v>1.0244871843442829</v>
      </c>
      <c r="GF673">
        <v>1.8183720760101196</v>
      </c>
      <c r="GG673">
        <v>1.5628049455265007</v>
      </c>
      <c r="GH673">
        <v>0.17282465026292085</v>
      </c>
      <c r="GI673">
        <v>4.5916520738437239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11.948244922969186</v>
      </c>
      <c r="AO674">
        <v>21.700447878145429</v>
      </c>
      <c r="AP674">
        <v>167.88469313971831</v>
      </c>
      <c r="AQ674">
        <v>33.935911930647407</v>
      </c>
      <c r="AR674">
        <v>20.711569801378364</v>
      </c>
      <c r="AS674">
        <v>206.14342747710191</v>
      </c>
      <c r="AT674">
        <v>13.12225342079722</v>
      </c>
      <c r="AU674">
        <v>9.2022904108583603E-2</v>
      </c>
      <c r="AV674"/>
      <c r="AW674"/>
      <c r="FY674" s="210">
        <v>669</v>
      </c>
      <c r="FZ674">
        <v>10.495556490031888</v>
      </c>
      <c r="GA674">
        <v>10.705138877363909</v>
      </c>
      <c r="GB674">
        <v>1.4989552271287918</v>
      </c>
      <c r="GC674">
        <v>1.3276218610647259</v>
      </c>
      <c r="GD674">
        <v>1.3840627520460502</v>
      </c>
      <c r="GE674">
        <v>1.5430168907306658</v>
      </c>
      <c r="GF674">
        <v>5.4054052094725584</v>
      </c>
      <c r="GG674">
        <v>4.2424746108563749</v>
      </c>
      <c r="GH674">
        <v>0.58144353567374973</v>
      </c>
      <c r="GI674">
        <v>4.8898122319174968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12.775895774976657</v>
      </c>
      <c r="AO675">
        <v>25.516604471758797</v>
      </c>
      <c r="AP675">
        <v>192.11965412088182</v>
      </c>
      <c r="AQ675">
        <v>33.724689247256016</v>
      </c>
      <c r="AR675">
        <v>24.128488155296285</v>
      </c>
      <c r="AS675">
        <v>108.21251014461605</v>
      </c>
      <c r="AT675">
        <v>15.634937011388699</v>
      </c>
      <c r="AU675">
        <v>75.759650850955182</v>
      </c>
      <c r="AV675"/>
      <c r="AW675"/>
      <c r="FY675" s="210">
        <v>670</v>
      </c>
      <c r="FZ675">
        <v>3.1155994186846074</v>
      </c>
      <c r="GA675">
        <v>8.2097133251155068</v>
      </c>
      <c r="GB675">
        <v>1.5361891143410964</v>
      </c>
      <c r="GC675">
        <v>0.59864596336848208</v>
      </c>
      <c r="GD675">
        <v>0.42886550380332289</v>
      </c>
      <c r="GE675">
        <v>0.9363592328310143</v>
      </c>
      <c r="GF675">
        <v>4.6540338925114737</v>
      </c>
      <c r="GG675">
        <v>3.3723714037075605</v>
      </c>
      <c r="GH675">
        <v>0.40861888541082891</v>
      </c>
      <c r="GI675">
        <v>3.2354665772585083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19.185844129318397</v>
      </c>
      <c r="AO676">
        <v>16.559494091071102</v>
      </c>
      <c r="AP676">
        <v>142.86423026646924</v>
      </c>
      <c r="AQ676">
        <v>52.642113721410929</v>
      </c>
      <c r="AR676">
        <v>16.788189094092147</v>
      </c>
      <c r="AS676">
        <v>113.30125632930854</v>
      </c>
      <c r="AT676">
        <v>8.4760977843923229</v>
      </c>
      <c r="AU676">
        <v>-90.157308134887359</v>
      </c>
      <c r="AV676"/>
      <c r="AW676"/>
      <c r="FY676" s="210">
        <v>671</v>
      </c>
      <c r="FZ676">
        <v>6.9108292634285178</v>
      </c>
      <c r="GA676">
        <v>6.6886088875893508</v>
      </c>
      <c r="GB676">
        <v>1.4350319323820393</v>
      </c>
      <c r="GC676">
        <v>0.23198745091443732</v>
      </c>
      <c r="GD676">
        <v>0.52327226968234264</v>
      </c>
      <c r="GE676">
        <v>1.5623671767808247</v>
      </c>
      <c r="GF676">
        <v>2.9482157458909963</v>
      </c>
      <c r="GG676">
        <v>2.5177451964222972</v>
      </c>
      <c r="GH676">
        <v>0.94317694059163226</v>
      </c>
      <c r="GI676">
        <v>3.9735218130941941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9.8161764705882355</v>
      </c>
      <c r="AO677">
        <v>16.519247854204998</v>
      </c>
      <c r="AP677">
        <v>150.4962193130722</v>
      </c>
      <c r="AQ677">
        <v>28.721334472626776</v>
      </c>
      <c r="AR677">
        <v>15.315753658478709</v>
      </c>
      <c r="AS677">
        <v>72.428022350384566</v>
      </c>
      <c r="AT677" t="e">
        <v>#DIV/0!</v>
      </c>
      <c r="AU677" t="e">
        <v>#DIV/0!</v>
      </c>
      <c r="AV677"/>
      <c r="AW677"/>
      <c r="FY677" s="210">
        <v>672</v>
      </c>
      <c r="FZ677">
        <v>0.60043358552420678</v>
      </c>
      <c r="GA677">
        <v>5.1386419440667641</v>
      </c>
      <c r="GB677">
        <v>1.7432582326120136</v>
      </c>
      <c r="GC677">
        <v>0.31318944867627208</v>
      </c>
      <c r="GD677">
        <v>0.53629174882239505</v>
      </c>
      <c r="GE677">
        <v>1.9661449878060608</v>
      </c>
      <c r="GF677">
        <v>1.9507248831530661</v>
      </c>
      <c r="GG677">
        <v>0.42416298142568709</v>
      </c>
      <c r="GH677">
        <v>0.40861888541082891</v>
      </c>
      <c r="GI677">
        <v>3.0728981174177443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8.0173611111111107</v>
      </c>
      <c r="AO678">
        <v>18.027375468492171</v>
      </c>
      <c r="AP678">
        <v>134.45144832787207</v>
      </c>
      <c r="AQ678">
        <v>32.464177040209329</v>
      </c>
      <c r="AR678">
        <v>16.706869202504002</v>
      </c>
      <c r="AS678">
        <v>93.481485156123284</v>
      </c>
      <c r="AT678" t="e">
        <v>#DIV/0!</v>
      </c>
      <c r="AU678" t="e">
        <v>#DIV/0!</v>
      </c>
      <c r="AV678"/>
      <c r="AW678"/>
      <c r="FY678" s="210">
        <v>673</v>
      </c>
      <c r="FZ678">
        <v>3.1155994186846074</v>
      </c>
      <c r="GA678">
        <v>20.352013821708937</v>
      </c>
      <c r="GB678">
        <v>7.4290894230674391</v>
      </c>
      <c r="GC678">
        <v>0.28876305730787988</v>
      </c>
      <c r="GD678">
        <v>0.36147734296241568</v>
      </c>
      <c r="GE678">
        <v>0.72285495930647359</v>
      </c>
      <c r="GF678">
        <v>5.5274640375396338</v>
      </c>
      <c r="GG678">
        <v>4.8866421250858876</v>
      </c>
      <c r="GH678">
        <v>0</v>
      </c>
      <c r="GI678">
        <v>5.3054707478697303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7.166002859477123</v>
      </c>
      <c r="AO679">
        <v>11.511188017496922</v>
      </c>
      <c r="AP679">
        <v>100.6135335329805</v>
      </c>
      <c r="AQ679">
        <v>27.094076354984004</v>
      </c>
      <c r="AR679">
        <v>11.213382603884821</v>
      </c>
      <c r="AS679">
        <v>53.438018492006236</v>
      </c>
      <c r="AT679" t="e">
        <v>#DIV/0!</v>
      </c>
      <c r="AU679" t="e">
        <v>#DIV/0!</v>
      </c>
      <c r="AV679"/>
      <c r="AW679"/>
      <c r="FY679" s="210">
        <v>674</v>
      </c>
      <c r="FZ679">
        <v>8.4073102095777337</v>
      </c>
      <c r="GA679">
        <v>19.52355443713002</v>
      </c>
      <c r="GB679">
        <v>5.7201411829043778</v>
      </c>
      <c r="GC679">
        <v>0.35985286233173402</v>
      </c>
      <c r="GD679">
        <v>0.56910497738338439</v>
      </c>
      <c r="GE679">
        <v>1.2214802654471855</v>
      </c>
      <c r="GF679">
        <v>1.9899958409667926</v>
      </c>
      <c r="GG679">
        <v>1.5410277012290603</v>
      </c>
      <c r="GH679">
        <v>0.64441312055873701</v>
      </c>
      <c r="GI679">
        <v>5.3234795620913866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11.921626984126984</v>
      </c>
      <c r="AO680">
        <v>14.080380775866479</v>
      </c>
      <c r="AP680">
        <v>102.86196499613082</v>
      </c>
      <c r="AQ680">
        <v>30.755931781407554</v>
      </c>
      <c r="AR680">
        <v>13.531211059044388</v>
      </c>
      <c r="AS680">
        <v>73.773069101056507</v>
      </c>
      <c r="AT680" t="e">
        <v>#DIV/0!</v>
      </c>
      <c r="AU680" t="e">
        <v>#DIV/0!</v>
      </c>
      <c r="AV680"/>
      <c r="AW680"/>
      <c r="FY680" s="210">
        <v>675</v>
      </c>
      <c r="FZ680">
        <v>6.7003266452879764</v>
      </c>
      <c r="GA680">
        <v>6.8882637278623493</v>
      </c>
      <c r="GB680">
        <v>0.24430300548322173</v>
      </c>
      <c r="GC680">
        <v>0.87768909284680729</v>
      </c>
      <c r="GD680">
        <v>0.60078281898357133</v>
      </c>
      <c r="GE680">
        <v>1.4778205414695484</v>
      </c>
      <c r="GF680">
        <v>4.6042400485206851</v>
      </c>
      <c r="GG680">
        <v>2.4324324403942232</v>
      </c>
      <c r="GH680">
        <v>0.23579423514790807</v>
      </c>
      <c r="GI680">
        <v>2.5363062524643096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11.83655753968254</v>
      </c>
      <c r="AO681">
        <v>30.929055788236678</v>
      </c>
      <c r="AP681">
        <v>279.30984349885119</v>
      </c>
      <c r="AQ681">
        <v>63.245150478714891</v>
      </c>
      <c r="AR681">
        <v>29.56326755743596</v>
      </c>
      <c r="AS681">
        <v>125.70488385105305</v>
      </c>
      <c r="AT681" t="e">
        <v>#DIV/0!</v>
      </c>
      <c r="AU681" t="e">
        <v>#DIV/0!</v>
      </c>
      <c r="AV681"/>
      <c r="AW681"/>
      <c r="FY681" s="210">
        <v>676</v>
      </c>
      <c r="FZ681">
        <v>4.4254369270572411</v>
      </c>
      <c r="GA681">
        <v>9.2375103526553755</v>
      </c>
      <c r="GB681">
        <v>3.2903119476882265</v>
      </c>
      <c r="GC681">
        <v>0.39679634815764131</v>
      </c>
      <c r="GD681">
        <v>0.66884784954911547</v>
      </c>
      <c r="GE681">
        <v>1.8496514049419108</v>
      </c>
      <c r="GF681">
        <v>1.4846211312660942</v>
      </c>
      <c r="GG681">
        <v>0</v>
      </c>
      <c r="GH681">
        <v>0.17282465026292085</v>
      </c>
      <c r="GI681">
        <v>2.9927499309562604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11.261758870214752</v>
      </c>
      <c r="AO682">
        <v>11.197183763670708</v>
      </c>
      <c r="AP682">
        <v>90.893072955877088</v>
      </c>
      <c r="AQ682">
        <v>26.688877745259379</v>
      </c>
      <c r="AR682">
        <v>10.848428934064925</v>
      </c>
      <c r="AS682">
        <v>67.831442764310111</v>
      </c>
      <c r="AT682" t="e">
        <v>#DIV/0!</v>
      </c>
      <c r="AU682" t="e">
        <v>#DIV/0!</v>
      </c>
      <c r="AV682"/>
      <c r="AW682"/>
      <c r="FY682" s="210">
        <v>677</v>
      </c>
      <c r="FZ682">
        <v>3.6006105663560986</v>
      </c>
      <c r="GA682">
        <v>22.721997150781366</v>
      </c>
      <c r="GB682">
        <v>8.1547251724733343</v>
      </c>
      <c r="GC682">
        <v>1.1942416165199925</v>
      </c>
      <c r="GD682">
        <v>1.1232242380346362</v>
      </c>
      <c r="GE682">
        <v>1.7308520995358847</v>
      </c>
      <c r="GF682">
        <v>4.5686668499587739</v>
      </c>
      <c r="GG682">
        <v>2.9269068902655246</v>
      </c>
      <c r="GH682">
        <v>0.58144353567374973</v>
      </c>
      <c r="GI682">
        <v>5.6217413350386698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9.3378778594771248</v>
      </c>
      <c r="AO683">
        <v>25.982786026547217</v>
      </c>
      <c r="AP683">
        <v>191.63539006697334</v>
      </c>
      <c r="AQ683">
        <v>34.769947573520305</v>
      </c>
      <c r="AR683">
        <v>24.973793413956905</v>
      </c>
      <c r="AS683">
        <v>145.46241103169092</v>
      </c>
      <c r="AT683">
        <v>15.046710215810549</v>
      </c>
      <c r="AU683">
        <v>-53.712162319370492</v>
      </c>
      <c r="AV683"/>
      <c r="AW683"/>
      <c r="FY683" s="210">
        <v>678</v>
      </c>
      <c r="FZ683">
        <v>5.009606796789833</v>
      </c>
      <c r="GA683">
        <v>33.260854791034589</v>
      </c>
      <c r="GB683">
        <v>12.407355290136172</v>
      </c>
      <c r="GC683">
        <v>0.48458846340357475</v>
      </c>
      <c r="GD683">
        <v>0.26571542237283341</v>
      </c>
      <c r="GE683">
        <v>0.60362215839971023</v>
      </c>
      <c r="GF683">
        <v>4.898162490850444</v>
      </c>
      <c r="GG683">
        <v>3.6899200970888253</v>
      </c>
      <c r="GH683">
        <v>0.17282465026292085</v>
      </c>
      <c r="GI683">
        <v>7.3559960844976153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11.429293592436974</v>
      </c>
      <c r="AO684">
        <v>21.297963787759954</v>
      </c>
      <c r="AP684">
        <v>153.40278176349145</v>
      </c>
      <c r="AQ684">
        <v>38.235877546386995</v>
      </c>
      <c r="AR684">
        <v>20.730647757750987</v>
      </c>
      <c r="AS684">
        <v>146.81736824540744</v>
      </c>
      <c r="AT684">
        <v>10.590434415519066</v>
      </c>
      <c r="AU684">
        <v>-48.464835608045234</v>
      </c>
      <c r="AV684"/>
      <c r="AW684"/>
      <c r="FY684" s="210">
        <v>679</v>
      </c>
      <c r="FZ684">
        <v>13.214390228838257</v>
      </c>
      <c r="GA684">
        <v>20.71987900851925</v>
      </c>
      <c r="GB684">
        <v>6.312140617491715</v>
      </c>
      <c r="GC684">
        <v>0.7005786337843003</v>
      </c>
      <c r="GD684">
        <v>0.79096087379153257</v>
      </c>
      <c r="GE684">
        <v>1.8251024238468958</v>
      </c>
      <c r="GF684">
        <v>4.1449984809809379</v>
      </c>
      <c r="GG684">
        <v>2.835293889803562</v>
      </c>
      <c r="GH684">
        <v>0.88020735570664521</v>
      </c>
      <c r="GI684">
        <v>7.256131664716384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12.01124095471522</v>
      </c>
      <c r="AO685">
        <v>16.977015236830361</v>
      </c>
      <c r="AP685">
        <v>149.38708056653874</v>
      </c>
      <c r="AQ685">
        <v>42.073487686286207</v>
      </c>
      <c r="AR685">
        <v>16.641158870317451</v>
      </c>
      <c r="AS685">
        <v>82.597229951898498</v>
      </c>
      <c r="AT685">
        <v>9.0052168439270801</v>
      </c>
      <c r="AU685">
        <v>-21.195354321869857</v>
      </c>
      <c r="AV685"/>
      <c r="AW685"/>
      <c r="FY685" s="210">
        <v>680</v>
      </c>
      <c r="FZ685">
        <v>5.7465680657366089</v>
      </c>
      <c r="GA685">
        <v>15.256158484692049</v>
      </c>
      <c r="GB685">
        <v>5.2840708708034612</v>
      </c>
      <c r="GC685">
        <v>0.722170247573933</v>
      </c>
      <c r="GD685">
        <v>1.0244750483252321</v>
      </c>
      <c r="GE685">
        <v>1.7195870402744435</v>
      </c>
      <c r="GF685">
        <v>4.9796007917285952</v>
      </c>
      <c r="GG685">
        <v>3.9952373859207246</v>
      </c>
      <c r="GH685">
        <v>0.23579423514790807</v>
      </c>
      <c r="GI685">
        <v>4.6786337436738465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8.2298888305322127</v>
      </c>
      <c r="AO686">
        <v>17.28046158063729</v>
      </c>
      <c r="AP686">
        <v>140.88715596539899</v>
      </c>
      <c r="AQ686">
        <v>26.495863317032402</v>
      </c>
      <c r="AR686">
        <v>15.981557876933696</v>
      </c>
      <c r="AS686">
        <v>89.488744742988061</v>
      </c>
      <c r="AT686">
        <v>7.7127306428573315</v>
      </c>
      <c r="AU686">
        <v>16.531939165629641</v>
      </c>
      <c r="AV686"/>
      <c r="AW686"/>
      <c r="FY686" s="210">
        <v>681</v>
      </c>
      <c r="FZ686">
        <v>0.88215720358861527</v>
      </c>
      <c r="GA686">
        <v>12.00616896764971</v>
      </c>
      <c r="GB686">
        <v>4.1171927176908651</v>
      </c>
      <c r="GC686">
        <v>0.38965805431783501</v>
      </c>
      <c r="GD686">
        <v>0.37206709164810609</v>
      </c>
      <c r="GE686">
        <v>0.35228417155078251</v>
      </c>
      <c r="GF686">
        <v>5.0779479622703967</v>
      </c>
      <c r="GG686">
        <v>4.758250592744024</v>
      </c>
      <c r="GH686">
        <v>0.17282465026292085</v>
      </c>
      <c r="GI686">
        <v>3.489761842520732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9.7590525793650791</v>
      </c>
      <c r="AO687">
        <v>18.317406774012216</v>
      </c>
      <c r="AP687">
        <v>105.5602498372311</v>
      </c>
      <c r="AQ687">
        <v>27.73475667677663</v>
      </c>
      <c r="AR687">
        <v>17.862719662939952</v>
      </c>
      <c r="AS687">
        <v>102.66478978649157</v>
      </c>
      <c r="AT687" t="e">
        <v>#DIV/0!</v>
      </c>
      <c r="AU687" t="e">
        <v>#DIV/0!</v>
      </c>
      <c r="AV687"/>
      <c r="AW687"/>
      <c r="FY687" s="210">
        <v>682</v>
      </c>
      <c r="FZ687">
        <v>6.5710140503988672</v>
      </c>
      <c r="GA687">
        <v>6.6147134678043713</v>
      </c>
      <c r="GB687">
        <v>0.91758811085699776</v>
      </c>
      <c r="GC687">
        <v>0.34798117637165599</v>
      </c>
      <c r="GD687">
        <v>0.13353362355938544</v>
      </c>
      <c r="GE687">
        <v>0.58825354828668863</v>
      </c>
      <c r="GF687">
        <v>3.574723099760682</v>
      </c>
      <c r="GG687">
        <v>2.8565954218199106</v>
      </c>
      <c r="GH687">
        <v>0.99006242108457876</v>
      </c>
      <c r="GI687">
        <v>3.3568427418096309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6.1832618464052285</v>
      </c>
      <c r="AO688">
        <v>13.461725343232732</v>
      </c>
      <c r="AP688">
        <v>102.11507951312761</v>
      </c>
      <c r="AQ688">
        <v>16.154364814915038</v>
      </c>
      <c r="AR688">
        <v>12.472018219236977</v>
      </c>
      <c r="AS688">
        <v>52.293499525607253</v>
      </c>
      <c r="AT688" t="e">
        <v>#DIV/0!</v>
      </c>
      <c r="AU688" t="e">
        <v>#DIV/0!</v>
      </c>
      <c r="AV688"/>
      <c r="AW688"/>
      <c r="FY688" s="210">
        <v>683</v>
      </c>
      <c r="FZ688">
        <v>11.320382850733031</v>
      </c>
      <c r="GA688">
        <v>14.857483198770142</v>
      </c>
      <c r="GB688">
        <v>5.1876684431972082</v>
      </c>
      <c r="GC688">
        <v>0.62152839415298899</v>
      </c>
      <c r="GD688">
        <v>1.2088547100234825</v>
      </c>
      <c r="GE688">
        <v>1.9453403200465118</v>
      </c>
      <c r="GF688">
        <v>1.5921416186097608</v>
      </c>
      <c r="GG688">
        <v>1.3641019447390237</v>
      </c>
      <c r="GH688">
        <v>0.58144353567374973</v>
      </c>
      <c r="GI688">
        <v>5.5005375686762941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9.319196428571427</v>
      </c>
      <c r="AO689">
        <v>16.057339971921682</v>
      </c>
      <c r="AP689">
        <v>138.81196115189823</v>
      </c>
      <c r="AQ689">
        <v>47.989374933533</v>
      </c>
      <c r="AR689">
        <v>14.878800815398197</v>
      </c>
      <c r="AS689">
        <v>75.253308082710177</v>
      </c>
      <c r="AT689" t="e">
        <v>#DIV/0!</v>
      </c>
      <c r="AU689" t="e">
        <v>#DIV/0!</v>
      </c>
      <c r="AV689"/>
      <c r="AW689"/>
      <c r="FY689" s="210">
        <v>684</v>
      </c>
      <c r="FZ689">
        <v>3.3977034127879011</v>
      </c>
      <c r="GA689">
        <v>1.1736587576831998</v>
      </c>
      <c r="GB689">
        <v>0.23833760288279598</v>
      </c>
      <c r="GC689">
        <v>1.07975424069586</v>
      </c>
      <c r="GD689">
        <v>1.0223235558292911</v>
      </c>
      <c r="GE689">
        <v>1.0659256241096702</v>
      </c>
      <c r="GF689">
        <v>1.1431830879410656</v>
      </c>
      <c r="GG689">
        <v>0.42416298142568709</v>
      </c>
      <c r="GH689">
        <v>0.23579423514790807</v>
      </c>
      <c r="GI689">
        <v>1.907139218843148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10.484229108309991</v>
      </c>
      <c r="AO690">
        <v>24.197142639121459</v>
      </c>
      <c r="AP690">
        <v>170.51636876282853</v>
      </c>
      <c r="AQ690">
        <v>45.300360159620411</v>
      </c>
      <c r="AR690">
        <v>22.936614301312723</v>
      </c>
      <c r="AS690">
        <v>210.12313116726978</v>
      </c>
      <c r="AT690">
        <v>9.0510013989233702</v>
      </c>
      <c r="AU690">
        <v>-8.6370209813810384</v>
      </c>
      <c r="AV690"/>
      <c r="AW690"/>
      <c r="FY690" s="210">
        <v>685</v>
      </c>
      <c r="FZ690">
        <v>3.6006105663560986</v>
      </c>
      <c r="GA690">
        <v>5.8397299960430775</v>
      </c>
      <c r="GB690">
        <v>0.81055336493520136</v>
      </c>
      <c r="GC690">
        <v>0.94715543715829176</v>
      </c>
      <c r="GD690">
        <v>0.90152475465741633</v>
      </c>
      <c r="GE690">
        <v>1.1261662712909239</v>
      </c>
      <c r="GF690">
        <v>3.7198354412996535</v>
      </c>
      <c r="GG690">
        <v>2.5027439088398373</v>
      </c>
      <c r="GH690">
        <v>0.17282465026292085</v>
      </c>
      <c r="GI690">
        <v>2.4993246241481706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7.3142361111111116</v>
      </c>
      <c r="AO691">
        <v>12.291995934741013</v>
      </c>
      <c r="AP691">
        <v>83.771441197373534</v>
      </c>
      <c r="AQ691">
        <v>26.5979588084606</v>
      </c>
      <c r="AR691">
        <v>11.282738270236663</v>
      </c>
      <c r="AS691">
        <v>53.397743942012703</v>
      </c>
      <c r="AT691" t="e">
        <v>#DIV/0!</v>
      </c>
      <c r="AU691" t="e">
        <v>#DIV/0!</v>
      </c>
      <c r="AV691"/>
      <c r="AW691"/>
      <c r="FY691" s="210">
        <v>686</v>
      </c>
      <c r="FZ691">
        <v>4.4827677699447133</v>
      </c>
      <c r="GA691">
        <v>12.308581733704118</v>
      </c>
      <c r="GB691">
        <v>3.1903654139767923</v>
      </c>
      <c r="GC691">
        <v>0.41817242930906195</v>
      </c>
      <c r="GD691">
        <v>0.49953811990589048</v>
      </c>
      <c r="GE691">
        <v>1.563609634675349</v>
      </c>
      <c r="GF691">
        <v>4.363017184658875</v>
      </c>
      <c r="GG691">
        <v>2.9849869541617733</v>
      </c>
      <c r="GH691">
        <v>0.81723777082165783</v>
      </c>
      <c r="GI691">
        <v>3.8411466064550037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9.152631886087768</v>
      </c>
      <c r="AO692">
        <v>15.355933918541291</v>
      </c>
      <c r="AP692">
        <v>110.75758841608331</v>
      </c>
      <c r="AQ692">
        <v>24.518750542534789</v>
      </c>
      <c r="AR692">
        <v>14.738927336289857</v>
      </c>
      <c r="AS692">
        <v>67.780310676597054</v>
      </c>
      <c r="AT692" t="e">
        <v>#DIV/0!</v>
      </c>
      <c r="AU692" t="e">
        <v>#DIV/0!</v>
      </c>
      <c r="AV692"/>
      <c r="AW692"/>
      <c r="FY692" s="210">
        <v>687</v>
      </c>
      <c r="FZ692">
        <v>0.173133656779074</v>
      </c>
      <c r="GA692">
        <v>4.9393043011058113</v>
      </c>
      <c r="GB692">
        <v>1.5199495479113458</v>
      </c>
      <c r="GC692">
        <v>0.9603179401132439</v>
      </c>
      <c r="GD692">
        <v>0.86272310495022597</v>
      </c>
      <c r="GE692">
        <v>1.2551996966808341</v>
      </c>
      <c r="GF692">
        <v>4.6540338925114737</v>
      </c>
      <c r="GG692">
        <v>3.1954456472175239</v>
      </c>
      <c r="GH692">
        <v>0.51847395078876257</v>
      </c>
      <c r="GI692">
        <v>2.7172064443060662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14.479122899159668</v>
      </c>
      <c r="AO693">
        <v>18.071152807288367</v>
      </c>
      <c r="AP693">
        <v>169.29256259796335</v>
      </c>
      <c r="AQ693">
        <v>52.224409454638042</v>
      </c>
      <c r="AR693">
        <v>16.760044861159745</v>
      </c>
      <c r="AS693">
        <v>97.648356135424251</v>
      </c>
      <c r="AT693">
        <v>8.7147777814564034</v>
      </c>
      <c r="AU693">
        <v>-29.249828923275135</v>
      </c>
      <c r="AV693"/>
      <c r="AW693"/>
      <c r="FY693" s="210">
        <v>688</v>
      </c>
      <c r="FZ693">
        <v>3.5428993474297403</v>
      </c>
      <c r="GA693">
        <v>17.028128884881617</v>
      </c>
      <c r="GB693">
        <v>5.6177733526976983</v>
      </c>
      <c r="GC693">
        <v>0.61959216866067757</v>
      </c>
      <c r="GD693">
        <v>0.70323111606025657</v>
      </c>
      <c r="GE693">
        <v>1.6840598598877301</v>
      </c>
      <c r="GF693">
        <v>4.0453131379227427</v>
      </c>
      <c r="GG693">
        <v>2.2555066839041871</v>
      </c>
      <c r="GH693">
        <v>0.17282465026292085</v>
      </c>
      <c r="GI693">
        <v>5.3123825357591841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10.837775735294116</v>
      </c>
      <c r="AO694">
        <v>32.840601809971119</v>
      </c>
      <c r="AP694">
        <v>254.31716251844415</v>
      </c>
      <c r="AQ694">
        <v>68.148646244836513</v>
      </c>
      <c r="AR694">
        <v>30.479084959204577</v>
      </c>
      <c r="AS694">
        <v>252.07427448345274</v>
      </c>
      <c r="AT694">
        <v>20.760227796358301</v>
      </c>
      <c r="AU694">
        <v>-74.913644569177478</v>
      </c>
      <c r="AV694"/>
      <c r="AW694"/>
      <c r="FY694" s="210">
        <v>689</v>
      </c>
      <c r="FZ694">
        <v>5.2917107908931271</v>
      </c>
      <c r="GA694">
        <v>13.128598119253958</v>
      </c>
      <c r="GB694">
        <v>4.0160355357318078</v>
      </c>
      <c r="GC694">
        <v>0.29873612872644562</v>
      </c>
      <c r="GD694">
        <v>0.45774718292720518</v>
      </c>
      <c r="GE694">
        <v>1.7636507931191427</v>
      </c>
      <c r="GF694">
        <v>6.5359293624704353</v>
      </c>
      <c r="GG694">
        <v>4.6879391242984099</v>
      </c>
      <c r="GH694">
        <v>0.75426818593667067</v>
      </c>
      <c r="GI694">
        <v>5.6097203798278228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10.724928513071895</v>
      </c>
      <c r="AO695">
        <v>23.286053576076512</v>
      </c>
      <c r="AP695">
        <v>177.11114250316962</v>
      </c>
      <c r="AQ695">
        <v>58.679683177479475</v>
      </c>
      <c r="AR695">
        <v>22.996888555524237</v>
      </c>
      <c r="AS695">
        <v>105.71212889698499</v>
      </c>
      <c r="AT695">
        <v>10.920983700262232</v>
      </c>
      <c r="AU695">
        <v>-31.265269432767237</v>
      </c>
      <c r="AV695"/>
      <c r="AW695"/>
      <c r="FY695" s="210">
        <v>690</v>
      </c>
      <c r="FZ695">
        <v>8.2621142749358949</v>
      </c>
      <c r="GA695">
        <v>16.273564920087683</v>
      </c>
      <c r="GB695">
        <v>4.6729932360381472</v>
      </c>
      <c r="GC695">
        <v>1.1452121015129944</v>
      </c>
      <c r="GD695">
        <v>1.16510152212255</v>
      </c>
      <c r="GE695">
        <v>2.1896714574996192</v>
      </c>
      <c r="GF695">
        <v>3.3225611026067856</v>
      </c>
      <c r="GG695">
        <v>1.3641019447390237</v>
      </c>
      <c r="GH695">
        <v>0.40861888541082891</v>
      </c>
      <c r="GI695">
        <v>4.5997496249859493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11.191592261904763</v>
      </c>
      <c r="AO696">
        <v>17.951893272456005</v>
      </c>
      <c r="AP696">
        <v>165.62198646443966</v>
      </c>
      <c r="AQ696">
        <v>43.642295913876801</v>
      </c>
      <c r="AR696">
        <v>17.065464560943532</v>
      </c>
      <c r="AS696">
        <v>92.920663652425034</v>
      </c>
      <c r="AT696" t="e">
        <v>#DIV/0!</v>
      </c>
      <c r="AU696" t="e">
        <v>#DIV/0!</v>
      </c>
      <c r="AV696"/>
      <c r="AW696"/>
      <c r="FY696" s="210">
        <v>691</v>
      </c>
      <c r="FZ696">
        <v>11.747302403439278</v>
      </c>
      <c r="GA696">
        <v>6.9394933339412983</v>
      </c>
      <c r="GB696">
        <v>0.35815564776684838</v>
      </c>
      <c r="GC696">
        <v>0.56256341867822401</v>
      </c>
      <c r="GD696">
        <v>1.272699659107086</v>
      </c>
      <c r="GE696">
        <v>2.8779397215986142</v>
      </c>
      <c r="GF696">
        <v>3.9418105948476558</v>
      </c>
      <c r="GG696">
        <v>2.2555066839041871</v>
      </c>
      <c r="GH696">
        <v>0.17282465026292085</v>
      </c>
      <c r="GI696">
        <v>4.4182209011478291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8.2871804971988787</v>
      </c>
      <c r="AO697">
        <v>14.244131386210626</v>
      </c>
      <c r="AP697">
        <v>137.49979427305385</v>
      </c>
      <c r="AQ697">
        <v>31.618313254243986</v>
      </c>
      <c r="AR697">
        <v>13.232895218658207</v>
      </c>
      <c r="AS697">
        <v>87.404493487669129</v>
      </c>
      <c r="AT697">
        <v>8.4866156647982649</v>
      </c>
      <c r="AU697">
        <v>49.740549811288901</v>
      </c>
      <c r="AV697"/>
      <c r="AW697"/>
      <c r="FY697" s="210">
        <v>692</v>
      </c>
      <c r="FZ697">
        <v>8.2621142749358949</v>
      </c>
      <c r="GA697">
        <v>14.658145555809188</v>
      </c>
      <c r="GB697">
        <v>4.9968388913560418</v>
      </c>
      <c r="GC697">
        <v>0.44105486009356876</v>
      </c>
      <c r="GD697">
        <v>0.36566137731450704</v>
      </c>
      <c r="GE697">
        <v>0.88004209223239904</v>
      </c>
      <c r="GF697">
        <v>4.6309689821807742</v>
      </c>
      <c r="GG697">
        <v>3.3728471159886522</v>
      </c>
      <c r="GH697">
        <v>0.17282465026292085</v>
      </c>
      <c r="GI697">
        <v>4.6321775918613808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9.6751575630252074</v>
      </c>
      <c r="AO698">
        <v>13.077817462574085</v>
      </c>
      <c r="AP698">
        <v>91.408500775378272</v>
      </c>
      <c r="AQ698">
        <v>25.951307661752772</v>
      </c>
      <c r="AR698">
        <v>12.601368083586427</v>
      </c>
      <c r="AS698">
        <v>65.162228777326959</v>
      </c>
      <c r="AT698">
        <v>6.7150115058860189</v>
      </c>
      <c r="AU698">
        <v>46.751789785480725</v>
      </c>
      <c r="AV698"/>
      <c r="AW698"/>
      <c r="FY698" s="210">
        <v>693</v>
      </c>
      <c r="FZ698">
        <v>4.8644108621479933</v>
      </c>
      <c r="GA698">
        <v>16.253145413120322</v>
      </c>
      <c r="GB698">
        <v>5.651550972442509</v>
      </c>
      <c r="GC698">
        <v>0.1777558675599441</v>
      </c>
      <c r="GD698">
        <v>0.27324570423066658</v>
      </c>
      <c r="GE698">
        <v>0.90998094907826921</v>
      </c>
      <c r="GF698">
        <v>3.7492917042488365</v>
      </c>
      <c r="GG698">
        <v>3.1038326467555613</v>
      </c>
      <c r="GH698">
        <v>0.47158847029581613</v>
      </c>
      <c r="GI698">
        <v>4.2505997454110149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11.744747899159661</v>
      </c>
      <c r="AO699">
        <v>24.471451497636593</v>
      </c>
      <c r="AP699">
        <v>184.84662935166611</v>
      </c>
      <c r="AQ699">
        <v>44.179482584622193</v>
      </c>
      <c r="AR699">
        <v>24.14075218775081</v>
      </c>
      <c r="AS699">
        <v>104.95783248904172</v>
      </c>
      <c r="AT699">
        <v>11.530237330914273</v>
      </c>
      <c r="AU699">
        <v>-79.434074390308552</v>
      </c>
      <c r="AV699"/>
      <c r="AW699"/>
      <c r="FY699" s="210">
        <v>694</v>
      </c>
      <c r="FZ699">
        <v>5.1921716927931403</v>
      </c>
      <c r="GA699">
        <v>13.535716404204939</v>
      </c>
      <c r="GB699">
        <v>5.2201475760567089</v>
      </c>
      <c r="GC699">
        <v>1.185382629826087</v>
      </c>
      <c r="GD699">
        <v>1.090210275635251</v>
      </c>
      <c r="GE699">
        <v>1.6165422701412915</v>
      </c>
      <c r="GF699">
        <v>4.2183756748486454</v>
      </c>
      <c r="GG699">
        <v>2.5027439088398373</v>
      </c>
      <c r="GH699">
        <v>0.17282465026292085</v>
      </c>
      <c r="GI699">
        <v>4.3964049505948672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8.4216269841269824</v>
      </c>
      <c r="AO700">
        <v>11.07874793374925</v>
      </c>
      <c r="AP700">
        <v>77.094119031911063</v>
      </c>
      <c r="AQ700">
        <v>11.687982717346529</v>
      </c>
      <c r="AR700">
        <v>10.686961062536188</v>
      </c>
      <c r="AS700">
        <v>106.64278949357264</v>
      </c>
      <c r="AT700" t="e">
        <v>#DIV/0!</v>
      </c>
      <c r="AU700" t="e">
        <v>#DIV/0!</v>
      </c>
      <c r="AV700"/>
      <c r="AW700"/>
      <c r="FY700" s="210">
        <v>695</v>
      </c>
      <c r="FZ700">
        <v>7.9803906568714869</v>
      </c>
      <c r="GA700">
        <v>4.8654088813208318</v>
      </c>
      <c r="GB700">
        <v>0.96639464878393588</v>
      </c>
      <c r="GC700">
        <v>0.60402476398619087</v>
      </c>
      <c r="GD700">
        <v>0.94316171072946087</v>
      </c>
      <c r="GE700">
        <v>1.6218318651083399</v>
      </c>
      <c r="GF700">
        <v>0.6313425413862066</v>
      </c>
      <c r="GG700">
        <v>0.1769257564900365</v>
      </c>
      <c r="GH700">
        <v>0.40861888541082891</v>
      </c>
      <c r="GI700">
        <v>3.6883021075120386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9.3236388305322127</v>
      </c>
      <c r="AO701">
        <v>17.851501800952494</v>
      </c>
      <c r="AP701">
        <v>137.07824093210499</v>
      </c>
      <c r="AQ701">
        <v>22.120469014991588</v>
      </c>
      <c r="AR701">
        <v>16.571083734478979</v>
      </c>
      <c r="AS701">
        <v>185.32056450212247</v>
      </c>
      <c r="AT701">
        <v>10.09662498895425</v>
      </c>
      <c r="AU701">
        <v>22.843443750722017</v>
      </c>
      <c r="AV701"/>
      <c r="AW701"/>
      <c r="FY701" s="210">
        <v>696</v>
      </c>
      <c r="FZ701">
        <v>5.3075941306458558</v>
      </c>
      <c r="GA701">
        <v>15.905699733277368</v>
      </c>
      <c r="GB701">
        <v>5.651550972442509</v>
      </c>
      <c r="GC701">
        <v>0.28273884819273387</v>
      </c>
      <c r="GD701">
        <v>0.84945901078651898</v>
      </c>
      <c r="GE701">
        <v>2.5632781499531507</v>
      </c>
      <c r="GF701">
        <v>5.0388975980497488</v>
      </c>
      <c r="GG701">
        <v>2.9972183587111387</v>
      </c>
      <c r="GH701">
        <v>0</v>
      </c>
      <c r="GI701">
        <v>5.4481876194444965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12.3781804388422</v>
      </c>
      <c r="AO702">
        <v>18.487793161374245</v>
      </c>
      <c r="AP702">
        <v>167.86643505201906</v>
      </c>
      <c r="AQ702">
        <v>34.469423617613238</v>
      </c>
      <c r="AR702">
        <v>17.15771985669312</v>
      </c>
      <c r="AS702">
        <v>90.650323659060049</v>
      </c>
      <c r="AT702">
        <v>9.3320702371920365</v>
      </c>
      <c r="AU702">
        <v>-23.339542227761193</v>
      </c>
      <c r="AV702"/>
      <c r="AW702"/>
      <c r="FY702" s="210">
        <v>697</v>
      </c>
      <c r="FZ702">
        <v>4.8802942019007229</v>
      </c>
      <c r="GA702">
        <v>7.0872841735112573</v>
      </c>
      <c r="GB702">
        <v>1.6024458669454074</v>
      </c>
      <c r="GC702">
        <v>1.2803130389118267</v>
      </c>
      <c r="GD702">
        <v>1.424715766491309</v>
      </c>
      <c r="GE702">
        <v>1.5522303974782516</v>
      </c>
      <c r="GF702">
        <v>7.4776090370285351</v>
      </c>
      <c r="GG702">
        <v>6.8032985835924613</v>
      </c>
      <c r="GH702">
        <v>0.47158847029581613</v>
      </c>
      <c r="GI702">
        <v>5.5588883600784182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7.8049938725490193</v>
      </c>
      <c r="AO703">
        <v>9.8244613739378117</v>
      </c>
      <c r="AP703">
        <v>87.480012334549059</v>
      </c>
      <c r="AQ703">
        <v>20.795788182364362</v>
      </c>
      <c r="AR703">
        <v>9.1097696535796882</v>
      </c>
      <c r="AS703">
        <v>48.785633822341843</v>
      </c>
      <c r="AT703" t="e">
        <v>#DIV/0!</v>
      </c>
      <c r="AU703" t="e">
        <v>#DIV/0!</v>
      </c>
      <c r="AV703"/>
      <c r="AW703"/>
      <c r="FY703" s="210">
        <v>698</v>
      </c>
      <c r="FZ703">
        <v>5.6888568468102516</v>
      </c>
      <c r="GA703">
        <v>18.444210606199157</v>
      </c>
      <c r="GB703">
        <v>5.1976131084112369</v>
      </c>
      <c r="GC703">
        <v>0.72629584214756671</v>
      </c>
      <c r="GD703">
        <v>0.8371843433674605</v>
      </c>
      <c r="GE703">
        <v>1.1745881502131232</v>
      </c>
      <c r="GF703">
        <v>2.0536475425639891</v>
      </c>
      <c r="GG703">
        <v>1.5628049455265007</v>
      </c>
      <c r="GH703">
        <v>0</v>
      </c>
      <c r="GI703">
        <v>4.6544648290823032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11.075374941643322</v>
      </c>
      <c r="AO704">
        <v>23.819096283315851</v>
      </c>
      <c r="AP704">
        <v>173.39349129264551</v>
      </c>
      <c r="AQ704">
        <v>40.981711737466746</v>
      </c>
      <c r="AR704">
        <v>22.069253560993936</v>
      </c>
      <c r="AS704">
        <v>142.08847428861563</v>
      </c>
      <c r="AT704">
        <v>11.972610000413987</v>
      </c>
      <c r="AU704">
        <v>-8.035810828445161</v>
      </c>
      <c r="AV704"/>
      <c r="AW704"/>
      <c r="FY704" s="210">
        <v>699</v>
      </c>
      <c r="FZ704">
        <v>6.5016288251268879</v>
      </c>
      <c r="GA704">
        <v>3.520976273049599</v>
      </c>
      <c r="GB704">
        <v>0.51166347375802435</v>
      </c>
      <c r="GC704">
        <v>1.6038678239150905</v>
      </c>
      <c r="GD704">
        <v>1.7293899162366739</v>
      </c>
      <c r="GE704">
        <v>1.9383334706506914</v>
      </c>
      <c r="GF704">
        <v>3.4209082731485876</v>
      </c>
      <c r="GG704">
        <v>2.4809666645423967</v>
      </c>
      <c r="GH704">
        <v>0.64441312055873701</v>
      </c>
      <c r="GI704">
        <v>3.7353133107821659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9.7381535947712408</v>
      </c>
      <c r="AO705">
        <v>22.164807578862362</v>
      </c>
      <c r="AP705">
        <v>189.57258339840371</v>
      </c>
      <c r="AQ705">
        <v>42.544335603185026</v>
      </c>
      <c r="AR705">
        <v>21.020527832010718</v>
      </c>
      <c r="AS705">
        <v>87.410889826421638</v>
      </c>
      <c r="AT705">
        <v>11.766057940552065</v>
      </c>
      <c r="AU705">
        <v>-99.383932029020059</v>
      </c>
      <c r="AV705"/>
      <c r="AW705"/>
      <c r="FY705" s="210">
        <v>700</v>
      </c>
      <c r="FZ705">
        <v>7.4376682902736375</v>
      </c>
      <c r="GA705">
        <v>2.6947631952093558</v>
      </c>
      <c r="GB705">
        <v>0.4092956435513449</v>
      </c>
      <c r="GC705">
        <v>1.2699477025848349</v>
      </c>
      <c r="GD705">
        <v>1.1368838751350634</v>
      </c>
      <c r="GE705">
        <v>1.2323262637831816</v>
      </c>
      <c r="GF705">
        <v>4.0554767340287183</v>
      </c>
      <c r="GG705">
        <v>2.9269068902655246</v>
      </c>
      <c r="GH705">
        <v>0.23579423514790807</v>
      </c>
      <c r="GI705">
        <v>3.5080112358899234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11.362701330532213</v>
      </c>
      <c r="AO706">
        <v>11.195126260959535</v>
      </c>
      <c r="AP706">
        <v>90.662372952234989</v>
      </c>
      <c r="AQ706">
        <v>43.403689069939475</v>
      </c>
      <c r="AR706">
        <v>11.207569356057444</v>
      </c>
      <c r="AS706">
        <v>106.86464700361434</v>
      </c>
      <c r="AT706">
        <v>5.0702673675366707</v>
      </c>
      <c r="AU706">
        <v>-9.7822816931995931</v>
      </c>
      <c r="AV706"/>
      <c r="AW706"/>
      <c r="FY706" s="210">
        <v>701</v>
      </c>
      <c r="FZ706">
        <v>2.6189142646674961</v>
      </c>
      <c r="GA706">
        <v>2.5466551583273533</v>
      </c>
      <c r="GB706">
        <v>0.40817283394140891</v>
      </c>
      <c r="GC706">
        <v>0.60811274760902556</v>
      </c>
      <c r="GD706">
        <v>1.2351964453369582</v>
      </c>
      <c r="GE706">
        <v>2.3894364872128282</v>
      </c>
      <c r="GF706">
        <v>7.5146433466232985</v>
      </c>
      <c r="GG706">
        <v>6.0738183133348738</v>
      </c>
      <c r="GH706">
        <v>0.51847395078876257</v>
      </c>
      <c r="GI706">
        <v>4.7169240494657663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11.471828314659197</v>
      </c>
      <c r="AO707">
        <v>18.927368390134262</v>
      </c>
      <c r="AP707">
        <v>129.34229712535432</v>
      </c>
      <c r="AQ707">
        <v>34.546517014693947</v>
      </c>
      <c r="AR707">
        <v>18.449226938846035</v>
      </c>
      <c r="AS707">
        <v>86.019286937040761</v>
      </c>
      <c r="AT707">
        <v>8.8556550441762436</v>
      </c>
      <c r="AU707">
        <v>-90.009404550782392</v>
      </c>
      <c r="AV707"/>
      <c r="AW707"/>
      <c r="FY707" s="210">
        <v>702</v>
      </c>
      <c r="FZ707">
        <v>0.54272236659784878</v>
      </c>
      <c r="GA707">
        <v>13.757719860871923</v>
      </c>
      <c r="GB707">
        <v>5.6899955079024354</v>
      </c>
      <c r="GC707">
        <v>0.3410584151700618</v>
      </c>
      <c r="GD707">
        <v>0.96220322602127595</v>
      </c>
      <c r="GE707">
        <v>2.6982547548936302</v>
      </c>
      <c r="GF707">
        <v>4.6208053860747977</v>
      </c>
      <c r="GG707">
        <v>2.8783726661173508</v>
      </c>
      <c r="GH707">
        <v>0</v>
      </c>
      <c r="GI707">
        <v>4.518870078282192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9.7298888305322127</v>
      </c>
      <c r="AO708">
        <v>15.045321505636327</v>
      </c>
      <c r="AP708">
        <v>134.36592090134934</v>
      </c>
      <c r="AQ708">
        <v>42.412675392035325</v>
      </c>
      <c r="AR708">
        <v>14.833940927581127</v>
      </c>
      <c r="AS708">
        <v>71.658230813692654</v>
      </c>
      <c r="AT708">
        <v>8.0844714774011877</v>
      </c>
      <c r="AU708">
        <v>4.7639838936986347</v>
      </c>
      <c r="AV708"/>
      <c r="AW708"/>
      <c r="FY708" s="210">
        <v>703</v>
      </c>
      <c r="FZ708">
        <v>7.0564055741092417</v>
      </c>
      <c r="GA708">
        <v>7.0668646665438999</v>
      </c>
      <c r="GB708">
        <v>2.8728146598746198</v>
      </c>
      <c r="GC708">
        <v>0.77640183092842618</v>
      </c>
      <c r="GD708">
        <v>0.98904206127339056</v>
      </c>
      <c r="GE708">
        <v>1.752385733857702</v>
      </c>
      <c r="GF708">
        <v>1.3931084368759987</v>
      </c>
      <c r="GG708">
        <v>0.24723722493565062</v>
      </c>
      <c r="GH708">
        <v>0.3456493005258417</v>
      </c>
      <c r="GI708">
        <v>3.5605716568125834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7.0954861111111098</v>
      </c>
      <c r="AO709">
        <v>20.481513595186321</v>
      </c>
      <c r="AP709">
        <v>165.55470840172643</v>
      </c>
      <c r="AQ709">
        <v>39.705402335290927</v>
      </c>
      <c r="AR709">
        <v>19.419831656140431</v>
      </c>
      <c r="AS709">
        <v>80.367882318556937</v>
      </c>
      <c r="AT709" t="e">
        <v>#DIV/0!</v>
      </c>
      <c r="AU709" t="e">
        <v>#DIV/0!</v>
      </c>
      <c r="AV709"/>
      <c r="AW709"/>
      <c r="FY709" s="210">
        <v>704</v>
      </c>
      <c r="FZ709">
        <v>2.7761645816938412</v>
      </c>
      <c r="GA709">
        <v>10.758614790181531</v>
      </c>
      <c r="GB709">
        <v>3.4113406408199016</v>
      </c>
      <c r="GC709">
        <v>0.4090979099769444</v>
      </c>
      <c r="GD709">
        <v>0.42074748788983701</v>
      </c>
      <c r="GE709">
        <v>1.2561664310426721</v>
      </c>
      <c r="GF709">
        <v>3.2869937555199522</v>
      </c>
      <c r="GG709">
        <v>1.8100421704621514</v>
      </c>
      <c r="GH709">
        <v>0.17282465026292085</v>
      </c>
      <c r="GI709">
        <v>3.0649371934233356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14.164536647992531</v>
      </c>
      <c r="AO710">
        <v>20.595139748893239</v>
      </c>
      <c r="AP710">
        <v>193.11584784423985</v>
      </c>
      <c r="AQ710">
        <v>39.130520033203695</v>
      </c>
      <c r="AR710">
        <v>19.586880557840875</v>
      </c>
      <c r="AS710">
        <v>96.643953680251784</v>
      </c>
      <c r="AT710">
        <v>14.036563682565514</v>
      </c>
      <c r="AU710">
        <v>-21.959776093736551</v>
      </c>
      <c r="AV710"/>
      <c r="AW710"/>
      <c r="FY710" s="210">
        <v>705</v>
      </c>
      <c r="FZ710">
        <v>3.9400454033468648</v>
      </c>
      <c r="GA710">
        <v>18.002449999603861</v>
      </c>
      <c r="GB710">
        <v>5.7910648512238065</v>
      </c>
      <c r="GC710">
        <v>0.45447050663753213</v>
      </c>
      <c r="GD710">
        <v>0.75698486749401761</v>
      </c>
      <c r="GE710">
        <v>1.6124068397437867</v>
      </c>
      <c r="GF710">
        <v>4.2803576220538808</v>
      </c>
      <c r="GG710">
        <v>3.3728471159886522</v>
      </c>
      <c r="GH710">
        <v>0.17282465026292085</v>
      </c>
      <c r="GI710">
        <v>4.8070814854185411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6.3560049019607829</v>
      </c>
      <c r="AO711">
        <v>15.496887401439869</v>
      </c>
      <c r="AP711">
        <v>102.55528262682816</v>
      </c>
      <c r="AQ711">
        <v>21.886401817599356</v>
      </c>
      <c r="AR711">
        <v>15.328765453048863</v>
      </c>
      <c r="AS711">
        <v>66.171793703903489</v>
      </c>
      <c r="AT711" t="e">
        <v>#DIV/0!</v>
      </c>
      <c r="AU711" t="e">
        <v>#DIV/0!</v>
      </c>
      <c r="AV711"/>
      <c r="AW711"/>
      <c r="FY711" s="210">
        <v>706</v>
      </c>
      <c r="FZ711">
        <v>10.823317320677031</v>
      </c>
      <c r="GA711">
        <v>13.482240491387318</v>
      </c>
      <c r="GB711">
        <v>3.2403826001513529</v>
      </c>
      <c r="GC711">
        <v>0.47486853557402003</v>
      </c>
      <c r="GD711">
        <v>0.62079787043821832</v>
      </c>
      <c r="GE711">
        <v>1.137563531508067</v>
      </c>
      <c r="GF711">
        <v>7.1909919025792259</v>
      </c>
      <c r="GG711">
        <v>6.2507440698249113</v>
      </c>
      <c r="GH711">
        <v>0.40861888541082891</v>
      </c>
      <c r="GI711">
        <v>5.908125140778643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12.619295634920634</v>
      </c>
      <c r="AO712">
        <v>17.149006968218089</v>
      </c>
      <c r="AP712">
        <v>129.80560448190028</v>
      </c>
      <c r="AQ712">
        <v>44.044624421503521</v>
      </c>
      <c r="AR712">
        <v>16.372748756042512</v>
      </c>
      <c r="AS712">
        <v>93.007973663995685</v>
      </c>
      <c r="AT712" t="e">
        <v>#DIV/0!</v>
      </c>
      <c r="AU712" t="e">
        <v>#DIV/0!</v>
      </c>
      <c r="AV712"/>
      <c r="AW712"/>
      <c r="FY712" s="210">
        <v>707</v>
      </c>
      <c r="FZ712">
        <v>10.155741277002235</v>
      </c>
      <c r="GA712">
        <v>15.92643643755677</v>
      </c>
      <c r="GB712">
        <v>3.3137275649660252</v>
      </c>
      <c r="GC712">
        <v>0.33262930433538135</v>
      </c>
      <c r="GD712">
        <v>0.31710523019535169</v>
      </c>
      <c r="GE712">
        <v>1.6780193396558496</v>
      </c>
      <c r="GF712">
        <v>7.4900281226657146</v>
      </c>
      <c r="GG712">
        <v>5.262270882363401</v>
      </c>
      <c r="GH712">
        <v>0.17282465026292085</v>
      </c>
      <c r="GI712">
        <v>5.6754697635564675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13.039434523809524</v>
      </c>
      <c r="AO713">
        <v>12.273114103377958</v>
      </c>
      <c r="AP713">
        <v>81.694239927046354</v>
      </c>
      <c r="AQ713">
        <v>38.138667896234004</v>
      </c>
      <c r="AR713">
        <v>11.866601064748274</v>
      </c>
      <c r="AS713">
        <v>84.810572756263852</v>
      </c>
      <c r="AT713" t="e">
        <v>#DIV/0!</v>
      </c>
      <c r="AU713" t="e">
        <v>#DIV/0!</v>
      </c>
      <c r="AV713"/>
      <c r="AW713"/>
      <c r="FY713" s="210">
        <v>708</v>
      </c>
      <c r="FZ713">
        <v>5.3494220098194845</v>
      </c>
      <c r="GA713">
        <v>10.559277147220579</v>
      </c>
      <c r="GB713">
        <v>3.4485745280322062</v>
      </c>
      <c r="GC713">
        <v>0.94917116277908742</v>
      </c>
      <c r="GD713">
        <v>1.0837723973932993</v>
      </c>
      <c r="GE713">
        <v>1.79209221164667</v>
      </c>
      <c r="GF713">
        <v>3.4289693801590326</v>
      </c>
      <c r="GG713">
        <v>2.0572793953978019</v>
      </c>
      <c r="GH713">
        <v>0.17282465026292085</v>
      </c>
      <c r="GI713">
        <v>4.7339355618878347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9.3148561507936503</v>
      </c>
      <c r="AO714">
        <v>12.947594264786648</v>
      </c>
      <c r="AP714">
        <v>117.06699794479448</v>
      </c>
      <c r="AQ714">
        <v>40.339666214321589</v>
      </c>
      <c r="AR714">
        <v>12.451850033645021</v>
      </c>
      <c r="AS714">
        <v>127.86886781270023</v>
      </c>
      <c r="AT714" t="e">
        <v>#DIV/0!</v>
      </c>
      <c r="AU714" t="e">
        <v>#DIV/0!</v>
      </c>
      <c r="AV714"/>
      <c r="AW714"/>
      <c r="FY714" s="210">
        <v>709</v>
      </c>
      <c r="FZ714">
        <v>5.2913304148542419</v>
      </c>
      <c r="GA714">
        <v>24.064183452313927</v>
      </c>
      <c r="GB714">
        <v>7.0203261522202371</v>
      </c>
      <c r="GC714">
        <v>0.73881293660508185</v>
      </c>
      <c r="GD714">
        <v>0.99860731711166162</v>
      </c>
      <c r="GE714">
        <v>1.824668655373803</v>
      </c>
      <c r="GF714">
        <v>1.2438690991330252</v>
      </c>
      <c r="GG714">
        <v>0.24723722493565062</v>
      </c>
      <c r="GH714">
        <v>0</v>
      </c>
      <c r="GI714">
        <v>4.8300955835886317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15.558385854341736</v>
      </c>
      <c r="AO715">
        <v>11.871983521470732</v>
      </c>
      <c r="AP715">
        <v>90.700771387768086</v>
      </c>
      <c r="AQ715">
        <v>26.087461151768856</v>
      </c>
      <c r="AR715">
        <v>11.566674429518709</v>
      </c>
      <c r="AS715">
        <v>88.00775710880518</v>
      </c>
      <c r="AT715">
        <v>5.6137093898577648</v>
      </c>
      <c r="AU715">
        <v>-35.55352491563724</v>
      </c>
      <c r="AV715"/>
      <c r="AW715"/>
      <c r="FY715" s="210">
        <v>710</v>
      </c>
      <c r="FZ715">
        <v>3.2310218565373234</v>
      </c>
      <c r="GA715">
        <v>14.857483198770142</v>
      </c>
      <c r="GB715">
        <v>5.1166569362400942</v>
      </c>
      <c r="GC715">
        <v>0.74290092022791643</v>
      </c>
      <c r="GD715">
        <v>1.0492608950897493</v>
      </c>
      <c r="GE715">
        <v>1.7941760895303196</v>
      </c>
      <c r="GF715">
        <v>2.0329552088058738</v>
      </c>
      <c r="GG715">
        <v>1.1168647198033732</v>
      </c>
      <c r="GH715">
        <v>0.23579423514790807</v>
      </c>
      <c r="GI715">
        <v>4.0740338491338592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8.4947916666666643</v>
      </c>
      <c r="AO716">
        <v>16.092560717198154</v>
      </c>
      <c r="AP716">
        <v>115.11755098872931</v>
      </c>
      <c r="AQ716">
        <v>24.907074065869494</v>
      </c>
      <c r="AR716">
        <v>15.785454832938683</v>
      </c>
      <c r="AS716">
        <v>67.253509607316104</v>
      </c>
      <c r="AT716" t="e">
        <v>#DIV/0!</v>
      </c>
      <c r="AU716" t="e">
        <v>#DIV/0!</v>
      </c>
      <c r="AV716"/>
      <c r="AW716"/>
      <c r="FY716" s="210">
        <v>711</v>
      </c>
      <c r="FZ716">
        <v>4.3677257081308829</v>
      </c>
      <c r="GA716">
        <v>11.607493681727803</v>
      </c>
      <c r="GB716">
        <v>3.8799779244180055</v>
      </c>
      <c r="GC716">
        <v>0.46522810787294983</v>
      </c>
      <c r="GD716">
        <v>0.81827584492988814</v>
      </c>
      <c r="GE716">
        <v>2.2109939784023682</v>
      </c>
      <c r="GF716">
        <v>2.7855477874938011</v>
      </c>
      <c r="GG716">
        <v>1.1168647198033732</v>
      </c>
      <c r="GH716">
        <v>0.40861888541082891</v>
      </c>
      <c r="GI716">
        <v>5.2397844884820639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13.107449229691875</v>
      </c>
      <c r="AO717">
        <v>25.526072732654875</v>
      </c>
      <c r="AP717">
        <v>192.58431024589183</v>
      </c>
      <c r="AQ717">
        <v>28.630347597307772</v>
      </c>
      <c r="AR717">
        <v>23.763160556537201</v>
      </c>
      <c r="AS717">
        <v>106.23142227642052</v>
      </c>
      <c r="AT717">
        <v>15.066352792347486</v>
      </c>
      <c r="AU717">
        <v>-75.91267987782976</v>
      </c>
      <c r="AV717"/>
      <c r="AW717"/>
      <c r="FY717" s="210">
        <v>712</v>
      </c>
      <c r="FZ717">
        <v>8.2047834320484228</v>
      </c>
      <c r="GA717">
        <v>11.587074174760446</v>
      </c>
      <c r="GB717">
        <v>5.2375977907340818</v>
      </c>
      <c r="GC717">
        <v>0.37086360715616279</v>
      </c>
      <c r="GD717">
        <v>0.89933579977033751</v>
      </c>
      <c r="GE717">
        <v>2.3774273486435731</v>
      </c>
      <c r="GF717">
        <v>3.2530903113500029</v>
      </c>
      <c r="GG717">
        <v>1.8100421704621514</v>
      </c>
      <c r="GH717">
        <v>0.17282465026292085</v>
      </c>
      <c r="GI717">
        <v>5.0523149417214572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9.5017361111111107</v>
      </c>
      <c r="AO718">
        <v>27.120885166046975</v>
      </c>
      <c r="AP718">
        <v>204.26220079018549</v>
      </c>
      <c r="AQ718">
        <v>36.010002261931511</v>
      </c>
      <c r="AR718">
        <v>25.123437665722435</v>
      </c>
      <c r="AS718">
        <v>255.85725524386544</v>
      </c>
      <c r="AT718" t="e">
        <v>#DIV/0!</v>
      </c>
      <c r="AU718" t="e">
        <v>#DIV/0!</v>
      </c>
      <c r="AV718"/>
      <c r="AW718"/>
      <c r="FY718" s="210">
        <v>713</v>
      </c>
      <c r="FZ718">
        <v>4.9979327904442128</v>
      </c>
      <c r="GA718">
        <v>3.8684219528925556</v>
      </c>
      <c r="GB718">
        <v>0.54777455136039277</v>
      </c>
      <c r="GC718">
        <v>0.50156379615221902</v>
      </c>
      <c r="GD718">
        <v>0.65512575557019392</v>
      </c>
      <c r="GE718">
        <v>0.96602799650751914</v>
      </c>
      <c r="GF718">
        <v>4.3212983342595681</v>
      </c>
      <c r="GG718">
        <v>3.9952373859207246</v>
      </c>
      <c r="GH718">
        <v>0.58144353567374973</v>
      </c>
      <c r="GI718">
        <v>2.7141245425034048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11.110199288048552</v>
      </c>
      <c r="AO719">
        <v>17.658045743773883</v>
      </c>
      <c r="AP719">
        <v>153.86246790613433</v>
      </c>
      <c r="AQ719">
        <v>26.060481145737352</v>
      </c>
      <c r="AR719">
        <v>17.372479646577652</v>
      </c>
      <c r="AS719">
        <v>77.485254330715819</v>
      </c>
      <c r="AT719">
        <v>10.784813957081532</v>
      </c>
      <c r="AU719">
        <v>-117.10082939585932</v>
      </c>
      <c r="AV719"/>
      <c r="AW719"/>
      <c r="FY719" s="210">
        <v>714</v>
      </c>
      <c r="FZ719">
        <v>7.0560251980703566</v>
      </c>
      <c r="GA719">
        <v>12.507919376665072</v>
      </c>
      <c r="GB719">
        <v>3.4461532315369614</v>
      </c>
      <c r="GC719">
        <v>0.51253693002584888</v>
      </c>
      <c r="GD719">
        <v>0.72385736177396254</v>
      </c>
      <c r="GE719">
        <v>1.5146663721253311</v>
      </c>
      <c r="GF719">
        <v>2.4808015296831489</v>
      </c>
      <c r="GG719">
        <v>1.5628049455265007</v>
      </c>
      <c r="GH719">
        <v>0</v>
      </c>
      <c r="GI719">
        <v>3.6274346212224549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7.8299632352941186</v>
      </c>
      <c r="AO720">
        <v>12.335615437725275</v>
      </c>
      <c r="AP720">
        <v>96.226107627200037</v>
      </c>
      <c r="AQ720">
        <v>27.366929611273086</v>
      </c>
      <c r="AR720">
        <v>11.442773416225974</v>
      </c>
      <c r="AS720">
        <v>55.471313689073945</v>
      </c>
      <c r="AT720">
        <v>6.7707758560734206</v>
      </c>
      <c r="AU720">
        <v>-43.690329678138056</v>
      </c>
      <c r="AV720"/>
      <c r="AW720"/>
      <c r="FY720" s="210">
        <v>715</v>
      </c>
      <c r="FZ720">
        <v>5.7767219385646182</v>
      </c>
      <c r="GA720">
        <v>7.2353922103932602</v>
      </c>
      <c r="GB720">
        <v>1.517528251416101</v>
      </c>
      <c r="GC720">
        <v>0.61051764932856001</v>
      </c>
      <c r="GD720">
        <v>0.9710980309290308</v>
      </c>
      <c r="GE720">
        <v>1.8812076406306444</v>
      </c>
      <c r="GF720">
        <v>6.6839474384865651</v>
      </c>
      <c r="GG720">
        <v>5.5580423314472247</v>
      </c>
      <c r="GH720">
        <v>0.40861888541082891</v>
      </c>
      <c r="GI720">
        <v>4.9706595312785478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13.323390814659197</v>
      </c>
      <c r="AO721">
        <v>21.658002362771722</v>
      </c>
      <c r="AP721">
        <v>186.4056980726331</v>
      </c>
      <c r="AQ721">
        <v>43.190533341773865</v>
      </c>
      <c r="AR721">
        <v>20.076306439281133</v>
      </c>
      <c r="AS721">
        <v>267.10629162211086</v>
      </c>
      <c r="AT721">
        <v>11.741874871166454</v>
      </c>
      <c r="AU721">
        <v>33.712525429774772</v>
      </c>
      <c r="AV721"/>
      <c r="AW721"/>
      <c r="FY721" s="210">
        <v>716</v>
      </c>
      <c r="FZ721">
        <v>7.6703489406309577</v>
      </c>
      <c r="GA721">
        <v>9.2582470569347777</v>
      </c>
      <c r="GB721">
        <v>0.76174682700826335</v>
      </c>
      <c r="GC721">
        <v>0.30153329535440609</v>
      </c>
      <c r="GD721">
        <v>0.53823608868581918</v>
      </c>
      <c r="GE721">
        <v>1.5503580382115694</v>
      </c>
      <c r="GF721">
        <v>5.5375607701151992</v>
      </c>
      <c r="GG721">
        <v>4.006993078188998</v>
      </c>
      <c r="GH721">
        <v>0.17282465026292085</v>
      </c>
      <c r="GI721">
        <v>3.5897093309662318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12.91342057656396</v>
      </c>
      <c r="AO722">
        <v>24.137292949174771</v>
      </c>
      <c r="AP722">
        <v>183.6163239544199</v>
      </c>
      <c r="AQ722">
        <v>49.53765034832962</v>
      </c>
      <c r="AR722">
        <v>23.371348351998204</v>
      </c>
      <c r="AS722">
        <v>168.21756229872651</v>
      </c>
      <c r="AT722">
        <v>12.120234483977212</v>
      </c>
      <c r="AU722">
        <v>-9.8091756943379256</v>
      </c>
      <c r="AV722"/>
      <c r="AW722"/>
      <c r="FY722" s="210">
        <v>717</v>
      </c>
      <c r="FZ722">
        <v>3.0582685757971344</v>
      </c>
      <c r="GA722">
        <v>6.2918811947826061</v>
      </c>
      <c r="GB722">
        <v>2.855452283834933</v>
      </c>
      <c r="GC722">
        <v>0.3166320238016696</v>
      </c>
      <c r="GD722">
        <v>0.83964768882738428</v>
      </c>
      <c r="GE722">
        <v>2.5880386496651338</v>
      </c>
      <c r="GF722">
        <v>3.3033133922929778</v>
      </c>
      <c r="GG722">
        <v>1.669419233570923</v>
      </c>
      <c r="GH722">
        <v>0.81723777082165783</v>
      </c>
      <c r="GI722">
        <v>3.600280367339816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10.689090219421102</v>
      </c>
      <c r="AO723">
        <v>18.236703888916523</v>
      </c>
      <c r="AP723">
        <v>140.93999474117328</v>
      </c>
      <c r="AQ723">
        <v>50.324252572560113</v>
      </c>
      <c r="AR723">
        <v>17.292305445858815</v>
      </c>
      <c r="AS723">
        <v>88.425599975215206</v>
      </c>
      <c r="AT723">
        <v>8.0475149385314744</v>
      </c>
      <c r="AU723">
        <v>34.225423761388178</v>
      </c>
      <c r="AV723"/>
      <c r="AW723"/>
      <c r="FY723" s="210">
        <v>718</v>
      </c>
      <c r="FZ723">
        <v>6.1738679944817427</v>
      </c>
      <c r="GA723">
        <v>11.533598261942824</v>
      </c>
      <c r="GB723">
        <v>3.3938025875048421</v>
      </c>
      <c r="GC723">
        <v>0.72152483907649589</v>
      </c>
      <c r="GD723">
        <v>0.84133954377582398</v>
      </c>
      <c r="GE723">
        <v>1.6483681938014914</v>
      </c>
      <c r="GF723">
        <v>3.6502754474488377</v>
      </c>
      <c r="GG723">
        <v>2.4324324403942232</v>
      </c>
      <c r="GH723">
        <v>0.58144353567374973</v>
      </c>
      <c r="GI723">
        <v>4.2673333295424758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10.174581290849673</v>
      </c>
      <c r="AO724">
        <v>20.589879455953156</v>
      </c>
      <c r="AP724">
        <v>138.58643839739381</v>
      </c>
      <c r="AQ724">
        <v>33.575318444598913</v>
      </c>
      <c r="AR724">
        <v>19.560268006305272</v>
      </c>
      <c r="AS724">
        <v>89.38568393368945</v>
      </c>
      <c r="AT724">
        <v>11.041275968577621</v>
      </c>
      <c r="AU724">
        <v>-18.121227916374913</v>
      </c>
      <c r="AV724"/>
      <c r="AW724"/>
      <c r="FY724" s="210">
        <v>719</v>
      </c>
      <c r="FZ724">
        <v>3.3765981672180478</v>
      </c>
      <c r="GA724">
        <v>19.577030349947645</v>
      </c>
      <c r="GB724">
        <v>7.5813866008109931</v>
      </c>
      <c r="GC724">
        <v>0.68113877812519097</v>
      </c>
      <c r="GD724">
        <v>1.077397949127715</v>
      </c>
      <c r="GE724">
        <v>1.6828169967953071</v>
      </c>
      <c r="GF724">
        <v>4.8020519685276044</v>
      </c>
      <c r="GG724">
        <v>4.0655488543663392</v>
      </c>
      <c r="GH724">
        <v>0.51847395078876257</v>
      </c>
      <c r="GI724">
        <v>5.1250486794807681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10.545758928571427</v>
      </c>
      <c r="AO725">
        <v>20.749929419385985</v>
      </c>
      <c r="AP725">
        <v>184.65604198379481</v>
      </c>
      <c r="AQ725">
        <v>46.259130836136258</v>
      </c>
      <c r="AR725">
        <v>19.193781178070736</v>
      </c>
      <c r="AS725">
        <v>93.136378707094153</v>
      </c>
      <c r="AT725" t="e">
        <v>#DIV/0!</v>
      </c>
      <c r="AU725" t="e">
        <v>#DIV/0!</v>
      </c>
      <c r="AV725"/>
      <c r="AW725"/>
      <c r="FY725" s="210">
        <v>720</v>
      </c>
      <c r="FZ725">
        <v>2.8338758006201989</v>
      </c>
      <c r="GA725">
        <v>10.559277147220579</v>
      </c>
      <c r="GB725">
        <v>3.3775630210750918</v>
      </c>
      <c r="GC725">
        <v>0.51945969122744295</v>
      </c>
      <c r="GD725">
        <v>0.57380159853785462</v>
      </c>
      <c r="GE725">
        <v>1.2336014522453993</v>
      </c>
      <c r="GF725">
        <v>2.9440887496869941</v>
      </c>
      <c r="GG725">
        <v>1.9869679269521878</v>
      </c>
      <c r="GH725">
        <v>0.23579423514790807</v>
      </c>
      <c r="GI725">
        <v>3.2359423107111995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10.188988095238091</v>
      </c>
      <c r="AO726">
        <v>16.956767291987113</v>
      </c>
      <c r="AP726">
        <v>134.92960087017585</v>
      </c>
      <c r="AQ726">
        <v>34.251147909286559</v>
      </c>
      <c r="AR726">
        <v>15.68820431688872</v>
      </c>
      <c r="AS726">
        <v>83.614001738976796</v>
      </c>
      <c r="AT726" t="e">
        <v>#DIV/0!</v>
      </c>
      <c r="AU726" t="e">
        <v>#DIV/0!</v>
      </c>
      <c r="AV726"/>
      <c r="AW726"/>
      <c r="FY726" s="210">
        <v>721</v>
      </c>
      <c r="FZ726">
        <v>4.4254369270572411</v>
      </c>
      <c r="GA726">
        <v>6.8675270235829462</v>
      </c>
      <c r="GB726">
        <v>2.804136610775064</v>
      </c>
      <c r="GC726">
        <v>0.28643456690714264</v>
      </c>
      <c r="GD726">
        <v>0.38211773014811035</v>
      </c>
      <c r="GE726">
        <v>1.4103938516453021</v>
      </c>
      <c r="GF726">
        <v>1.2937719950592359</v>
      </c>
      <c r="GG726">
        <v>0</v>
      </c>
      <c r="GH726">
        <v>0</v>
      </c>
      <c r="GI726">
        <v>2.8615824959762008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10.283708274976656</v>
      </c>
      <c r="AO727">
        <v>24.894622745198127</v>
      </c>
      <c r="AP727">
        <v>189.70234412268425</v>
      </c>
      <c r="AQ727">
        <v>32.900511126671965</v>
      </c>
      <c r="AR727">
        <v>23.56715669379512</v>
      </c>
      <c r="AS727">
        <v>104.02372000388908</v>
      </c>
      <c r="AT727">
        <v>11.988048358592094</v>
      </c>
      <c r="AU727">
        <v>-36.964204518271721</v>
      </c>
      <c r="AV727"/>
      <c r="AW727"/>
      <c r="FY727" s="210">
        <v>722</v>
      </c>
      <c r="FZ727">
        <v>7.5410363457418477</v>
      </c>
      <c r="GA727">
        <v>4.4440677816928957</v>
      </c>
      <c r="GB727">
        <v>0.34303889094703388</v>
      </c>
      <c r="GC727">
        <v>0.47735293742203888</v>
      </c>
      <c r="GD727">
        <v>0.67032725338225352</v>
      </c>
      <c r="GE727">
        <v>1.7984691596703319</v>
      </c>
      <c r="GF727">
        <v>2.3440928192350095</v>
      </c>
      <c r="GG727">
        <v>1.2724889442770615</v>
      </c>
      <c r="GH727">
        <v>1.0530320059695661</v>
      </c>
      <c r="GI727">
        <v>2.8917966144913354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9.1007965686274499</v>
      </c>
      <c r="AO728">
        <v>20.390744145068389</v>
      </c>
      <c r="AP728">
        <v>178.09754893440913</v>
      </c>
      <c r="AQ728">
        <v>38.965354226909554</v>
      </c>
      <c r="AR728">
        <v>20.275238732820497</v>
      </c>
      <c r="AS728">
        <v>84.287840358802569</v>
      </c>
      <c r="AT728" t="e">
        <v>#DIV/0!</v>
      </c>
      <c r="AU728" t="e">
        <v>#DIV/0!</v>
      </c>
      <c r="AV728"/>
      <c r="AW728"/>
      <c r="FY728" s="210">
        <v>723</v>
      </c>
      <c r="FZ728">
        <v>1.3094571323337481</v>
      </c>
      <c r="GA728">
        <v>17.301361947627552</v>
      </c>
      <c r="GB728">
        <v>6.3796080183436485</v>
      </c>
      <c r="GC728">
        <v>0.94099519553341804</v>
      </c>
      <c r="GD728">
        <v>0.80505085088960571</v>
      </c>
      <c r="GE728">
        <v>1.6065782433267726</v>
      </c>
      <c r="GF728">
        <v>2.9334766609158995</v>
      </c>
      <c r="GG728">
        <v>1.2937904762934096</v>
      </c>
      <c r="GH728">
        <v>0.47158847029581613</v>
      </c>
      <c r="GI728">
        <v>4.3429746930000857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9.5624562324929965</v>
      </c>
      <c r="AO729">
        <v>15.093251019435826</v>
      </c>
      <c r="AP729">
        <v>139.35181755630106</v>
      </c>
      <c r="AQ729">
        <v>23.148950641284539</v>
      </c>
      <c r="AR729">
        <v>14.207432733685007</v>
      </c>
      <c r="AS729">
        <v>72.302930213076095</v>
      </c>
      <c r="AT729">
        <v>9.209127167756483</v>
      </c>
      <c r="AU729">
        <v>-32.017835254338486</v>
      </c>
      <c r="AV729"/>
      <c r="AW729"/>
      <c r="FY729" s="210">
        <v>724</v>
      </c>
      <c r="FZ729">
        <v>6.6011679232268747</v>
      </c>
      <c r="GA729">
        <v>8.2097133251155068</v>
      </c>
      <c r="GB729">
        <v>1.3965873969221125</v>
      </c>
      <c r="GC729">
        <v>1.2191963053065384</v>
      </c>
      <c r="GD729">
        <v>1.3317397421983346</v>
      </c>
      <c r="GE729">
        <v>1.5034659229775076</v>
      </c>
      <c r="GF729">
        <v>3.1346177008770875</v>
      </c>
      <c r="GG729">
        <v>2.2342051518878385</v>
      </c>
      <c r="GH729">
        <v>0.40861888541082891</v>
      </c>
      <c r="GI729">
        <v>4.209763375857599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10.790302579365081</v>
      </c>
      <c r="AO730">
        <v>14.556549394514828</v>
      </c>
      <c r="AP730">
        <v>120.2961271794714</v>
      </c>
      <c r="AQ730">
        <v>33.432199566629635</v>
      </c>
      <c r="AR730">
        <v>13.974801120213632</v>
      </c>
      <c r="AS730">
        <v>130.72797365349911</v>
      </c>
      <c r="AT730" t="e">
        <v>#DIV/0!</v>
      </c>
      <c r="AU730" t="e">
        <v>#DIV/0!</v>
      </c>
      <c r="AV730"/>
      <c r="AW730"/>
      <c r="FY730" s="210">
        <v>725</v>
      </c>
      <c r="FZ730">
        <v>6.6011679232268747</v>
      </c>
      <c r="GA730">
        <v>5.8397299960430775</v>
      </c>
      <c r="GB730">
        <v>0.93028357118156746</v>
      </c>
      <c r="GC730">
        <v>0.30282411234928031</v>
      </c>
      <c r="GD730">
        <v>0.32506683307790929</v>
      </c>
      <c r="GE730">
        <v>0.88029707265621759</v>
      </c>
      <c r="GF730">
        <v>2.9748554769570523</v>
      </c>
      <c r="GG730">
        <v>2.4111309083778751</v>
      </c>
      <c r="GH730">
        <v>0.64441312055873701</v>
      </c>
      <c r="GI730">
        <v>3.0939825911395706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8.6849979575163392</v>
      </c>
      <c r="AO731">
        <v>16.497315758514578</v>
      </c>
      <c r="AP731">
        <v>133.93400124577298</v>
      </c>
      <c r="AQ731">
        <v>35.613733907885383</v>
      </c>
      <c r="AR731">
        <v>15.818272956069162</v>
      </c>
      <c r="AS731">
        <v>75.592118627845977</v>
      </c>
      <c r="AT731">
        <v>8.0185792328346697</v>
      </c>
      <c r="AU731">
        <v>19.999068015363086</v>
      </c>
      <c r="AV731"/>
      <c r="AW731"/>
      <c r="FY731" s="210">
        <v>726</v>
      </c>
      <c r="FZ731">
        <v>3.6006105663560986</v>
      </c>
      <c r="GA731">
        <v>26.906737487093238</v>
      </c>
      <c r="GB731">
        <v>8.2773996703610528</v>
      </c>
      <c r="GC731">
        <v>1.0052218605466083</v>
      </c>
      <c r="GD731">
        <v>1.2971087718340435</v>
      </c>
      <c r="GE731">
        <v>2.1008687730960633</v>
      </c>
      <c r="GF731">
        <v>2.8265172159241567</v>
      </c>
      <c r="GG731">
        <v>1.4344134131846378</v>
      </c>
      <c r="GH731">
        <v>0.17282465026292085</v>
      </c>
      <c r="GI731">
        <v>5.9490950442370778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6.961039624183007</v>
      </c>
      <c r="AO732">
        <v>23.263703698606086</v>
      </c>
      <c r="AP732">
        <v>172.28112629371486</v>
      </c>
      <c r="AQ732">
        <v>33.387558076359149</v>
      </c>
      <c r="AR732">
        <v>21.625822611440555</v>
      </c>
      <c r="AS732">
        <v>189.61257608002498</v>
      </c>
      <c r="AT732">
        <v>13.413402001948922</v>
      </c>
      <c r="AU732">
        <v>17.447306828273945</v>
      </c>
      <c r="AV732"/>
      <c r="AW732"/>
      <c r="FY732" s="210">
        <v>727</v>
      </c>
      <c r="FZ732">
        <v>3.8038980959631807</v>
      </c>
      <c r="GA732">
        <v>7.434729853354213</v>
      </c>
      <c r="GB732">
        <v>1.4815050124514189</v>
      </c>
      <c r="GC732">
        <v>9.5908461300672265E-2</v>
      </c>
      <c r="GD732">
        <v>0.45168458762560421</v>
      </c>
      <c r="GE732">
        <v>1.3276402579394426</v>
      </c>
      <c r="GF732">
        <v>3.1370853315187821</v>
      </c>
      <c r="GG732">
        <v>2.4324324403942232</v>
      </c>
      <c r="GH732">
        <v>0.40861888541082891</v>
      </c>
      <c r="GI732">
        <v>2.684334792647225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8.1920445261437909</v>
      </c>
      <c r="AO733">
        <v>16.762028277455862</v>
      </c>
      <c r="AP733">
        <v>109.94897970900224</v>
      </c>
      <c r="AQ733">
        <v>25.340171180734238</v>
      </c>
      <c r="AR733">
        <v>15.981916366631983</v>
      </c>
      <c r="AS733">
        <v>67.623610776340328</v>
      </c>
      <c r="AT733" t="e">
        <v>#DIV/0!</v>
      </c>
      <c r="AU733" t="e">
        <v>#DIV/0!</v>
      </c>
      <c r="AV733"/>
      <c r="AW733"/>
      <c r="FY733" s="210">
        <v>728</v>
      </c>
      <c r="FZ733">
        <v>8.4947949252932151</v>
      </c>
      <c r="GA733">
        <v>16.125774080517726</v>
      </c>
      <c r="GB733">
        <v>3.2903119476882265</v>
      </c>
      <c r="GC733">
        <v>0.31125322318396076</v>
      </c>
      <c r="GD733">
        <v>0.35398067611014428</v>
      </c>
      <c r="GE733">
        <v>1.0979156282714964</v>
      </c>
      <c r="GF733">
        <v>2.7605033265840291</v>
      </c>
      <c r="GG733">
        <v>1.7397307020165371</v>
      </c>
      <c r="GH733">
        <v>0.40861888541082891</v>
      </c>
      <c r="GI733">
        <v>3.6588020845903455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10.884504843604107</v>
      </c>
      <c r="AO734">
        <v>16.438538511606946</v>
      </c>
      <c r="AP734">
        <v>114.64363316439736</v>
      </c>
      <c r="AQ734">
        <v>35.243986173642504</v>
      </c>
      <c r="AR734">
        <v>15.724596639635061</v>
      </c>
      <c r="AS734">
        <v>76.698252055845174</v>
      </c>
      <c r="AT734">
        <v>5.8531445440764065</v>
      </c>
      <c r="AU734">
        <v>-27.226141113888161</v>
      </c>
      <c r="AV734"/>
      <c r="AW734"/>
      <c r="FY734" s="210">
        <v>729</v>
      </c>
      <c r="FZ734">
        <v>5.009606796789833</v>
      </c>
      <c r="GA734">
        <v>4.7915134615358523</v>
      </c>
      <c r="GB734">
        <v>0.42907931608627642</v>
      </c>
      <c r="GC734">
        <v>0.48900909074390497</v>
      </c>
      <c r="GD734">
        <v>0.42342328446506261</v>
      </c>
      <c r="GE734">
        <v>0.64637884323626749</v>
      </c>
      <c r="GF734">
        <v>2.2487743216868266</v>
      </c>
      <c r="GG734">
        <v>1.8585763946103251</v>
      </c>
      <c r="GH734">
        <v>0.40861888541082891</v>
      </c>
      <c r="GI734">
        <v>2.6565979304872824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12.026348039215687</v>
      </c>
      <c r="AO735">
        <v>23.807777701449165</v>
      </c>
      <c r="AP735">
        <v>181.29406244788419</v>
      </c>
      <c r="AQ735">
        <v>48.487492295188382</v>
      </c>
      <c r="AR735">
        <v>22.217578082488863</v>
      </c>
      <c r="AS735">
        <v>110.20906513115651</v>
      </c>
      <c r="AT735">
        <v>12.308358807385714</v>
      </c>
      <c r="AU735">
        <v>-164.18806218100733</v>
      </c>
      <c r="AV735"/>
      <c r="AW735"/>
      <c r="FY735" s="210">
        <v>730</v>
      </c>
      <c r="FZ735">
        <v>2.7463910849047179</v>
      </c>
      <c r="GA735">
        <v>8.263189237933128</v>
      </c>
      <c r="GB735">
        <v>3.1531315267644882</v>
      </c>
      <c r="GC735">
        <v>1.2580760166247571</v>
      </c>
      <c r="GD735">
        <v>1.1645932223279565</v>
      </c>
      <c r="GE735">
        <v>1.2848835731028856</v>
      </c>
      <c r="GF735">
        <v>3.3338818650335811</v>
      </c>
      <c r="GG735">
        <v>2.0568036831167102</v>
      </c>
      <c r="GH735">
        <v>0.23579423514790807</v>
      </c>
      <c r="GI735">
        <v>3.8032555300396851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6.890625</v>
      </c>
      <c r="AO736">
        <v>9.8753011212894819</v>
      </c>
      <c r="AP736">
        <v>84.646790693994589</v>
      </c>
      <c r="AQ736">
        <v>27.500371933424855</v>
      </c>
      <c r="AR736">
        <v>9.1608731879304841</v>
      </c>
      <c r="AS736">
        <v>50.874163566180584</v>
      </c>
      <c r="AT736" t="e">
        <v>#DIV/0!</v>
      </c>
      <c r="AU736" t="e">
        <v>#DIV/0!</v>
      </c>
      <c r="AV736"/>
      <c r="AW736"/>
      <c r="FY736" s="210">
        <v>731</v>
      </c>
      <c r="FZ736">
        <v>8.1255865915133256</v>
      </c>
      <c r="GA736">
        <v>12.656027413547076</v>
      </c>
      <c r="GB736">
        <v>3.1729151992994193</v>
      </c>
      <c r="GC736">
        <v>0.60402476398619087</v>
      </c>
      <c r="GD736">
        <v>1.0518437086104144</v>
      </c>
      <c r="GE736">
        <v>1.6493732890943444</v>
      </c>
      <c r="GF736">
        <v>1.8186922610268839</v>
      </c>
      <c r="GG736">
        <v>1.4924934770808866</v>
      </c>
      <c r="GH736">
        <v>0.40861888541082891</v>
      </c>
      <c r="GI736">
        <v>4.2553628743790428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8.3799603174603181</v>
      </c>
      <c r="AO737">
        <v>16.099315991277635</v>
      </c>
      <c r="AP737">
        <v>124.64509766758171</v>
      </c>
      <c r="AQ737">
        <v>20.331401201151241</v>
      </c>
      <c r="AR737">
        <v>15.421778347913159</v>
      </c>
      <c r="AS737">
        <v>69.134670368584153</v>
      </c>
      <c r="AT737" t="e">
        <v>#DIV/0!</v>
      </c>
      <c r="AU737" t="e">
        <v>#DIV/0!</v>
      </c>
      <c r="AV737"/>
      <c r="AW737"/>
      <c r="FY737" s="210">
        <v>732</v>
      </c>
      <c r="FZ737">
        <v>14.320559831564921</v>
      </c>
      <c r="GA737">
        <v>20.298537908891312</v>
      </c>
      <c r="GB737">
        <v>5.499253794698955</v>
      </c>
      <c r="GC737">
        <v>0.68121827825367531</v>
      </c>
      <c r="GD737">
        <v>1.0212520768441919</v>
      </c>
      <c r="GE737">
        <v>1.6390401039203502</v>
      </c>
      <c r="GF737">
        <v>4.1635547659729264</v>
      </c>
      <c r="GG737">
        <v>3.1256098910530015</v>
      </c>
      <c r="GH737">
        <v>0.3456493005258417</v>
      </c>
      <c r="GI737">
        <v>7.074856229229443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11.863423494397759</v>
      </c>
      <c r="AO738">
        <v>21.349917474336081</v>
      </c>
      <c r="AP738">
        <v>144.53201507909722</v>
      </c>
      <c r="AQ738">
        <v>22.83570275282937</v>
      </c>
      <c r="AR738">
        <v>20.321097614687282</v>
      </c>
      <c r="AS738">
        <v>143.35510272832406</v>
      </c>
      <c r="AT738">
        <v>8.8020223106394777</v>
      </c>
      <c r="AU738">
        <v>-44.747397170231523</v>
      </c>
      <c r="AV738"/>
      <c r="AW738"/>
      <c r="FY738" s="210">
        <v>733</v>
      </c>
      <c r="FZ738">
        <v>7.0978530772439861</v>
      </c>
      <c r="GA738">
        <v>10.68471937039655</v>
      </c>
      <c r="GB738">
        <v>2.8752359563698646</v>
      </c>
      <c r="GC738">
        <v>0.31125322318396076</v>
      </c>
      <c r="GD738">
        <v>0.31612770736268669</v>
      </c>
      <c r="GE738">
        <v>1.0242326091183633</v>
      </c>
      <c r="GF738">
        <v>4.3086671075118979</v>
      </c>
      <c r="GG738">
        <v>3.1256098910530015</v>
      </c>
      <c r="GH738">
        <v>0.3456493005258417</v>
      </c>
      <c r="GI738">
        <v>3.5254861618733484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12.718501984126982</v>
      </c>
      <c r="AO739">
        <v>17.979325633644567</v>
      </c>
      <c r="AP739">
        <v>149.18073609334513</v>
      </c>
      <c r="AQ739">
        <v>37.384881688559958</v>
      </c>
      <c r="AR739">
        <v>16.625199738548183</v>
      </c>
      <c r="AS739">
        <v>108.13944594207088</v>
      </c>
      <c r="AT739" t="e">
        <v>#DIV/0!</v>
      </c>
      <c r="AU739" t="e">
        <v>#DIV/0!</v>
      </c>
      <c r="AV739"/>
      <c r="AW739"/>
      <c r="FY739" s="210">
        <v>734</v>
      </c>
      <c r="FZ739">
        <v>5.6315260039227786</v>
      </c>
      <c r="GA739">
        <v>2.7686586149943353</v>
      </c>
      <c r="GB739">
        <v>1.0513122643132422</v>
      </c>
      <c r="GC739">
        <v>0.60772048270059964</v>
      </c>
      <c r="GD739">
        <v>0.5155412539861135</v>
      </c>
      <c r="GE739">
        <v>0.54836868764634539</v>
      </c>
      <c r="GF739">
        <v>2.7392311091617509</v>
      </c>
      <c r="GG739">
        <v>2.6093581968842599</v>
      </c>
      <c r="GH739">
        <v>0.47158847029581613</v>
      </c>
      <c r="GI739">
        <v>3.5666315036436154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10.446034663865543</v>
      </c>
      <c r="AO740">
        <v>17.092727020234019</v>
      </c>
      <c r="AP740">
        <v>127.02369296824308</v>
      </c>
      <c r="AQ740">
        <v>30.249075729780227</v>
      </c>
      <c r="AR740">
        <v>16.372821565111508</v>
      </c>
      <c r="AS740">
        <v>158.79254667779952</v>
      </c>
      <c r="AT740">
        <v>7.5317253647382616</v>
      </c>
      <c r="AU740">
        <v>-12.461462023159925</v>
      </c>
      <c r="AV740"/>
      <c r="AW740"/>
      <c r="FY740" s="210">
        <v>735</v>
      </c>
      <c r="FZ740">
        <v>5.3494220098194845</v>
      </c>
      <c r="GA740">
        <v>10.559277147220579</v>
      </c>
      <c r="GB740">
        <v>3.2391719519037303</v>
      </c>
      <c r="GC740">
        <v>0.28402966518760814</v>
      </c>
      <c r="GD740">
        <v>0.23357021261807281</v>
      </c>
      <c r="GE740">
        <v>0.17448627166012814</v>
      </c>
      <c r="GF740">
        <v>1.4236545705529791</v>
      </c>
      <c r="GG740">
        <v>1.669419233570923</v>
      </c>
      <c r="GH740">
        <v>0.64441312055873701</v>
      </c>
      <c r="GI740">
        <v>3.4625717873114485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7.715131886087768</v>
      </c>
      <c r="AO741">
        <v>17.270754618935847</v>
      </c>
      <c r="AP741">
        <v>151.48064285010148</v>
      </c>
      <c r="AQ741">
        <v>24.003751605568162</v>
      </c>
      <c r="AR741">
        <v>16.548957000411679</v>
      </c>
      <c r="AS741">
        <v>75.463166559274114</v>
      </c>
      <c r="AT741">
        <v>9.137439535365635</v>
      </c>
      <c r="AU741">
        <v>-12.021122867347657</v>
      </c>
      <c r="AV741"/>
      <c r="AW741"/>
      <c r="FY741" s="210">
        <v>736</v>
      </c>
      <c r="FZ741">
        <v>6.1738679944817427</v>
      </c>
      <c r="GA741">
        <v>14.658145555809188</v>
      </c>
      <c r="GB741">
        <v>5.034160617206032</v>
      </c>
      <c r="GC741">
        <v>0.69993322528686319</v>
      </c>
      <c r="GD741">
        <v>0.78976448104944519</v>
      </c>
      <c r="GE741">
        <v>0.89331171171622437</v>
      </c>
      <c r="GF741">
        <v>3.0381582773128164</v>
      </c>
      <c r="GG741">
        <v>2.6311354411817005</v>
      </c>
      <c r="GH741">
        <v>0</v>
      </c>
      <c r="GI741">
        <v>4.366242720180308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12.837527719421104</v>
      </c>
      <c r="AO742">
        <v>16.929382402277337</v>
      </c>
      <c r="AP742">
        <v>157.54632228765416</v>
      </c>
      <c r="AQ742">
        <v>53.570797452895889</v>
      </c>
      <c r="AR742">
        <v>15.708994173368181</v>
      </c>
      <c r="AS742">
        <v>154.6146451452978</v>
      </c>
      <c r="AT742">
        <v>8.6169094291748962</v>
      </c>
      <c r="AU742">
        <v>-16.294429508474551</v>
      </c>
      <c r="AV742"/>
      <c r="AW742"/>
      <c r="FY742" s="210">
        <v>737</v>
      </c>
      <c r="FZ742">
        <v>8.3499793666902615</v>
      </c>
      <c r="GA742">
        <v>10.758614790181531</v>
      </c>
      <c r="GB742">
        <v>3.3403291338627872</v>
      </c>
      <c r="GC742">
        <v>0.47293231008170872</v>
      </c>
      <c r="GD742">
        <v>0.71740000999843745</v>
      </c>
      <c r="GE742">
        <v>1.3357900948417782</v>
      </c>
      <c r="GF742">
        <v>1.6102771191321485</v>
      </c>
      <c r="GG742">
        <v>0.74171167480695199</v>
      </c>
      <c r="GH742">
        <v>0.3456493005258417</v>
      </c>
      <c r="GI742">
        <v>4.2602568826065133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5.9645118464052285</v>
      </c>
      <c r="AO743">
        <v>22.98850240426594</v>
      </c>
      <c r="AP743">
        <v>206.9888258858019</v>
      </c>
      <c r="AQ743">
        <v>23.257837718605586</v>
      </c>
      <c r="AR743">
        <v>21.455498226686277</v>
      </c>
      <c r="AS743">
        <v>76.692877266202245</v>
      </c>
      <c r="AT743">
        <v>13.697986460083735</v>
      </c>
      <c r="AU743">
        <v>-12.44551418973713</v>
      </c>
      <c r="AV743"/>
      <c r="AW743"/>
      <c r="FY743" s="210">
        <v>738</v>
      </c>
      <c r="FZ743">
        <v>9.029229416710681</v>
      </c>
      <c r="GA743">
        <v>12.760732932443645</v>
      </c>
      <c r="GB743">
        <v>5.337544324445517</v>
      </c>
      <c r="GC743">
        <v>0.71872767244853542</v>
      </c>
      <c r="GD743">
        <v>0.82469558710081348</v>
      </c>
      <c r="GE743">
        <v>1.5511667276330012</v>
      </c>
      <c r="GF743">
        <v>5.5014933927317742</v>
      </c>
      <c r="GG743">
        <v>4.3708661431982385</v>
      </c>
      <c r="GH743">
        <v>0.23579423514790807</v>
      </c>
      <c r="GI743">
        <v>5.5090887001744004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8.8080138305322109</v>
      </c>
      <c r="AO744">
        <v>12.403329042117262</v>
      </c>
      <c r="AP744">
        <v>120.2658787949737</v>
      </c>
      <c r="AQ744">
        <v>38.241685479666522</v>
      </c>
      <c r="AR744">
        <v>11.560542764512242</v>
      </c>
      <c r="AS744">
        <v>61.251427497145777</v>
      </c>
      <c r="AT744">
        <v>5.269315274384387</v>
      </c>
      <c r="AU744">
        <v>-11.491440023374448</v>
      </c>
      <c r="AV744"/>
      <c r="AW744"/>
      <c r="FY744" s="210">
        <v>739</v>
      </c>
      <c r="FZ744">
        <v>3.2611757293653318</v>
      </c>
      <c r="GA744">
        <v>12.729922833332054</v>
      </c>
      <c r="GB744">
        <v>3.7240488019315841</v>
      </c>
      <c r="GC744">
        <v>0.38682327673907557</v>
      </c>
      <c r="GD744">
        <v>0.40731005066345743</v>
      </c>
      <c r="GE744">
        <v>0.73630336683957287</v>
      </c>
      <c r="GF744">
        <v>1.6690044306187917</v>
      </c>
      <c r="GG744">
        <v>0.93993896331333671</v>
      </c>
      <c r="GH744">
        <v>0.17282465026292085</v>
      </c>
      <c r="GI744">
        <v>3.297629388822799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6.1016646241830061</v>
      </c>
      <c r="AO745">
        <v>11.416152935404991</v>
      </c>
      <c r="AP745">
        <v>74.472403434288893</v>
      </c>
      <c r="AQ745">
        <v>18.961578325052457</v>
      </c>
      <c r="AR745">
        <v>10.638778181384513</v>
      </c>
      <c r="AS745">
        <v>47.455839933875495</v>
      </c>
      <c r="AT745">
        <v>4.5451054310205752</v>
      </c>
      <c r="AU745">
        <v>3.054573338106509</v>
      </c>
      <c r="AV745"/>
      <c r="AW745"/>
      <c r="FY745" s="210">
        <v>740</v>
      </c>
      <c r="FZ745">
        <v>4.5823068680447001</v>
      </c>
      <c r="GA745">
        <v>13.254040342429935</v>
      </c>
      <c r="GB745">
        <v>3.6147778143479519</v>
      </c>
      <c r="GC745">
        <v>0.98959483468119136</v>
      </c>
      <c r="GD745">
        <v>1.0062069920630607</v>
      </c>
      <c r="GE745">
        <v>1.5615003180048939</v>
      </c>
      <c r="GF745">
        <v>2.5447957553607328</v>
      </c>
      <c r="GG745">
        <v>1.1871761882489873</v>
      </c>
      <c r="GH745">
        <v>0.17282465026292085</v>
      </c>
      <c r="GI745">
        <v>4.2836612364960169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8.9487847222222197</v>
      </c>
      <c r="AO746">
        <v>19.301417584019653</v>
      </c>
      <c r="AP746">
        <v>136.5715776824789</v>
      </c>
      <c r="AQ746">
        <v>27.299999974995814</v>
      </c>
      <c r="AR746">
        <v>18.304835045644449</v>
      </c>
      <c r="AS746">
        <v>78.644861079241608</v>
      </c>
      <c r="AT746" t="e">
        <v>#DIV/0!</v>
      </c>
      <c r="AU746" t="e">
        <v>#DIV/0!</v>
      </c>
      <c r="AV746"/>
      <c r="AW746"/>
      <c r="FY746" s="210">
        <v>741</v>
      </c>
      <c r="FZ746">
        <v>6.6588791421532321</v>
      </c>
      <c r="GA746">
        <v>8.9642772899094414</v>
      </c>
      <c r="GB746">
        <v>2.5856705190648857</v>
      </c>
      <c r="GC746">
        <v>0.84096113965911212</v>
      </c>
      <c r="GD746">
        <v>1.2292738031046717</v>
      </c>
      <c r="GE746">
        <v>1.8217756828708227</v>
      </c>
      <c r="GF746">
        <v>3.0112207002936189</v>
      </c>
      <c r="GG746">
        <v>2.1271151515623243</v>
      </c>
      <c r="GH746">
        <v>0.17282465026292085</v>
      </c>
      <c r="GI746">
        <v>3.9165183976214717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7.6450674019607829</v>
      </c>
      <c r="AO747">
        <v>22.192013074550452</v>
      </c>
      <c r="AP747">
        <v>187.83922090732366</v>
      </c>
      <c r="AQ747">
        <v>35.234938463948417</v>
      </c>
      <c r="AR747">
        <v>21.138853291643542</v>
      </c>
      <c r="AS747">
        <v>88.924977328095338</v>
      </c>
      <c r="AT747">
        <v>11.250803138382118</v>
      </c>
      <c r="AU747">
        <v>-36.910401651935857</v>
      </c>
      <c r="AV747"/>
      <c r="AW747"/>
      <c r="FY747" s="210">
        <v>742</v>
      </c>
      <c r="FZ747">
        <v>6.7954068255758022</v>
      </c>
      <c r="GA747">
        <v>4.3186255585169224</v>
      </c>
      <c r="GB747">
        <v>0.76174682700826335</v>
      </c>
      <c r="GC747">
        <v>1.3302034950544743</v>
      </c>
      <c r="GD747">
        <v>1.3223917185371994</v>
      </c>
      <c r="GE747">
        <v>1.599334031329281</v>
      </c>
      <c r="GF747">
        <v>1.5972969911430457</v>
      </c>
      <c r="GG747">
        <v>0.42416298142568709</v>
      </c>
      <c r="GH747">
        <v>0.40861888541082891</v>
      </c>
      <c r="GI747">
        <v>3.4204691235142031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13.806131827731093</v>
      </c>
      <c r="AO748">
        <v>23.194221076167729</v>
      </c>
      <c r="AP748">
        <v>180.70533985164565</v>
      </c>
      <c r="AQ748">
        <v>58.169532180954619</v>
      </c>
      <c r="AR748">
        <v>22.918778547486621</v>
      </c>
      <c r="AS748">
        <v>173.59894175526563</v>
      </c>
      <c r="AT748">
        <v>12.397944915306075</v>
      </c>
      <c r="AU748">
        <v>-125.41471755836822</v>
      </c>
      <c r="AV748"/>
      <c r="AW748"/>
      <c r="FY748" s="210">
        <v>743</v>
      </c>
      <c r="FZ748">
        <v>4.7644913880091213</v>
      </c>
      <c r="GA748">
        <v>9.9590179115990445</v>
      </c>
      <c r="GB748">
        <v>1.398920854779671</v>
      </c>
      <c r="GC748">
        <v>0.53060646856159954</v>
      </c>
      <c r="GD748">
        <v>0.51337804421326672</v>
      </c>
      <c r="GE748">
        <v>0.9292730657739291</v>
      </c>
      <c r="GF748">
        <v>3.7909015027127211</v>
      </c>
      <c r="GG748">
        <v>2.9269068902655246</v>
      </c>
      <c r="GH748">
        <v>0.23579423514790807</v>
      </c>
      <c r="GI748">
        <v>3.5869845542450607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7.0557598039215659</v>
      </c>
      <c r="AO749">
        <v>15.914216324344784</v>
      </c>
      <c r="AP749">
        <v>132.17236019032109</v>
      </c>
      <c r="AQ749">
        <v>33.614834404639502</v>
      </c>
      <c r="AR749">
        <v>15.200930330748694</v>
      </c>
      <c r="AS749">
        <v>67.599556430447549</v>
      </c>
      <c r="AT749">
        <v>9.6408022866132175</v>
      </c>
      <c r="AU749">
        <v>-84.136950005657837</v>
      </c>
      <c r="AV749"/>
      <c r="AW749"/>
      <c r="FY749" s="210">
        <v>744</v>
      </c>
      <c r="FZ749">
        <v>7.4376682902736375</v>
      </c>
      <c r="GA749">
        <v>7.2353922103932602</v>
      </c>
      <c r="GB749">
        <v>1.6059899730505882</v>
      </c>
      <c r="GC749">
        <v>1.0352801961217206</v>
      </c>
      <c r="GD749">
        <v>0.66496446830505218</v>
      </c>
      <c r="GE749">
        <v>1.0551589434349393</v>
      </c>
      <c r="GF749">
        <v>4.4033165188018843</v>
      </c>
      <c r="GG749">
        <v>2.6311354411817005</v>
      </c>
      <c r="GH749">
        <v>0</v>
      </c>
      <c r="GI749">
        <v>3.474708999095637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5.7734375</v>
      </c>
      <c r="AO750">
        <v>13.151419613426778</v>
      </c>
      <c r="AP750">
        <v>78.833572188423616</v>
      </c>
      <c r="AQ750">
        <v>20.509936587548857</v>
      </c>
      <c r="AR750">
        <v>13.140933125825145</v>
      </c>
      <c r="AS750">
        <v>61.746550586416191</v>
      </c>
      <c r="AT750" t="e">
        <v>#DIV/0!</v>
      </c>
      <c r="AU750" t="e">
        <v>#DIV/0!</v>
      </c>
      <c r="AV750"/>
      <c r="AW750"/>
      <c r="FY750" s="210">
        <v>745</v>
      </c>
      <c r="FZ750">
        <v>2.718453362767483</v>
      </c>
      <c r="GA750">
        <v>10.559277147220579</v>
      </c>
      <c r="GB750">
        <v>3.428703016859588</v>
      </c>
      <c r="GC750">
        <v>0.4961473845837111</v>
      </c>
      <c r="GD750">
        <v>0.74665932100021737</v>
      </c>
      <c r="GE750">
        <v>1.3887808996622195</v>
      </c>
      <c r="GF750">
        <v>2.2308761807482154</v>
      </c>
      <c r="GG750">
        <v>1.9166564585065737</v>
      </c>
      <c r="GH750">
        <v>0.81723777082165783</v>
      </c>
      <c r="GI750">
        <v>4.3266313000294483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5.4575674019607838</v>
      </c>
      <c r="AO751">
        <v>16.258229183069826</v>
      </c>
      <c r="AP751">
        <v>126.03362462130622</v>
      </c>
      <c r="AQ751">
        <v>27.040015970403694</v>
      </c>
      <c r="AR751">
        <v>15.60491397874369</v>
      </c>
      <c r="AS751">
        <v>121.42693475937561</v>
      </c>
      <c r="AT751">
        <v>6.4814716657304778</v>
      </c>
      <c r="AU751">
        <v>-29.815640148512678</v>
      </c>
      <c r="AV751"/>
      <c r="AW751"/>
      <c r="FY751" s="210">
        <v>746</v>
      </c>
      <c r="FZ751">
        <v>11.846841501539263</v>
      </c>
      <c r="GA751">
        <v>11.628230386007207</v>
      </c>
      <c r="GB751">
        <v>1.3826812883499204</v>
      </c>
      <c r="GC751">
        <v>0.58892603553892742</v>
      </c>
      <c r="GD751">
        <v>0.59893388636979039</v>
      </c>
      <c r="GE751">
        <v>1.4387443702506373</v>
      </c>
      <c r="GF751">
        <v>4.2998139757267975</v>
      </c>
      <c r="GG751">
        <v>2.6311354411817005</v>
      </c>
      <c r="GH751">
        <v>0.17282465026292085</v>
      </c>
      <c r="GI751">
        <v>4.2823446287592848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9.558779761904761</v>
      </c>
      <c r="AO752">
        <v>15.74068974710509</v>
      </c>
      <c r="AP752">
        <v>140.44266748119838</v>
      </c>
      <c r="AQ752">
        <v>38.28472002422432</v>
      </c>
      <c r="AR752">
        <v>15.094609149919886</v>
      </c>
      <c r="AS752">
        <v>75.493611204062205</v>
      </c>
      <c r="AT752" t="e">
        <v>#DIV/0!</v>
      </c>
      <c r="AU752" t="e">
        <v>#DIV/0!</v>
      </c>
      <c r="AV752"/>
      <c r="AW752"/>
      <c r="FY752" s="210">
        <v>747</v>
      </c>
      <c r="FZ752">
        <v>9.1325974721788903</v>
      </c>
      <c r="GA752">
        <v>8.061605288233503</v>
      </c>
      <c r="GB752">
        <v>1.6361356480525311</v>
      </c>
      <c r="GC752">
        <v>1.0039310435517343</v>
      </c>
      <c r="GD752">
        <v>0.85917347439880154</v>
      </c>
      <c r="GE752">
        <v>0.89143935244954209</v>
      </c>
      <c r="GF752">
        <v>3.1786951299826667</v>
      </c>
      <c r="GG752">
        <v>2.4324324403942232</v>
      </c>
      <c r="GH752">
        <v>0.40861888541082891</v>
      </c>
      <c r="GI752">
        <v>4.3651880418713036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8.2311070261437909</v>
      </c>
      <c r="AO753">
        <v>23.649402053138513</v>
      </c>
      <c r="AP753">
        <v>179.83345875655729</v>
      </c>
      <c r="AQ753">
        <v>31.93294068272796</v>
      </c>
      <c r="AR753">
        <v>22.939622729843762</v>
      </c>
      <c r="AS753">
        <v>206.88477199190288</v>
      </c>
      <c r="AT753">
        <v>12.888417345531556</v>
      </c>
      <c r="AU753">
        <v>-126.09692257456548</v>
      </c>
      <c r="AV753"/>
      <c r="AW753"/>
      <c r="FY753" s="210">
        <v>748</v>
      </c>
      <c r="FZ753">
        <v>2.6886798659783597</v>
      </c>
      <c r="GA753">
        <v>7.5086252731391943</v>
      </c>
      <c r="GB753">
        <v>2.2245909765346874</v>
      </c>
      <c r="GC753">
        <v>0.32725050371767256</v>
      </c>
      <c r="GD753">
        <v>0.60038276402686219</v>
      </c>
      <c r="GE753">
        <v>1.4574823727507848</v>
      </c>
      <c r="GF753">
        <v>2.1497580648868277</v>
      </c>
      <c r="GG753">
        <v>1.5410277012290603</v>
      </c>
      <c r="GH753">
        <v>0.64441312055873701</v>
      </c>
      <c r="GI753">
        <v>3.4763346491897558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11.626488095238097</v>
      </c>
      <c r="AO754">
        <v>23.735148508023943</v>
      </c>
      <c r="AP754">
        <v>180.38999625980122</v>
      </c>
      <c r="AQ754">
        <v>45.83933913203451</v>
      </c>
      <c r="AR754">
        <v>23.373349634890616</v>
      </c>
      <c r="AS754">
        <v>110.78457404243271</v>
      </c>
      <c r="AT754" t="e">
        <v>#DIV/0!</v>
      </c>
      <c r="AU754" t="e">
        <v>#DIV/0!</v>
      </c>
      <c r="AV754"/>
      <c r="AW754"/>
      <c r="FY754" s="210">
        <v>749</v>
      </c>
      <c r="FZ754">
        <v>0.93986842251497327</v>
      </c>
      <c r="GA754">
        <v>9.0381727096944218</v>
      </c>
      <c r="GB754">
        <v>3.1392254181922956</v>
      </c>
      <c r="GC754">
        <v>1.204489841767701</v>
      </c>
      <c r="GD754">
        <v>1.338258886217941</v>
      </c>
      <c r="GE754">
        <v>2.4459324158607174</v>
      </c>
      <c r="GF754">
        <v>4.9814911397136346</v>
      </c>
      <c r="GG754">
        <v>2.6796696653298739</v>
      </c>
      <c r="GH754">
        <v>0.75426818593667067</v>
      </c>
      <c r="GI754">
        <v>4.6125377509860517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6.1928104575163392</v>
      </c>
      <c r="AO755">
        <v>26.088605276584481</v>
      </c>
      <c r="AP755">
        <v>199.42268727925406</v>
      </c>
      <c r="AQ755">
        <v>27.324981491888924</v>
      </c>
      <c r="AR755">
        <v>24.283483780934361</v>
      </c>
      <c r="AS755">
        <v>197.25609862385517</v>
      </c>
      <c r="AT755">
        <v>15.623236487359263</v>
      </c>
      <c r="AU755">
        <v>-68.047361075287554</v>
      </c>
      <c r="AV755"/>
      <c r="AW755"/>
      <c r="FY755" s="210">
        <v>750</v>
      </c>
      <c r="FZ755">
        <v>7.2800375972084073</v>
      </c>
      <c r="GA755">
        <v>19.37544640024802</v>
      </c>
      <c r="GB755">
        <v>5.8050587984336843</v>
      </c>
      <c r="GC755">
        <v>0.3548663266224511</v>
      </c>
      <c r="GD755">
        <v>0.60551548726789073</v>
      </c>
      <c r="GE755">
        <v>1.931262416339153</v>
      </c>
      <c r="GF755">
        <v>7.1101111463016151</v>
      </c>
      <c r="GG755">
        <v>5.3108051065115749</v>
      </c>
      <c r="GH755">
        <v>0.23579423514790807</v>
      </c>
      <c r="GI755">
        <v>5.9554474867635268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9.9688521241830053</v>
      </c>
      <c r="AO756">
        <v>17.275078766851571</v>
      </c>
      <c r="AP756">
        <v>143.13728222536312</v>
      </c>
      <c r="AQ756">
        <v>33.196884999940387</v>
      </c>
      <c r="AR756">
        <v>15.983158971048901</v>
      </c>
      <c r="AS756">
        <v>80.393578580427643</v>
      </c>
      <c r="AT756">
        <v>9.9074706137202089</v>
      </c>
      <c r="AU756">
        <v>-60.568856344538709</v>
      </c>
      <c r="AV756"/>
      <c r="AW756"/>
      <c r="FY756" s="210">
        <v>751</v>
      </c>
      <c r="FZ756">
        <v>8.8048366415337433</v>
      </c>
      <c r="GA756">
        <v>8.4090509680764605</v>
      </c>
      <c r="GB756">
        <v>1.5488845746656661</v>
      </c>
      <c r="GC756">
        <v>0.2877253839020168</v>
      </c>
      <c r="GD756">
        <v>0.22991689321018219</v>
      </c>
      <c r="GE756">
        <v>0.96604310925306591</v>
      </c>
      <c r="GF756">
        <v>2.6853102689669601</v>
      </c>
      <c r="GG756">
        <v>1.4924934770808866</v>
      </c>
      <c r="GH756">
        <v>0.58144353567374973</v>
      </c>
      <c r="GI756">
        <v>3.8115147497971367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11.071902719421102</v>
      </c>
      <c r="AO757">
        <v>18.685497721142546</v>
      </c>
      <c r="AP757">
        <v>150.41489165579577</v>
      </c>
      <c r="AQ757">
        <v>31.3285164765025</v>
      </c>
      <c r="AR757">
        <v>17.869639110337701</v>
      </c>
      <c r="AS757">
        <v>87.554366059950382</v>
      </c>
      <c r="AT757">
        <v>10.2209692009527</v>
      </c>
      <c r="AU757">
        <v>-18.765462977632001</v>
      </c>
      <c r="AV757"/>
      <c r="AW757"/>
      <c r="FY757" s="210">
        <v>752</v>
      </c>
      <c r="FZ757">
        <v>7.4837055028543755</v>
      </c>
      <c r="GA757">
        <v>7.2662023095048536</v>
      </c>
      <c r="GB757">
        <v>2.8018909915551919</v>
      </c>
      <c r="GC757">
        <v>0.84289736515142344</v>
      </c>
      <c r="GD757">
        <v>1.0455121684322155</v>
      </c>
      <c r="GE757">
        <v>1.566757182404249</v>
      </c>
      <c r="GF757">
        <v>3.4016605628347802</v>
      </c>
      <c r="GG757">
        <v>2.2555066839041871</v>
      </c>
      <c r="GH757">
        <v>0.17282465026292085</v>
      </c>
      <c r="GI757">
        <v>4.2997837235849374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11.437974147992529</v>
      </c>
      <c r="AO758">
        <v>18.830194404247528</v>
      </c>
      <c r="AP758">
        <v>143.10971348707278</v>
      </c>
      <c r="AQ758">
        <v>21.978256437515707</v>
      </c>
      <c r="AR758">
        <v>18.32518771711878</v>
      </c>
      <c r="AS758">
        <v>90.840279793346923</v>
      </c>
      <c r="AT758">
        <v>10.657101274767841</v>
      </c>
      <c r="AU758">
        <v>-67.81113860236421</v>
      </c>
      <c r="AV758"/>
      <c r="AW758"/>
      <c r="FY758" s="210">
        <v>753</v>
      </c>
      <c r="FZ758">
        <v>4.4250565510183559</v>
      </c>
      <c r="GA758">
        <v>10.137936047592643</v>
      </c>
      <c r="GB758">
        <v>2.6519272716691966</v>
      </c>
      <c r="GC758">
        <v>0.28707997540457975</v>
      </c>
      <c r="GD758">
        <v>0.35032735670225368</v>
      </c>
      <c r="GE758">
        <v>1.0956737054474406</v>
      </c>
      <c r="GF758">
        <v>1.4077583192570629</v>
      </c>
      <c r="GG758">
        <v>0.42416298142568709</v>
      </c>
      <c r="GH758">
        <v>0.40861888541082891</v>
      </c>
      <c r="GI758">
        <v>2.4999838201609794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10.606894841269842</v>
      </c>
      <c r="AO759">
        <v>14.018706959492297</v>
      </c>
      <c r="AP759">
        <v>119.2505479954837</v>
      </c>
      <c r="AQ759">
        <v>28.636274915307844</v>
      </c>
      <c r="AR759">
        <v>12.963004712424738</v>
      </c>
      <c r="AS759">
        <v>74.946551481265104</v>
      </c>
      <c r="AT759" t="e">
        <v>#DIV/0!</v>
      </c>
      <c r="AU759" t="e">
        <v>#DIV/0!</v>
      </c>
      <c r="AV759"/>
      <c r="AW759"/>
      <c r="FY759" s="210">
        <v>754</v>
      </c>
      <c r="FZ759">
        <v>2.8338758006201989</v>
      </c>
      <c r="GA759">
        <v>12.929260476293006</v>
      </c>
      <c r="GB759">
        <v>3.9299072719548791</v>
      </c>
      <c r="GC759">
        <v>1.1173431350192047</v>
      </c>
      <c r="GD759">
        <v>0.8324886200533278</v>
      </c>
      <c r="GE759">
        <v>1.0038768225774528</v>
      </c>
      <c r="GF759">
        <v>3.020951561696025</v>
      </c>
      <c r="GG759">
        <v>1.9166564585065737</v>
      </c>
      <c r="GH759">
        <v>0.64441312055873701</v>
      </c>
      <c r="GI759">
        <v>3.3497982251545166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7.9887152777777768</v>
      </c>
      <c r="AO760">
        <v>24.317164447788734</v>
      </c>
      <c r="AP760">
        <v>217.12114946363531</v>
      </c>
      <c r="AQ760">
        <v>29.54361504065842</v>
      </c>
      <c r="AR760">
        <v>23.385629724871819</v>
      </c>
      <c r="AS760">
        <v>105.90451229109533</v>
      </c>
      <c r="AT760" t="e">
        <v>#DIV/0!</v>
      </c>
      <c r="AU760" t="e">
        <v>#DIV/0!</v>
      </c>
      <c r="AV760"/>
      <c r="AW760"/>
      <c r="FY760" s="210">
        <v>755</v>
      </c>
      <c r="FZ760">
        <v>9.2317561942399919</v>
      </c>
      <c r="GA760">
        <v>17.928554579818883</v>
      </c>
      <c r="GB760">
        <v>4.9619384620012958</v>
      </c>
      <c r="GC760">
        <v>0.61180846632343422</v>
      </c>
      <c r="GD760">
        <v>0.90801173476866992</v>
      </c>
      <c r="GE760">
        <v>2.1239624273020432</v>
      </c>
      <c r="GF760">
        <v>3.3345509512917775</v>
      </c>
      <c r="GG760">
        <v>1.4344134131846378</v>
      </c>
      <c r="GH760">
        <v>0.3456493005258417</v>
      </c>
      <c r="GI760">
        <v>5.4469997195476187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9.4758986928104569</v>
      </c>
      <c r="AO761">
        <v>20.005329607796785</v>
      </c>
      <c r="AP761">
        <v>163.52635967995403</v>
      </c>
      <c r="AQ761">
        <v>28.629422842199688</v>
      </c>
      <c r="AR761">
        <v>18.609280878330331</v>
      </c>
      <c r="AS761">
        <v>80.192448666334045</v>
      </c>
      <c r="AT761">
        <v>9.7854121155686826</v>
      </c>
      <c r="AU761">
        <v>-77.68753196712494</v>
      </c>
      <c r="AV761"/>
      <c r="AW761"/>
      <c r="FY761" s="210">
        <v>756</v>
      </c>
      <c r="FZ761">
        <v>3.1736910136498504</v>
      </c>
      <c r="GA761">
        <v>5.8932059088606996</v>
      </c>
      <c r="GB761">
        <v>2.8089792037655537</v>
      </c>
      <c r="GC761">
        <v>0.50715812940814009</v>
      </c>
      <c r="GD761">
        <v>0.91940513787419698</v>
      </c>
      <c r="GE761">
        <v>2.4062693998786004</v>
      </c>
      <c r="GF761">
        <v>5.369592161604638</v>
      </c>
      <c r="GG761">
        <v>3.5710744044950373</v>
      </c>
      <c r="GH761">
        <v>0.3456493005258417</v>
      </c>
      <c r="GI761">
        <v>4.2061331958425878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7.3907271241830061</v>
      </c>
      <c r="AO762">
        <v>23.12527846849412</v>
      </c>
      <c r="AP762">
        <v>203.07544470973767</v>
      </c>
      <c r="AQ762">
        <v>38.870476163986446</v>
      </c>
      <c r="AR762">
        <v>22.296287461893019</v>
      </c>
      <c r="AS762">
        <v>85.022862515836707</v>
      </c>
      <c r="AT762">
        <v>14.961084296456493</v>
      </c>
      <c r="AU762">
        <v>-30.239845468189419</v>
      </c>
      <c r="AV762"/>
      <c r="AW762"/>
      <c r="FY762" s="210">
        <v>757</v>
      </c>
      <c r="FZ762">
        <v>8.6596407068919063</v>
      </c>
      <c r="GA762">
        <v>9.0381727096944218</v>
      </c>
      <c r="GB762">
        <v>3.241505409761289</v>
      </c>
      <c r="GC762">
        <v>0.50999290698689959</v>
      </c>
      <c r="GD762">
        <v>0.95020660199635631</v>
      </c>
      <c r="GE762">
        <v>2.1065426698730656</v>
      </c>
      <c r="GF762">
        <v>1.2346957823311606</v>
      </c>
      <c r="GG762">
        <v>0.1769257564900365</v>
      </c>
      <c r="GH762">
        <v>0.40861888541082891</v>
      </c>
      <c r="GI762">
        <v>4.8599532562485095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12.121753909897292</v>
      </c>
      <c r="AO763">
        <v>14.196873142784776</v>
      </c>
      <c r="AP763">
        <v>113.80242905756329</v>
      </c>
      <c r="AQ763">
        <v>31.969816776524024</v>
      </c>
      <c r="AR763">
        <v>14.202642089437697</v>
      </c>
      <c r="AS763">
        <v>104.08312347725372</v>
      </c>
      <c r="AT763">
        <v>7.1130494248205087</v>
      </c>
      <c r="AU763">
        <v>5.0435145950849307</v>
      </c>
      <c r="AV763"/>
      <c r="AW763"/>
      <c r="FY763" s="210">
        <v>758</v>
      </c>
      <c r="FZ763">
        <v>4.806699643221636</v>
      </c>
      <c r="GA763">
        <v>16.05380777015937</v>
      </c>
      <c r="GB763">
        <v>5.6725452932250624</v>
      </c>
      <c r="GC763">
        <v>0.60707507420316253</v>
      </c>
      <c r="GD763">
        <v>0.6131209163789979</v>
      </c>
      <c r="GE763">
        <v>1.0027980399866558</v>
      </c>
      <c r="GF763">
        <v>3.9639640396386238</v>
      </c>
      <c r="GG763">
        <v>2.9972183587111387</v>
      </c>
      <c r="GH763">
        <v>0</v>
      </c>
      <c r="GI763">
        <v>4.3575067334071864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6.593852124183007</v>
      </c>
      <c r="AO764">
        <v>15.727465574644915</v>
      </c>
      <c r="AP764">
        <v>115.43888235810437</v>
      </c>
      <c r="AQ764">
        <v>22.618545292011941</v>
      </c>
      <c r="AR764">
        <v>15.027034821990874</v>
      </c>
      <c r="AS764">
        <v>123.84240107602383</v>
      </c>
      <c r="AT764" t="e">
        <v>#DIV/0!</v>
      </c>
      <c r="AU764" t="e">
        <v>#DIV/0!</v>
      </c>
      <c r="AV764"/>
      <c r="AW764"/>
      <c r="FY764" s="210">
        <v>759</v>
      </c>
      <c r="FZ764">
        <v>2.8338758006201989</v>
      </c>
      <c r="GA764">
        <v>5.2640841672427374</v>
      </c>
      <c r="GB764">
        <v>1.029107295283066</v>
      </c>
      <c r="GC764">
        <v>0.60772048270059964</v>
      </c>
      <c r="GD764">
        <v>0.82104226769292277</v>
      </c>
      <c r="GE764">
        <v>1.1018718654218285</v>
      </c>
      <c r="GF764">
        <v>0.68906918473908529</v>
      </c>
      <c r="GG764">
        <v>0.24723722493565062</v>
      </c>
      <c r="GH764">
        <v>0.17282465026292085</v>
      </c>
      <c r="GI764">
        <v>2.5497283125397692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12.263079190009339</v>
      </c>
      <c r="AO765">
        <v>15.591509566588504</v>
      </c>
      <c r="AP765">
        <v>102.60511705477464</v>
      </c>
      <c r="AQ765">
        <v>31.133914436214283</v>
      </c>
      <c r="AR765">
        <v>14.397197411986177</v>
      </c>
      <c r="AS765">
        <v>76.305093454740003</v>
      </c>
      <c r="AT765">
        <v>6.0499783567747301</v>
      </c>
      <c r="AU765">
        <v>-38.477240027315993</v>
      </c>
      <c r="AV765"/>
      <c r="AW765"/>
      <c r="FY765" s="210">
        <v>760</v>
      </c>
      <c r="FZ765">
        <v>0.71585602337692278</v>
      </c>
      <c r="GA765">
        <v>10.433834924044604</v>
      </c>
      <c r="GB765">
        <v>3.9009722452005589</v>
      </c>
      <c r="GC765">
        <v>0.60901129969547385</v>
      </c>
      <c r="GD765">
        <v>0.38018510756159196</v>
      </c>
      <c r="GE765">
        <v>1.0069916397386596</v>
      </c>
      <c r="GF765">
        <v>6.2269278008074256</v>
      </c>
      <c r="GG765">
        <v>5.0417906372784831</v>
      </c>
      <c r="GH765">
        <v>0.70738270544372439</v>
      </c>
      <c r="GI765">
        <v>3.4172150544212374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14.120783730158731</v>
      </c>
      <c r="AO766">
        <v>20.475741082707636</v>
      </c>
      <c r="AP766">
        <v>188.27250619497687</v>
      </c>
      <c r="AQ766">
        <v>53.964345000844226</v>
      </c>
      <c r="AR766">
        <v>19.357303964786091</v>
      </c>
      <c r="AS766">
        <v>109.76381594065262</v>
      </c>
      <c r="AT766" t="e">
        <v>#DIV/0!</v>
      </c>
      <c r="AU766" t="e">
        <v>#DIV/0!</v>
      </c>
      <c r="AV766"/>
      <c r="AW766"/>
      <c r="FY766" s="210">
        <v>761</v>
      </c>
      <c r="FZ766">
        <v>5.8340527814520904</v>
      </c>
      <c r="GA766">
        <v>7.9364802623695745</v>
      </c>
      <c r="GB766">
        <v>0.91758811085699776</v>
      </c>
      <c r="GC766">
        <v>0.7005786337843003</v>
      </c>
      <c r="GD766">
        <v>0.46939426912600613</v>
      </c>
      <c r="GE766">
        <v>0.44623821440446509</v>
      </c>
      <c r="GF766">
        <v>3.8639585115636645</v>
      </c>
      <c r="GG766">
        <v>3.3723714037075605</v>
      </c>
      <c r="GH766">
        <v>0.23579423514790807</v>
      </c>
      <c r="GI766">
        <v>2.5687131545152915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8.0685326213818858</v>
      </c>
      <c r="AO767">
        <v>15.937775529219801</v>
      </c>
      <c r="AP767">
        <v>133.50533543447239</v>
      </c>
      <c r="AQ767">
        <v>28.817219602159867</v>
      </c>
      <c r="AR767">
        <v>15.716877727586279</v>
      </c>
      <c r="AS767">
        <v>85.716259501932996</v>
      </c>
      <c r="AT767">
        <v>7.6166943347119771</v>
      </c>
      <c r="AU767">
        <v>-51.347640424672747</v>
      </c>
      <c r="AV767"/>
      <c r="AW767"/>
      <c r="FY767" s="210">
        <v>762</v>
      </c>
      <c r="FZ767">
        <v>5.6888568468102516</v>
      </c>
      <c r="GA767">
        <v>20.551351464669892</v>
      </c>
      <c r="GB767">
        <v>7.6301053001002446</v>
      </c>
      <c r="GC767">
        <v>0.50522190391582866</v>
      </c>
      <c r="GD767">
        <v>0.51520455374823615</v>
      </c>
      <c r="GE767">
        <v>1.4624846619242204</v>
      </c>
      <c r="GF767">
        <v>3.4023296490929766</v>
      </c>
      <c r="GG767">
        <v>2.1638936834422244</v>
      </c>
      <c r="GH767">
        <v>0.64441312055873701</v>
      </c>
      <c r="GI767">
        <v>5.1631761810996455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10.967736052754432</v>
      </c>
      <c r="AO768">
        <v>22.999505877052961</v>
      </c>
      <c r="AP768">
        <v>170.39308687703431</v>
      </c>
      <c r="AQ768">
        <v>31.136741140489136</v>
      </c>
      <c r="AR768">
        <v>22.359000382679451</v>
      </c>
      <c r="AS768">
        <v>209.84466954546079</v>
      </c>
      <c r="AT768">
        <v>12.533816057593732</v>
      </c>
      <c r="AU768">
        <v>-20.328193349820349</v>
      </c>
      <c r="AV768"/>
      <c r="AW768"/>
      <c r="FY768" s="210">
        <v>763</v>
      </c>
      <c r="FZ768">
        <v>3.5432797234686255</v>
      </c>
      <c r="GA768">
        <v>2.3699833290724288</v>
      </c>
      <c r="GB768">
        <v>0.88268768150225174</v>
      </c>
      <c r="GC768">
        <v>0.26523521802593591</v>
      </c>
      <c r="GD768">
        <v>0.11812300459664921</v>
      </c>
      <c r="GE768">
        <v>0.26441079526343347</v>
      </c>
      <c r="GF768">
        <v>0.86213172166498775</v>
      </c>
      <c r="GG768">
        <v>0.67140020636133779</v>
      </c>
      <c r="GH768">
        <v>0.40861888541082891</v>
      </c>
      <c r="GI768">
        <v>1.1343657760318799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9.5568977591036415</v>
      </c>
      <c r="AO769">
        <v>14.236504965724304</v>
      </c>
      <c r="AP769">
        <v>118.28964894982182</v>
      </c>
      <c r="AQ769">
        <v>23.688524914089029</v>
      </c>
      <c r="AR769">
        <v>13.214707642932416</v>
      </c>
      <c r="AS769">
        <v>63.524384504239777</v>
      </c>
      <c r="AT769">
        <v>6.4246859057727903</v>
      </c>
      <c r="AU769">
        <v>-25.085550652788534</v>
      </c>
      <c r="AV769"/>
      <c r="AW769"/>
      <c r="FY769" s="210">
        <v>764</v>
      </c>
      <c r="FZ769">
        <v>2.8338758006201989</v>
      </c>
      <c r="GA769">
        <v>10.359939504259625</v>
      </c>
      <c r="GB769">
        <v>3.1043249888375497</v>
      </c>
      <c r="GC769">
        <v>0.7707698867217061</v>
      </c>
      <c r="GD769">
        <v>1.1150501840367768</v>
      </c>
      <c r="GE769">
        <v>1.4623058738749464</v>
      </c>
      <c r="GF769">
        <v>3.8639585115636645</v>
      </c>
      <c r="GG769">
        <v>3.1954456472175239</v>
      </c>
      <c r="GH769">
        <v>0</v>
      </c>
      <c r="GI769">
        <v>4.5118646940965572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9.458435457516341</v>
      </c>
      <c r="AO770">
        <v>19.046330976107178</v>
      </c>
      <c r="AP770">
        <v>167.44386195273913</v>
      </c>
      <c r="AQ770">
        <v>31.578571492433923</v>
      </c>
      <c r="AR770">
        <v>17.667461253843708</v>
      </c>
      <c r="AS770">
        <v>92.375401712106068</v>
      </c>
      <c r="AT770">
        <v>9.4795572174293685</v>
      </c>
      <c r="AU770">
        <v>-28.360359837555951</v>
      </c>
      <c r="AV770"/>
      <c r="AW770"/>
      <c r="FY770" s="210">
        <v>765</v>
      </c>
      <c r="FZ770">
        <v>10.92285641877702</v>
      </c>
      <c r="GA770">
        <v>16.199669500302704</v>
      </c>
      <c r="GB770">
        <v>3.9124570572775061</v>
      </c>
      <c r="GC770">
        <v>0.16265713911268062</v>
      </c>
      <c r="GD770">
        <v>0.36403131461014854</v>
      </c>
      <c r="GE770">
        <v>2.1270919520108977</v>
      </c>
      <c r="GF770">
        <v>7.0760793944833118</v>
      </c>
      <c r="GG770">
        <v>4.5110133678083741</v>
      </c>
      <c r="GH770">
        <v>0</v>
      </c>
      <c r="GI770">
        <v>5.20036805515445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12.817416549953313</v>
      </c>
      <c r="AO771">
        <v>18.585050945851378</v>
      </c>
      <c r="AP771">
        <v>142.72063091627874</v>
      </c>
      <c r="AQ771">
        <v>46.327645249004192</v>
      </c>
      <c r="AR771">
        <v>17.684792240402523</v>
      </c>
      <c r="AS771">
        <v>147.76685890126004</v>
      </c>
      <c r="AT771">
        <v>8.9888289640206835</v>
      </c>
      <c r="AU771">
        <v>-108.90034989775107</v>
      </c>
      <c r="AV771"/>
      <c r="AW771"/>
      <c r="FY771" s="210">
        <v>766</v>
      </c>
      <c r="FZ771">
        <v>11.747302403439278</v>
      </c>
      <c r="GA771">
        <v>17.373328257985904</v>
      </c>
      <c r="GB771">
        <v>4.1207368237960464</v>
      </c>
      <c r="GC771">
        <v>0.34299464066237317</v>
      </c>
      <c r="GD771">
        <v>0.16994413344389186</v>
      </c>
      <c r="GE771">
        <v>0.65657982745455923</v>
      </c>
      <c r="GF771">
        <v>3.2981580197596925</v>
      </c>
      <c r="GG771">
        <v>2.7862839533742965</v>
      </c>
      <c r="GH771">
        <v>0.88020735570664521</v>
      </c>
      <c r="GI771">
        <v>4.8160071017847601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10.828329248366012</v>
      </c>
      <c r="AO772">
        <v>27.849511795542657</v>
      </c>
      <c r="AP772">
        <v>203.32041466974553</v>
      </c>
      <c r="AQ772">
        <v>29.201157855905144</v>
      </c>
      <c r="AR772">
        <v>26.298608749240575</v>
      </c>
      <c r="AS772">
        <v>263.91274166497476</v>
      </c>
      <c r="AT772" t="e">
        <v>#DIV/0!</v>
      </c>
      <c r="AU772" t="e">
        <v>#DIV/0!</v>
      </c>
      <c r="AV772"/>
      <c r="AW772"/>
      <c r="FY772" s="210">
        <v>767</v>
      </c>
      <c r="FZ772">
        <v>10.43784527110553</v>
      </c>
      <c r="GA772">
        <v>7.9364802623695745</v>
      </c>
      <c r="GB772">
        <v>0.70939618297614437</v>
      </c>
      <c r="GC772">
        <v>0.61808581902759141</v>
      </c>
      <c r="GD772">
        <v>0.68086525099135553</v>
      </c>
      <c r="GE772">
        <v>1.5685864850619791</v>
      </c>
      <c r="GF772">
        <v>5.6022017429873578</v>
      </c>
      <c r="GG772">
        <v>3.8668458535788619</v>
      </c>
      <c r="GH772">
        <v>0.23579423514790807</v>
      </c>
      <c r="GI772">
        <v>4.0749749631346273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10.847944386087768</v>
      </c>
      <c r="AO773">
        <v>15.252113977772387</v>
      </c>
      <c r="AP773">
        <v>112.44533559375412</v>
      </c>
      <c r="AQ773">
        <v>31.186254685684471</v>
      </c>
      <c r="AR773">
        <v>15.480073657635579</v>
      </c>
      <c r="AS773">
        <v>80.320280380251205</v>
      </c>
      <c r="AT773" t="e">
        <v>#DIV/0!</v>
      </c>
      <c r="AU773" t="e">
        <v>#DIV/0!</v>
      </c>
      <c r="AV773"/>
      <c r="AW773"/>
      <c r="FY773" s="210">
        <v>768</v>
      </c>
      <c r="FZ773">
        <v>7.3799570713472793</v>
      </c>
      <c r="GA773">
        <v>10.559277147220579</v>
      </c>
      <c r="GB773">
        <v>3.2752830295060988</v>
      </c>
      <c r="GC773">
        <v>1.3107636393953648</v>
      </c>
      <c r="GD773">
        <v>1.2773357998304269</v>
      </c>
      <c r="GE773">
        <v>1.0893962278117872</v>
      </c>
      <c r="GF773">
        <v>4.2722965150434362</v>
      </c>
      <c r="GG773">
        <v>3.6196086286432112</v>
      </c>
      <c r="GH773">
        <v>0.58144353567374973</v>
      </c>
      <c r="GI773">
        <v>5.2512030570246999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8.3411458333333321</v>
      </c>
      <c r="AO774">
        <v>22.695383524819867</v>
      </c>
      <c r="AP774">
        <v>199.80216311064547</v>
      </c>
      <c r="AQ774">
        <v>40.074735868931832</v>
      </c>
      <c r="AR774">
        <v>21.467717650273919</v>
      </c>
      <c r="AS774">
        <v>92.58692427095923</v>
      </c>
      <c r="AT774" t="e">
        <v>#DIV/0!</v>
      </c>
      <c r="AU774" t="e">
        <v>#DIV/0!</v>
      </c>
      <c r="AV774"/>
      <c r="AW774"/>
      <c r="FY774" s="210">
        <v>769</v>
      </c>
      <c r="FZ774">
        <v>15.302636509292409</v>
      </c>
      <c r="GA774">
        <v>12.855365056508028</v>
      </c>
      <c r="GB774">
        <v>3.3450838882155907</v>
      </c>
      <c r="GC774">
        <v>0.38058353498571745</v>
      </c>
      <c r="GD774">
        <v>0.19501462903174618</v>
      </c>
      <c r="GE774">
        <v>0.92435009426175896</v>
      </c>
      <c r="GF774">
        <v>5.7693559876596403</v>
      </c>
      <c r="GG774">
        <v>4.5963261238364481</v>
      </c>
      <c r="GH774">
        <v>0.88020735570664521</v>
      </c>
      <c r="GI774">
        <v>5.1344859461335126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6.7370812908496713</v>
      </c>
      <c r="AO775">
        <v>14.951220397067676</v>
      </c>
      <c r="AP775">
        <v>121.94727852891066</v>
      </c>
      <c r="AQ775">
        <v>15.316561251438777</v>
      </c>
      <c r="AR775">
        <v>13.923419259767856</v>
      </c>
      <c r="AS775">
        <v>56.155736241778854</v>
      </c>
      <c r="AT775">
        <v>9.374809835092643</v>
      </c>
      <c r="AU775">
        <v>-55.046604158786096</v>
      </c>
      <c r="AV775"/>
      <c r="AW775"/>
      <c r="FY775" s="210">
        <v>770</v>
      </c>
      <c r="FZ775">
        <v>7.4833251268154903</v>
      </c>
      <c r="GA775">
        <v>12.507919376665072</v>
      </c>
      <c r="GB775">
        <v>3.2391719519037303</v>
      </c>
      <c r="GC775">
        <v>0.87477481513956334</v>
      </c>
      <c r="GD775">
        <v>0.83478678475065582</v>
      </c>
      <c r="GE775">
        <v>1.217365983356447</v>
      </c>
      <c r="GF775">
        <v>2.8583728058928628</v>
      </c>
      <c r="GG775">
        <v>1.5628049455265007</v>
      </c>
      <c r="GH775">
        <v>0</v>
      </c>
      <c r="GI775">
        <v>4.3050826644327875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8.1805555555555554</v>
      </c>
      <c r="AO776">
        <v>20.628915222239591</v>
      </c>
      <c r="AP776">
        <v>156.48746866150259</v>
      </c>
      <c r="AQ776">
        <v>32.440167437568675</v>
      </c>
      <c r="AR776">
        <v>19.125791074287669</v>
      </c>
      <c r="AS776">
        <v>84.743891141865276</v>
      </c>
      <c r="AT776" t="e">
        <v>#DIV/0!</v>
      </c>
      <c r="AU776" t="e">
        <v>#DIV/0!</v>
      </c>
      <c r="AV776"/>
      <c r="AW776"/>
      <c r="FY776" s="210">
        <v>771</v>
      </c>
      <c r="FZ776">
        <v>3.5432797234686255</v>
      </c>
      <c r="GA776">
        <v>2.5693209720333821</v>
      </c>
      <c r="GB776">
        <v>0.9140440047518168</v>
      </c>
      <c r="GC776">
        <v>0.60001628049184075</v>
      </c>
      <c r="GD776">
        <v>0.72468179361111962</v>
      </c>
      <c r="GE776">
        <v>1.6593136625254965</v>
      </c>
      <c r="GF776">
        <v>3.7596862827775439</v>
      </c>
      <c r="GG776">
        <v>2.4809666645423967</v>
      </c>
      <c r="GH776">
        <v>0.81723777082165783</v>
      </c>
      <c r="GI776">
        <v>2.5690487610160071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7.691592261904761</v>
      </c>
      <c r="AO777">
        <v>14.323754862498035</v>
      </c>
      <c r="AP777">
        <v>139.49783353241088</v>
      </c>
      <c r="AQ777">
        <v>26.345169576927855</v>
      </c>
      <c r="AR777">
        <v>13.314809288155672</v>
      </c>
      <c r="AS777">
        <v>65.801500792195952</v>
      </c>
      <c r="AT777" t="e">
        <v>#DIV/0!</v>
      </c>
      <c r="AU777" t="e">
        <v>#DIV/0!</v>
      </c>
      <c r="AV777"/>
      <c r="AW777"/>
      <c r="FY777" s="210">
        <v>772</v>
      </c>
      <c r="FZ777">
        <v>5.5316065297839057</v>
      </c>
      <c r="GA777">
        <v>5.6916219591610737</v>
      </c>
      <c r="GB777">
        <v>1.2745331103762236</v>
      </c>
      <c r="GC777">
        <v>0.52100365181132835</v>
      </c>
      <c r="GD777">
        <v>0.85720338149194075</v>
      </c>
      <c r="GE777">
        <v>2.0712261977075217</v>
      </c>
      <c r="GF777">
        <v>2.4811217146999134</v>
      </c>
      <c r="GG777">
        <v>1.4924934770808866</v>
      </c>
      <c r="GH777">
        <v>0.23579423514790807</v>
      </c>
      <c r="GI777">
        <v>3.4283821881917369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12.178673552754434</v>
      </c>
      <c r="AO778">
        <v>17.587075824541614</v>
      </c>
      <c r="AP778">
        <v>158.65254023736438</v>
      </c>
      <c r="AQ778">
        <v>47.727037365362264</v>
      </c>
      <c r="AR778">
        <v>16.714422917894595</v>
      </c>
      <c r="AS778">
        <v>82.320496868613503</v>
      </c>
      <c r="AT778">
        <v>7.5479537272901238</v>
      </c>
      <c r="AU778">
        <v>-15.870488814586151</v>
      </c>
      <c r="AV778"/>
      <c r="AW778"/>
      <c r="FY778" s="210">
        <v>773</v>
      </c>
      <c r="FZ778">
        <v>5.6311456278838934</v>
      </c>
      <c r="GA778">
        <v>5.6403923530821247</v>
      </c>
      <c r="GB778">
        <v>0.90013789617962481</v>
      </c>
      <c r="GC778">
        <v>0.39808716515251558</v>
      </c>
      <c r="GD778">
        <v>0.62065119823683101</v>
      </c>
      <c r="GE778">
        <v>1.5623671767808247</v>
      </c>
      <c r="GF778">
        <v>4.4082355397805424</v>
      </c>
      <c r="GG778">
        <v>3.3723714037075605</v>
      </c>
      <c r="GH778">
        <v>0.75426818593667067</v>
      </c>
      <c r="GI778">
        <v>3.2405708247117908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3.2518382352941173</v>
      </c>
      <c r="AO779">
        <v>8.6638842002545999</v>
      </c>
      <c r="AP779">
        <v>55.088038259737758</v>
      </c>
      <c r="AQ779">
        <v>10.520236341398359</v>
      </c>
      <c r="AR779">
        <v>8.5886057148155537</v>
      </c>
      <c r="AS779">
        <v>32.315363123255359</v>
      </c>
      <c r="AT779" t="e">
        <v>#DIV/0!</v>
      </c>
      <c r="AU779" t="e">
        <v>#DIV/0!</v>
      </c>
      <c r="AV779"/>
      <c r="AW779"/>
      <c r="FY779" s="210">
        <v>774</v>
      </c>
      <c r="FZ779">
        <v>5.5316065297839057</v>
      </c>
      <c r="GA779">
        <v>16.680683205038662</v>
      </c>
      <c r="GB779">
        <v>5.6027444345155706</v>
      </c>
      <c r="GC779">
        <v>0.65632012184837285</v>
      </c>
      <c r="GD779">
        <v>1.112498636584127</v>
      </c>
      <c r="GE779">
        <v>2.1985510713600207</v>
      </c>
      <c r="GF779">
        <v>4.5725955916333216</v>
      </c>
      <c r="GG779">
        <v>3.2439798713656982</v>
      </c>
      <c r="GH779">
        <v>0.40861888541082891</v>
      </c>
      <c r="GI779">
        <v>5.5433517057262307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8.4088541666666661</v>
      </c>
      <c r="AO780">
        <v>15.494667721138796</v>
      </c>
      <c r="AP780">
        <v>105.98367624718649</v>
      </c>
      <c r="AQ780">
        <v>31.217535091228548</v>
      </c>
      <c r="AR780">
        <v>14.406357042770997</v>
      </c>
      <c r="AS780">
        <v>70.997853801918367</v>
      </c>
      <c r="AT780" t="e">
        <v>#DIV/0!</v>
      </c>
      <c r="AU780" t="e">
        <v>#DIV/0!</v>
      </c>
      <c r="AV780"/>
      <c r="AW780"/>
      <c r="FY780" s="210">
        <v>775</v>
      </c>
      <c r="FZ780">
        <v>8.6102173631459316</v>
      </c>
      <c r="GA780">
        <v>19.848334303266949</v>
      </c>
      <c r="GB780">
        <v>5.3201819484058301</v>
      </c>
      <c r="GC780">
        <v>0.83446825431674299</v>
      </c>
      <c r="GD780">
        <v>0.77472339086735187</v>
      </c>
      <c r="GE780">
        <v>0.92332948102546064</v>
      </c>
      <c r="GF780">
        <v>4.5715725844359341</v>
      </c>
      <c r="GG780">
        <v>3.9739358539043756</v>
      </c>
      <c r="GH780">
        <v>0.64441312055873701</v>
      </c>
      <c r="GI780">
        <v>5.0107649513219492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9.3200644841269842</v>
      </c>
      <c r="AO781">
        <v>22.080289582461141</v>
      </c>
      <c r="AP781">
        <v>198.65258935038597</v>
      </c>
      <c r="AQ781">
        <v>50.476224199537093</v>
      </c>
      <c r="AR781">
        <v>21.314947785207053</v>
      </c>
      <c r="AS781">
        <v>95.147789724578701</v>
      </c>
      <c r="AT781" t="e">
        <v>#DIV/0!</v>
      </c>
      <c r="AU781" t="e">
        <v>#DIV/0!</v>
      </c>
      <c r="AV781"/>
      <c r="AW781"/>
      <c r="FY781" s="210">
        <v>776</v>
      </c>
      <c r="FZ781">
        <v>5.4829439381157039</v>
      </c>
      <c r="GA781">
        <v>11.932273547864732</v>
      </c>
      <c r="GB781">
        <v>3.5287373892087093</v>
      </c>
      <c r="GC781">
        <v>0.21061136976301673</v>
      </c>
      <c r="GD781">
        <v>0.41675348157423575</v>
      </c>
      <c r="GE781">
        <v>1.410124163673836</v>
      </c>
      <c r="GF781">
        <v>2.1377682162018363</v>
      </c>
      <c r="GG781">
        <v>0.93993896331333671</v>
      </c>
      <c r="GH781">
        <v>0.3456493005258417</v>
      </c>
      <c r="GI781">
        <v>3.5252875365215419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10.077731092436977</v>
      </c>
      <c r="AO782">
        <v>17.838955588626018</v>
      </c>
      <c r="AP782">
        <v>133.82520942352255</v>
      </c>
      <c r="AQ782">
        <v>46.191542517407441</v>
      </c>
      <c r="AR782">
        <v>17.476937703847121</v>
      </c>
      <c r="AS782">
        <v>94.443248183792392</v>
      </c>
      <c r="AT782">
        <v>8.0748217992667843</v>
      </c>
      <c r="AU782">
        <v>-64.895348690740562</v>
      </c>
      <c r="AV782"/>
      <c r="AW782"/>
      <c r="FY782" s="210">
        <v>777</v>
      </c>
      <c r="FZ782">
        <v>2.7644905753482205</v>
      </c>
      <c r="GA782">
        <v>14.931378618555122</v>
      </c>
      <c r="GB782">
        <v>5.6527616206901312</v>
      </c>
      <c r="GC782">
        <v>0.63598171410281534</v>
      </c>
      <c r="GD782">
        <v>1.094041905802726</v>
      </c>
      <c r="GE782">
        <v>2.0556939122907725</v>
      </c>
      <c r="GF782">
        <v>5.4738867294543807</v>
      </c>
      <c r="GG782">
        <v>4.3123103670208973</v>
      </c>
      <c r="GH782">
        <v>0.40861888541082891</v>
      </c>
      <c r="GI782">
        <v>5.787547797571432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8.2072172619047592</v>
      </c>
      <c r="AO783">
        <v>15.343126989209409</v>
      </c>
      <c r="AP783">
        <v>132.70972359466163</v>
      </c>
      <c r="AQ783">
        <v>35.731076066380929</v>
      </c>
      <c r="AR783">
        <v>15.052176220237333</v>
      </c>
      <c r="AS783">
        <v>70.907504752985133</v>
      </c>
      <c r="AT783" t="e">
        <v>#DIV/0!</v>
      </c>
      <c r="AU783" t="e">
        <v>#DIV/0!</v>
      </c>
      <c r="AV783"/>
      <c r="AW783"/>
      <c r="FY783" s="210">
        <v>778</v>
      </c>
      <c r="FZ783">
        <v>7.2800375972084073</v>
      </c>
      <c r="GA783">
        <v>11.112257162314888</v>
      </c>
      <c r="GB783">
        <v>2.8053472590226862</v>
      </c>
      <c r="GC783">
        <v>1.0596689765393137</v>
      </c>
      <c r="GD783">
        <v>0.94061106111714832</v>
      </c>
      <c r="GE783">
        <v>0.98726575456990695</v>
      </c>
      <c r="GF783">
        <v>2.377298986608062</v>
      </c>
      <c r="GG783">
        <v>1.5628049455265007</v>
      </c>
      <c r="GH783">
        <v>0.3456493005258417</v>
      </c>
      <c r="GI783">
        <v>3.7737816161329434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10.206801470588234</v>
      </c>
      <c r="AO784">
        <v>17.643475911909338</v>
      </c>
      <c r="AP784">
        <v>141.58804777009405</v>
      </c>
      <c r="AQ784">
        <v>38.616564651496631</v>
      </c>
      <c r="AR784">
        <v>17.281656859444936</v>
      </c>
      <c r="AS784">
        <v>78.780367507659548</v>
      </c>
      <c r="AT784">
        <v>9.8393552901745736</v>
      </c>
      <c r="AU784">
        <v>-40.77409037652545</v>
      </c>
      <c r="AV784"/>
      <c r="AW784"/>
      <c r="FY784" s="210">
        <v>779</v>
      </c>
      <c r="FZ784">
        <v>6.2315792134081001</v>
      </c>
      <c r="GA784">
        <v>5.8397299960430775</v>
      </c>
      <c r="GB784">
        <v>0.95015508235418533</v>
      </c>
      <c r="GC784">
        <v>0.28123249855964766</v>
      </c>
      <c r="GD784">
        <v>0.4555839731543585</v>
      </c>
      <c r="GE784">
        <v>1.4479578769982231</v>
      </c>
      <c r="GF784">
        <v>3.0265396689328794</v>
      </c>
      <c r="GG784">
        <v>1.6816506381202889</v>
      </c>
      <c r="GH784">
        <v>0</v>
      </c>
      <c r="GI784">
        <v>3.8107637282403095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7.1919424019607829</v>
      </c>
      <c r="AO785">
        <v>17.051507483932564</v>
      </c>
      <c r="AP785">
        <v>111.0999584380109</v>
      </c>
      <c r="AQ785">
        <v>49.383409125631488</v>
      </c>
      <c r="AR785">
        <v>17.629770572850262</v>
      </c>
      <c r="AS785">
        <v>76.078928720091056</v>
      </c>
      <c r="AT785">
        <v>12.386604402132363</v>
      </c>
      <c r="AU785">
        <v>36.026961844858285</v>
      </c>
      <c r="AV785"/>
      <c r="AW785"/>
      <c r="FY785" s="210">
        <v>780</v>
      </c>
      <c r="FZ785">
        <v>7.8645878429798852</v>
      </c>
      <c r="GA785">
        <v>11.459702842157846</v>
      </c>
      <c r="GB785">
        <v>2.7367570485608166</v>
      </c>
      <c r="GC785">
        <v>1.0367865457548069</v>
      </c>
      <c r="GD785">
        <v>1.0067995071805476</v>
      </c>
      <c r="GE785">
        <v>0.93848657252151479</v>
      </c>
      <c r="GF785">
        <v>4.0450821555000109</v>
      </c>
      <c r="GG785">
        <v>3.3728471159886522</v>
      </c>
      <c r="GH785">
        <v>0.3456493005258417</v>
      </c>
      <c r="GI785">
        <v>4.763748840086186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10.398809523809522</v>
      </c>
      <c r="AO786">
        <v>22.202032683792542</v>
      </c>
      <c r="AP786">
        <v>130.01888036584512</v>
      </c>
      <c r="AQ786">
        <v>34.883604454483113</v>
      </c>
      <c r="AR786">
        <v>21.083723299489392</v>
      </c>
      <c r="AS786">
        <v>252.21720721590015</v>
      </c>
      <c r="AT786" t="e">
        <v>#DIV/0!</v>
      </c>
      <c r="AU786" t="e">
        <v>#DIV/0!</v>
      </c>
      <c r="AV786"/>
      <c r="AW786"/>
      <c r="FY786" s="210">
        <v>781</v>
      </c>
      <c r="FZ786">
        <v>8.0674949965480831</v>
      </c>
      <c r="GA786">
        <v>10.431905814617979</v>
      </c>
      <c r="GB786">
        <v>0.84303249779470257</v>
      </c>
      <c r="GC786">
        <v>0.4654812514619609</v>
      </c>
      <c r="GD786">
        <v>1.1745274815967148</v>
      </c>
      <c r="GE786">
        <v>2.6513626396595686</v>
      </c>
      <c r="GF786">
        <v>3.9684503259137118</v>
      </c>
      <c r="GG786">
        <v>2.5027439088398373</v>
      </c>
      <c r="GH786">
        <v>0.17282465026292085</v>
      </c>
      <c r="GI786">
        <v>4.0207397481331446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8.1017667483660105</v>
      </c>
      <c r="AO787">
        <v>7.5333015251636208</v>
      </c>
      <c r="AP787">
        <v>47.651750664032157</v>
      </c>
      <c r="AQ787">
        <v>19.637595916039889</v>
      </c>
      <c r="AR787">
        <v>7.4951943013385574</v>
      </c>
      <c r="AS787">
        <v>39.918828058909639</v>
      </c>
      <c r="AT787" t="e">
        <v>#DIV/0!</v>
      </c>
      <c r="AU787" t="e">
        <v>#DIV/0!</v>
      </c>
      <c r="AV787"/>
      <c r="AW787"/>
      <c r="FY787" s="210">
        <v>782</v>
      </c>
      <c r="FZ787">
        <v>4.4827677699447133</v>
      </c>
      <c r="GA787">
        <v>7.2127263966872324</v>
      </c>
      <c r="GB787">
        <v>1.0652183728854343</v>
      </c>
      <c r="GC787">
        <v>0.51116661290249021</v>
      </c>
      <c r="GD787">
        <v>0.47866580807132086</v>
      </c>
      <c r="GE787">
        <v>1.1663061123550855</v>
      </c>
      <c r="GF787">
        <v>6.081815459268455</v>
      </c>
      <c r="GG787">
        <v>4.6879391242984099</v>
      </c>
      <c r="GH787">
        <v>0.40861888541082891</v>
      </c>
      <c r="GI787">
        <v>2.9804726456609947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12.244915674603174</v>
      </c>
      <c r="AO788">
        <v>9.3952357970897786</v>
      </c>
      <c r="AP788">
        <v>48.28934787437877</v>
      </c>
      <c r="AQ788">
        <v>23.58498644545244</v>
      </c>
      <c r="AR788">
        <v>9.159157870027629</v>
      </c>
      <c r="AS788">
        <v>68.488672601488247</v>
      </c>
      <c r="AT788" t="e">
        <v>#DIV/0!</v>
      </c>
      <c r="AU788" t="e">
        <v>#DIV/0!</v>
      </c>
      <c r="AV788"/>
      <c r="AW788"/>
      <c r="FY788" s="210">
        <v>783</v>
      </c>
      <c r="FZ788">
        <v>3.5428993474297403</v>
      </c>
      <c r="GA788">
        <v>5.8397299960430775</v>
      </c>
      <c r="GB788">
        <v>0.88035422364469329</v>
      </c>
      <c r="GC788">
        <v>0.67920255263287965</v>
      </c>
      <c r="GD788">
        <v>1.0715995560180045</v>
      </c>
      <c r="GE788">
        <v>1.9792177962205666</v>
      </c>
      <c r="GF788">
        <v>4.452661870127554</v>
      </c>
      <c r="GG788">
        <v>3.5492971601975971</v>
      </c>
      <c r="GH788">
        <v>0.47158847029581613</v>
      </c>
      <c r="GI788">
        <v>3.7768817849171903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9.7943291900093392</v>
      </c>
      <c r="AO789">
        <v>15.368417285506528</v>
      </c>
      <c r="AP789">
        <v>123.01113525984483</v>
      </c>
      <c r="AQ789">
        <v>26.528227371452381</v>
      </c>
      <c r="AR789">
        <v>14.710856553672397</v>
      </c>
      <c r="AS789">
        <v>65.548164158588634</v>
      </c>
      <c r="AT789">
        <v>7.7051347927286633</v>
      </c>
      <c r="AU789">
        <v>-119.63648459793478</v>
      </c>
      <c r="AV789"/>
      <c r="AW789"/>
      <c r="FY789" s="210">
        <v>784</v>
      </c>
      <c r="FZ789">
        <v>4.0856217140275888</v>
      </c>
      <c r="GA789">
        <v>11.334260618981871</v>
      </c>
      <c r="GB789">
        <v>3.2066049804065431</v>
      </c>
      <c r="GC789">
        <v>0.24949108108123536</v>
      </c>
      <c r="GD789">
        <v>0.48471668609601604</v>
      </c>
      <c r="GE789">
        <v>1.4635483317694706</v>
      </c>
      <c r="GF789">
        <v>3.7373018555638442</v>
      </c>
      <c r="GG789">
        <v>2.5027439088398373</v>
      </c>
      <c r="GH789">
        <v>0.17282465026292085</v>
      </c>
      <c r="GI789">
        <v>3.8393142919236105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14.946406687675069</v>
      </c>
      <c r="AO790">
        <v>20.065969791600814</v>
      </c>
      <c r="AP790">
        <v>161.37478078880409</v>
      </c>
      <c r="AQ790">
        <v>45.550950053266746</v>
      </c>
      <c r="AR790">
        <v>19.063812994412288</v>
      </c>
      <c r="AS790">
        <v>106.93630237701558</v>
      </c>
      <c r="AT790">
        <v>9.8212589576520042</v>
      </c>
      <c r="AU790">
        <v>-51.83033540737835</v>
      </c>
      <c r="AV790"/>
      <c r="AW790"/>
      <c r="FY790" s="210">
        <v>785</v>
      </c>
      <c r="FZ790">
        <v>8.2621142749358949</v>
      </c>
      <c r="GA790">
        <v>9.1636149328703951</v>
      </c>
      <c r="GB790">
        <v>2.6182374905620733</v>
      </c>
      <c r="GC790">
        <v>0.6714188502956363</v>
      </c>
      <c r="GD790">
        <v>0.68765930300475797</v>
      </c>
      <c r="GE790">
        <v>1.001989350565224</v>
      </c>
      <c r="GF790">
        <v>2.784326525766958</v>
      </c>
      <c r="GG790">
        <v>1.8100421704621514</v>
      </c>
      <c r="GH790">
        <v>0.17282465026292085</v>
      </c>
      <c r="GI790">
        <v>3.8879811160575666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11.711659663865545</v>
      </c>
      <c r="AO791">
        <v>21.916251638240734</v>
      </c>
      <c r="AP791">
        <v>175.91279110994736</v>
      </c>
      <c r="AQ791">
        <v>50.511941251249254</v>
      </c>
      <c r="AR791">
        <v>20.414200124741832</v>
      </c>
      <c r="AS791">
        <v>164.0157770233065</v>
      </c>
      <c r="AT791">
        <v>9.1189832846944778</v>
      </c>
      <c r="AU791">
        <v>32.483755580343868</v>
      </c>
      <c r="AV791"/>
      <c r="AW791"/>
      <c r="FY791" s="210">
        <v>786</v>
      </c>
      <c r="FZ791">
        <v>3.0582685757971344</v>
      </c>
      <c r="GA791">
        <v>18.497686519016781</v>
      </c>
      <c r="GB791">
        <v>6.848245301941752</v>
      </c>
      <c r="GC791">
        <v>1.2010472666423033</v>
      </c>
      <c r="GD791">
        <v>1.5752183296866766</v>
      </c>
      <c r="GE791">
        <v>2.0485495758791887</v>
      </c>
      <c r="GF791">
        <v>1.0841068752129899</v>
      </c>
      <c r="GG791">
        <v>0.60108873791572359</v>
      </c>
      <c r="GH791">
        <v>0.47158847029581613</v>
      </c>
      <c r="GI791">
        <v>5.5713264906744939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9.1093312324929965</v>
      </c>
      <c r="AO792">
        <v>22.393773249347355</v>
      </c>
      <c r="AP792">
        <v>163.47710418108045</v>
      </c>
      <c r="AQ792">
        <v>29.93008790676279</v>
      </c>
      <c r="AR792">
        <v>20.981812124357919</v>
      </c>
      <c r="AS792">
        <v>131.22930811282049</v>
      </c>
      <c r="AT792">
        <v>11.583816165948162</v>
      </c>
      <c r="AU792">
        <v>-110.76740918858891</v>
      </c>
      <c r="AV792"/>
      <c r="AW792"/>
      <c r="FY792" s="210">
        <v>787</v>
      </c>
      <c r="FZ792">
        <v>4.3677257081308829</v>
      </c>
      <c r="GA792">
        <v>9.0381727096944218</v>
      </c>
      <c r="GB792">
        <v>3.2252658433315382</v>
      </c>
      <c r="GC792">
        <v>0.84763075727169501</v>
      </c>
      <c r="GD792">
        <v>1.4041918978211174</v>
      </c>
      <c r="GE792">
        <v>2.0210077466952856</v>
      </c>
      <c r="GF792">
        <v>4.7974541405948603</v>
      </c>
      <c r="GG792">
        <v>4.5477918996882742</v>
      </c>
      <c r="GH792">
        <v>0.47158847029581613</v>
      </c>
      <c r="GI792">
        <v>5.0626996674293805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12.1890902194211</v>
      </c>
      <c r="AO793">
        <v>20.109468147544153</v>
      </c>
      <c r="AP793">
        <v>152.31504598364646</v>
      </c>
      <c r="AQ793">
        <v>43.116712126247329</v>
      </c>
      <c r="AR793">
        <v>18.803777477964559</v>
      </c>
      <c r="AS793">
        <v>95.871733678129033</v>
      </c>
      <c r="AT793">
        <v>8.6939825419686603</v>
      </c>
      <c r="AU793">
        <v>20.711834787256329</v>
      </c>
      <c r="AV793"/>
      <c r="AW793"/>
      <c r="FY793" s="210">
        <v>788</v>
      </c>
      <c r="FZ793">
        <v>2.7463910849047179</v>
      </c>
      <c r="GA793">
        <v>0.1993376429609533</v>
      </c>
      <c r="GB793">
        <v>0.32800997276490568</v>
      </c>
      <c r="GC793">
        <v>0.52814194565113459</v>
      </c>
      <c r="GD793">
        <v>1.1209973732050058</v>
      </c>
      <c r="GE793">
        <v>2.4235103692583038</v>
      </c>
      <c r="GF793">
        <v>4.181341365253882</v>
      </c>
      <c r="GG793">
        <v>2.8783726661173508</v>
      </c>
      <c r="GH793">
        <v>0.3456493005258417</v>
      </c>
      <c r="GI793">
        <v>3.0805969792134422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14.653974089635856</v>
      </c>
      <c r="AO794">
        <v>25.480246489623017</v>
      </c>
      <c r="AP794">
        <v>186.35576585131255</v>
      </c>
      <c r="AQ794">
        <v>32.244722659565696</v>
      </c>
      <c r="AR794">
        <v>24.088946101372514</v>
      </c>
      <c r="AS794">
        <v>161.34856825909648</v>
      </c>
      <c r="AT794">
        <v>13.713872324501205</v>
      </c>
      <c r="AU794">
        <v>-277.51991411288429</v>
      </c>
      <c r="AV794"/>
      <c r="AW794"/>
      <c r="FY794" s="210">
        <v>789</v>
      </c>
      <c r="FZ794">
        <v>7.582483848876592</v>
      </c>
      <c r="GA794">
        <v>12.602551500729454</v>
      </c>
      <c r="GB794">
        <v>1.4524821470594123</v>
      </c>
      <c r="GC794">
        <v>0.35206915999449062</v>
      </c>
      <c r="GD794">
        <v>0.76278326060372836</v>
      </c>
      <c r="GE794">
        <v>2.1218781442204948</v>
      </c>
      <c r="GF794">
        <v>1.702109998539008</v>
      </c>
      <c r="GG794">
        <v>0.60108873791572359</v>
      </c>
      <c r="GH794">
        <v>0.81723777082165783</v>
      </c>
      <c r="GI794">
        <v>4.7734274343161962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7.7020089285714279</v>
      </c>
      <c r="AO795">
        <v>20.862185733884949</v>
      </c>
      <c r="AP795">
        <v>155.64790527352039</v>
      </c>
      <c r="AQ795">
        <v>23.725192675811069</v>
      </c>
      <c r="AR795">
        <v>19.802934692474683</v>
      </c>
      <c r="AS795">
        <v>85.234978397976832</v>
      </c>
      <c r="AT795" t="e">
        <v>#DIV/0!</v>
      </c>
      <c r="AU795" t="e">
        <v>#DIV/0!</v>
      </c>
      <c r="AV795"/>
      <c r="AW795"/>
      <c r="FY795" s="210">
        <v>790</v>
      </c>
      <c r="FZ795">
        <v>5.8917640003784486</v>
      </c>
      <c r="GA795">
        <v>17.153571108057591</v>
      </c>
      <c r="GB795">
        <v>5.0119556481758565</v>
      </c>
      <c r="GC795">
        <v>0.25921100891078996</v>
      </c>
      <c r="GD795">
        <v>1.0720527747713846</v>
      </c>
      <c r="GE795">
        <v>2.4449445331921122</v>
      </c>
      <c r="GF795">
        <v>3.5289863050927961</v>
      </c>
      <c r="GG795">
        <v>2.5027439088398373</v>
      </c>
      <c r="GH795">
        <v>0</v>
      </c>
      <c r="GI795">
        <v>5.3094879133295123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11.523393732492996</v>
      </c>
      <c r="AO796">
        <v>20.056438224142795</v>
      </c>
      <c r="AP796">
        <v>154.9005296381975</v>
      </c>
      <c r="AQ796">
        <v>37.57044777125612</v>
      </c>
      <c r="AR796">
        <v>19.070792366585628</v>
      </c>
      <c r="AS796">
        <v>90.124200330078935</v>
      </c>
      <c r="AT796">
        <v>10.637415466439874</v>
      </c>
      <c r="AU796">
        <v>-99.981889386820797</v>
      </c>
      <c r="AV796"/>
      <c r="AW796"/>
      <c r="FY796" s="210">
        <v>791</v>
      </c>
      <c r="FZ796">
        <v>9.1442714785245105</v>
      </c>
      <c r="GA796">
        <v>10.337273690553594</v>
      </c>
      <c r="GB796">
        <v>2.8391248787674961</v>
      </c>
      <c r="GC796">
        <v>0.33912218967775049</v>
      </c>
      <c r="GD796">
        <v>0.38311338905180181</v>
      </c>
      <c r="GE796">
        <v>1.0212814672608841</v>
      </c>
      <c r="GF796">
        <v>5.9270995559462811</v>
      </c>
      <c r="GG796">
        <v>4.9351763492340606</v>
      </c>
      <c r="GH796">
        <v>0.23579423514790807</v>
      </c>
      <c r="GI796">
        <v>3.7067893867617085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10.202111052754434</v>
      </c>
      <c r="AO797">
        <v>19.435497689949802</v>
      </c>
      <c r="AP797">
        <v>154.92604788517176</v>
      </c>
      <c r="AQ797">
        <v>34.29856331482862</v>
      </c>
      <c r="AR797">
        <v>18.026058363738947</v>
      </c>
      <c r="AS797">
        <v>83.805115678146237</v>
      </c>
      <c r="AT797">
        <v>10.483932476455101</v>
      </c>
      <c r="AU797">
        <v>11.927108447594886</v>
      </c>
      <c r="AV797"/>
      <c r="AW797"/>
      <c r="FY797" s="210">
        <v>792</v>
      </c>
      <c r="FZ797">
        <v>4.9518955778634757</v>
      </c>
      <c r="GA797">
        <v>13.254040342429935</v>
      </c>
      <c r="GB797">
        <v>3.5112871745313363</v>
      </c>
      <c r="GC797">
        <v>1.0942075606456867</v>
      </c>
      <c r="GD797">
        <v>1.1314416557968032</v>
      </c>
      <c r="GE797">
        <v>1.217090259823761</v>
      </c>
      <c r="GF797">
        <v>2.3479992218459342</v>
      </c>
      <c r="GG797">
        <v>1.5628049455265007</v>
      </c>
      <c r="GH797">
        <v>0.17282465026292085</v>
      </c>
      <c r="GI797">
        <v>4.2510000494475095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10.125474147992529</v>
      </c>
      <c r="AO798">
        <v>9.7049165637318122</v>
      </c>
      <c r="AP798">
        <v>91.193967426142578</v>
      </c>
      <c r="AQ798">
        <v>29.075697187484966</v>
      </c>
      <c r="AR798">
        <v>9.0082530020194724</v>
      </c>
      <c r="AS798">
        <v>62.971043462277116</v>
      </c>
      <c r="AT798">
        <v>5.1157594175890404</v>
      </c>
      <c r="AU798">
        <v>30.84189010008841</v>
      </c>
      <c r="AV798"/>
      <c r="AW798"/>
      <c r="FY798" s="210">
        <v>793</v>
      </c>
      <c r="FZ798">
        <v>10.698463643600084</v>
      </c>
      <c r="GA798">
        <v>21.819642346417471</v>
      </c>
      <c r="GB798">
        <v>5.8272637674638608</v>
      </c>
      <c r="GC798">
        <v>0.40131420763970105</v>
      </c>
      <c r="GD798">
        <v>0.71025951691761668</v>
      </c>
      <c r="GE798">
        <v>1.8373665428399697</v>
      </c>
      <c r="GF798">
        <v>4.184157897137009</v>
      </c>
      <c r="GG798">
        <v>3.0552984226073874</v>
      </c>
      <c r="GH798">
        <v>0.40861888541082891</v>
      </c>
      <c r="GI798">
        <v>5.9868295564574838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9.8443700396825413</v>
      </c>
      <c r="AO799">
        <v>14.084327940971866</v>
      </c>
      <c r="AP799">
        <v>91.929269522759768</v>
      </c>
      <c r="AQ799">
        <v>26.24343275752712</v>
      </c>
      <c r="AR799">
        <v>13.057512016148301</v>
      </c>
      <c r="AS799">
        <v>71.530473575788051</v>
      </c>
      <c r="AT799" t="e">
        <v>#DIV/0!</v>
      </c>
      <c r="AU799" t="e">
        <v>#DIV/0!</v>
      </c>
      <c r="AV799"/>
      <c r="AW799"/>
      <c r="FY799" s="210">
        <v>794</v>
      </c>
      <c r="FZ799">
        <v>3.3977034127879011</v>
      </c>
      <c r="GA799">
        <v>14.732040975594169</v>
      </c>
      <c r="GB799">
        <v>5.499253794698955</v>
      </c>
      <c r="GC799">
        <v>0.31753057588811784</v>
      </c>
      <c r="GD799">
        <v>0.55824870801617865</v>
      </c>
      <c r="GE799">
        <v>2.3599318040379496</v>
      </c>
      <c r="GF799">
        <v>5.567057781377633</v>
      </c>
      <c r="GG799">
        <v>2.9269068902655246</v>
      </c>
      <c r="GH799">
        <v>0.23579423514790807</v>
      </c>
      <c r="GI799">
        <v>5.1208691356174372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9.1474235527544359</v>
      </c>
      <c r="AO800">
        <v>19.331254123439383</v>
      </c>
      <c r="AP800">
        <v>154.82582741252804</v>
      </c>
      <c r="AQ800">
        <v>31.076428118952936</v>
      </c>
      <c r="AR800">
        <v>17.993020453566945</v>
      </c>
      <c r="AS800">
        <v>81.33646901938512</v>
      </c>
      <c r="AT800">
        <v>11.14747071313518</v>
      </c>
      <c r="AU800">
        <v>-5.2879797087931557</v>
      </c>
      <c r="AV800"/>
      <c r="AW800"/>
      <c r="FY800" s="210">
        <v>795</v>
      </c>
      <c r="FZ800">
        <v>1.0277335142693396</v>
      </c>
      <c r="GA800">
        <v>12.803818253117035</v>
      </c>
      <c r="GB800">
        <v>4.3125041304137408</v>
      </c>
      <c r="GC800">
        <v>0.55998178468847559</v>
      </c>
      <c r="GD800">
        <v>0.60999831984451258</v>
      </c>
      <c r="GE800">
        <v>1.2062237035631223</v>
      </c>
      <c r="GF800">
        <v>4.1145529467567936</v>
      </c>
      <c r="GG800">
        <v>2.9269068902655246</v>
      </c>
      <c r="GH800">
        <v>0.23579423514790807</v>
      </c>
      <c r="GI800">
        <v>4.5072783859335575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9.2047152194211002</v>
      </c>
      <c r="AO801">
        <v>22.030383793246394</v>
      </c>
      <c r="AP801">
        <v>179.72547931697039</v>
      </c>
      <c r="AQ801">
        <v>31.06020866478358</v>
      </c>
      <c r="AR801">
        <v>21.325088801364409</v>
      </c>
      <c r="AS801">
        <v>93.473728413779739</v>
      </c>
      <c r="AT801">
        <v>13.125378507858132</v>
      </c>
      <c r="AU801">
        <v>-25.756567519146571</v>
      </c>
      <c r="AV801"/>
      <c r="AW801"/>
      <c r="FY801" s="210">
        <v>796</v>
      </c>
      <c r="FZ801">
        <v>7.7654291209187836</v>
      </c>
      <c r="GA801">
        <v>2.5466551583273533</v>
      </c>
      <c r="GB801">
        <v>0.42441240037115952</v>
      </c>
      <c r="GC801">
        <v>0.52497452435487957</v>
      </c>
      <c r="GD801">
        <v>0.97591890120607661</v>
      </c>
      <c r="GE801">
        <v>2.3038692386652535</v>
      </c>
      <c r="GF801">
        <v>2.5960091156078184</v>
      </c>
      <c r="GG801">
        <v>1.1168647198033732</v>
      </c>
      <c r="GH801">
        <v>0.23579423514790807</v>
      </c>
      <c r="GI801">
        <v>3.7611204954161228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10.370659722222221</v>
      </c>
      <c r="AO802">
        <v>23.378785258681802</v>
      </c>
      <c r="AP802">
        <v>172.43909454733284</v>
      </c>
      <c r="AQ802">
        <v>40.957126143062858</v>
      </c>
      <c r="AR802">
        <v>22.147065655214078</v>
      </c>
      <c r="AS802">
        <v>162.79951761904331</v>
      </c>
      <c r="AT802" t="e">
        <v>#DIV/0!</v>
      </c>
      <c r="AU802" t="e">
        <v>#DIV/0!</v>
      </c>
      <c r="AV802"/>
      <c r="AW802"/>
      <c r="FY802" s="210">
        <v>797</v>
      </c>
      <c r="FZ802">
        <v>2.718453362767483</v>
      </c>
      <c r="GA802">
        <v>9.804713182426644</v>
      </c>
      <c r="GB802">
        <v>2.1722403325025681</v>
      </c>
      <c r="GC802">
        <v>0.89292385380379846</v>
      </c>
      <c r="GD802">
        <v>1.3054792726625135</v>
      </c>
      <c r="GE802">
        <v>1.8312007082353761</v>
      </c>
      <c r="GF802">
        <v>4.3670742339817767</v>
      </c>
      <c r="GG802">
        <v>3.7480001609850739</v>
      </c>
      <c r="GH802">
        <v>0.23579423514790807</v>
      </c>
      <c r="GI802">
        <v>3.9229597682179618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10.819196428571429</v>
      </c>
      <c r="AO803">
        <v>19.073629448400879</v>
      </c>
      <c r="AP803">
        <v>138.8296597113995</v>
      </c>
      <c r="AQ803">
        <v>35.783528840953274</v>
      </c>
      <c r="AR803">
        <v>18.222243409714338</v>
      </c>
      <c r="AS803">
        <v>90.873290771955979</v>
      </c>
      <c r="AT803" t="e">
        <v>#DIV/0!</v>
      </c>
      <c r="AU803" t="e">
        <v>#DIV/0!</v>
      </c>
      <c r="AV803"/>
      <c r="AW803"/>
      <c r="FY803" s="210">
        <v>798</v>
      </c>
      <c r="FZ803">
        <v>11.717528906650156</v>
      </c>
      <c r="GA803">
        <v>14.678565062776546</v>
      </c>
      <c r="GB803">
        <v>3.7962709571363211</v>
      </c>
      <c r="GC803">
        <v>0.75197543956003399</v>
      </c>
      <c r="GD803">
        <v>0.63522014713172126</v>
      </c>
      <c r="GE803">
        <v>1.4948646997799326</v>
      </c>
      <c r="GF803">
        <v>2.9453100114138366</v>
      </c>
      <c r="GG803">
        <v>1.1168647198033732</v>
      </c>
      <c r="GH803">
        <v>0.40861888541082891</v>
      </c>
      <c r="GI803">
        <v>4.7896788012475477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9.7779820261437891</v>
      </c>
      <c r="AO804">
        <v>19.475610053550547</v>
      </c>
      <c r="AP804">
        <v>151.04759828212497</v>
      </c>
      <c r="AQ804">
        <v>17.832348699855537</v>
      </c>
      <c r="AR804">
        <v>18.510184728325374</v>
      </c>
      <c r="AS804">
        <v>76.416482305820537</v>
      </c>
      <c r="AT804" t="e">
        <v>#DIV/0!</v>
      </c>
      <c r="AU804" t="e">
        <v>#DIV/0!</v>
      </c>
      <c r="AV804"/>
      <c r="AW804"/>
      <c r="FY804" s="210">
        <v>799</v>
      </c>
      <c r="FZ804">
        <v>3.6009909423949833</v>
      </c>
      <c r="GA804">
        <v>2.3699833290724288</v>
      </c>
      <c r="GB804">
        <v>0.86523746682487879</v>
      </c>
      <c r="GC804">
        <v>0.44733221279772589</v>
      </c>
      <c r="GD804">
        <v>0.92252773440868219</v>
      </c>
      <c r="GE804">
        <v>1.8944919676621175</v>
      </c>
      <c r="GF804">
        <v>2.0860840242260084</v>
      </c>
      <c r="GG804">
        <v>1.4924934770808866</v>
      </c>
      <c r="GH804">
        <v>0.40861888541082891</v>
      </c>
      <c r="GI804">
        <v>2.9664311696421013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9.0789492880485536</v>
      </c>
      <c r="AO805">
        <v>13.555786024116671</v>
      </c>
      <c r="AP805">
        <v>93.471743070414448</v>
      </c>
      <c r="AQ805">
        <v>32.768112003076759</v>
      </c>
      <c r="AR805">
        <v>12.53822424364941</v>
      </c>
      <c r="AS805">
        <v>66.133124963120764</v>
      </c>
      <c r="AT805">
        <v>4.8865914977611382</v>
      </c>
      <c r="AU805">
        <v>21.867569760097759</v>
      </c>
      <c r="AV805"/>
      <c r="AW805"/>
      <c r="FY805" s="210">
        <v>800</v>
      </c>
      <c r="FZ805">
        <v>8.2776172386497393</v>
      </c>
      <c r="GA805">
        <v>17.780446542936883</v>
      </c>
      <c r="GB805">
        <v>5.0829671551329705</v>
      </c>
      <c r="GC805">
        <v>0.96225416560555521</v>
      </c>
      <c r="GD805">
        <v>0.92396710444213759</v>
      </c>
      <c r="GE805">
        <v>1.0362417476876185</v>
      </c>
      <c r="GF805">
        <v>3.1933450123637313</v>
      </c>
      <c r="GG805">
        <v>2.2555066839041871</v>
      </c>
      <c r="GH805">
        <v>0.17282465026292085</v>
      </c>
      <c r="GI805">
        <v>4.8180817392893793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10.790550595238093</v>
      </c>
      <c r="AO806">
        <v>19.59088678100025</v>
      </c>
      <c r="AP806">
        <v>160.6115455473188</v>
      </c>
      <c r="AQ806">
        <v>43.174717200748326</v>
      </c>
      <c r="AR806">
        <v>18.183228371469603</v>
      </c>
      <c r="AS806">
        <v>95.995987776248882</v>
      </c>
      <c r="AT806" t="e">
        <v>#DIV/0!</v>
      </c>
      <c r="AU806" t="e">
        <v>#DIV/0!</v>
      </c>
      <c r="AV806"/>
      <c r="AW806"/>
      <c r="FY806" s="210">
        <v>801</v>
      </c>
      <c r="FZ806">
        <v>4.9221220810743525</v>
      </c>
      <c r="GA806">
        <v>10.359939504259625</v>
      </c>
      <c r="GB806">
        <v>3.1043249888375497</v>
      </c>
      <c r="GC806">
        <v>0.8365405123187819</v>
      </c>
      <c r="GD806">
        <v>1.3490541498038615</v>
      </c>
      <c r="GE806">
        <v>1.96173986943709</v>
      </c>
      <c r="GF806">
        <v>0.93899453367401864</v>
      </c>
      <c r="GG806">
        <v>0.24723722493565062</v>
      </c>
      <c r="GH806">
        <v>0</v>
      </c>
      <c r="GI806">
        <v>4.1260761520936855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9.9404761904761916</v>
      </c>
      <c r="AO807">
        <v>19.844054407341343</v>
      </c>
      <c r="AP807">
        <v>164.98757385133297</v>
      </c>
      <c r="AQ807">
        <v>38.869046620925985</v>
      </c>
      <c r="AR807">
        <v>19.280211609498352</v>
      </c>
      <c r="AS807">
        <v>198.05825988456968</v>
      </c>
      <c r="AT807" t="e">
        <v>#DIV/0!</v>
      </c>
      <c r="AU807" t="e">
        <v>#DIV/0!</v>
      </c>
      <c r="AV807"/>
      <c r="AW807"/>
      <c r="FY807" s="210">
        <v>802</v>
      </c>
      <c r="FZ807">
        <v>8.7467450465685008</v>
      </c>
      <c r="GA807">
        <v>11.280784706164249</v>
      </c>
      <c r="GB807">
        <v>1.3838919365975428</v>
      </c>
      <c r="GC807">
        <v>1.101775730344718</v>
      </c>
      <c r="GD807">
        <v>0.95583165204339449</v>
      </c>
      <c r="GE807">
        <v>1.0956737054474406</v>
      </c>
      <c r="GF807">
        <v>2.7723366770819666</v>
      </c>
      <c r="GG807">
        <v>1.5628049455265007</v>
      </c>
      <c r="GH807">
        <v>0.17282465026292085</v>
      </c>
      <c r="GI807">
        <v>4.1796111313337398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9.1233660130718963</v>
      </c>
      <c r="AO808">
        <v>13.778005280113899</v>
      </c>
      <c r="AP808">
        <v>93.570972138278478</v>
      </c>
      <c r="AQ808">
        <v>33.494591438173863</v>
      </c>
      <c r="AR808">
        <v>12.809459781980749</v>
      </c>
      <c r="AS808">
        <v>66.38252970889765</v>
      </c>
      <c r="AT808">
        <v>6.8938605692581083</v>
      </c>
      <c r="AU808">
        <v>-53.918613573370585</v>
      </c>
      <c r="AV808"/>
      <c r="AW808"/>
      <c r="FY808" s="210">
        <v>803</v>
      </c>
      <c r="FZ808">
        <v>0.48501114767149078</v>
      </c>
      <c r="GA808">
        <v>14.156395146793828</v>
      </c>
      <c r="GB808">
        <v>5.7888192320039344</v>
      </c>
      <c r="GC808">
        <v>0.45413786292003655</v>
      </c>
      <c r="GD808">
        <v>0.56612065780880094</v>
      </c>
      <c r="GE808">
        <v>1.4215361314386266</v>
      </c>
      <c r="GF808">
        <v>3.9684503259137118</v>
      </c>
      <c r="GG808">
        <v>2.8565954218199106</v>
      </c>
      <c r="GH808">
        <v>0.64441312055873701</v>
      </c>
      <c r="GI808">
        <v>3.3595596753386374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11.883534663865545</v>
      </c>
      <c r="AO809">
        <v>22.094395869183902</v>
      </c>
      <c r="AP809">
        <v>201.17025691115484</v>
      </c>
      <c r="AQ809">
        <v>54.929214786491414</v>
      </c>
      <c r="AR809">
        <v>20.967613483212872</v>
      </c>
      <c r="AS809">
        <v>97.267059542929516</v>
      </c>
      <c r="AT809">
        <v>10.669680304167018</v>
      </c>
      <c r="AU809">
        <v>-0.76093689101651396</v>
      </c>
      <c r="AV809"/>
      <c r="AW809"/>
      <c r="FY809" s="210">
        <v>804</v>
      </c>
      <c r="FZ809">
        <v>7.0439708156858529</v>
      </c>
      <c r="GA809">
        <v>14.456561606109563</v>
      </c>
      <c r="GB809">
        <v>3.2752830295060988</v>
      </c>
      <c r="GC809">
        <v>0.66668545817536451</v>
      </c>
      <c r="GD809">
        <v>1.2888689309930648</v>
      </c>
      <c r="GE809">
        <v>3.0494752565991621</v>
      </c>
      <c r="GF809">
        <v>4.9934809883986269</v>
      </c>
      <c r="GG809">
        <v>2.749981133775488</v>
      </c>
      <c r="GH809">
        <v>0.17282465026292085</v>
      </c>
      <c r="GI809">
        <v>4.9932193821990811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10.45548115079365</v>
      </c>
      <c r="AO810">
        <v>16.041857285182072</v>
      </c>
      <c r="AP810">
        <v>119.35923926865186</v>
      </c>
      <c r="AQ810">
        <v>40.715337313431775</v>
      </c>
      <c r="AR810">
        <v>15.193625100020608</v>
      </c>
      <c r="AS810">
        <v>77.436935529421746</v>
      </c>
      <c r="AT810" t="e">
        <v>#DIV/0!</v>
      </c>
      <c r="AU810" t="e">
        <v>#DIV/0!</v>
      </c>
      <c r="AV810"/>
      <c r="AW810"/>
      <c r="FY810" s="210">
        <v>805</v>
      </c>
      <c r="FZ810">
        <v>0.97002229534298157</v>
      </c>
      <c r="GA810">
        <v>2.5693209720333821</v>
      </c>
      <c r="GB810">
        <v>0.82679293136495202</v>
      </c>
      <c r="GC810">
        <v>0.82273260086639266</v>
      </c>
      <c r="GD810">
        <v>0.95035824189465523</v>
      </c>
      <c r="GE810">
        <v>1.1551965631294545</v>
      </c>
      <c r="GF810">
        <v>4.6306825330864356</v>
      </c>
      <c r="GG810">
        <v>3.7597558532533468</v>
      </c>
      <c r="GH810">
        <v>0.3456493005258417</v>
      </c>
      <c r="GI810">
        <v>3.4308046651518538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7.8359374999999982</v>
      </c>
      <c r="AO811">
        <v>26.045471939587479</v>
      </c>
      <c r="AP811">
        <v>174.53589684496475</v>
      </c>
      <c r="AQ811">
        <v>32.304792164000006</v>
      </c>
      <c r="AR811">
        <v>24.196376090791411</v>
      </c>
      <c r="AS811">
        <v>252.83546268592659</v>
      </c>
      <c r="AT811" t="e">
        <v>#DIV/0!</v>
      </c>
      <c r="AU811" t="e">
        <v>#DIV/0!</v>
      </c>
      <c r="AV811"/>
      <c r="AW811"/>
      <c r="FY811" s="210">
        <v>806</v>
      </c>
      <c r="FZ811">
        <v>6.6011679232268747</v>
      </c>
      <c r="GA811">
        <v>13.903581591015254</v>
      </c>
      <c r="GB811">
        <v>4.0370298565143621</v>
      </c>
      <c r="GC811">
        <v>1.1054714490591264</v>
      </c>
      <c r="GD811">
        <v>0.86564496764631516</v>
      </c>
      <c r="GE811">
        <v>0.65371999071717113</v>
      </c>
      <c r="GF811">
        <v>2.1717999680201401</v>
      </c>
      <c r="GG811">
        <v>1.7397307020165371</v>
      </c>
      <c r="GH811">
        <v>0.58144353567374973</v>
      </c>
      <c r="GI811">
        <v>3.6972890826318485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10.532490079365081</v>
      </c>
      <c r="AO812">
        <v>19.46827619925287</v>
      </c>
      <c r="AP812">
        <v>155.21982707590706</v>
      </c>
      <c r="AQ812">
        <v>22.251047909818727</v>
      </c>
      <c r="AR812">
        <v>18.984447104853707</v>
      </c>
      <c r="AS812">
        <v>84.640094304494056</v>
      </c>
      <c r="AT812" t="e">
        <v>#DIV/0!</v>
      </c>
      <c r="AU812" t="e">
        <v>#DIV/0!</v>
      </c>
      <c r="AV812"/>
      <c r="AW812"/>
      <c r="FY812" s="210">
        <v>807</v>
      </c>
      <c r="FZ812">
        <v>1.0854447331956976</v>
      </c>
      <c r="GA812">
        <v>19.451588126771671</v>
      </c>
      <c r="GB812">
        <v>7.9116328152377351</v>
      </c>
      <c r="GC812">
        <v>0.4923721657408181</v>
      </c>
      <c r="GD812">
        <v>0.38018510756159196</v>
      </c>
      <c r="GE812">
        <v>0.26441079526343347</v>
      </c>
      <c r="GF812">
        <v>2.3221515155545336</v>
      </c>
      <c r="GG812">
        <v>2.2337294396067464</v>
      </c>
      <c r="GH812">
        <v>0.81723777082165783</v>
      </c>
      <c r="GI812">
        <v>3.7563518817877584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8.0833333333333321</v>
      </c>
      <c r="AO813">
        <v>20.02601854961285</v>
      </c>
      <c r="AP813">
        <v>184.18466717859604</v>
      </c>
      <c r="AQ813">
        <v>30.998839110731105</v>
      </c>
      <c r="AR813">
        <v>18.589368507205634</v>
      </c>
      <c r="AS813">
        <v>112.88516870160626</v>
      </c>
      <c r="AT813" t="e">
        <v>#DIV/0!</v>
      </c>
      <c r="AU813" t="e">
        <v>#DIV/0!</v>
      </c>
      <c r="AV813"/>
      <c r="AW813"/>
      <c r="FY813" s="210">
        <v>808</v>
      </c>
      <c r="FZ813">
        <v>12.426552453459696</v>
      </c>
      <c r="GA813">
        <v>24.670639380225861</v>
      </c>
      <c r="GB813">
        <v>8.1721753871507072</v>
      </c>
      <c r="GC813">
        <v>0.81029500653736186</v>
      </c>
      <c r="GD813">
        <v>1.1352544770651178</v>
      </c>
      <c r="GE813">
        <v>2.285852310431812</v>
      </c>
      <c r="GF813">
        <v>6.1853180023435428</v>
      </c>
      <c r="GG813">
        <v>4.6879391242984099</v>
      </c>
      <c r="GH813">
        <v>0.40861888541082891</v>
      </c>
      <c r="GI813">
        <v>7.5413846376794069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11.797349147992531</v>
      </c>
      <c r="AO814">
        <v>17.446529402489659</v>
      </c>
      <c r="AP814">
        <v>140.73200073922806</v>
      </c>
      <c r="AQ814">
        <v>42.334897630910305</v>
      </c>
      <c r="AR814">
        <v>17.476593626424027</v>
      </c>
      <c r="AS814">
        <v>108.14929282787588</v>
      </c>
      <c r="AT814">
        <v>7.5551984357789541</v>
      </c>
      <c r="AU814">
        <v>-37.368408355059898</v>
      </c>
      <c r="AV814"/>
      <c r="AW814"/>
      <c r="FY814" s="210">
        <v>809</v>
      </c>
      <c r="FZ814">
        <v>5.5316065297839057</v>
      </c>
      <c r="GA814">
        <v>9.0155068959883913</v>
      </c>
      <c r="GB814">
        <v>2.7368448871985032</v>
      </c>
      <c r="GC814">
        <v>0.5396809878937171</v>
      </c>
      <c r="GD814">
        <v>0.73813338023869268</v>
      </c>
      <c r="GE814">
        <v>1.4784504428417065</v>
      </c>
      <c r="GF814">
        <v>6.7846334496785259</v>
      </c>
      <c r="GG814">
        <v>5.5580423314472247</v>
      </c>
      <c r="GH814">
        <v>0.58144353567374973</v>
      </c>
      <c r="GI814">
        <v>4.9964659522101318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7.0860396241830061</v>
      </c>
      <c r="AO815">
        <v>9.2422186057464231</v>
      </c>
      <c r="AP815">
        <v>65.65166261759542</v>
      </c>
      <c r="AQ815">
        <v>17.054191209520646</v>
      </c>
      <c r="AR815">
        <v>9.1096399309349927</v>
      </c>
      <c r="AS815">
        <v>48.631780449950824</v>
      </c>
      <c r="AT815" t="e">
        <v>#DIV/0!</v>
      </c>
      <c r="AU815" t="e">
        <v>#DIV/0!</v>
      </c>
      <c r="AV815"/>
      <c r="AW815"/>
      <c r="FY815" s="210">
        <v>810</v>
      </c>
      <c r="FZ815">
        <v>6.9983139791439992</v>
      </c>
      <c r="GA815">
        <v>11.554017768910184</v>
      </c>
      <c r="GB815">
        <v>2.2780644301767423</v>
      </c>
      <c r="GC815">
        <v>0.30716523956112618</v>
      </c>
      <c r="GD815">
        <v>0.45482532023111594</v>
      </c>
      <c r="GE815">
        <v>1.033545586253958</v>
      </c>
      <c r="GF815">
        <v>4.424800877334655</v>
      </c>
      <c r="GG815">
        <v>3.9952373859207246</v>
      </c>
      <c r="GH815">
        <v>0.23579423514790807</v>
      </c>
      <c r="GI815">
        <v>4.0265030752705506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15.877582282913167</v>
      </c>
      <c r="AO816">
        <v>18.243077252199431</v>
      </c>
      <c r="AP816">
        <v>130.1609422556572</v>
      </c>
      <c r="AQ816">
        <v>44.503252040275115</v>
      </c>
      <c r="AR816">
        <v>17.367694114607502</v>
      </c>
      <c r="AS816">
        <v>152.11801543298552</v>
      </c>
      <c r="AT816">
        <v>8.6929144183181322</v>
      </c>
      <c r="AU816">
        <v>1.4232525891663079</v>
      </c>
      <c r="AV816"/>
      <c r="AW816"/>
      <c r="FY816" s="210">
        <v>811</v>
      </c>
      <c r="FZ816">
        <v>7.4376682902736375</v>
      </c>
      <c r="GA816">
        <v>18.623128742192751</v>
      </c>
      <c r="GB816">
        <v>6.2562458673544157</v>
      </c>
      <c r="GC816">
        <v>0.55847543505538932</v>
      </c>
      <c r="GD816">
        <v>0.81329953471978789</v>
      </c>
      <c r="GE816">
        <v>2.0375860841351381</v>
      </c>
      <c r="GF816">
        <v>8.8924328148600367</v>
      </c>
      <c r="GG816">
        <v>6.9434458082025969</v>
      </c>
      <c r="GH816">
        <v>0.58144353567374973</v>
      </c>
      <c r="GI816">
        <v>6.1077714979690221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7.6545138888888875</v>
      </c>
      <c r="AO817">
        <v>18.77015352014001</v>
      </c>
      <c r="AP817">
        <v>142.20039683604784</v>
      </c>
      <c r="AQ817">
        <v>27.846029016434613</v>
      </c>
      <c r="AR817">
        <v>17.845260364635706</v>
      </c>
      <c r="AS817">
        <v>73.42715891728993</v>
      </c>
      <c r="AT817" t="e">
        <v>#DIV/0!</v>
      </c>
      <c r="AU817" t="e">
        <v>#DIV/0!</v>
      </c>
      <c r="AV817"/>
      <c r="AW817"/>
      <c r="FY817" s="210">
        <v>812</v>
      </c>
      <c r="FZ817">
        <v>14.477810148591267</v>
      </c>
      <c r="GA817">
        <v>9.4575846998957314</v>
      </c>
      <c r="GB817">
        <v>1.0361955074934277</v>
      </c>
      <c r="GC817">
        <v>1.3358354392611944</v>
      </c>
      <c r="GD817">
        <v>1.320418536800843</v>
      </c>
      <c r="GE817">
        <v>1.3959665371073136</v>
      </c>
      <c r="GF817">
        <v>3.4136504115197717</v>
      </c>
      <c r="GG817">
        <v>2.6796696653298739</v>
      </c>
      <c r="GH817">
        <v>0.40861888541082891</v>
      </c>
      <c r="GI817">
        <v>4.6106982197870412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10.76002275910364</v>
      </c>
      <c r="AO818">
        <v>14.441899422040422</v>
      </c>
      <c r="AP818">
        <v>117.37705497213621</v>
      </c>
      <c r="AQ818">
        <v>33.252280181370971</v>
      </c>
      <c r="AR818">
        <v>13.814684650166789</v>
      </c>
      <c r="AS818">
        <v>74.549747362774724</v>
      </c>
      <c r="AT818">
        <v>7.8154227493445561</v>
      </c>
      <c r="AU818">
        <v>44.27615049275645</v>
      </c>
      <c r="AV818"/>
      <c r="AW818"/>
      <c r="FY818" s="210">
        <v>813</v>
      </c>
      <c r="FZ818">
        <v>7.6198528102380587</v>
      </c>
      <c r="GA818">
        <v>17.079358490960569</v>
      </c>
      <c r="GB818">
        <v>5.9434498676050458</v>
      </c>
      <c r="GC818">
        <v>1.1991905412784765</v>
      </c>
      <c r="GD818">
        <v>1.3118537209280974</v>
      </c>
      <c r="GE818">
        <v>1.6687239803424019</v>
      </c>
      <c r="GF818">
        <v>3.5734126354398068</v>
      </c>
      <c r="GG818">
        <v>2.8565954218199106</v>
      </c>
      <c r="GH818">
        <v>0.81723777082165783</v>
      </c>
      <c r="GI818">
        <v>5.8778204241404124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8.2162479575163392</v>
      </c>
      <c r="AO819">
        <v>19.535952301798126</v>
      </c>
      <c r="AP819">
        <v>147.53439528654619</v>
      </c>
      <c r="AQ819">
        <v>33.701038722267711</v>
      </c>
      <c r="AR819">
        <v>18.113886741302743</v>
      </c>
      <c r="AS819">
        <v>71.810494468283238</v>
      </c>
      <c r="AT819" t="e">
        <v>#DIV/0!</v>
      </c>
      <c r="AU819" t="e">
        <v>#DIV/0!</v>
      </c>
      <c r="AV819"/>
      <c r="AW819"/>
      <c r="FY819" s="210">
        <v>814</v>
      </c>
      <c r="FZ819">
        <v>9.2890870371274641</v>
      </c>
      <c r="GA819">
        <v>23.768284575861966</v>
      </c>
      <c r="GB819">
        <v>5.6876620500448771</v>
      </c>
      <c r="GC819">
        <v>0.65133358613908987</v>
      </c>
      <c r="GD819">
        <v>0.46457339884896032</v>
      </c>
      <c r="GE819">
        <v>1.1949263189318868</v>
      </c>
      <c r="GF819">
        <v>4.4266912253196944</v>
      </c>
      <c r="GG819">
        <v>2.5027439088398373</v>
      </c>
      <c r="GH819">
        <v>0.3456493005258417</v>
      </c>
      <c r="GI819">
        <v>5.2202423747733713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17.032964227357613</v>
      </c>
      <c r="AO820">
        <v>20.448281863151173</v>
      </c>
      <c r="AP820">
        <v>150.53622153201607</v>
      </c>
      <c r="AQ820">
        <v>42.690351251705216</v>
      </c>
      <c r="AR820">
        <v>19.018944750396471</v>
      </c>
      <c r="AS820">
        <v>121.74397798482455</v>
      </c>
      <c r="AT820">
        <v>9.9401353333228055</v>
      </c>
      <c r="AU820">
        <v>18.766449173474882</v>
      </c>
      <c r="AV820"/>
      <c r="AW820"/>
      <c r="FY820" s="210">
        <v>815</v>
      </c>
      <c r="FZ820">
        <v>5.7767219385646182</v>
      </c>
      <c r="GA820">
        <v>10.559277147220579</v>
      </c>
      <c r="GB820">
        <v>3.2752830295060988</v>
      </c>
      <c r="GC820">
        <v>0.65262440313396408</v>
      </c>
      <c r="GD820">
        <v>0.83964127003326339</v>
      </c>
      <c r="GE820">
        <v>1.3847660879594901</v>
      </c>
      <c r="GF820">
        <v>3.8723398035908727</v>
      </c>
      <c r="GG820">
        <v>3.0552984226073874</v>
      </c>
      <c r="GH820">
        <v>0.75426818593667067</v>
      </c>
      <c r="GI820">
        <v>4.3351623104393449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7.7146139705882346</v>
      </c>
      <c r="AO821">
        <v>14.510724389128876</v>
      </c>
      <c r="AP821">
        <v>94.323258468740818</v>
      </c>
      <c r="AQ821">
        <v>19.461315956649294</v>
      </c>
      <c r="AR821">
        <v>13.558112458515804</v>
      </c>
      <c r="AS821">
        <v>60.906715835847017</v>
      </c>
      <c r="AT821" t="e">
        <v>#DIV/0!</v>
      </c>
      <c r="AU821" t="e">
        <v>#DIV/0!</v>
      </c>
      <c r="AV821"/>
      <c r="AW821"/>
      <c r="FY821" s="210">
        <v>816</v>
      </c>
      <c r="FZ821">
        <v>4.222149397450158</v>
      </c>
      <c r="GA821">
        <v>18.275683062349795</v>
      </c>
      <c r="GB821">
        <v>6.3609471554186534</v>
      </c>
      <c r="GC821">
        <v>1.0227254907134065</v>
      </c>
      <c r="GD821">
        <v>1.1833870337666215</v>
      </c>
      <c r="GE821">
        <v>2.1954035236311205</v>
      </c>
      <c r="GF821">
        <v>3.2442371795649017</v>
      </c>
      <c r="GG821">
        <v>1.4924934770808866</v>
      </c>
      <c r="GH821">
        <v>0.40861888541082891</v>
      </c>
      <c r="GI821">
        <v>5.0582405150770056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11.266449288048554</v>
      </c>
      <c r="AO822">
        <v>20.104411383708726</v>
      </c>
      <c r="AP822">
        <v>149.27192046391394</v>
      </c>
      <c r="AQ822">
        <v>35.35687906652138</v>
      </c>
      <c r="AR822">
        <v>19.207793674141001</v>
      </c>
      <c r="AS822">
        <v>186.54536015200819</v>
      </c>
      <c r="AT822">
        <v>10.280744334910343</v>
      </c>
      <c r="AU822">
        <v>-7.314629454813133</v>
      </c>
      <c r="AV822"/>
      <c r="AW822"/>
      <c r="FY822" s="210">
        <v>817</v>
      </c>
      <c r="FZ822">
        <v>6.7165903610795912</v>
      </c>
      <c r="GA822">
        <v>11.334260618981871</v>
      </c>
      <c r="GB822">
        <v>3.4509079858897644</v>
      </c>
      <c r="GC822">
        <v>0.55794713763723569</v>
      </c>
      <c r="GD822">
        <v>0.27691715178037912</v>
      </c>
      <c r="GE822">
        <v>0.93555054340958244</v>
      </c>
      <c r="GF822">
        <v>4.1089648395199392</v>
      </c>
      <c r="GG822">
        <v>2.6311354411817005</v>
      </c>
      <c r="GH822">
        <v>0.3456493005258417</v>
      </c>
      <c r="GI822">
        <v>3.4339552872827888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8.2693014705882355</v>
      </c>
      <c r="AO823">
        <v>18.419686239406744</v>
      </c>
      <c r="AP823">
        <v>172.5162855942618</v>
      </c>
      <c r="AQ823">
        <v>38.71510435154164</v>
      </c>
      <c r="AR823">
        <v>17.209685788053854</v>
      </c>
      <c r="AS823">
        <v>81.742722764593694</v>
      </c>
      <c r="AT823" t="e">
        <v>#DIV/0!</v>
      </c>
      <c r="AU823" t="e">
        <v>#DIV/0!</v>
      </c>
      <c r="AV823"/>
      <c r="AW823"/>
      <c r="FY823" s="210">
        <v>818</v>
      </c>
      <c r="FZ823">
        <v>6.1738679944817427</v>
      </c>
      <c r="GA823">
        <v>9.1636149328703951</v>
      </c>
      <c r="GB823">
        <v>2.7217281303786889</v>
      </c>
      <c r="GC823">
        <v>0.33004767034563293</v>
      </c>
      <c r="GD823">
        <v>0.35300315327747928</v>
      </c>
      <c r="GE823">
        <v>1.3704180910827666</v>
      </c>
      <c r="GF823">
        <v>1.847222340077979</v>
      </c>
      <c r="GG823">
        <v>0.42416298142568709</v>
      </c>
      <c r="GH823">
        <v>0.40861888541082891</v>
      </c>
      <c r="GI823">
        <v>2.5458899198273484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17.997621965452844</v>
      </c>
      <c r="AO824">
        <v>29.113820292506563</v>
      </c>
      <c r="AP824">
        <v>237.63627989709238</v>
      </c>
      <c r="AQ824">
        <v>68.324029664602747</v>
      </c>
      <c r="AR824">
        <v>28.319971386131726</v>
      </c>
      <c r="AS824">
        <v>162.78755939852257</v>
      </c>
      <c r="AT824">
        <v>14.591133662576283</v>
      </c>
      <c r="AU824">
        <v>-155.67111565108888</v>
      </c>
      <c r="AV824"/>
      <c r="AW824"/>
      <c r="FY824" s="210">
        <v>819</v>
      </c>
      <c r="FZ824">
        <v>8.3077711114777468</v>
      </c>
      <c r="GA824">
        <v>30.563845289086558</v>
      </c>
      <c r="GB824">
        <v>10.460069447090314</v>
      </c>
      <c r="GC824">
        <v>0.36329543745713155</v>
      </c>
      <c r="GD824">
        <v>0.89049129484196188</v>
      </c>
      <c r="GE824">
        <v>1.9129753949363462</v>
      </c>
      <c r="GF824">
        <v>4.0674665827137106</v>
      </c>
      <c r="GG824">
        <v>2.9972183587111387</v>
      </c>
      <c r="GH824">
        <v>0.3456493005258417</v>
      </c>
      <c r="GI824">
        <v>7.405317370364016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14.487307422969186</v>
      </c>
      <c r="AO825">
        <v>23.557415003356237</v>
      </c>
      <c r="AP825">
        <v>169.82519988881822</v>
      </c>
      <c r="AQ825">
        <v>37.960808392954547</v>
      </c>
      <c r="AR825">
        <v>22.329387270875362</v>
      </c>
      <c r="AS825">
        <v>108.19258907497573</v>
      </c>
      <c r="AT825">
        <v>11.775452075786424</v>
      </c>
      <c r="AU825">
        <v>-63.618820651835257</v>
      </c>
      <c r="AV825"/>
      <c r="AW825"/>
      <c r="FY825" s="210">
        <v>820</v>
      </c>
      <c r="FZ825">
        <v>10.54121332657374</v>
      </c>
      <c r="GA825">
        <v>18.148311729747196</v>
      </c>
      <c r="GB825">
        <v>3.9323285684501244</v>
      </c>
      <c r="GC825">
        <v>0.40475678276509852</v>
      </c>
      <c r="GD825">
        <v>0.28806713804054107</v>
      </c>
      <c r="GE825">
        <v>0.65346501029335269</v>
      </c>
      <c r="GF825">
        <v>1.098756757594054</v>
      </c>
      <c r="GG825">
        <v>0.24723722493565062</v>
      </c>
      <c r="GH825">
        <v>0.17282465026292085</v>
      </c>
      <c r="GI825">
        <v>3.5204261709649027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9.467385912698413</v>
      </c>
      <c r="AO826">
        <v>15.195972032805091</v>
      </c>
      <c r="AP826">
        <v>139.3997698668008</v>
      </c>
      <c r="AQ826">
        <v>35.308267897950955</v>
      </c>
      <c r="AR826">
        <v>14.584648366236527</v>
      </c>
      <c r="AS826">
        <v>94.125961063087246</v>
      </c>
      <c r="AT826" t="e">
        <v>#DIV/0!</v>
      </c>
      <c r="AU826" t="e">
        <v>#DIV/0!</v>
      </c>
      <c r="AV826"/>
      <c r="AW826"/>
      <c r="FY826" s="210">
        <v>821</v>
      </c>
      <c r="FZ826">
        <v>10.15612165304112</v>
      </c>
      <c r="GA826">
        <v>7.1614967906082807</v>
      </c>
      <c r="GB826">
        <v>0.82679293136495202</v>
      </c>
      <c r="GC826">
        <v>0.21405394488841428</v>
      </c>
      <c r="GD826">
        <v>0.14605932479621922</v>
      </c>
      <c r="GE826">
        <v>0.5769888942231467</v>
      </c>
      <c r="GF826">
        <v>3.0972568291045146</v>
      </c>
      <c r="GG826">
        <v>2.3040409080523605</v>
      </c>
      <c r="GH826">
        <v>0.40861888541082891</v>
      </c>
      <c r="GI826">
        <v>2.6987308252546716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11.424683415032678</v>
      </c>
      <c r="AO827">
        <v>21.172484019984928</v>
      </c>
      <c r="AP827">
        <v>190.0428661830436</v>
      </c>
      <c r="AQ827">
        <v>58.25149761043653</v>
      </c>
      <c r="AR827">
        <v>20.499039299283119</v>
      </c>
      <c r="AS827">
        <v>134.06730733762595</v>
      </c>
      <c r="AT827">
        <v>10.80614108056713</v>
      </c>
      <c r="AU827">
        <v>-39.861191175709124</v>
      </c>
      <c r="AV827"/>
      <c r="AW827"/>
      <c r="FY827" s="210">
        <v>822</v>
      </c>
      <c r="FZ827">
        <v>10.778040860174066</v>
      </c>
      <c r="GA827">
        <v>8.0638515949721761</v>
      </c>
      <c r="GB827">
        <v>3.2066049804065431</v>
      </c>
      <c r="GC827">
        <v>0.26764011974547047</v>
      </c>
      <c r="GD827">
        <v>1.1592122698836218</v>
      </c>
      <c r="GE827">
        <v>2.6785288697248779</v>
      </c>
      <c r="GF827">
        <v>3.7909015027127211</v>
      </c>
      <c r="GG827">
        <v>3.1038326467555613</v>
      </c>
      <c r="GH827">
        <v>0.64441312055873701</v>
      </c>
      <c r="GI827">
        <v>5.5996964131087115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10.256178513071893</v>
      </c>
      <c r="AO828">
        <v>20.805991818508186</v>
      </c>
      <c r="AP828">
        <v>187.06826107112084</v>
      </c>
      <c r="AQ828">
        <v>40.136448051197299</v>
      </c>
      <c r="AR828">
        <v>20.653880477015875</v>
      </c>
      <c r="AS828">
        <v>88.839885709760992</v>
      </c>
      <c r="AT828">
        <v>13.165546338106841</v>
      </c>
      <c r="AU828">
        <v>3.5396067319890854</v>
      </c>
      <c r="AV828"/>
      <c r="AW828"/>
      <c r="FY828" s="210">
        <v>823</v>
      </c>
      <c r="FZ828">
        <v>9.2317561942399919</v>
      </c>
      <c r="GA828">
        <v>14.804007285952522</v>
      </c>
      <c r="GB828">
        <v>3.2915225959358496</v>
      </c>
      <c r="GC828">
        <v>0.99239200130915173</v>
      </c>
      <c r="GD828">
        <v>1.3124287566797657</v>
      </c>
      <c r="GE828">
        <v>2.5153223648738381</v>
      </c>
      <c r="GF828">
        <v>7.6061783800770169</v>
      </c>
      <c r="GG828">
        <v>5.4994865552698844</v>
      </c>
      <c r="GH828">
        <v>0.40861888541082891</v>
      </c>
      <c r="GI828">
        <v>5.7077352656281066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16.540258811858077</v>
      </c>
      <c r="AO829">
        <v>16.17977084210322</v>
      </c>
      <c r="AP829">
        <v>134.70823928085943</v>
      </c>
      <c r="AQ829">
        <v>47.947495663574429</v>
      </c>
      <c r="AR829">
        <v>15.906503891058875</v>
      </c>
      <c r="AS829">
        <v>99.080033430010417</v>
      </c>
      <c r="AT829">
        <v>8.1338483880962809</v>
      </c>
      <c r="AU829">
        <v>-194.0255001592422</v>
      </c>
      <c r="AV829"/>
      <c r="AW829"/>
      <c r="FY829" s="210">
        <v>824</v>
      </c>
      <c r="FZ829">
        <v>3.5428993474297403</v>
      </c>
      <c r="GA829">
        <v>17.227466527842569</v>
      </c>
      <c r="GB829">
        <v>5.7051122647222501</v>
      </c>
      <c r="GC829">
        <v>0.5869898100466161</v>
      </c>
      <c r="GD829">
        <v>0.87979143850568453</v>
      </c>
      <c r="GE829">
        <v>2.2691981858153136</v>
      </c>
      <c r="GF829">
        <v>5.3164633461845039</v>
      </c>
      <c r="GG829">
        <v>3.3723714037075605</v>
      </c>
      <c r="GH829">
        <v>0.40861888541082891</v>
      </c>
      <c r="GI829">
        <v>5.1648415692223484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14.611439367413633</v>
      </c>
      <c r="AO830">
        <v>20.554723404402996</v>
      </c>
      <c r="AP830">
        <v>177.21629636792244</v>
      </c>
      <c r="AQ830">
        <v>53.551193776412987</v>
      </c>
      <c r="AR830">
        <v>19.018237649243346</v>
      </c>
      <c r="AS830">
        <v>105.81743893653103</v>
      </c>
      <c r="AT830">
        <v>10.67193644574858</v>
      </c>
      <c r="AU830">
        <v>-45.201359724367215</v>
      </c>
      <c r="AV830"/>
      <c r="AW830"/>
      <c r="FY830" s="210">
        <v>825</v>
      </c>
      <c r="FZ830">
        <v>5.4369067255349659</v>
      </c>
      <c r="GA830">
        <v>4.7915134615358523</v>
      </c>
      <c r="GB830">
        <v>0.32558867626966093</v>
      </c>
      <c r="GC830">
        <v>1.275579646791555</v>
      </c>
      <c r="GD830">
        <v>1.4745637136021952</v>
      </c>
      <c r="GE830">
        <v>1.7868349420494158</v>
      </c>
      <c r="GF830">
        <v>3.9139496020547573</v>
      </c>
      <c r="GG830">
        <v>3.0552984226073874</v>
      </c>
      <c r="GH830">
        <v>0.58144353567374973</v>
      </c>
      <c r="GI830">
        <v>3.4058243137928033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9.3996119281045747</v>
      </c>
      <c r="AO831">
        <v>24.858915861072578</v>
      </c>
      <c r="AP831">
        <v>211.3443210972151</v>
      </c>
      <c r="AQ831">
        <v>34.505382598992284</v>
      </c>
      <c r="AR831">
        <v>23.615270419434019</v>
      </c>
      <c r="AS831">
        <v>97.158469698377104</v>
      </c>
      <c r="AT831">
        <v>13.647059251692015</v>
      </c>
      <c r="AU831">
        <v>-120.71020128773648</v>
      </c>
      <c r="AV831"/>
      <c r="AW831"/>
      <c r="FY831" s="210">
        <v>826</v>
      </c>
      <c r="FZ831">
        <v>7.6401950678029493</v>
      </c>
      <c r="GA831">
        <v>13.556453108484341</v>
      </c>
      <c r="GB831">
        <v>2.4472794498935242</v>
      </c>
      <c r="GC831">
        <v>1.193479096943272</v>
      </c>
      <c r="GD831">
        <v>1.3033277801665726</v>
      </c>
      <c r="GE831">
        <v>1.931262416339153</v>
      </c>
      <c r="GF831">
        <v>5.4689677084757218</v>
      </c>
      <c r="GG831">
        <v>3.5710744044950373</v>
      </c>
      <c r="GH831">
        <v>0</v>
      </c>
      <c r="GI831">
        <v>4.9219688418023413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13.581203314659197</v>
      </c>
      <c r="AO832">
        <v>18.781704659362799</v>
      </c>
      <c r="AP832">
        <v>140.47616768028294</v>
      </c>
      <c r="AQ832">
        <v>43.463885720463367</v>
      </c>
      <c r="AR832">
        <v>17.79429438956646</v>
      </c>
      <c r="AS832">
        <v>94.41235892880745</v>
      </c>
      <c r="AT832">
        <v>8.7980059874812735</v>
      </c>
      <c r="AU832">
        <v>-126.59959992392302</v>
      </c>
      <c r="AV832"/>
      <c r="AW832"/>
      <c r="FY832" s="210">
        <v>827</v>
      </c>
      <c r="FZ832">
        <v>9.8163064400114681</v>
      </c>
      <c r="GA832">
        <v>17.322098651906956</v>
      </c>
      <c r="GB832">
        <v>3.7788207424589482</v>
      </c>
      <c r="GC832">
        <v>0.72281565607137011</v>
      </c>
      <c r="GD832">
        <v>1.082018085566365</v>
      </c>
      <c r="GE832">
        <v>2.5437310528336723</v>
      </c>
      <c r="GF832">
        <v>2.3645394522120369</v>
      </c>
      <c r="GG832">
        <v>0.24723722493565062</v>
      </c>
      <c r="GH832">
        <v>0.17282465026292085</v>
      </c>
      <c r="GI832">
        <v>5.0802223848034824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10.216970121381886</v>
      </c>
      <c r="AO833">
        <v>11.232694424025135</v>
      </c>
      <c r="AP833">
        <v>91.571172610684158</v>
      </c>
      <c r="AQ833">
        <v>33.791878667288692</v>
      </c>
      <c r="AR833">
        <v>10.939847621708532</v>
      </c>
      <c r="AS833">
        <v>61.365450492731867</v>
      </c>
      <c r="AT833">
        <v>5.8059687705461167</v>
      </c>
      <c r="AU833">
        <v>-64.466313573227765</v>
      </c>
      <c r="AV833"/>
      <c r="AW833"/>
      <c r="FY833" s="210">
        <v>828</v>
      </c>
      <c r="FZ833">
        <v>5.6888568468102516</v>
      </c>
      <c r="GA833">
        <v>9.1636149328703951</v>
      </c>
      <c r="GB833">
        <v>2.5833370612073274</v>
      </c>
      <c r="GC833">
        <v>0.5146091880278878</v>
      </c>
      <c r="GD833">
        <v>0.8347643616718442</v>
      </c>
      <c r="GE833">
        <v>2.1927220697451077</v>
      </c>
      <c r="GF833">
        <v>5.3018134638034393</v>
      </c>
      <c r="GG833">
        <v>3.5492971601975971</v>
      </c>
      <c r="GH833">
        <v>0.99006242108457876</v>
      </c>
      <c r="GI833">
        <v>4.1601533648667646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8.0588818860877662</v>
      </c>
      <c r="AO834">
        <v>16.19139154285557</v>
      </c>
      <c r="AP834">
        <v>141.57167739463395</v>
      </c>
      <c r="AQ834">
        <v>25.338574099178551</v>
      </c>
      <c r="AR834">
        <v>15.460023953278428</v>
      </c>
      <c r="AS834">
        <v>236.49945469152556</v>
      </c>
      <c r="AT834">
        <v>8.4738753850042414</v>
      </c>
      <c r="AU834">
        <v>-45.20224437254943</v>
      </c>
      <c r="AV834"/>
      <c r="AW834"/>
      <c r="FY834" s="210">
        <v>829</v>
      </c>
      <c r="FZ834">
        <v>7.4953795091999957</v>
      </c>
      <c r="GA834">
        <v>24.117659365131551</v>
      </c>
      <c r="GB834">
        <v>8.7943204967399868</v>
      </c>
      <c r="GC834">
        <v>0.65262440313396408</v>
      </c>
      <c r="GD834">
        <v>0.38383842696948262</v>
      </c>
      <c r="GE834">
        <v>0.97730776331660785</v>
      </c>
      <c r="GF834">
        <v>3.811348135689749</v>
      </c>
      <c r="GG834">
        <v>2.4324324403942232</v>
      </c>
      <c r="GH834">
        <v>0.40861888541082891</v>
      </c>
      <c r="GI834">
        <v>5.1669935317546258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16.407446311858077</v>
      </c>
      <c r="AO835">
        <v>20.84023148522013</v>
      </c>
      <c r="AP835">
        <v>188.53318615592156</v>
      </c>
      <c r="AQ835">
        <v>67.314099587204765</v>
      </c>
      <c r="AR835">
        <v>19.87571625881689</v>
      </c>
      <c r="AS835">
        <v>107.99115978698021</v>
      </c>
      <c r="AT835">
        <v>10.260761299617259</v>
      </c>
      <c r="AU835">
        <v>-25.168597472266846</v>
      </c>
      <c r="AV835"/>
      <c r="AW835"/>
      <c r="FY835" s="210">
        <v>830</v>
      </c>
      <c r="FZ835">
        <v>5.4071332287458427</v>
      </c>
      <c r="GA835">
        <v>7.0360545674323074</v>
      </c>
      <c r="GB835">
        <v>1.4999901981010417</v>
      </c>
      <c r="GC835">
        <v>0.4641904344670868</v>
      </c>
      <c r="GD835">
        <v>0.63971513660745782</v>
      </c>
      <c r="GE835">
        <v>1.5615584873593926</v>
      </c>
      <c r="GF835">
        <v>1.4105748511401901</v>
      </c>
      <c r="GG835">
        <v>0.24723722493565062</v>
      </c>
      <c r="GH835">
        <v>0.3456493005258417</v>
      </c>
      <c r="GI835">
        <v>3.4421281293029802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10.975052521008404</v>
      </c>
      <c r="AO836">
        <v>21.439082031879291</v>
      </c>
      <c r="AP836">
        <v>185.78093041314244</v>
      </c>
      <c r="AQ836">
        <v>39.007387359627579</v>
      </c>
      <c r="AR836">
        <v>20.415941987558487</v>
      </c>
      <c r="AS836">
        <v>206.68839016406744</v>
      </c>
      <c r="AT836">
        <v>11.233914600032533</v>
      </c>
      <c r="AU836">
        <v>-64.58905007483385</v>
      </c>
      <c r="AV836"/>
      <c r="AW836"/>
      <c r="FY836" s="210">
        <v>831</v>
      </c>
      <c r="FZ836">
        <v>7.9226794379451286</v>
      </c>
      <c r="GA836">
        <v>10.559277147220579</v>
      </c>
      <c r="GB836">
        <v>3.3065515141179773</v>
      </c>
      <c r="GC836">
        <v>0.5444143800139889</v>
      </c>
      <c r="GD836">
        <v>1.4336207518508142</v>
      </c>
      <c r="GE836">
        <v>3.2607164589928805</v>
      </c>
      <c r="GF836">
        <v>3.9418105948476558</v>
      </c>
      <c r="GG836">
        <v>2.2555066839041871</v>
      </c>
      <c r="GH836">
        <v>0</v>
      </c>
      <c r="GI836">
        <v>5.4027240650290071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4.6224979575163401</v>
      </c>
      <c r="AO837">
        <v>17.02577865047477</v>
      </c>
      <c r="AP837">
        <v>136.54658250479247</v>
      </c>
      <c r="AQ837">
        <v>27.590160986744507</v>
      </c>
      <c r="AR837">
        <v>16.732649360921538</v>
      </c>
      <c r="AS837">
        <v>110.58969744827742</v>
      </c>
      <c r="AT837">
        <v>8.8980944425642949</v>
      </c>
      <c r="AU837">
        <v>-1.9233473485651427</v>
      </c>
      <c r="AV837"/>
      <c r="AW837"/>
      <c r="FY837" s="210">
        <v>832</v>
      </c>
      <c r="FZ837">
        <v>8.2047834320484228</v>
      </c>
      <c r="GA837">
        <v>13.757719860871923</v>
      </c>
      <c r="GB837">
        <v>5.6725452932250624</v>
      </c>
      <c r="GC837">
        <v>0.98040320426979033</v>
      </c>
      <c r="GD837">
        <v>0.9549783783333049</v>
      </c>
      <c r="GE837">
        <v>1.5154172973901627</v>
      </c>
      <c r="GF837">
        <v>1.4214179223340162</v>
      </c>
      <c r="GG837">
        <v>0.53077726947010961</v>
      </c>
      <c r="GH837">
        <v>1.0530320059695661</v>
      </c>
      <c r="GI837">
        <v>4.7074196351331574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9.4688521241830053</v>
      </c>
      <c r="AO838">
        <v>21.041572424390402</v>
      </c>
      <c r="AP838">
        <v>178.34896968015909</v>
      </c>
      <c r="AQ838">
        <v>39.292722378042484</v>
      </c>
      <c r="AR838">
        <v>21.36266860546473</v>
      </c>
      <c r="AS838">
        <v>87.605975689158271</v>
      </c>
      <c r="AT838" t="e">
        <v>#DIV/0!</v>
      </c>
      <c r="AU838" t="e">
        <v>#DIV/0!</v>
      </c>
      <c r="AV838"/>
      <c r="AW838"/>
      <c r="FY838" s="210">
        <v>833</v>
      </c>
      <c r="FZ838">
        <v>4.5706328616990799</v>
      </c>
      <c r="GA838">
        <v>14.102919233976206</v>
      </c>
      <c r="GB838">
        <v>4.0485146685913094</v>
      </c>
      <c r="GC838">
        <v>0.44410517031054031</v>
      </c>
      <c r="GD838">
        <v>0.55512611148169344</v>
      </c>
      <c r="GE838">
        <v>1.1457133684104024</v>
      </c>
      <c r="GF838">
        <v>2.1867700354179687</v>
      </c>
      <c r="GG838">
        <v>1.4924934770808866</v>
      </c>
      <c r="GH838">
        <v>0.23579423514790807</v>
      </c>
      <c r="GI838">
        <v>4.1570574386273478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15.167140814659197</v>
      </c>
      <c r="AO839">
        <v>15.37779904696761</v>
      </c>
      <c r="AP839">
        <v>131.87428961468729</v>
      </c>
      <c r="AQ839">
        <v>51.369448285376961</v>
      </c>
      <c r="AR839">
        <v>14.686198147911144</v>
      </c>
      <c r="AS839">
        <v>99.97407994138095</v>
      </c>
      <c r="AT839">
        <v>7.4073670370988225</v>
      </c>
      <c r="AU839">
        <v>23.267060770446001</v>
      </c>
      <c r="AV839"/>
      <c r="AW839"/>
      <c r="FY839" s="210">
        <v>834</v>
      </c>
      <c r="FZ839">
        <v>4.910067698689847</v>
      </c>
      <c r="GA839">
        <v>8.9846967968768006</v>
      </c>
      <c r="GB839">
        <v>1.314091077888051</v>
      </c>
      <c r="GC839">
        <v>0.70362894400127185</v>
      </c>
      <c r="GD839">
        <v>0.93551195288168132</v>
      </c>
      <c r="GE839">
        <v>1.6491768832229234</v>
      </c>
      <c r="GF839">
        <v>2.8167630074289782</v>
      </c>
      <c r="GG839">
        <v>1.5628049455265007</v>
      </c>
      <c r="GH839">
        <v>0.69129860105168339</v>
      </c>
      <c r="GI839">
        <v>3.3746190000308913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12.087527719421102</v>
      </c>
      <c r="AO840">
        <v>18.504931724331591</v>
      </c>
      <c r="AP840">
        <v>164.40086103223689</v>
      </c>
      <c r="AQ840">
        <v>44.473752778887416</v>
      </c>
      <c r="AR840">
        <v>17.125156834860753</v>
      </c>
      <c r="AS840">
        <v>94.277759026691271</v>
      </c>
      <c r="AT840">
        <v>8.4775826208879579</v>
      </c>
      <c r="AU840">
        <v>4.7764024156419502</v>
      </c>
      <c r="AV840"/>
      <c r="AW840"/>
      <c r="FY840" s="210">
        <v>835</v>
      </c>
      <c r="FZ840">
        <v>6.0743288963817541</v>
      </c>
      <c r="GA840">
        <v>8.8161692530274394</v>
      </c>
      <c r="GB840">
        <v>2.650716623421574</v>
      </c>
      <c r="GC840">
        <v>0.8838493344716809</v>
      </c>
      <c r="GD840">
        <v>1.8055596077065115</v>
      </c>
      <c r="GE840">
        <v>3.123788177124454</v>
      </c>
      <c r="GF840">
        <v>3.3499987099225748</v>
      </c>
      <c r="GG840">
        <v>2.3040409080523605</v>
      </c>
      <c r="GH840">
        <v>0.58144353567374973</v>
      </c>
      <c r="GI840">
        <v>4.8760817510038477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9.8057598039215677</v>
      </c>
      <c r="AO841">
        <v>17.381501937496282</v>
      </c>
      <c r="AP841">
        <v>134.92074030721514</v>
      </c>
      <c r="AQ841">
        <v>26.047503039912339</v>
      </c>
      <c r="AR841">
        <v>16.20024503600623</v>
      </c>
      <c r="AS841">
        <v>71.15708230278355</v>
      </c>
      <c r="AT841">
        <v>9.5426912270232993</v>
      </c>
      <c r="AU841">
        <v>-26.947517284274291</v>
      </c>
      <c r="AV841"/>
      <c r="AW841"/>
      <c r="FY841" s="210">
        <v>836</v>
      </c>
      <c r="FZ841">
        <v>8.7467450465685008</v>
      </c>
      <c r="GA841">
        <v>6.5408180480193918</v>
      </c>
      <c r="GB841">
        <v>0.26054257191297231</v>
      </c>
      <c r="GC841">
        <v>0.64161365830953532</v>
      </c>
      <c r="GD841">
        <v>0.63171991871933852</v>
      </c>
      <c r="GE841">
        <v>1.6882530544418348</v>
      </c>
      <c r="GF841">
        <v>8.9515090275881128</v>
      </c>
      <c r="GG841">
        <v>7.2972973211826702</v>
      </c>
      <c r="GH841">
        <v>0.88020735570664521</v>
      </c>
      <c r="GI841">
        <v>4.042104030563987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11.654265873015873</v>
      </c>
      <c r="AO842">
        <v>25.660818959790326</v>
      </c>
      <c r="AP842">
        <v>231.4521825451867</v>
      </c>
      <c r="AQ842">
        <v>42.03400787440291</v>
      </c>
      <c r="AR842">
        <v>23.721375881997655</v>
      </c>
      <c r="AS842">
        <v>101.93018448364766</v>
      </c>
      <c r="AT842" t="e">
        <v>#DIV/0!</v>
      </c>
      <c r="AU842" t="e">
        <v>#DIV/0!</v>
      </c>
      <c r="AV842"/>
      <c r="AW842"/>
      <c r="FY842" s="210">
        <v>837</v>
      </c>
      <c r="FZ842">
        <v>3.8038980959631807</v>
      </c>
      <c r="GA842">
        <v>10.559277147220579</v>
      </c>
      <c r="GB842">
        <v>3.2752830295060988</v>
      </c>
      <c r="GC842">
        <v>0.55912084355282643</v>
      </c>
      <c r="GD842">
        <v>0.76824361601301505</v>
      </c>
      <c r="GE842">
        <v>0.87610347290421386</v>
      </c>
      <c r="GF842">
        <v>2.7882329283778828</v>
      </c>
      <c r="GG842">
        <v>3.1619127106518099</v>
      </c>
      <c r="GH842">
        <v>0.88020735570664521</v>
      </c>
      <c r="GI842">
        <v>4.1324634425250206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9.7353451797385624</v>
      </c>
      <c r="AO843">
        <v>20.68881452128117</v>
      </c>
      <c r="AP843">
        <v>185.99116562055286</v>
      </c>
      <c r="AQ843">
        <v>43.130614341062866</v>
      </c>
      <c r="AR843">
        <v>19.607762845523716</v>
      </c>
      <c r="AS843">
        <v>85.113528245803835</v>
      </c>
      <c r="AT843">
        <v>12.109941412513836</v>
      </c>
      <c r="AU843">
        <v>-83.795358084997616</v>
      </c>
      <c r="AV843"/>
      <c r="AW843"/>
      <c r="FY843" s="210">
        <v>838</v>
      </c>
      <c r="FZ843">
        <v>4.8225829829743656</v>
      </c>
      <c r="GA843">
        <v>13.735054047165892</v>
      </c>
      <c r="GB843">
        <v>5.2527145475538966</v>
      </c>
      <c r="GC843">
        <v>0.25013648957867241</v>
      </c>
      <c r="GD843">
        <v>1.0052859629916919</v>
      </c>
      <c r="GE843">
        <v>3.5530029763274023</v>
      </c>
      <c r="GF843">
        <v>5.3719310022547955</v>
      </c>
      <c r="GG843">
        <v>3.1619127106518099</v>
      </c>
      <c r="GH843">
        <v>0.70738270544372439</v>
      </c>
      <c r="GI843">
        <v>4.7140245919280597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10.763947245564893</v>
      </c>
      <c r="AO844">
        <v>15.6783312260367</v>
      </c>
      <c r="AP844">
        <v>119.71391288849058</v>
      </c>
      <c r="AQ844">
        <v>34.979230870285193</v>
      </c>
      <c r="AR844">
        <v>14.953125585031723</v>
      </c>
      <c r="AS844">
        <v>130.76772623642958</v>
      </c>
      <c r="AT844">
        <v>6.290073482007414</v>
      </c>
      <c r="AU844">
        <v>-49.046149781525649</v>
      </c>
      <c r="AV844"/>
      <c r="AW844"/>
      <c r="FY844" s="210">
        <v>839</v>
      </c>
      <c r="FZ844">
        <v>10.056582554941134</v>
      </c>
      <c r="GA844">
        <v>8.9846967968768006</v>
      </c>
      <c r="GB844">
        <v>1.3303306443178016</v>
      </c>
      <c r="GC844">
        <v>0.61589644994626891</v>
      </c>
      <c r="GD844">
        <v>0.89023880992697757</v>
      </c>
      <c r="GE844">
        <v>1.5829344819387026</v>
      </c>
      <c r="GF844">
        <v>2.3318823769569397</v>
      </c>
      <c r="GG844">
        <v>1.4924934770808866</v>
      </c>
      <c r="GH844">
        <v>0.58144353567374973</v>
      </c>
      <c r="GI844">
        <v>4.0001120511912864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9.3299632352941178</v>
      </c>
      <c r="AO845">
        <v>19.627793847412782</v>
      </c>
      <c r="AP845">
        <v>186.75003795487842</v>
      </c>
      <c r="AQ845">
        <v>54.240522957741021</v>
      </c>
      <c r="AR845">
        <v>19.071098849949436</v>
      </c>
      <c r="AS845">
        <v>116.1880752163903</v>
      </c>
      <c r="AT845">
        <v>9.5329792894712941</v>
      </c>
      <c r="AU845">
        <v>-84.607409774173391</v>
      </c>
      <c r="AV845"/>
      <c r="AW845"/>
      <c r="FY845" s="210">
        <v>840</v>
      </c>
      <c r="FZ845">
        <v>0.173133656779074</v>
      </c>
      <c r="GA845">
        <v>2.7686586149943353</v>
      </c>
      <c r="GB845">
        <v>1.1373526894524848</v>
      </c>
      <c r="GC845">
        <v>0.75197543956003399</v>
      </c>
      <c r="GD845">
        <v>0.78742098406964933</v>
      </c>
      <c r="GE845">
        <v>1.2181686372166591</v>
      </c>
      <c r="GF845">
        <v>4.5016636893436868</v>
      </c>
      <c r="GG845">
        <v>4.1018516739651467</v>
      </c>
      <c r="GH845">
        <v>0.70738270544372439</v>
      </c>
      <c r="GI845">
        <v>2.1743871896600901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8.1356209150326801</v>
      </c>
      <c r="AO846">
        <v>17.957028571731591</v>
      </c>
      <c r="AP846">
        <v>133.91826565584378</v>
      </c>
      <c r="AQ846">
        <v>22.05423155861779</v>
      </c>
      <c r="AR846">
        <v>17.148324755686641</v>
      </c>
      <c r="AS846">
        <v>177.29503723681464</v>
      </c>
      <c r="AT846">
        <v>10.039361182317686</v>
      </c>
      <c r="AU846">
        <v>-163.64016771941047</v>
      </c>
      <c r="AV846"/>
      <c r="AW846"/>
      <c r="FY846" s="210">
        <v>841</v>
      </c>
      <c r="FZ846">
        <v>2.8338758006201989</v>
      </c>
      <c r="GA846">
        <v>7.9899561751871957</v>
      </c>
      <c r="GB846">
        <v>2.4984194456780209</v>
      </c>
      <c r="GC846">
        <v>0.8358951038213448</v>
      </c>
      <c r="GD846">
        <v>1.1062781771543886</v>
      </c>
      <c r="GE846">
        <v>1.9187863735312134</v>
      </c>
      <c r="GF846">
        <v>5.6699804407885566</v>
      </c>
      <c r="GG846">
        <v>4.2424746108563749</v>
      </c>
      <c r="GH846">
        <v>0.23579423514790807</v>
      </c>
      <c r="GI846">
        <v>4.1729857245229489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8.9774305555555554</v>
      </c>
      <c r="AO847">
        <v>15.610961719574757</v>
      </c>
      <c r="AP847">
        <v>117.55475623871951</v>
      </c>
      <c r="AQ847">
        <v>38.627301033922222</v>
      </c>
      <c r="AR847">
        <v>15.361136326738126</v>
      </c>
      <c r="AS847">
        <v>75.80563895824254</v>
      </c>
      <c r="AT847" t="e">
        <v>#DIV/0!</v>
      </c>
      <c r="AU847" t="e">
        <v>#DIV/0!</v>
      </c>
      <c r="AV847"/>
      <c r="AW847"/>
      <c r="FY847" s="210">
        <v>842</v>
      </c>
      <c r="FZ847">
        <v>7.4256139078891312</v>
      </c>
      <c r="GA847">
        <v>23.895655908464565</v>
      </c>
      <c r="GB847">
        <v>8.2534610579371464</v>
      </c>
      <c r="GC847">
        <v>0.30153329535440609</v>
      </c>
      <c r="GD847">
        <v>0.2872138643304516</v>
      </c>
      <c r="GE847">
        <v>0.87214723575388209</v>
      </c>
      <c r="GF847">
        <v>2.6836405145749991</v>
      </c>
      <c r="GG847">
        <v>1.9869679269521878</v>
      </c>
      <c r="GH847">
        <v>0.75426818593667067</v>
      </c>
      <c r="GI847">
        <v>5.860325660449015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9.3005514705882355</v>
      </c>
      <c r="AO848">
        <v>18.148677081598173</v>
      </c>
      <c r="AP848">
        <v>150.63695484407225</v>
      </c>
      <c r="AQ848">
        <v>38.798494299045508</v>
      </c>
      <c r="AR848">
        <v>18.20559766600396</v>
      </c>
      <c r="AS848">
        <v>83.810682855915019</v>
      </c>
      <c r="AT848" t="e">
        <v>#DIV/0!</v>
      </c>
      <c r="AU848" t="e">
        <v>#DIV/0!</v>
      </c>
      <c r="AV848"/>
      <c r="AW848"/>
      <c r="FY848" s="210">
        <v>843</v>
      </c>
      <c r="FZ848">
        <v>5.2197290388914892</v>
      </c>
      <c r="GA848">
        <v>14.310699875966232</v>
      </c>
      <c r="GB848">
        <v>4.9643597584965402</v>
      </c>
      <c r="GC848">
        <v>0.29439500151459985</v>
      </c>
      <c r="GD848">
        <v>0.45253786133569368</v>
      </c>
      <c r="GE848">
        <v>1.2182328421323776</v>
      </c>
      <c r="GF848">
        <v>5.6329461311937923</v>
      </c>
      <c r="GG848">
        <v>4.6181033681338892</v>
      </c>
      <c r="GH848">
        <v>0.58144353567374973</v>
      </c>
      <c r="GI848">
        <v>4.1668255242979342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9.0483630952380931</v>
      </c>
      <c r="AO849">
        <v>17.481710324580511</v>
      </c>
      <c r="AP849">
        <v>135.63873965403602</v>
      </c>
      <c r="AQ849">
        <v>32.939126600743336</v>
      </c>
      <c r="AR849">
        <v>16.318462307680292</v>
      </c>
      <c r="AS849">
        <v>75.019823067951194</v>
      </c>
      <c r="AT849" t="e">
        <v>#DIV/0!</v>
      </c>
      <c r="AU849" t="e">
        <v>#DIV/0!</v>
      </c>
      <c r="AV849"/>
      <c r="AW849"/>
      <c r="FY849" s="210">
        <v>844</v>
      </c>
      <c r="FZ849">
        <v>7.5410363457418477</v>
      </c>
      <c r="GA849">
        <v>10.337273690553594</v>
      </c>
      <c r="GB849">
        <v>2.7356342389508805</v>
      </c>
      <c r="GC849">
        <v>0.30497587047980368</v>
      </c>
      <c r="GD849">
        <v>0.68087003205318974</v>
      </c>
      <c r="GE849">
        <v>1.5388818655310601</v>
      </c>
      <c r="GF849">
        <v>3.0192818073040639</v>
      </c>
      <c r="GG849">
        <v>2.4111309083778751</v>
      </c>
      <c r="GH849">
        <v>0.64441312055873701</v>
      </c>
      <c r="GI849">
        <v>4.4073250580338525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12.41484302054155</v>
      </c>
      <c r="AO850">
        <v>11.628542566628372</v>
      </c>
      <c r="AP850">
        <v>98.120472942502488</v>
      </c>
      <c r="AQ850">
        <v>26.942658907598631</v>
      </c>
      <c r="AR850">
        <v>10.891855051791175</v>
      </c>
      <c r="AS850">
        <v>62.324048481864203</v>
      </c>
      <c r="AT850">
        <v>7.1402141700043211</v>
      </c>
      <c r="AU850">
        <v>-147.44409603023695</v>
      </c>
      <c r="AV850"/>
      <c r="AW850"/>
      <c r="FY850" s="210">
        <v>845</v>
      </c>
      <c r="FZ850">
        <v>5.8344331574909756</v>
      </c>
      <c r="GA850">
        <v>2.6947631952093558</v>
      </c>
      <c r="GB850">
        <v>0.34070543308947543</v>
      </c>
      <c r="GC850">
        <v>0.1639479561075548</v>
      </c>
      <c r="GD850">
        <v>0.50470210921493441</v>
      </c>
      <c r="GE850">
        <v>1.8199675285198591</v>
      </c>
      <c r="GF850">
        <v>8.5536548052310817</v>
      </c>
      <c r="GG850">
        <v>6.9434458082025969</v>
      </c>
      <c r="GH850">
        <v>0.40861888541082891</v>
      </c>
      <c r="GI850">
        <v>3.8587929794072489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16.617515756302517</v>
      </c>
      <c r="AO851">
        <v>23.766321884787203</v>
      </c>
      <c r="AP851">
        <v>187.00936052394525</v>
      </c>
      <c r="AQ851">
        <v>34.465976796785945</v>
      </c>
      <c r="AR851">
        <v>22.583209997433038</v>
      </c>
      <c r="AS851">
        <v>113.49222543901516</v>
      </c>
      <c r="AT851">
        <v>13.115586115803985</v>
      </c>
      <c r="AU851">
        <v>-73.126153392547991</v>
      </c>
      <c r="AV851"/>
      <c r="AW851"/>
      <c r="FY851" s="210">
        <v>846</v>
      </c>
      <c r="FZ851">
        <v>7.1555642961703434</v>
      </c>
      <c r="GA851">
        <v>4.7915134615358523</v>
      </c>
      <c r="GB851">
        <v>0.37914996854940219</v>
      </c>
      <c r="GC851">
        <v>0.68113877812519097</v>
      </c>
      <c r="GD851">
        <v>0.80974990416836357</v>
      </c>
      <c r="GE851">
        <v>2.0076803630548605</v>
      </c>
      <c r="GF851">
        <v>4.2466851603066624</v>
      </c>
      <c r="GG851">
        <v>2.9632097098643326</v>
      </c>
      <c r="GH851">
        <v>0.94317694059163226</v>
      </c>
      <c r="GI851">
        <v>3.2570480286786863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11.829467203548086</v>
      </c>
      <c r="AO852">
        <v>15.107658042778331</v>
      </c>
      <c r="AP852">
        <v>140.69566989573741</v>
      </c>
      <c r="AQ852">
        <v>39.680810033012989</v>
      </c>
      <c r="AR852">
        <v>14.396541348642369</v>
      </c>
      <c r="AS852">
        <v>93.098280311612697</v>
      </c>
      <c r="AT852" t="e">
        <v>#DIV/0!</v>
      </c>
      <c r="AU852" t="e">
        <v>#DIV/0!</v>
      </c>
      <c r="AV852"/>
      <c r="AW852"/>
      <c r="FY852" s="210">
        <v>847</v>
      </c>
      <c r="FZ852">
        <v>8.4646410524652076</v>
      </c>
      <c r="GA852">
        <v>11.406226929340225</v>
      </c>
      <c r="GB852">
        <v>1.1047857179552973</v>
      </c>
      <c r="GC852">
        <v>0.80427079742221586</v>
      </c>
      <c r="GD852">
        <v>1.7860455394120001</v>
      </c>
      <c r="GE852">
        <v>3.412944764552222</v>
      </c>
      <c r="GF852">
        <v>2.2989974026298015</v>
      </c>
      <c r="GG852">
        <v>1.5410277012290603</v>
      </c>
      <c r="GH852">
        <v>0.47158847029581613</v>
      </c>
      <c r="GI852">
        <v>5.348481668448942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7.5877757352941178</v>
      </c>
      <c r="AO853">
        <v>12.208820471451229</v>
      </c>
      <c r="AP853">
        <v>81.397704159526612</v>
      </c>
      <c r="AQ853">
        <v>30.804742642421274</v>
      </c>
      <c r="AR853">
        <v>11.491523427953922</v>
      </c>
      <c r="AS853">
        <v>60.238791898251783</v>
      </c>
      <c r="AT853">
        <v>4.817395802248936</v>
      </c>
      <c r="AU853">
        <v>-16.615117331837389</v>
      </c>
      <c r="AV853"/>
      <c r="AW853"/>
      <c r="FY853" s="210">
        <v>848</v>
      </c>
      <c r="FZ853">
        <v>6.6584987661143487</v>
      </c>
      <c r="GA853">
        <v>18.127892222779838</v>
      </c>
      <c r="GB853">
        <v>5.0829671551329705</v>
      </c>
      <c r="GC853">
        <v>0.1250682447893362</v>
      </c>
      <c r="GD853">
        <v>0.47047361800243498</v>
      </c>
      <c r="GE853">
        <v>1.5623671767808247</v>
      </c>
      <c r="GF853">
        <v>3.3202222619566277</v>
      </c>
      <c r="GG853">
        <v>2.3040409080523605</v>
      </c>
      <c r="GH853">
        <v>0.40861888541082891</v>
      </c>
      <c r="GI853">
        <v>5.2981706251445777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13.425719246031743</v>
      </c>
      <c r="AO854">
        <v>19.236364427198357</v>
      </c>
      <c r="AP854">
        <v>146.42694028704858</v>
      </c>
      <c r="AQ854">
        <v>42.574028016870315</v>
      </c>
      <c r="AR854">
        <v>18.214809903546218</v>
      </c>
      <c r="AS854">
        <v>147.27435378987073</v>
      </c>
      <c r="AT854" t="e">
        <v>#DIV/0!</v>
      </c>
      <c r="AU854" t="e">
        <v>#DIV/0!</v>
      </c>
      <c r="AV854"/>
      <c r="AW854"/>
      <c r="FY854" s="210">
        <v>849</v>
      </c>
      <c r="FZ854">
        <v>5.1043066010387736</v>
      </c>
      <c r="GA854">
        <v>5.2929466732391681</v>
      </c>
      <c r="GB854">
        <v>0.84536595565226103</v>
      </c>
      <c r="GC854">
        <v>1.0270666179252521</v>
      </c>
      <c r="GD854">
        <v>0.87046583792336096</v>
      </c>
      <c r="GE854">
        <v>0.57886125348982886</v>
      </c>
      <c r="GF854">
        <v>2.1452717786117397</v>
      </c>
      <c r="GG854">
        <v>1.6816506381202889</v>
      </c>
      <c r="GH854">
        <v>0.17282465026292085</v>
      </c>
      <c r="GI854">
        <v>2.8959377363942478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9.9155068277310914</v>
      </c>
      <c r="AO855">
        <v>17.356794760735486</v>
      </c>
      <c r="AP855">
        <v>137.64638230950126</v>
      </c>
      <c r="AQ855">
        <v>31.866611178850551</v>
      </c>
      <c r="AR855">
        <v>17.092834123770835</v>
      </c>
      <c r="AS855">
        <v>100.35900771743334</v>
      </c>
      <c r="AT855">
        <v>8.5263929594274952</v>
      </c>
      <c r="AU855">
        <v>6.3251552389695762</v>
      </c>
      <c r="AV855"/>
      <c r="AW855"/>
      <c r="FY855" s="210">
        <v>850</v>
      </c>
      <c r="FZ855">
        <v>9.6590561229851239</v>
      </c>
      <c r="GA855">
        <v>9.3094766630137276</v>
      </c>
      <c r="GB855">
        <v>0.91171054689425834</v>
      </c>
      <c r="GC855">
        <v>0.23998668588989275</v>
      </c>
      <c r="GD855">
        <v>0.88746410555711974</v>
      </c>
      <c r="GE855">
        <v>2.4214264913746546</v>
      </c>
      <c r="GF855">
        <v>2.6670751770208856</v>
      </c>
      <c r="GG855">
        <v>1.1871761882489873</v>
      </c>
      <c r="GH855">
        <v>0.17282465026292085</v>
      </c>
      <c r="GI855">
        <v>3.9614234794948944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7.9314236111111116</v>
      </c>
      <c r="AO856">
        <v>14.304080375900195</v>
      </c>
      <c r="AP856">
        <v>103.37266326617642</v>
      </c>
      <c r="AQ856">
        <v>18.321995280484888</v>
      </c>
      <c r="AR856">
        <v>13.246487520559953</v>
      </c>
      <c r="AS856">
        <v>67.821299565146717</v>
      </c>
      <c r="AT856" t="e">
        <v>#DIV/0!</v>
      </c>
      <c r="AU856" t="e">
        <v>#DIV/0!</v>
      </c>
      <c r="AV856"/>
      <c r="AW856"/>
      <c r="FY856" s="210">
        <v>851</v>
      </c>
      <c r="FZ856">
        <v>11.407487190409626</v>
      </c>
      <c r="GA856">
        <v>14.730111866167544</v>
      </c>
      <c r="GB856">
        <v>2.6705881345941922</v>
      </c>
      <c r="GC856">
        <v>0.37021819865872574</v>
      </c>
      <c r="GD856">
        <v>0.25067910532336957</v>
      </c>
      <c r="GE856">
        <v>0.69049003419630783</v>
      </c>
      <c r="GF856">
        <v>3.5510505472897305</v>
      </c>
      <c r="GG856">
        <v>2.3743523764979746</v>
      </c>
      <c r="GH856">
        <v>0.3456493005258417</v>
      </c>
      <c r="GI856">
        <v>4.6039844732527779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8.7526041666666661</v>
      </c>
      <c r="AO857">
        <v>20.881409915298697</v>
      </c>
      <c r="AP857">
        <v>165.03459054941638</v>
      </c>
      <c r="AQ857">
        <v>31.50444608730815</v>
      </c>
      <c r="AR857">
        <v>19.353957551004413</v>
      </c>
      <c r="AS857">
        <v>86.203166380199974</v>
      </c>
      <c r="AT857" t="e">
        <v>#DIV/0!</v>
      </c>
      <c r="AU857" t="e">
        <v>#DIV/0!</v>
      </c>
      <c r="AV857"/>
      <c r="AW857"/>
      <c r="FY857" s="210">
        <v>852</v>
      </c>
      <c r="FZ857">
        <v>6.1165371515942688</v>
      </c>
      <c r="GA857">
        <v>8.0638515949721761</v>
      </c>
      <c r="GB857">
        <v>3.2764058391160349</v>
      </c>
      <c r="GC857">
        <v>0.52931565156672533</v>
      </c>
      <c r="GD857">
        <v>0.89033421717662065</v>
      </c>
      <c r="GE857">
        <v>2.4047723667581566</v>
      </c>
      <c r="GF857">
        <v>3.1627988786867505</v>
      </c>
      <c r="GG857">
        <v>1.3641019447390237</v>
      </c>
      <c r="GH857">
        <v>0.40861888541082891</v>
      </c>
      <c r="GI857">
        <v>4.3633453742178654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13.007622840802986</v>
      </c>
      <c r="AO858">
        <v>15.73047544754068</v>
      </c>
      <c r="AP858">
        <v>137.71191477244412</v>
      </c>
      <c r="AQ858">
        <v>52.320827557642453</v>
      </c>
      <c r="AR858">
        <v>15.155371899546124</v>
      </c>
      <c r="AS858">
        <v>87.011853646711131</v>
      </c>
      <c r="AT858">
        <v>6.4791743258331271</v>
      </c>
      <c r="AU858">
        <v>-64.078458528941681</v>
      </c>
      <c r="AV858"/>
      <c r="AW858"/>
      <c r="FY858" s="210">
        <v>853</v>
      </c>
      <c r="FZ858">
        <v>6.1161567755553836</v>
      </c>
      <c r="GA858">
        <v>8.9642772899094414</v>
      </c>
      <c r="GB858">
        <v>2.6043313819898808</v>
      </c>
      <c r="GC858">
        <v>0.58393949982964455</v>
      </c>
      <c r="GD858">
        <v>0.80563164873018667</v>
      </c>
      <c r="GE858">
        <v>1.6981528763406353</v>
      </c>
      <c r="GF858">
        <v>3.9093741131856365</v>
      </c>
      <c r="GG858">
        <v>2.5027439088398373</v>
      </c>
      <c r="GH858">
        <v>0.17282465026292085</v>
      </c>
      <c r="GI858">
        <v>3.9305960612062654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13.552411589635856</v>
      </c>
      <c r="AO859">
        <v>16.502483872406366</v>
      </c>
      <c r="AP859">
        <v>145.10958595309381</v>
      </c>
      <c r="AQ859">
        <v>41.4592729376363</v>
      </c>
      <c r="AR859">
        <v>15.763645271972747</v>
      </c>
      <c r="AS859">
        <v>88.583577383452749</v>
      </c>
      <c r="AT859">
        <v>7.8203180863213788</v>
      </c>
      <c r="AU859">
        <v>-9.7632967414979142</v>
      </c>
      <c r="AV859"/>
      <c r="AW859"/>
      <c r="FY859" s="210">
        <v>854</v>
      </c>
      <c r="FZ859">
        <v>7.1137364169967157</v>
      </c>
      <c r="GA859">
        <v>20.372433328676291</v>
      </c>
      <c r="GB859">
        <v>6.1550886853953584</v>
      </c>
      <c r="GC859">
        <v>0.67421601692359678</v>
      </c>
      <c r="GD859">
        <v>1.1239332716676258</v>
      </c>
      <c r="GE859">
        <v>2.0178601989663854</v>
      </c>
      <c r="GF859">
        <v>3.4016605628347802</v>
      </c>
      <c r="GG859">
        <v>2.4324324403942232</v>
      </c>
      <c r="GH859">
        <v>0.23579423514790807</v>
      </c>
      <c r="GI859">
        <v>5.6857963875012087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11.444050536881418</v>
      </c>
      <c r="AO860">
        <v>20.289499584927068</v>
      </c>
      <c r="AP860">
        <v>157.75689006377206</v>
      </c>
      <c r="AQ860">
        <v>33.620822937584904</v>
      </c>
      <c r="AR860">
        <v>19.358282407284296</v>
      </c>
      <c r="AS860">
        <v>89.087566282037216</v>
      </c>
      <c r="AT860">
        <v>9.107434062988089</v>
      </c>
      <c r="AU860">
        <v>-7.3920630943401289</v>
      </c>
      <c r="AV860"/>
      <c r="AW860"/>
      <c r="FY860" s="210">
        <v>855</v>
      </c>
      <c r="FZ860">
        <v>6.9409831362565262</v>
      </c>
      <c r="GA860">
        <v>3.3443044437946754</v>
      </c>
      <c r="GB860">
        <v>0.72563574940589493</v>
      </c>
      <c r="GC860">
        <v>0.9380809178261742</v>
      </c>
      <c r="GD860">
        <v>1.2580224653743115</v>
      </c>
      <c r="GE860">
        <v>1.8476002576259543</v>
      </c>
      <c r="GF860">
        <v>0.98477043339622705</v>
      </c>
      <c r="GG860">
        <v>0.1769257564900365</v>
      </c>
      <c r="GH860">
        <v>0.23579423514790807</v>
      </c>
      <c r="GI860">
        <v>3.9778408817923729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7.1528799019607829</v>
      </c>
      <c r="AO861">
        <v>22.209699915987365</v>
      </c>
      <c r="AP861">
        <v>171.67846122556116</v>
      </c>
      <c r="AQ861">
        <v>31.123031857883909</v>
      </c>
      <c r="AR861">
        <v>21.098490802428749</v>
      </c>
      <c r="AS861">
        <v>218.41780733357049</v>
      </c>
      <c r="AT861">
        <v>11.062925378662923</v>
      </c>
      <c r="AU861">
        <v>61.607761733140165</v>
      </c>
      <c r="AV861"/>
      <c r="AW861"/>
      <c r="FY861" s="210">
        <v>856</v>
      </c>
      <c r="FZ861">
        <v>2.7463910849047179</v>
      </c>
      <c r="GA861">
        <v>14.156395146793828</v>
      </c>
      <c r="GB861">
        <v>5.9596894340347966</v>
      </c>
      <c r="GC861">
        <v>0.67640538600491928</v>
      </c>
      <c r="GD861">
        <v>0.66375635828605883</v>
      </c>
      <c r="GE861">
        <v>1.3050425485744763</v>
      </c>
      <c r="GF861">
        <v>6.1500649887983947</v>
      </c>
      <c r="GG861">
        <v>4.758250592744024</v>
      </c>
      <c r="GH861">
        <v>0</v>
      </c>
      <c r="GI861">
        <v>4.3424090635456256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6.690104166666667</v>
      </c>
      <c r="AO862">
        <v>11.309745318389037</v>
      </c>
      <c r="AP862">
        <v>95.37353409966164</v>
      </c>
      <c r="AQ862">
        <v>27.234916611045325</v>
      </c>
      <c r="AR862">
        <v>10.852102156459589</v>
      </c>
      <c r="AS862">
        <v>53.611806096862637</v>
      </c>
      <c r="AT862" t="e">
        <v>#DIV/0!</v>
      </c>
      <c r="AU862" t="e">
        <v>#DIV/0!</v>
      </c>
      <c r="AV862"/>
      <c r="AW862"/>
      <c r="FY862" s="210">
        <v>857</v>
      </c>
      <c r="FZ862">
        <v>2.6886798659783597</v>
      </c>
      <c r="GA862">
        <v>16.127703189944352</v>
      </c>
      <c r="GB862">
        <v>6.2423397587822231</v>
      </c>
      <c r="GC862">
        <v>0.50371555428274228</v>
      </c>
      <c r="GD862">
        <v>0.76934937463808906</v>
      </c>
      <c r="GE862">
        <v>1.5258086519186556</v>
      </c>
      <c r="GF862">
        <v>3.5143364227117315</v>
      </c>
      <c r="GG862">
        <v>2.5027439088398373</v>
      </c>
      <c r="GH862">
        <v>0</v>
      </c>
      <c r="GI862">
        <v>3.9916182785431817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13.520337301587301</v>
      </c>
      <c r="AO863">
        <v>12.166876414148152</v>
      </c>
      <c r="AP863">
        <v>73.503268554078602</v>
      </c>
      <c r="AQ863">
        <v>36.639010043750794</v>
      </c>
      <c r="AR863">
        <v>11.245357537288562</v>
      </c>
      <c r="AS863">
        <v>76.756516190658346</v>
      </c>
      <c r="AT863" t="e">
        <v>#DIV/0!</v>
      </c>
      <c r="AU863" t="e">
        <v>#DIV/0!</v>
      </c>
      <c r="AV863"/>
      <c r="AW863"/>
      <c r="FY863" s="210">
        <v>858</v>
      </c>
      <c r="FZ863">
        <v>6.1161567755553836</v>
      </c>
      <c r="GA863">
        <v>9.1636149328703951</v>
      </c>
      <c r="GB863">
        <v>2.6344770569918237</v>
      </c>
      <c r="GC863">
        <v>0.5612726016833498</v>
      </c>
      <c r="GD863">
        <v>0.78488757268802578</v>
      </c>
      <c r="GE863">
        <v>1.3654739712638297</v>
      </c>
      <c r="GF863">
        <v>4.5607399020717621</v>
      </c>
      <c r="GG863">
        <v>3.9249259174751105</v>
      </c>
      <c r="GH863">
        <v>0.64441312055873701</v>
      </c>
      <c r="GI863">
        <v>3.5948537634452524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11.495265814659197</v>
      </c>
      <c r="AO864">
        <v>22.209746622302767</v>
      </c>
      <c r="AP864">
        <v>189.60311907549186</v>
      </c>
      <c r="AQ864">
        <v>43.358319864164145</v>
      </c>
      <c r="AR864">
        <v>20.619078204779548</v>
      </c>
      <c r="AS864">
        <v>94.756171470790974</v>
      </c>
      <c r="AT864">
        <v>10.254335648513889</v>
      </c>
      <c r="AU864">
        <v>7.0329199462743874</v>
      </c>
      <c r="AV864"/>
      <c r="AW864"/>
      <c r="FY864" s="210">
        <v>859</v>
      </c>
      <c r="FZ864">
        <v>5.3494220098194845</v>
      </c>
      <c r="GA864">
        <v>8.1892938181481494</v>
      </c>
      <c r="GB864">
        <v>2.7379676968084392</v>
      </c>
      <c r="GC864">
        <v>1.0387227712471181</v>
      </c>
      <c r="GD864">
        <v>1.1354669281804195</v>
      </c>
      <c r="GE864">
        <v>1.9090191577860143</v>
      </c>
      <c r="GF864">
        <v>5.5857705645566771</v>
      </c>
      <c r="GG864">
        <v>3.9952373859207246</v>
      </c>
      <c r="GH864">
        <v>0.23579423514790807</v>
      </c>
      <c r="GI864">
        <v>4.6555559301074485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11.537552521008402</v>
      </c>
      <c r="AO865">
        <v>8.6417518764150536</v>
      </c>
      <c r="AP865">
        <v>64.540601562163687</v>
      </c>
      <c r="AQ865">
        <v>20.614697742657842</v>
      </c>
      <c r="AR865">
        <v>8.4792231804598917</v>
      </c>
      <c r="AS865">
        <v>64.988704958641947</v>
      </c>
      <c r="AT865">
        <v>4.6705917880064067</v>
      </c>
      <c r="AU865">
        <v>70.792483510851312</v>
      </c>
      <c r="AV865"/>
      <c r="AW865"/>
      <c r="FY865" s="210">
        <v>860</v>
      </c>
      <c r="FZ865">
        <v>6.3767751480499388</v>
      </c>
      <c r="GA865">
        <v>16.199669500302704</v>
      </c>
      <c r="GB865">
        <v>4.0171583453417439</v>
      </c>
      <c r="GC865">
        <v>0.98668055697394741</v>
      </c>
      <c r="GD865">
        <v>0.66182373569954045</v>
      </c>
      <c r="GE865">
        <v>1.2409098691586093</v>
      </c>
      <c r="GF865">
        <v>3.4124040426049191</v>
      </c>
      <c r="GG865">
        <v>1.6113391696746744</v>
      </c>
      <c r="GH865">
        <v>0.23579423514790807</v>
      </c>
      <c r="GI865">
        <v>4.6806189183440701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10.717488036881418</v>
      </c>
      <c r="AO866">
        <v>15.067759610440962</v>
      </c>
      <c r="AP866">
        <v>111.41736284759629</v>
      </c>
      <c r="AQ866">
        <v>31.417620110742465</v>
      </c>
      <c r="AR866">
        <v>14.474289006195107</v>
      </c>
      <c r="AS866">
        <v>71.573494831792971</v>
      </c>
      <c r="AT866">
        <v>7.3254749646503727</v>
      </c>
      <c r="AU866">
        <v>-51.756267357419894</v>
      </c>
      <c r="AV866"/>
      <c r="AW866"/>
      <c r="FY866" s="210">
        <v>861</v>
      </c>
      <c r="FZ866">
        <v>5.3196485130303612</v>
      </c>
      <c r="GA866">
        <v>4.7399666581448576</v>
      </c>
      <c r="GB866">
        <v>1.4163710694570439</v>
      </c>
      <c r="GC866">
        <v>0.48900909074390486</v>
      </c>
      <c r="GD866">
        <v>0.69421206202992614</v>
      </c>
      <c r="GE866">
        <v>1.7494931665526203</v>
      </c>
      <c r="GF866">
        <v>1.4283614504211455</v>
      </c>
      <c r="GG866">
        <v>0.1769257564900365</v>
      </c>
      <c r="GH866">
        <v>0.40861888541082891</v>
      </c>
      <c r="GI866">
        <v>2.8524947401716503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10.978874883286649</v>
      </c>
      <c r="AO867">
        <v>23.18427557491265</v>
      </c>
      <c r="AP867">
        <v>175.09951545208247</v>
      </c>
      <c r="AQ867">
        <v>40.994611226916099</v>
      </c>
      <c r="AR867">
        <v>21.991798310231307</v>
      </c>
      <c r="AS867">
        <v>149.34316092289609</v>
      </c>
      <c r="AT867">
        <v>12.114605686020754</v>
      </c>
      <c r="AU867">
        <v>-113.74661511488847</v>
      </c>
      <c r="AV867"/>
      <c r="AW867"/>
      <c r="FY867" s="210">
        <v>862</v>
      </c>
      <c r="FZ867">
        <v>0.88215720358861527</v>
      </c>
      <c r="GA867">
        <v>11.607493681727803</v>
      </c>
      <c r="GB867">
        <v>4.0195796418369891</v>
      </c>
      <c r="GC867">
        <v>0.57369127458193625</v>
      </c>
      <c r="GD867">
        <v>0.60003964499486417</v>
      </c>
      <c r="GE867">
        <v>1.5983285308385295</v>
      </c>
      <c r="GF867">
        <v>4.9658519860576096</v>
      </c>
      <c r="GG867">
        <v>3.5492971601975971</v>
      </c>
      <c r="GH867">
        <v>0.99006242108457876</v>
      </c>
      <c r="GI867">
        <v>3.5937605573794658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8.4896854575163392</v>
      </c>
      <c r="AO868">
        <v>14.73709366820734</v>
      </c>
      <c r="AP868">
        <v>122.10892614567783</v>
      </c>
      <c r="AQ868">
        <v>30.580081904238448</v>
      </c>
      <c r="AR868">
        <v>14.593094268854678</v>
      </c>
      <c r="AS868">
        <v>71.076738438683648</v>
      </c>
      <c r="AT868" t="e">
        <v>#DIV/0!</v>
      </c>
      <c r="AU868" t="e">
        <v>#DIV/0!</v>
      </c>
      <c r="AV868"/>
      <c r="AW868"/>
      <c r="FY868" s="210">
        <v>863</v>
      </c>
      <c r="FZ868">
        <v>4.0282908711401166</v>
      </c>
      <c r="GA868">
        <v>11.587074174760446</v>
      </c>
      <c r="GB868">
        <v>5.0829671551329705</v>
      </c>
      <c r="GC868">
        <v>0.19375314809365582</v>
      </c>
      <c r="GD868">
        <v>0.30068014342976357</v>
      </c>
      <c r="GE868">
        <v>0.79476255467633661</v>
      </c>
      <c r="GF868">
        <v>2.9018098649649131</v>
      </c>
      <c r="GG868">
        <v>2.6093581968842599</v>
      </c>
      <c r="GH868">
        <v>0.81723777082165783</v>
      </c>
      <c r="GI868">
        <v>3.6937572953118849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9.5432568860877698</v>
      </c>
      <c r="AO869">
        <v>23.738214118892397</v>
      </c>
      <c r="AP869">
        <v>182.06666899718607</v>
      </c>
      <c r="AQ869">
        <v>31.288028205849834</v>
      </c>
      <c r="AR869">
        <v>22.471584329940058</v>
      </c>
      <c r="AS869">
        <v>93.541094350120204</v>
      </c>
      <c r="AT869">
        <v>12.970549746605704</v>
      </c>
      <c r="AU869">
        <v>-25.673673261284893</v>
      </c>
      <c r="AV869"/>
      <c r="AW869"/>
      <c r="FY869" s="210">
        <v>864</v>
      </c>
      <c r="FZ869">
        <v>7.0978530772439861</v>
      </c>
      <c r="GA869">
        <v>10.485381727435598</v>
      </c>
      <c r="GB869">
        <v>2.7054885639489381</v>
      </c>
      <c r="GC869">
        <v>0.56332593825494437</v>
      </c>
      <c r="GD869">
        <v>1.3513610743036522</v>
      </c>
      <c r="GE869">
        <v>2.6294947072526673</v>
      </c>
      <c r="GF869">
        <v>3.9139496020547573</v>
      </c>
      <c r="GG869">
        <v>3.232224179097424</v>
      </c>
      <c r="GH869">
        <v>0.64441312055873701</v>
      </c>
      <c r="GI869">
        <v>4.8281900457938578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13.029885912698409</v>
      </c>
      <c r="AO870">
        <v>18.9881326203197</v>
      </c>
      <c r="AP870">
        <v>169.50604168779927</v>
      </c>
      <c r="AQ870">
        <v>49.212951544504087</v>
      </c>
      <c r="AR870">
        <v>18.080827927930216</v>
      </c>
      <c r="AS870">
        <v>97.811365891548022</v>
      </c>
      <c r="AT870" t="e">
        <v>#DIV/0!</v>
      </c>
      <c r="AU870" t="e">
        <v>#DIV/0!</v>
      </c>
      <c r="AV870"/>
      <c r="AW870"/>
      <c r="FY870" s="210">
        <v>865</v>
      </c>
      <c r="FZ870">
        <v>11.262671631806672</v>
      </c>
      <c r="GA870">
        <v>3.2704090240096959</v>
      </c>
      <c r="GB870">
        <v>0.19195236145110275</v>
      </c>
      <c r="GC870">
        <v>0.58393949982964455</v>
      </c>
      <c r="GD870">
        <v>0.39780658706926758</v>
      </c>
      <c r="GE870">
        <v>0.97338425673396944</v>
      </c>
      <c r="GF870">
        <v>5.8231876252603989</v>
      </c>
      <c r="GG870">
        <v>4.1353846105308607</v>
      </c>
      <c r="GH870">
        <v>0</v>
      </c>
      <c r="GI870">
        <v>2.917207151868995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9.3539186507936503</v>
      </c>
      <c r="AO871">
        <v>19.000170213224905</v>
      </c>
      <c r="AP871">
        <v>129.70578943640186</v>
      </c>
      <c r="AQ871">
        <v>20.429958277110082</v>
      </c>
      <c r="AR871">
        <v>18.580083843228024</v>
      </c>
      <c r="AS871">
        <v>85.432940304468019</v>
      </c>
      <c r="AT871" t="e">
        <v>#DIV/0!</v>
      </c>
      <c r="AU871" t="e">
        <v>#DIV/0!</v>
      </c>
      <c r="AV871"/>
      <c r="AW871"/>
      <c r="FY871" s="210">
        <v>866</v>
      </c>
      <c r="FZ871">
        <v>0.54272236659784878</v>
      </c>
      <c r="GA871">
        <v>4.7399666581448576</v>
      </c>
      <c r="GB871">
        <v>1.244290219178559</v>
      </c>
      <c r="GC871">
        <v>0.77348755322118223</v>
      </c>
      <c r="GD871">
        <v>1.2659280301724953</v>
      </c>
      <c r="GE871">
        <v>2.1692363532974439</v>
      </c>
      <c r="GF871">
        <v>5.2547047606967325</v>
      </c>
      <c r="GG871">
        <v>4.1236289182625878</v>
      </c>
      <c r="GH871">
        <v>0.58144353567374973</v>
      </c>
      <c r="GI871">
        <v>3.4550786356448082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9.359375</v>
      </c>
      <c r="AO872">
        <v>12.703408974917764</v>
      </c>
      <c r="AP872">
        <v>122.4646519613983</v>
      </c>
      <c r="AQ872">
        <v>40.758404603686841</v>
      </c>
      <c r="AR872">
        <v>12.195695934414546</v>
      </c>
      <c r="AS872">
        <v>81.444692238614095</v>
      </c>
      <c r="AT872" t="e">
        <v>#DIV/0!</v>
      </c>
      <c r="AU872" t="e">
        <v>#DIV/0!</v>
      </c>
      <c r="AV872"/>
      <c r="AW872"/>
      <c r="FY872" s="210">
        <v>867</v>
      </c>
      <c r="FZ872">
        <v>2.6309686470520015</v>
      </c>
      <c r="GA872">
        <v>13.757719860871923</v>
      </c>
      <c r="GB872">
        <v>5.5852942198381976</v>
      </c>
      <c r="GC872">
        <v>1.1628924639500062</v>
      </c>
      <c r="GD872">
        <v>1.4145291615918234</v>
      </c>
      <c r="GE872">
        <v>1.8893574775329798</v>
      </c>
      <c r="GF872">
        <v>3.6928755252168326</v>
      </c>
      <c r="GG872">
        <v>2.6796696653298739</v>
      </c>
      <c r="GH872">
        <v>0.23579423514790807</v>
      </c>
      <c r="GI872">
        <v>5.2281537348294975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9.0295138888888893</v>
      </c>
      <c r="AO873">
        <v>19.45170033035361</v>
      </c>
      <c r="AP873">
        <v>192.9165585290956</v>
      </c>
      <c r="AQ873">
        <v>37.866295005639174</v>
      </c>
      <c r="AR873">
        <v>18.46479375110156</v>
      </c>
      <c r="AS873">
        <v>80.601823237177143</v>
      </c>
      <c r="AT873" t="e">
        <v>#DIV/0!</v>
      </c>
      <c r="AU873" t="e">
        <v>#DIV/0!</v>
      </c>
      <c r="AV873"/>
      <c r="AW873"/>
      <c r="FY873" s="210">
        <v>868</v>
      </c>
      <c r="FZ873">
        <v>10.495556490031888</v>
      </c>
      <c r="GA873">
        <v>19.52355443713002</v>
      </c>
      <c r="GB873">
        <v>5.669001187119882</v>
      </c>
      <c r="GC873">
        <v>0.90264378163335313</v>
      </c>
      <c r="GD873">
        <v>0.81864470907611819</v>
      </c>
      <c r="GE873">
        <v>1.4275439211028136</v>
      </c>
      <c r="GF873">
        <v>5.9742082590529879</v>
      </c>
      <c r="GG873">
        <v>4.1839188346790337</v>
      </c>
      <c r="GH873">
        <v>0.58144353567374973</v>
      </c>
      <c r="GI873">
        <v>6.032689179114108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10.077979108309989</v>
      </c>
      <c r="AO874">
        <v>17.392322467397292</v>
      </c>
      <c r="AP874">
        <v>131.96382729990952</v>
      </c>
      <c r="AQ874">
        <v>33.350815614603668</v>
      </c>
      <c r="AR874">
        <v>16.612913953004057</v>
      </c>
      <c r="AS874">
        <v>137.63559932092326</v>
      </c>
      <c r="AT874">
        <v>7.6784632214993209</v>
      </c>
      <c r="AU874">
        <v>-10.462755795117683</v>
      </c>
      <c r="AV874"/>
      <c r="AW874"/>
      <c r="FY874" s="210">
        <v>869</v>
      </c>
      <c r="FZ874">
        <v>5.2917107908931271</v>
      </c>
      <c r="GA874">
        <v>5.0647465242817846</v>
      </c>
      <c r="GB874">
        <v>1.138563337700107</v>
      </c>
      <c r="GC874">
        <v>0.91928647066450198</v>
      </c>
      <c r="GD874">
        <v>0.96816974943882084</v>
      </c>
      <c r="GE874">
        <v>2.0027035126682304</v>
      </c>
      <c r="GF874">
        <v>4.4857674380477697</v>
      </c>
      <c r="GG874">
        <v>2.5027439088398373</v>
      </c>
      <c r="GH874">
        <v>0</v>
      </c>
      <c r="GI874">
        <v>4.2136273083961759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9.9843749999999982</v>
      </c>
      <c r="AO875">
        <v>14.556800887132564</v>
      </c>
      <c r="AP875">
        <v>110.06494777118218</v>
      </c>
      <c r="AQ875">
        <v>34.832250497722377</v>
      </c>
      <c r="AR875">
        <v>13.930087508688178</v>
      </c>
      <c r="AS875">
        <v>72.833843525486273</v>
      </c>
      <c r="AT875" t="e">
        <v>#DIV/0!</v>
      </c>
      <c r="AU875" t="e">
        <v>#DIV/0!</v>
      </c>
      <c r="AV875"/>
      <c r="AW875"/>
      <c r="FY875" s="210">
        <v>870</v>
      </c>
      <c r="FZ875">
        <v>5.1465148562512875</v>
      </c>
      <c r="GA875">
        <v>11.387736531799494</v>
      </c>
      <c r="GB875">
        <v>5.1202010423452746</v>
      </c>
      <c r="GC875">
        <v>1.1456419773722193</v>
      </c>
      <c r="GD875">
        <v>0.93821017253571881</v>
      </c>
      <c r="GE875">
        <v>0.94781466240265633</v>
      </c>
      <c r="GF875">
        <v>6.6189629335048714</v>
      </c>
      <c r="GG875">
        <v>5.5095081072990517</v>
      </c>
      <c r="GH875">
        <v>0.3456493005258417</v>
      </c>
      <c r="GI875">
        <v>5.3578741309283542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10.81485615079365</v>
      </c>
      <c r="AO876">
        <v>17.972419095609432</v>
      </c>
      <c r="AP876">
        <v>150.55022457574634</v>
      </c>
      <c r="AQ876">
        <v>39.423173521298054</v>
      </c>
      <c r="AR876">
        <v>16.67879640259747</v>
      </c>
      <c r="AS876">
        <v>87.514821609028616</v>
      </c>
      <c r="AT876" t="e">
        <v>#DIV/0!</v>
      </c>
      <c r="AU876" t="e">
        <v>#DIV/0!</v>
      </c>
      <c r="AV876"/>
      <c r="AW876"/>
      <c r="FY876" s="210">
        <v>871</v>
      </c>
      <c r="FZ876">
        <v>3.6006105663560986</v>
      </c>
      <c r="GA876">
        <v>11.732935904903778</v>
      </c>
      <c r="GB876">
        <v>3.4450304219270254</v>
      </c>
      <c r="GC876">
        <v>0.63752567468670074</v>
      </c>
      <c r="GD876">
        <v>1.0217046309631594</v>
      </c>
      <c r="GE876">
        <v>2.0512457373128496</v>
      </c>
      <c r="GF876">
        <v>6.9521078793675732</v>
      </c>
      <c r="GG876">
        <v>5.5095081072990517</v>
      </c>
      <c r="GH876">
        <v>0</v>
      </c>
      <c r="GI876">
        <v>5.0860099050584946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7.4159007352941178</v>
      </c>
      <c r="AO877">
        <v>14.522876084851495</v>
      </c>
      <c r="AP877">
        <v>110.51070077674262</v>
      </c>
      <c r="AQ877">
        <v>19.275101392452374</v>
      </c>
      <c r="AR877">
        <v>14.345533756501123</v>
      </c>
      <c r="AS877">
        <v>79.338079773392352</v>
      </c>
      <c r="AT877" t="e">
        <v>#DIV/0!</v>
      </c>
      <c r="AU877" t="e">
        <v>#DIV/0!</v>
      </c>
      <c r="AV877"/>
      <c r="AW877"/>
      <c r="FY877" s="210">
        <v>872</v>
      </c>
      <c r="FZ877">
        <v>4.4668844301919846</v>
      </c>
      <c r="GA877">
        <v>16.577925279257251</v>
      </c>
      <c r="GB877">
        <v>5.3177606519105858</v>
      </c>
      <c r="GC877">
        <v>1.3705895560057793</v>
      </c>
      <c r="GD877">
        <v>1.3727703885214908</v>
      </c>
      <c r="GE877">
        <v>1.8830369432883745</v>
      </c>
      <c r="GF877">
        <v>2.6779182482147119</v>
      </c>
      <c r="GG877">
        <v>0.93993896331333671</v>
      </c>
      <c r="GH877">
        <v>0.3456493005258417</v>
      </c>
      <c r="GI877">
        <v>4.8139740528039487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11.818634745564891</v>
      </c>
      <c r="AO878">
        <v>11.231814622653799</v>
      </c>
      <c r="AP878">
        <v>87.113938090897932</v>
      </c>
      <c r="AQ878">
        <v>32.380262102287993</v>
      </c>
      <c r="AR878">
        <v>10.391807385295829</v>
      </c>
      <c r="AS878">
        <v>70.239254388944033</v>
      </c>
      <c r="AT878">
        <v>4.5946991492113032</v>
      </c>
      <c r="AU878">
        <v>-5.8871788399911331</v>
      </c>
      <c r="AV878"/>
      <c r="AW878"/>
      <c r="FY878" s="210">
        <v>873</v>
      </c>
      <c r="FZ878">
        <v>10.358648430570433</v>
      </c>
      <c r="GA878">
        <v>24.115730255704921</v>
      </c>
      <c r="GB878">
        <v>5.7574629087543689</v>
      </c>
      <c r="GC878">
        <v>0.50819580281400301</v>
      </c>
      <c r="GD878">
        <v>0.63571870609677383</v>
      </c>
      <c r="GE878">
        <v>0.96082930146266299</v>
      </c>
      <c r="GF878">
        <v>5.431375854280418</v>
      </c>
      <c r="GG878">
        <v>4.758250592744024</v>
      </c>
      <c r="GH878">
        <v>0</v>
      </c>
      <c r="GI878">
        <v>6.4553210655416047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7.572252859477123</v>
      </c>
      <c r="AO879">
        <v>18.532665807946845</v>
      </c>
      <c r="AP879">
        <v>125.44384126994642</v>
      </c>
      <c r="AQ879">
        <v>32.009691175216005</v>
      </c>
      <c r="AR879">
        <v>17.796878329756332</v>
      </c>
      <c r="AS879">
        <v>181.51325247678903</v>
      </c>
      <c r="AT879" t="e">
        <v>#DIV/0!</v>
      </c>
      <c r="AU879" t="e">
        <v>#DIV/0!</v>
      </c>
      <c r="AV879"/>
      <c r="AW879"/>
      <c r="FY879" s="210">
        <v>874</v>
      </c>
      <c r="FZ879">
        <v>10.171624616754965</v>
      </c>
      <c r="GA879">
        <v>12.454443463847447</v>
      </c>
      <c r="GB879">
        <v>1.6583406170827071</v>
      </c>
      <c r="GC879">
        <v>0.4218681480234705</v>
      </c>
      <c r="GD879">
        <v>0.42814046588564214</v>
      </c>
      <c r="GE879">
        <v>0.84454723721548008</v>
      </c>
      <c r="GF879">
        <v>1.8777684737549594</v>
      </c>
      <c r="GG879">
        <v>1.3155677205908503</v>
      </c>
      <c r="GH879">
        <v>0.3456493005258417</v>
      </c>
      <c r="GI879">
        <v>3.6190501075629093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10.064338235294118</v>
      </c>
      <c r="AO880">
        <v>19.176816554752556</v>
      </c>
      <c r="AP880">
        <v>163.14434226373717</v>
      </c>
      <c r="AQ880">
        <v>37.451682035944572</v>
      </c>
      <c r="AR880">
        <v>18.216350352268559</v>
      </c>
      <c r="AS880">
        <v>85.761518237702461</v>
      </c>
      <c r="AT880">
        <v>9.5280124602777736</v>
      </c>
      <c r="AU880">
        <v>-18.106803061814823</v>
      </c>
      <c r="AV880"/>
      <c r="AW880"/>
      <c r="FY880" s="210">
        <v>875</v>
      </c>
      <c r="FZ880">
        <v>9.8163064400114681</v>
      </c>
      <c r="GA880">
        <v>17.521436294867907</v>
      </c>
      <c r="GB880">
        <v>3.8787672761703824</v>
      </c>
      <c r="GC880">
        <v>0.49237216574081805</v>
      </c>
      <c r="GD880">
        <v>0.5622773103644203</v>
      </c>
      <c r="GE880">
        <v>1.3153761389463692</v>
      </c>
      <c r="GF880">
        <v>4.9973873910095508</v>
      </c>
      <c r="GG880">
        <v>4.2787774304551842</v>
      </c>
      <c r="GH880">
        <v>1.288826241117474</v>
      </c>
      <c r="GI880">
        <v>5.3542569623506635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7.3773561507936503</v>
      </c>
      <c r="AO881">
        <v>18.719602112301494</v>
      </c>
      <c r="AP881">
        <v>152.47959799587761</v>
      </c>
      <c r="AQ881">
        <v>29.555942748560604</v>
      </c>
      <c r="AR881">
        <v>18.703353135969923</v>
      </c>
      <c r="AS881">
        <v>190.61511894712163</v>
      </c>
      <c r="AT881" t="e">
        <v>#DIV/0!</v>
      </c>
      <c r="AU881" t="e">
        <v>#DIV/0!</v>
      </c>
      <c r="AV881"/>
      <c r="AW881"/>
      <c r="FY881" s="210">
        <v>876</v>
      </c>
      <c r="FZ881">
        <v>9.4840866915541628</v>
      </c>
      <c r="GA881">
        <v>10.411169110338575</v>
      </c>
      <c r="GB881">
        <v>3.4113406408199016</v>
      </c>
      <c r="GC881">
        <v>0.67357060842615968</v>
      </c>
      <c r="GD881">
        <v>0.87047225671748174</v>
      </c>
      <c r="GE881">
        <v>1.1449042737910715</v>
      </c>
      <c r="GF881">
        <v>0.92120793439306325</v>
      </c>
      <c r="GG881">
        <v>0.84832596285137418</v>
      </c>
      <c r="GH881">
        <v>0.64441312055873701</v>
      </c>
      <c r="GI881">
        <v>4.3539189751994956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8.8413500816993462</v>
      </c>
      <c r="AO882">
        <v>20.809693278500326</v>
      </c>
      <c r="AP882">
        <v>172.60304752518368</v>
      </c>
      <c r="AQ882">
        <v>24.150487030890268</v>
      </c>
      <c r="AR882">
        <v>19.328815895491875</v>
      </c>
      <c r="AS882">
        <v>79.361843950722374</v>
      </c>
      <c r="AT882" t="e">
        <v>#DIV/0!</v>
      </c>
      <c r="AU882" t="e">
        <v>#DIV/0!</v>
      </c>
      <c r="AV882"/>
      <c r="AW882"/>
      <c r="FY882" s="210">
        <v>877</v>
      </c>
      <c r="FZ882">
        <v>6.0286720598399031</v>
      </c>
      <c r="GA882">
        <v>12.561395289482693</v>
      </c>
      <c r="GB882">
        <v>5.1004173698103434</v>
      </c>
      <c r="GC882">
        <v>1.0108538047533284</v>
      </c>
      <c r="GD882">
        <v>1.5770267031506195</v>
      </c>
      <c r="GE882">
        <v>2.7184137303652207</v>
      </c>
      <c r="GF882">
        <v>3.7152599524305328</v>
      </c>
      <c r="GG882">
        <v>2.1271151515623243</v>
      </c>
      <c r="GH882">
        <v>0.3456493005258417</v>
      </c>
      <c r="GI882">
        <v>5.1468910012149429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10.666666666666666</v>
      </c>
      <c r="AO883">
        <v>20.881120878765195</v>
      </c>
      <c r="AP883">
        <v>161.67914184761111</v>
      </c>
      <c r="AQ883">
        <v>38.27725499136104</v>
      </c>
      <c r="AR883">
        <v>19.77778990367587</v>
      </c>
      <c r="AS883">
        <v>89.018911522017518</v>
      </c>
      <c r="AT883" t="e">
        <v>#DIV/0!</v>
      </c>
      <c r="AU883" t="e">
        <v>#DIV/0!</v>
      </c>
      <c r="AV883"/>
      <c r="AW883"/>
      <c r="FY883" s="210">
        <v>878</v>
      </c>
      <c r="FZ883">
        <v>1.0277335142693396</v>
      </c>
      <c r="GA883">
        <v>0.3986752859219066</v>
      </c>
      <c r="GB883">
        <v>0.42916715472396272</v>
      </c>
      <c r="GC883">
        <v>0.62281921114786321</v>
      </c>
      <c r="GD883">
        <v>0.78684261835335589</v>
      </c>
      <c r="GE883">
        <v>2.1088053358059891</v>
      </c>
      <c r="GF883">
        <v>7.0436429128212907</v>
      </c>
      <c r="GG883">
        <v>4.758250592744024</v>
      </c>
      <c r="GH883">
        <v>0</v>
      </c>
      <c r="GI883">
        <v>2.9114283988775687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11.705685399159663</v>
      </c>
      <c r="AO884">
        <v>23.061823944428735</v>
      </c>
      <c r="AP884">
        <v>183.90091436355416</v>
      </c>
      <c r="AQ884">
        <v>55.609204334613949</v>
      </c>
      <c r="AR884">
        <v>22.251743786386342</v>
      </c>
      <c r="AS884">
        <v>104.14137211957149</v>
      </c>
      <c r="AT884">
        <v>10.095650596513053</v>
      </c>
      <c r="AU884">
        <v>-30.729008674265799</v>
      </c>
      <c r="AV884"/>
      <c r="AW884"/>
      <c r="FY884" s="210">
        <v>879</v>
      </c>
      <c r="FZ884">
        <v>7.3799570713472793</v>
      </c>
      <c r="GA884">
        <v>7.2353922103932602</v>
      </c>
      <c r="GB884">
        <v>1.5548499772660918</v>
      </c>
      <c r="GC884">
        <v>0.52917961905699773</v>
      </c>
      <c r="GD884">
        <v>0.33506739661073792</v>
      </c>
      <c r="GE884">
        <v>0.92440826361625783</v>
      </c>
      <c r="GF884">
        <v>3.7240015425579776</v>
      </c>
      <c r="GG884">
        <v>2.6093581968842599</v>
      </c>
      <c r="GH884">
        <v>0.47158847029581613</v>
      </c>
      <c r="GI884">
        <v>2.9218897186436781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9.1006944444444446</v>
      </c>
      <c r="AO885">
        <v>26.077491301442212</v>
      </c>
      <c r="AP885">
        <v>173.37297899356071</v>
      </c>
      <c r="AQ885">
        <v>26.587319040930353</v>
      </c>
      <c r="AR885">
        <v>24.59738164754512</v>
      </c>
      <c r="AS885">
        <v>197.84290371350716</v>
      </c>
      <c r="AT885" t="e">
        <v>#DIV/0!</v>
      </c>
      <c r="AU885" t="e">
        <v>#DIV/0!</v>
      </c>
      <c r="AV885"/>
      <c r="AW885"/>
      <c r="FY885" s="210">
        <v>880</v>
      </c>
      <c r="FZ885">
        <v>12.426552453459696</v>
      </c>
      <c r="GA885">
        <v>21.346754443398542</v>
      </c>
      <c r="GB885">
        <v>6.2423397587822231</v>
      </c>
      <c r="GC885">
        <v>0.3272505037176725</v>
      </c>
      <c r="GD885">
        <v>0.72539522788655697</v>
      </c>
      <c r="GE885">
        <v>2.2303442644525271</v>
      </c>
      <c r="GF885">
        <v>3.7060866356286679</v>
      </c>
      <c r="GG885">
        <v>2.5875809525868192</v>
      </c>
      <c r="GH885">
        <v>1.1160015908545531</v>
      </c>
      <c r="GI885">
        <v>6.1016475124414278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12.22155841503268</v>
      </c>
      <c r="AO886">
        <v>24.951517405333341</v>
      </c>
      <c r="AP886">
        <v>206.03772466171895</v>
      </c>
      <c r="AQ886">
        <v>42.518113714964763</v>
      </c>
      <c r="AR886">
        <v>24.048655821359304</v>
      </c>
      <c r="AS886">
        <v>102.60187060810409</v>
      </c>
      <c r="AT886" t="e">
        <v>#DIV/0!</v>
      </c>
      <c r="AU886" t="e">
        <v>#DIV/0!</v>
      </c>
      <c r="AV886"/>
      <c r="AW886"/>
      <c r="FY886" s="210">
        <v>881</v>
      </c>
      <c r="FZ886">
        <v>2.1339031169960054</v>
      </c>
      <c r="GA886">
        <v>7.64251049534424</v>
      </c>
      <c r="GB886">
        <v>2.5519807379577619</v>
      </c>
      <c r="GC886">
        <v>0.57292875500521567</v>
      </c>
      <c r="GD886">
        <v>0.4117747471690526</v>
      </c>
      <c r="GE886">
        <v>0.68626370387661084</v>
      </c>
      <c r="GF886">
        <v>2.2545710722827899</v>
      </c>
      <c r="GG886">
        <v>1.7179534577190969</v>
      </c>
      <c r="GH886">
        <v>0.70738270544372439</v>
      </c>
      <c r="GI886">
        <v>2.3763243350226375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11.272321428571427</v>
      </c>
      <c r="AO887">
        <v>22.07647602450637</v>
      </c>
      <c r="AP887">
        <v>176.67947003253522</v>
      </c>
      <c r="AQ887">
        <v>40.036678827874731</v>
      </c>
      <c r="AR887">
        <v>20.463597987987427</v>
      </c>
      <c r="AS887">
        <v>97.211247015950875</v>
      </c>
      <c r="AT887" t="e">
        <v>#DIV/0!</v>
      </c>
      <c r="AU887" t="e">
        <v>#DIV/0!</v>
      </c>
      <c r="AV887"/>
      <c r="AW887"/>
      <c r="FY887" s="210">
        <v>882</v>
      </c>
      <c r="FZ887">
        <v>5.6311456278838934</v>
      </c>
      <c r="GA887">
        <v>14.102919233976206</v>
      </c>
      <c r="GB887">
        <v>4.0148248874841856</v>
      </c>
      <c r="GC887">
        <v>0.58329409133220744</v>
      </c>
      <c r="GD887">
        <v>0.73816222211162486</v>
      </c>
      <c r="GE887">
        <v>1.7086088409827451</v>
      </c>
      <c r="GF887">
        <v>3.4023296490929766</v>
      </c>
      <c r="GG887">
        <v>1.8100421704621514</v>
      </c>
      <c r="GH887">
        <v>0</v>
      </c>
      <c r="GI887">
        <v>4.3524781731282634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11.256280637254902</v>
      </c>
      <c r="AO888">
        <v>22.199958561519345</v>
      </c>
      <c r="AP888">
        <v>166.00277811106832</v>
      </c>
      <c r="AQ888">
        <v>39.766447814033306</v>
      </c>
      <c r="AR888">
        <v>20.533784428557553</v>
      </c>
      <c r="AS888">
        <v>88.500058748987783</v>
      </c>
      <c r="AT888" t="e">
        <v>#DIV/0!</v>
      </c>
      <c r="AU888" t="e">
        <v>#DIV/0!</v>
      </c>
      <c r="AV888"/>
      <c r="AW888"/>
      <c r="FY888" s="210">
        <v>883</v>
      </c>
      <c r="FZ888">
        <v>5.6888568468102516</v>
      </c>
      <c r="GA888">
        <v>8.0103756821545531</v>
      </c>
      <c r="GB888">
        <v>1.398920854779671</v>
      </c>
      <c r="GC888">
        <v>0.53189728555647375</v>
      </c>
      <c r="GD888">
        <v>1.1375237998895136</v>
      </c>
      <c r="GE888">
        <v>1.7565969514318522</v>
      </c>
      <c r="GF888">
        <v>1.7592958632820441</v>
      </c>
      <c r="GG888">
        <v>1.7397307020165371</v>
      </c>
      <c r="GH888">
        <v>0.75426818593667067</v>
      </c>
      <c r="GI888">
        <v>3.975032811254934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10.637772817460316</v>
      </c>
      <c r="AO889">
        <v>28.933381890861273</v>
      </c>
      <c r="AP889">
        <v>249.67999690740839</v>
      </c>
      <c r="AQ889">
        <v>58.981532917969211</v>
      </c>
      <c r="AR889">
        <v>26.876880172259717</v>
      </c>
      <c r="AS889">
        <v>115.302111688849</v>
      </c>
      <c r="AT889" t="e">
        <v>#DIV/0!</v>
      </c>
      <c r="AU889" t="e">
        <v>#DIV/0!</v>
      </c>
      <c r="AV889"/>
      <c r="AW889"/>
      <c r="FY889" s="210">
        <v>884</v>
      </c>
      <c r="FZ889">
        <v>5.2917107908931271</v>
      </c>
      <c r="GA889">
        <v>12.729922833332054</v>
      </c>
      <c r="GB889">
        <v>3.8811007340279415</v>
      </c>
      <c r="GC889">
        <v>0.79928426171293299</v>
      </c>
      <c r="GD889">
        <v>0.71924894261221861</v>
      </c>
      <c r="GE889">
        <v>1.3288827158339671</v>
      </c>
      <c r="GF889">
        <v>4.6655752485313471</v>
      </c>
      <c r="GG889">
        <v>3.0670541148756616</v>
      </c>
      <c r="GH889">
        <v>0</v>
      </c>
      <c r="GI889">
        <v>4.5110409962837084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12.153974089635856</v>
      </c>
      <c r="AO890">
        <v>23.860153022432279</v>
      </c>
      <c r="AP890">
        <v>206.9530938216775</v>
      </c>
      <c r="AQ890">
        <v>33.137000151244273</v>
      </c>
      <c r="AR890">
        <v>22.658603544769278</v>
      </c>
      <c r="AS890">
        <v>97.035164404686412</v>
      </c>
      <c r="AT890">
        <v>14.408186861115363</v>
      </c>
      <c r="AU890">
        <v>-51.952698002697616</v>
      </c>
      <c r="AV890"/>
      <c r="AW890"/>
      <c r="FY890" s="210">
        <v>885</v>
      </c>
      <c r="FZ890">
        <v>1.7066031882508728</v>
      </c>
      <c r="GA890">
        <v>8.0411857812661456</v>
      </c>
      <c r="GB890">
        <v>2.6844942431663839</v>
      </c>
      <c r="GC890">
        <v>0.53275822669212292</v>
      </c>
      <c r="GD890">
        <v>1.0677001704892501</v>
      </c>
      <c r="GE890">
        <v>2.2488272865288566</v>
      </c>
      <c r="GF890">
        <v>4.0095892926488546</v>
      </c>
      <c r="GG890">
        <v>2.6311354411817005</v>
      </c>
      <c r="GH890">
        <v>0.17282465026292085</v>
      </c>
      <c r="GI890">
        <v>3.0702724301215865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8.5696486928104569</v>
      </c>
      <c r="AO891">
        <v>20.905729525844805</v>
      </c>
      <c r="AP891">
        <v>191.30165546668641</v>
      </c>
      <c r="AQ891">
        <v>49.505783651034243</v>
      </c>
      <c r="AR891">
        <v>19.866409615574881</v>
      </c>
      <c r="AS891">
        <v>85.859464656276231</v>
      </c>
      <c r="AT891">
        <v>9.6242048732985861</v>
      </c>
      <c r="AU891">
        <v>-44.707029476915359</v>
      </c>
      <c r="AV891"/>
      <c r="AW891"/>
      <c r="FY891" s="210">
        <v>886</v>
      </c>
      <c r="FZ891">
        <v>3.882334184420507</v>
      </c>
      <c r="GA891">
        <v>4.6434054246538494</v>
      </c>
      <c r="GB891">
        <v>0.46164628758346382</v>
      </c>
      <c r="GC891">
        <v>1.0763116655704625</v>
      </c>
      <c r="GD891">
        <v>1.4596804875482392</v>
      </c>
      <c r="GE891">
        <v>1.849472616892637</v>
      </c>
      <c r="GF891">
        <v>3.1339486146188911</v>
      </c>
      <c r="GG891">
        <v>2.6796696653298739</v>
      </c>
      <c r="GH891">
        <v>0.58144353567374973</v>
      </c>
      <c r="GI891">
        <v>4.6592124755398761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10.804293592436974</v>
      </c>
      <c r="AO892">
        <v>19.179172252787641</v>
      </c>
      <c r="AP892">
        <v>148.41693695091831</v>
      </c>
      <c r="AQ892">
        <v>32.763409574650019</v>
      </c>
      <c r="AR892">
        <v>19.169704247012426</v>
      </c>
      <c r="AS892">
        <v>211.33674123183661</v>
      </c>
      <c r="AT892">
        <v>8.4708463834639289</v>
      </c>
      <c r="AU892">
        <v>-40.924302623691553</v>
      </c>
      <c r="AV892"/>
      <c r="AW892"/>
      <c r="FY892" s="210">
        <v>887</v>
      </c>
      <c r="FZ892">
        <v>5.8340527814520904</v>
      </c>
      <c r="GA892">
        <v>16.399007143263656</v>
      </c>
      <c r="GB892">
        <v>3.9287844623449431</v>
      </c>
      <c r="GC892">
        <v>0.42626889642624682</v>
      </c>
      <c r="GD892">
        <v>1.2478094507261808</v>
      </c>
      <c r="GE892">
        <v>3.12198002277349</v>
      </c>
      <c r="GF892">
        <v>3.7921227644395636</v>
      </c>
      <c r="GG892">
        <v>2.0568036831167102</v>
      </c>
      <c r="GH892">
        <v>0.58144353567374973</v>
      </c>
      <c r="GI892">
        <v>6.0717583678387417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13.38624095471522</v>
      </c>
      <c r="AO893">
        <v>16.882360635663538</v>
      </c>
      <c r="AP893">
        <v>140.96919910544753</v>
      </c>
      <c r="AQ893">
        <v>40.331694363135753</v>
      </c>
      <c r="AR893">
        <v>16.537198079959573</v>
      </c>
      <c r="AS893">
        <v>90.638708370207254</v>
      </c>
      <c r="AT893">
        <v>10.248280663715228</v>
      </c>
      <c r="AU893">
        <v>-103.21632758791247</v>
      </c>
      <c r="AV893"/>
      <c r="AW893"/>
      <c r="FY893" s="210">
        <v>888</v>
      </c>
      <c r="FZ893">
        <v>7.8645878429798852</v>
      </c>
      <c r="GA893">
        <v>27.587406032102198</v>
      </c>
      <c r="GB893">
        <v>8.6848644543229447</v>
      </c>
      <c r="GC893">
        <v>0.15164639428825175</v>
      </c>
      <c r="GD893">
        <v>0.12529711268303184</v>
      </c>
      <c r="GE893">
        <v>1.436872010983955</v>
      </c>
      <c r="GF893">
        <v>4.4403508283966477</v>
      </c>
      <c r="GG893">
        <v>2.6093581968842599</v>
      </c>
      <c r="GH893">
        <v>0.81723777082165783</v>
      </c>
      <c r="GI893">
        <v>5.2651601914384898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7.6258680555555545</v>
      </c>
      <c r="AO894">
        <v>22.678039490786205</v>
      </c>
      <c r="AP894">
        <v>158.20508050541378</v>
      </c>
      <c r="AQ894">
        <v>20.087365024665299</v>
      </c>
      <c r="AR894">
        <v>21.024966626133118</v>
      </c>
      <c r="AS894">
        <v>81.47099831968778</v>
      </c>
      <c r="AT894" t="e">
        <v>#DIV/0!</v>
      </c>
      <c r="AU894" t="e">
        <v>#DIV/0!</v>
      </c>
      <c r="AV894"/>
      <c r="AW894"/>
      <c r="FY894" s="210">
        <v>889</v>
      </c>
      <c r="FZ894">
        <v>7.9222990619062443</v>
      </c>
      <c r="GA894">
        <v>11.659040485118798</v>
      </c>
      <c r="GB894">
        <v>2.8926861710472376</v>
      </c>
      <c r="GC894">
        <v>0.39094887131270922</v>
      </c>
      <c r="GD894">
        <v>0.3361691685659785</v>
      </c>
      <c r="GE894">
        <v>1.3020918119148961</v>
      </c>
      <c r="GF894">
        <v>3.9418105948476558</v>
      </c>
      <c r="GG894">
        <v>2.4324324403942232</v>
      </c>
      <c r="GH894">
        <v>0.58144353567374973</v>
      </c>
      <c r="GI894">
        <v>3.2920485712403211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6.4175347222222232</v>
      </c>
      <c r="AO895">
        <v>15.641872133638396</v>
      </c>
      <c r="AP895">
        <v>153.79734207470898</v>
      </c>
      <c r="AQ895">
        <v>27.685692466672357</v>
      </c>
      <c r="AR895">
        <v>15.351468378557437</v>
      </c>
      <c r="AS895">
        <v>83.90755030688787</v>
      </c>
      <c r="AT895" t="e">
        <v>#DIV/0!</v>
      </c>
      <c r="AU895" t="e">
        <v>#DIV/0!</v>
      </c>
      <c r="AV895"/>
      <c r="AW895"/>
      <c r="FY895" s="210">
        <v>890</v>
      </c>
      <c r="FZ895">
        <v>0.60043358552420678</v>
      </c>
      <c r="GA895">
        <v>0</v>
      </c>
      <c r="GB895">
        <v>0.19195236145110275</v>
      </c>
      <c r="GC895">
        <v>0.30411492934415452</v>
      </c>
      <c r="GD895">
        <v>0.18488981637634191</v>
      </c>
      <c r="GE895">
        <v>0.8487408369674837</v>
      </c>
      <c r="GF895">
        <v>1.7878259423331393</v>
      </c>
      <c r="GG895">
        <v>0.49447444987130124</v>
      </c>
      <c r="GH895">
        <v>0.17282465026292085</v>
      </c>
      <c r="GI895">
        <v>0.85781402873350776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15.104392798786179</v>
      </c>
      <c r="AO896">
        <v>17.463536932678011</v>
      </c>
      <c r="AP896">
        <v>162.92950386076879</v>
      </c>
      <c r="AQ896">
        <v>56.809953343208676</v>
      </c>
      <c r="AR896">
        <v>17.499450143823275</v>
      </c>
      <c r="AS896">
        <v>98.685094098278867</v>
      </c>
      <c r="AT896">
        <v>8.6074230705067993</v>
      </c>
      <c r="AU896">
        <v>-176.68462264457398</v>
      </c>
      <c r="AV896"/>
      <c r="AW896"/>
      <c r="FY896" s="210">
        <v>891</v>
      </c>
      <c r="FZ896">
        <v>7.8649682190187704</v>
      </c>
      <c r="GA896">
        <v>21.947013679020074</v>
      </c>
      <c r="GB896">
        <v>8.13373085169078</v>
      </c>
      <c r="GC896">
        <v>0.93180356512201701</v>
      </c>
      <c r="GD896">
        <v>1.475547655228981</v>
      </c>
      <c r="GE896">
        <v>2.295752132330612</v>
      </c>
      <c r="GF896">
        <v>3.5143364227117315</v>
      </c>
      <c r="GG896">
        <v>2.6796696653298739</v>
      </c>
      <c r="GH896">
        <v>0.75426818593667067</v>
      </c>
      <c r="GI896">
        <v>6.1167734722031426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9.1991567460317487</v>
      </c>
      <c r="AO897">
        <v>12.658511374335506</v>
      </c>
      <c r="AP897">
        <v>101.65049323226978</v>
      </c>
      <c r="AQ897">
        <v>21.055593126817136</v>
      </c>
      <c r="AR897">
        <v>11.73951892141203</v>
      </c>
      <c r="AS897">
        <v>112.69128461598122</v>
      </c>
      <c r="AT897" t="e">
        <v>#DIV/0!</v>
      </c>
      <c r="AU897" t="e">
        <v>#DIV/0!</v>
      </c>
      <c r="AV897"/>
      <c r="AW897"/>
      <c r="FY897" s="210">
        <v>892</v>
      </c>
      <c r="FZ897">
        <v>6.1161567755553836</v>
      </c>
      <c r="GA897">
        <v>8.2097133251155068</v>
      </c>
      <c r="GB897">
        <v>1.5710895436958423</v>
      </c>
      <c r="GC897">
        <v>0.76603649460143441</v>
      </c>
      <c r="GD897">
        <v>1.1725848260364242</v>
      </c>
      <c r="GE897">
        <v>1.6221098505732674</v>
      </c>
      <c r="GF897">
        <v>3.3287264925002966</v>
      </c>
      <c r="GG897">
        <v>3.1736684029200841</v>
      </c>
      <c r="GH897">
        <v>0.47158847029581613</v>
      </c>
      <c r="GI897">
        <v>4.0039757838515371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9.4528769841269842</v>
      </c>
      <c r="AO898">
        <v>22.996720312100937</v>
      </c>
      <c r="AP898">
        <v>195.22375527297945</v>
      </c>
      <c r="AQ898">
        <v>36.343804896454252</v>
      </c>
      <c r="AR898">
        <v>21.710283990804975</v>
      </c>
      <c r="AS898">
        <v>98.068975101003062</v>
      </c>
      <c r="AT898" t="e">
        <v>#DIV/0!</v>
      </c>
      <c r="AU898" t="e">
        <v>#DIV/0!</v>
      </c>
      <c r="AV898"/>
      <c r="AW898"/>
      <c r="FY898" s="210">
        <v>893</v>
      </c>
      <c r="FZ898">
        <v>7.3381291921736516</v>
      </c>
      <c r="GA898">
        <v>7.8418481383051937</v>
      </c>
      <c r="GB898">
        <v>2.5646761982823318</v>
      </c>
      <c r="GC898">
        <v>0.47164149308683456</v>
      </c>
      <c r="GD898">
        <v>0.71257913972139164</v>
      </c>
      <c r="GE898">
        <v>1.7657346710027924</v>
      </c>
      <c r="GF898">
        <v>2.8684471994048053</v>
      </c>
      <c r="GG898">
        <v>1.1871761882489873</v>
      </c>
      <c r="GH898">
        <v>0</v>
      </c>
      <c r="GI898">
        <v>4.1156718512856365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9.923669467787116</v>
      </c>
      <c r="AO899">
        <v>29.575306742180238</v>
      </c>
      <c r="AP899">
        <v>233.73159749685956</v>
      </c>
      <c r="AQ899">
        <v>26.752498983112503</v>
      </c>
      <c r="AR899">
        <v>27.942375382631397</v>
      </c>
      <c r="AS899">
        <v>361.49365648385049</v>
      </c>
      <c r="AT899">
        <v>15.747648769868752</v>
      </c>
      <c r="AU899">
        <v>-117.71013025054748</v>
      </c>
      <c r="AV899"/>
      <c r="AW899"/>
      <c r="FY899" s="210">
        <v>894</v>
      </c>
      <c r="FZ899">
        <v>4.8644108621479933</v>
      </c>
      <c r="GA899">
        <v>10.957952433142484</v>
      </c>
      <c r="GB899">
        <v>3.5961169514229567</v>
      </c>
      <c r="GC899">
        <v>0.89928070663644</v>
      </c>
      <c r="GD899">
        <v>0.75858131519281424</v>
      </c>
      <c r="GE899">
        <v>0.88029707265621759</v>
      </c>
      <c r="GF899">
        <v>4.79287865172574</v>
      </c>
      <c r="GG899">
        <v>3.9952373859207246</v>
      </c>
      <c r="GH899">
        <v>0.40861888541082891</v>
      </c>
      <c r="GI899">
        <v>4.5043619972243727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9.1197916666666679</v>
      </c>
      <c r="AO900">
        <v>25.67572272838035</v>
      </c>
      <c r="AP900">
        <v>202.73420547746599</v>
      </c>
      <c r="AQ900">
        <v>36.99382063810296</v>
      </c>
      <c r="AR900">
        <v>24.251827805549624</v>
      </c>
      <c r="AS900">
        <v>124.56391716617149</v>
      </c>
      <c r="AT900" t="e">
        <v>#DIV/0!</v>
      </c>
      <c r="AU900" t="e">
        <v>#DIV/0!</v>
      </c>
      <c r="AV900"/>
      <c r="AW900"/>
      <c r="FY900" s="210">
        <v>895</v>
      </c>
      <c r="FZ900">
        <v>2.1339031169960054</v>
      </c>
      <c r="GA900">
        <v>2.3473175153663997</v>
      </c>
      <c r="GB900">
        <v>0.54889736097032882</v>
      </c>
      <c r="GC900">
        <v>0.85785697227927205</v>
      </c>
      <c r="GD900">
        <v>0.57636728746249333</v>
      </c>
      <c r="GE900">
        <v>0.52882159052686695</v>
      </c>
      <c r="GF900">
        <v>3.5422866180986627</v>
      </c>
      <c r="GG900">
        <v>2.749981133775488</v>
      </c>
      <c r="GH900">
        <v>0</v>
      </c>
      <c r="GI900">
        <v>1.7683922886462762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11.633286647992531</v>
      </c>
      <c r="AO901">
        <v>14.75680966185676</v>
      </c>
      <c r="AP901">
        <v>134.18256825770587</v>
      </c>
      <c r="AQ901">
        <v>26.165390710608694</v>
      </c>
      <c r="AR901">
        <v>13.645094592218165</v>
      </c>
      <c r="AS901">
        <v>80.977425268303946</v>
      </c>
      <c r="AT901">
        <v>9.7802590202306572</v>
      </c>
      <c r="AU901">
        <v>4.6263603631969046</v>
      </c>
      <c r="AV901"/>
      <c r="AW901"/>
      <c r="FY901" s="210">
        <v>896</v>
      </c>
      <c r="FZ901">
        <v>1.8521794989315969</v>
      </c>
      <c r="GA901">
        <v>9.0381727096944218</v>
      </c>
      <c r="GB901">
        <v>3.3486279943207715</v>
      </c>
      <c r="GC901">
        <v>0.98668055697394741</v>
      </c>
      <c r="GD901">
        <v>0.9862561649767827</v>
      </c>
      <c r="GE901">
        <v>1.7872687105225087</v>
      </c>
      <c r="GF901">
        <v>5.6273803630205599</v>
      </c>
      <c r="GG901">
        <v>3.9952373859207246</v>
      </c>
      <c r="GH901">
        <v>0.23579423514790807</v>
      </c>
      <c r="GI901">
        <v>3.6692032006804465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13.269673494397759</v>
      </c>
      <c r="AO902">
        <v>18.778328426126187</v>
      </c>
      <c r="AP902">
        <v>112.26798154699738</v>
      </c>
      <c r="AQ902">
        <v>24.427124957831552</v>
      </c>
      <c r="AR902">
        <v>17.428612969540769</v>
      </c>
      <c r="AS902">
        <v>142.24543880576758</v>
      </c>
      <c r="AT902" t="e">
        <v>#DIV/0!</v>
      </c>
      <c r="AU902" t="e">
        <v>#DIV/0!</v>
      </c>
      <c r="AV902"/>
      <c r="AW902"/>
      <c r="FY902" s="210">
        <v>897</v>
      </c>
      <c r="FZ902">
        <v>2.718453362767483</v>
      </c>
      <c r="GA902">
        <v>8.3886314611091013</v>
      </c>
      <c r="GB902">
        <v>2.7193946725211302</v>
      </c>
      <c r="GC902">
        <v>0.20627024255117093</v>
      </c>
      <c r="GD902">
        <v>0.70636013138886244</v>
      </c>
      <c r="GE902">
        <v>2.0251431770927906</v>
      </c>
      <c r="GF902">
        <v>3.9240239955667002</v>
      </c>
      <c r="GG902">
        <v>2.6796696653298739</v>
      </c>
      <c r="GH902">
        <v>0.58144353567374973</v>
      </c>
      <c r="GI902">
        <v>3.394791229473149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11.738671510270773</v>
      </c>
      <c r="AO903">
        <v>25.24261301342424</v>
      </c>
      <c r="AP903">
        <v>207.38543550108605</v>
      </c>
      <c r="AQ903">
        <v>43.460031108055368</v>
      </c>
      <c r="AR903">
        <v>23.408676260284064</v>
      </c>
      <c r="AS903">
        <v>105.44990624016064</v>
      </c>
      <c r="AT903">
        <v>12.27926011079432</v>
      </c>
      <c r="AU903">
        <v>-53.848495683800508</v>
      </c>
      <c r="AV903"/>
      <c r="AW903"/>
      <c r="FY903" s="210">
        <v>898</v>
      </c>
      <c r="FZ903">
        <v>2.6309686470520015</v>
      </c>
      <c r="GA903">
        <v>2.3699833290724288</v>
      </c>
      <c r="GB903">
        <v>0.79664725636300926</v>
      </c>
      <c r="GC903">
        <v>0.60337935548875388</v>
      </c>
      <c r="GD903">
        <v>0.60160968294501593</v>
      </c>
      <c r="GE903">
        <v>1.4958702002706843</v>
      </c>
      <c r="GF903">
        <v>4.5956267660415948</v>
      </c>
      <c r="GG903">
        <v>2.749981133775488</v>
      </c>
      <c r="GH903">
        <v>0.3456493005258417</v>
      </c>
      <c r="GI903">
        <v>2.8353617842062206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10.473046510270773</v>
      </c>
      <c r="AO904">
        <v>15.435746281483606</v>
      </c>
      <c r="AP904">
        <v>132.09221739011912</v>
      </c>
      <c r="AQ904">
        <v>58.982780834901313</v>
      </c>
      <c r="AR904">
        <v>14.695978624308697</v>
      </c>
      <c r="AS904">
        <v>77.047384181413577</v>
      </c>
      <c r="AT904">
        <v>6.1617349310079002</v>
      </c>
      <c r="AU904">
        <v>-69.649373965903706</v>
      </c>
      <c r="AV904"/>
      <c r="AW904"/>
      <c r="FY904" s="210">
        <v>899</v>
      </c>
      <c r="FZ904">
        <v>8.9798060729647062</v>
      </c>
      <c r="GA904">
        <v>8.6599354144284089</v>
      </c>
      <c r="GB904">
        <v>0.43952915719097396</v>
      </c>
      <c r="GC904">
        <v>0.19719572321905338</v>
      </c>
      <c r="GD904">
        <v>0.69915718142954741</v>
      </c>
      <c r="GE904">
        <v>2.0832357414746761</v>
      </c>
      <c r="GF904">
        <v>3.841124583655696</v>
      </c>
      <c r="GG904">
        <v>2.2555066839041871</v>
      </c>
      <c r="GH904">
        <v>0.3456493005258417</v>
      </c>
      <c r="GI904">
        <v>3.9396487467184573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8.9982201213818875</v>
      </c>
      <c r="AO905">
        <v>16.618807640070468</v>
      </c>
      <c r="AP905">
        <v>131.10098049741802</v>
      </c>
      <c r="AQ905">
        <v>34.750970712021811</v>
      </c>
      <c r="AR905">
        <v>15.826413464249732</v>
      </c>
      <c r="AS905">
        <v>73.878186551759143</v>
      </c>
      <c r="AT905">
        <v>8.2576935893803736</v>
      </c>
      <c r="AU905">
        <v>-57.350704315051267</v>
      </c>
      <c r="AV905"/>
      <c r="AW905"/>
      <c r="FY905" s="210">
        <v>900</v>
      </c>
      <c r="FZ905">
        <v>3.8827145604593918</v>
      </c>
      <c r="GA905">
        <v>14.931378618555122</v>
      </c>
      <c r="GB905">
        <v>5.6527616206901312</v>
      </c>
      <c r="GC905">
        <v>0.39374603794066965</v>
      </c>
      <c r="GD905">
        <v>0.69107132942441418</v>
      </c>
      <c r="GE905">
        <v>1.5816592934764846</v>
      </c>
      <c r="GF905">
        <v>2.4366953843529018</v>
      </c>
      <c r="GG905">
        <v>1.4924934770808866</v>
      </c>
      <c r="GH905">
        <v>0.58144353567374973</v>
      </c>
      <c r="GI905">
        <v>4.934536292567361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4.8464562908496731</v>
      </c>
      <c r="AO906">
        <v>19.461318468242411</v>
      </c>
      <c r="AP906">
        <v>139.35963448612787</v>
      </c>
      <c r="AQ906">
        <v>5.4430706008641589</v>
      </c>
      <c r="AR906">
        <v>18.062174352433345</v>
      </c>
      <c r="AS906">
        <v>112.59000351559048</v>
      </c>
      <c r="AT906" t="e">
        <v>#DIV/0!</v>
      </c>
      <c r="AU906" t="e">
        <v>#DIV/0!</v>
      </c>
      <c r="AV906"/>
      <c r="AW906"/>
      <c r="FY906" s="210">
        <v>901</v>
      </c>
      <c r="FZ906">
        <v>3.0582685757971344</v>
      </c>
      <c r="GA906">
        <v>5.8932059088606996</v>
      </c>
      <c r="GB906">
        <v>2.6705881345941922</v>
      </c>
      <c r="GC906">
        <v>0.56041166054770053</v>
      </c>
      <c r="GD906">
        <v>0.83669056546424181</v>
      </c>
      <c r="GE906">
        <v>1.4264591029507969</v>
      </c>
      <c r="GF906">
        <v>1.9899958409667926</v>
      </c>
      <c r="GG906">
        <v>1.1871761882489873</v>
      </c>
      <c r="GH906">
        <v>0</v>
      </c>
      <c r="GI906">
        <v>2.537098885248152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12.436070261437909</v>
      </c>
      <c r="AO907">
        <v>16.259347793056342</v>
      </c>
      <c r="AP907">
        <v>150.31657807810637</v>
      </c>
      <c r="AQ907">
        <v>55.713863848592652</v>
      </c>
      <c r="AR907">
        <v>16.047378665692179</v>
      </c>
      <c r="AS907">
        <v>85.98243934565707</v>
      </c>
      <c r="AT907">
        <v>8.7588558260765161</v>
      </c>
      <c r="AU907">
        <v>-145.31236257482405</v>
      </c>
      <c r="AV907"/>
      <c r="AW907"/>
      <c r="FY907" s="210">
        <v>902</v>
      </c>
      <c r="FZ907">
        <v>5.6888568468102516</v>
      </c>
      <c r="GA907">
        <v>3.4697466669706492</v>
      </c>
      <c r="GB907">
        <v>0.36291040211965164</v>
      </c>
      <c r="GC907">
        <v>0.86796916501725263</v>
      </c>
      <c r="GD907">
        <v>0.86234782200987514</v>
      </c>
      <c r="GE907">
        <v>1.371481760928017</v>
      </c>
      <c r="GF907">
        <v>3.5467729043737508</v>
      </c>
      <c r="GG907">
        <v>2.4324324403942232</v>
      </c>
      <c r="GH907">
        <v>0.23579423514790807</v>
      </c>
      <c r="GI907">
        <v>3.2788517240094377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9.725446428571427</v>
      </c>
      <c r="AO908">
        <v>8.8202343760852173</v>
      </c>
      <c r="AP908">
        <v>66.832553861234047</v>
      </c>
      <c r="AQ908">
        <v>30.435649965145597</v>
      </c>
      <c r="AR908">
        <v>8.6695340183295055</v>
      </c>
      <c r="AS908">
        <v>58.789940812102351</v>
      </c>
      <c r="AT908" t="e">
        <v>#DIV/0!</v>
      </c>
      <c r="AU908" t="e">
        <v>#DIV/0!</v>
      </c>
      <c r="AV908"/>
      <c r="AW908"/>
      <c r="FY908" s="210">
        <v>903</v>
      </c>
      <c r="FZ908">
        <v>1.9098907178579547</v>
      </c>
      <c r="GA908">
        <v>5.9136254158280579</v>
      </c>
      <c r="GB908">
        <v>1.5536393290184694</v>
      </c>
      <c r="GC908">
        <v>0.70057863378430019</v>
      </c>
      <c r="GD908">
        <v>1.0622333962858426</v>
      </c>
      <c r="GE908">
        <v>1.9073102008507035</v>
      </c>
      <c r="GF908">
        <v>2.9845809692275629</v>
      </c>
      <c r="GG908">
        <v>2.0568036831167102</v>
      </c>
      <c r="GH908">
        <v>0.23579423514790807</v>
      </c>
      <c r="GI908">
        <v>3.5993408314455912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9.7972470238095255</v>
      </c>
      <c r="AO909">
        <v>15.968307781156602</v>
      </c>
      <c r="AP909">
        <v>124.43192859579952</v>
      </c>
      <c r="AQ909">
        <v>28.865904071511626</v>
      </c>
      <c r="AR909">
        <v>15.691389470684781</v>
      </c>
      <c r="AS909">
        <v>82.176154625106193</v>
      </c>
      <c r="AT909" t="e">
        <v>#DIV/0!</v>
      </c>
      <c r="AU909" t="e">
        <v>#DIV/0!</v>
      </c>
      <c r="AV909"/>
      <c r="AW909"/>
      <c r="FY909" s="210">
        <v>904</v>
      </c>
      <c r="FZ909">
        <v>4.3832286718447273</v>
      </c>
      <c r="GA909">
        <v>4.4952973877718465</v>
      </c>
      <c r="GB909">
        <v>0.373272404586663</v>
      </c>
      <c r="GC909">
        <v>0.95124342078112623</v>
      </c>
      <c r="GD909">
        <v>1.0504606098672571</v>
      </c>
      <c r="GE909">
        <v>1.2374607539123192</v>
      </c>
      <c r="GF909">
        <v>5.1918450838741919</v>
      </c>
      <c r="GG909">
        <v>4.3123103670208973</v>
      </c>
      <c r="GH909">
        <v>0.23579423514790807</v>
      </c>
      <c r="GI909">
        <v>2.9690810697293277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9.3386437908496731</v>
      </c>
      <c r="AO910">
        <v>14.872065468530872</v>
      </c>
      <c r="AP910">
        <v>106.81464259740008</v>
      </c>
      <c r="AQ910">
        <v>35.657736261480572</v>
      </c>
      <c r="AR910">
        <v>14.23497629670033</v>
      </c>
      <c r="AS910">
        <v>70.984563030224052</v>
      </c>
      <c r="AT910">
        <v>6.531844428176675</v>
      </c>
      <c r="AU910">
        <v>-11.388623243985284</v>
      </c>
      <c r="AV910"/>
      <c r="AW910"/>
      <c r="FY910" s="210">
        <v>905</v>
      </c>
      <c r="FZ910">
        <v>1.3671683512601061</v>
      </c>
      <c r="GA910">
        <v>9.2375103526553755</v>
      </c>
      <c r="GB910">
        <v>3.3252123770429729</v>
      </c>
      <c r="GC910">
        <v>0.47606212042716467</v>
      </c>
      <c r="GD910">
        <v>0.90326306219965924</v>
      </c>
      <c r="GE910">
        <v>1.6144907176274366</v>
      </c>
      <c r="GF910">
        <v>5.2554967854713883</v>
      </c>
      <c r="GG910">
        <v>4.5110133678083741</v>
      </c>
      <c r="GH910">
        <v>0.17282465026292085</v>
      </c>
      <c r="GI910">
        <v>4.2111778007991321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10.78422619047619</v>
      </c>
      <c r="AO911">
        <v>16.683194280728561</v>
      </c>
      <c r="AP911">
        <v>142.08583143542813</v>
      </c>
      <c r="AQ911">
        <v>15.053823884121794</v>
      </c>
      <c r="AR911">
        <v>15.490856079374616</v>
      </c>
      <c r="AS911">
        <v>75.196049827722376</v>
      </c>
      <c r="AT911" t="e">
        <v>#DIV/0!</v>
      </c>
      <c r="AU911" t="e">
        <v>#DIV/0!</v>
      </c>
      <c r="AV911"/>
      <c r="AW911"/>
      <c r="FY911" s="210">
        <v>906</v>
      </c>
      <c r="FZ911">
        <v>8.5528865202584594</v>
      </c>
      <c r="GA911">
        <v>7.3608344335692344</v>
      </c>
      <c r="GB911">
        <v>0.98030075735612798</v>
      </c>
      <c r="GC911">
        <v>1.3338992137688828</v>
      </c>
      <c r="GD911">
        <v>1.4837874881407549</v>
      </c>
      <c r="GE911">
        <v>2.0464804055431869</v>
      </c>
      <c r="GF911">
        <v>3.4831212027765548</v>
      </c>
      <c r="GG911">
        <v>2.2337294396067464</v>
      </c>
      <c r="GH911">
        <v>0.64441312055873701</v>
      </c>
      <c r="GI911">
        <v>4.1310486527117023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10.685515873015872</v>
      </c>
      <c r="AO912">
        <v>12.990990023927305</v>
      </c>
      <c r="AP912">
        <v>102.2442120483997</v>
      </c>
      <c r="AQ912">
        <v>31.526800820189667</v>
      </c>
      <c r="AR912">
        <v>12.063032927684896</v>
      </c>
      <c r="AS912">
        <v>69.962326961197391</v>
      </c>
      <c r="AT912" t="e">
        <v>#DIV/0!</v>
      </c>
      <c r="AU912" t="e">
        <v>#DIV/0!</v>
      </c>
      <c r="AV912"/>
      <c r="AW912"/>
      <c r="FY912" s="210">
        <v>907</v>
      </c>
      <c r="FZ912">
        <v>9.968717463186767</v>
      </c>
      <c r="GA912">
        <v>10.357693197520952</v>
      </c>
      <c r="GB912">
        <v>1.7408369361167688</v>
      </c>
      <c r="GC912">
        <v>0.89855579801051855</v>
      </c>
      <c r="GD912">
        <v>0.88937911742276743</v>
      </c>
      <c r="GE912">
        <v>1.5644514598623733</v>
      </c>
      <c r="GF912">
        <v>1.3798081238701316</v>
      </c>
      <c r="GG912">
        <v>0</v>
      </c>
      <c r="GH912">
        <v>0.17282465026292085</v>
      </c>
      <c r="GI912">
        <v>4.1196838499216843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6.9073223039215677</v>
      </c>
      <c r="AO913">
        <v>14.013116855543746</v>
      </c>
      <c r="AP913">
        <v>106.90956913681725</v>
      </c>
      <c r="AQ913">
        <v>27.344181473474009</v>
      </c>
      <c r="AR913">
        <v>13.009377096520407</v>
      </c>
      <c r="AS913">
        <v>111.22931125756018</v>
      </c>
      <c r="AT913">
        <v>6.2486254901530041</v>
      </c>
      <c r="AU913">
        <v>-65.894117533748457</v>
      </c>
      <c r="AV913"/>
      <c r="AW913"/>
      <c r="FY913" s="210">
        <v>908</v>
      </c>
      <c r="FZ913">
        <v>15.049925635939353</v>
      </c>
      <c r="GA913">
        <v>25.457916557237482</v>
      </c>
      <c r="GB913">
        <v>4.5358128151144088</v>
      </c>
      <c r="GC913">
        <v>0.24450454537195249</v>
      </c>
      <c r="GD913">
        <v>0.1320911646964342</v>
      </c>
      <c r="GE913">
        <v>0.72409741720099796</v>
      </c>
      <c r="GF913">
        <v>4.766238920659684</v>
      </c>
      <c r="GG913">
        <v>3.7480001609850739</v>
      </c>
      <c r="GH913">
        <v>0.23579423514790807</v>
      </c>
      <c r="GI913">
        <v>5.434581658763963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6.4541973039215677</v>
      </c>
      <c r="AO914">
        <v>13.665359773229692</v>
      </c>
      <c r="AP914">
        <v>86.347991033344897</v>
      </c>
      <c r="AQ914">
        <v>19.025077455741037</v>
      </c>
      <c r="AR914">
        <v>13.078623412363346</v>
      </c>
      <c r="AS914">
        <v>55.209206242920203</v>
      </c>
      <c r="AT914" t="e">
        <v>#DIV/0!</v>
      </c>
      <c r="AU914" t="e">
        <v>#DIV/0!</v>
      </c>
      <c r="AV914"/>
      <c r="AW914"/>
      <c r="FY914" s="210">
        <v>909</v>
      </c>
      <c r="FZ914">
        <v>9.7288217242959867</v>
      </c>
      <c r="GA914">
        <v>11.901463448753141</v>
      </c>
      <c r="GB914">
        <v>2.1583342239303764</v>
      </c>
      <c r="GC914">
        <v>1.1346312325477903</v>
      </c>
      <c r="GD914">
        <v>1.2687256437460088</v>
      </c>
      <c r="GE914">
        <v>1.8577370369285275</v>
      </c>
      <c r="GF914">
        <v>2.9202655505040651</v>
      </c>
      <c r="GG914">
        <v>1.7397307020165371</v>
      </c>
      <c r="GH914">
        <v>0.23579423514790807</v>
      </c>
      <c r="GI914">
        <v>4.0025004458097273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8.7647131769374411</v>
      </c>
      <c r="AO915">
        <v>17.42913667493648</v>
      </c>
      <c r="AP915">
        <v>146.3326989852979</v>
      </c>
      <c r="AQ915">
        <v>31.440788605511553</v>
      </c>
      <c r="AR915">
        <v>16.265560156895447</v>
      </c>
      <c r="AS915">
        <v>73.248265994733302</v>
      </c>
      <c r="AT915">
        <v>10.086729769745491</v>
      </c>
      <c r="AU915">
        <v>-89.385744900381056</v>
      </c>
      <c r="AV915"/>
      <c r="AW915"/>
      <c r="FY915" s="210">
        <v>910</v>
      </c>
      <c r="FZ915">
        <v>4.4668844301919846</v>
      </c>
      <c r="GA915">
        <v>7.3608344335692344</v>
      </c>
      <c r="GB915">
        <v>1.0152011867108739</v>
      </c>
      <c r="GC915">
        <v>0.26265358403618749</v>
      </c>
      <c r="GD915">
        <v>0.55388438645713833</v>
      </c>
      <c r="GE915">
        <v>1.6491768832229234</v>
      </c>
      <c r="GF915">
        <v>3.646458247431946</v>
      </c>
      <c r="GG915">
        <v>2.3045166203334526</v>
      </c>
      <c r="GH915">
        <v>0.3456493005258417</v>
      </c>
      <c r="GI915">
        <v>3.4819433834531957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10.611935399159663</v>
      </c>
      <c r="AO916">
        <v>25.488320535376015</v>
      </c>
      <c r="AP916">
        <v>208.33264571843472</v>
      </c>
      <c r="AQ916">
        <v>36.57850015022111</v>
      </c>
      <c r="AR916">
        <v>24.123526531987402</v>
      </c>
      <c r="AS916">
        <v>97.697659288036647</v>
      </c>
      <c r="AT916">
        <v>12.726439433885702</v>
      </c>
      <c r="AU916">
        <v>-86.035187056720872</v>
      </c>
      <c r="AV916"/>
      <c r="AW916"/>
      <c r="FY916" s="210">
        <v>911</v>
      </c>
      <c r="FZ916">
        <v>4.2798606163765163</v>
      </c>
      <c r="GA916">
        <v>12.781152439411006</v>
      </c>
      <c r="GB916">
        <v>4.0148248874841856</v>
      </c>
      <c r="GC916">
        <v>0.51881428273000596</v>
      </c>
      <c r="GD916">
        <v>0.56898072826080881</v>
      </c>
      <c r="GE916">
        <v>0.99165576019333135</v>
      </c>
      <c r="GF916">
        <v>4.4718872413777397</v>
      </c>
      <c r="GG916">
        <v>3.7480001609850739</v>
      </c>
      <c r="GH916">
        <v>0.58144353567374973</v>
      </c>
      <c r="GI916">
        <v>4.1893744295218607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7.2100694444444446</v>
      </c>
      <c r="AO917">
        <v>13.534154001092313</v>
      </c>
      <c r="AP917">
        <v>91.524100039489738</v>
      </c>
      <c r="AQ917">
        <v>20.159894862678698</v>
      </c>
      <c r="AR917">
        <v>13.022797150115057</v>
      </c>
      <c r="AS917">
        <v>60.80713260476346</v>
      </c>
      <c r="AT917" t="e">
        <v>#DIV/0!</v>
      </c>
      <c r="AU917" t="e">
        <v>#DIV/0!</v>
      </c>
      <c r="AV917"/>
      <c r="AW917"/>
      <c r="FY917" s="210">
        <v>912</v>
      </c>
      <c r="FZ917">
        <v>4.143332932953947</v>
      </c>
      <c r="GA917">
        <v>11.932273547864732</v>
      </c>
      <c r="GB917">
        <v>3.4589365304992175</v>
      </c>
      <c r="GC917">
        <v>0.56819536288494399</v>
      </c>
      <c r="GD917">
        <v>0.84703424802906868</v>
      </c>
      <c r="GE917">
        <v>1.8650781844094313</v>
      </c>
      <c r="GF917">
        <v>6.0441397716110128</v>
      </c>
      <c r="GG917">
        <v>4.9719548811139624</v>
      </c>
      <c r="GH917">
        <v>1.2258566562324869</v>
      </c>
      <c r="GI917">
        <v>4.5458659373204409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8.8278769841269842</v>
      </c>
      <c r="AO918">
        <v>11.805379206010139</v>
      </c>
      <c r="AP918">
        <v>88.902449784594097</v>
      </c>
      <c r="AQ918">
        <v>22.117163967781014</v>
      </c>
      <c r="AR918">
        <v>11.350218726967061</v>
      </c>
      <c r="AS918">
        <v>60.071011473388346</v>
      </c>
      <c r="AT918" t="e">
        <v>#DIV/0!</v>
      </c>
      <c r="AU918" t="e">
        <v>#DIV/0!</v>
      </c>
      <c r="AV918"/>
      <c r="AW918"/>
      <c r="FY918" s="210">
        <v>913</v>
      </c>
      <c r="FZ918">
        <v>3.6006105663560986</v>
      </c>
      <c r="GA918">
        <v>9.1636149328703951</v>
      </c>
      <c r="GB918">
        <v>2.6356877052394463</v>
      </c>
      <c r="GC918">
        <v>0.87542022363700045</v>
      </c>
      <c r="GD918">
        <v>1.2700446478783856</v>
      </c>
      <c r="GE918">
        <v>2.4549700746615248</v>
      </c>
      <c r="GF918">
        <v>4.7728612557008985</v>
      </c>
      <c r="GG918">
        <v>2.8783726661173508</v>
      </c>
      <c r="GH918">
        <v>0.17282465026292085</v>
      </c>
      <c r="GI918">
        <v>4.7553236938778012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9.5257936507936503</v>
      </c>
      <c r="AO919">
        <v>14.741787994090799</v>
      </c>
      <c r="AP919">
        <v>100.64109212477126</v>
      </c>
      <c r="AQ919">
        <v>21.923797412563101</v>
      </c>
      <c r="AR919">
        <v>13.729877637497015</v>
      </c>
      <c r="AS919">
        <v>67.907752933010258</v>
      </c>
      <c r="AT919" t="e">
        <v>#DIV/0!</v>
      </c>
      <c r="AU919" t="e">
        <v>#DIV/0!</v>
      </c>
      <c r="AV919"/>
      <c r="AW919"/>
      <c r="FY919" s="210">
        <v>914</v>
      </c>
      <c r="FZ919">
        <v>2.718453362767483</v>
      </c>
      <c r="GA919">
        <v>8.1892938181481494</v>
      </c>
      <c r="GB919">
        <v>2.7229387786263111</v>
      </c>
      <c r="GC919">
        <v>0.37086360715616284</v>
      </c>
      <c r="GD919">
        <v>0.88565228849388955</v>
      </c>
      <c r="GE919">
        <v>2.0569691007529904</v>
      </c>
      <c r="GF919">
        <v>4.7205021259917972</v>
      </c>
      <c r="GG919">
        <v>3.7480001609850739</v>
      </c>
      <c r="GH919">
        <v>0.23579423514790807</v>
      </c>
      <c r="GI919">
        <v>4.0031535798362166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14.637028769841271</v>
      </c>
      <c r="AO920">
        <v>19.288726257065456</v>
      </c>
      <c r="AP920">
        <v>174.96709704265854</v>
      </c>
      <c r="AQ920">
        <v>25.199994004536265</v>
      </c>
      <c r="AR920">
        <v>17.954219164091835</v>
      </c>
      <c r="AS920">
        <v>99.226880819140263</v>
      </c>
      <c r="AT920" t="e">
        <v>#DIV/0!</v>
      </c>
      <c r="AU920" t="e">
        <v>#DIV/0!</v>
      </c>
      <c r="AV920"/>
      <c r="AW920"/>
      <c r="FY920" s="210">
        <v>915</v>
      </c>
      <c r="FZ920">
        <v>6.2315792134081001</v>
      </c>
      <c r="GA920">
        <v>15.056820841731094</v>
      </c>
      <c r="GB920">
        <v>5.2864043286610203</v>
      </c>
      <c r="GC920">
        <v>0.7951962780900983</v>
      </c>
      <c r="GD920">
        <v>0.72019762357195116</v>
      </c>
      <c r="GE920">
        <v>0.9975993449417998</v>
      </c>
      <c r="GF920">
        <v>4.5209113996574946</v>
      </c>
      <c r="GG920">
        <v>3.7965343851332478</v>
      </c>
      <c r="GH920">
        <v>0.81723777082165783</v>
      </c>
      <c r="GI920">
        <v>4.747842131125724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10.383534663865545</v>
      </c>
      <c r="AO921">
        <v>19.4404553028441</v>
      </c>
      <c r="AP921">
        <v>152.88727578298619</v>
      </c>
      <c r="AQ921">
        <v>31.07421958555453</v>
      </c>
      <c r="AR921">
        <v>18.074429905267966</v>
      </c>
      <c r="AS921">
        <v>90.147292679868627</v>
      </c>
      <c r="AT921">
        <v>10.470948447753972</v>
      </c>
      <c r="AU921">
        <v>35.694532029602271</v>
      </c>
      <c r="AV921"/>
      <c r="AW921"/>
      <c r="FY921" s="210">
        <v>916</v>
      </c>
      <c r="FZ921">
        <v>3.5428993474297403</v>
      </c>
      <c r="GA921">
        <v>13.903581591015254</v>
      </c>
      <c r="GB921">
        <v>3.9311179202025022</v>
      </c>
      <c r="GC921">
        <v>0.66040810547120743</v>
      </c>
      <c r="GD921">
        <v>0.67221984216908937</v>
      </c>
      <c r="GE921">
        <v>1.0659256241096702</v>
      </c>
      <c r="GF921">
        <v>5.9669280583605495</v>
      </c>
      <c r="GG921">
        <v>5.4174193945559974</v>
      </c>
      <c r="GH921">
        <v>1.0530320059695661</v>
      </c>
      <c r="GI921">
        <v>4.9434082404250459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10.547845179738562</v>
      </c>
      <c r="AO922">
        <v>9.0106981342321824</v>
      </c>
      <c r="AP922">
        <v>64.411236550394435</v>
      </c>
      <c r="AQ922">
        <v>32.25050123429039</v>
      </c>
      <c r="AR922">
        <v>8.9011501773041903</v>
      </c>
      <c r="AS922">
        <v>59.506656391527841</v>
      </c>
      <c r="AT922">
        <v>4.3706716128241192</v>
      </c>
      <c r="AU922">
        <v>11.023971454310205</v>
      </c>
      <c r="AV922"/>
      <c r="AW922"/>
      <c r="FY922" s="210">
        <v>917</v>
      </c>
      <c r="FZ922">
        <v>2.7761645816938412</v>
      </c>
      <c r="GA922">
        <v>7.0360545674323074</v>
      </c>
      <c r="GB922">
        <v>1.4675110652415406</v>
      </c>
      <c r="GC922">
        <v>0.68547990533703684</v>
      </c>
      <c r="GD922">
        <v>0.9771424901596053</v>
      </c>
      <c r="GE922">
        <v>1.6124068397437867</v>
      </c>
      <c r="GF922">
        <v>1.2746358264030837</v>
      </c>
      <c r="GG922">
        <v>0.49447444987130124</v>
      </c>
      <c r="GH922">
        <v>0.3456493005258417</v>
      </c>
      <c r="GI922">
        <v>3.3465870357068992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12.770191409897292</v>
      </c>
      <c r="AO923">
        <v>22.773672993481206</v>
      </c>
      <c r="AP923">
        <v>199.12522623862773</v>
      </c>
      <c r="AQ923">
        <v>31.091950596174883</v>
      </c>
      <c r="AR923">
        <v>21.99109981307776</v>
      </c>
      <c r="AS923">
        <v>105.46574108482162</v>
      </c>
      <c r="AT923" t="e">
        <v>#DIV/0!</v>
      </c>
      <c r="AU923" t="e">
        <v>#DIV/0!</v>
      </c>
      <c r="AV923"/>
      <c r="AW923"/>
      <c r="FY923" s="210">
        <v>918</v>
      </c>
      <c r="FZ923">
        <v>5.7465680657366089</v>
      </c>
      <c r="GA923">
        <v>10.380359011226984</v>
      </c>
      <c r="GB923">
        <v>1.9711366168320767</v>
      </c>
      <c r="GC923">
        <v>0.99984305992889955</v>
      </c>
      <c r="GD923">
        <v>0.73028882122179373</v>
      </c>
      <c r="GE923">
        <v>1.0559676328563712</v>
      </c>
      <c r="GF923">
        <v>3.8603722939695038</v>
      </c>
      <c r="GG923">
        <v>2.1271151515623243</v>
      </c>
      <c r="GH923">
        <v>0.3456493005258417</v>
      </c>
      <c r="GI923">
        <v>3.8066542689856915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8.6273561507936503</v>
      </c>
      <c r="AO924">
        <v>28.834822516270123</v>
      </c>
      <c r="AP924">
        <v>273.67027222046471</v>
      </c>
      <c r="AQ924">
        <v>60.328963111117254</v>
      </c>
      <c r="AR924">
        <v>27.198975454318667</v>
      </c>
      <c r="AS924">
        <v>414.32848018081575</v>
      </c>
      <c r="AT924" t="e">
        <v>#DIV/0!</v>
      </c>
      <c r="AU924" t="e">
        <v>#DIV/0!</v>
      </c>
      <c r="AV924"/>
      <c r="AW924"/>
      <c r="FY924" s="210">
        <v>919</v>
      </c>
      <c r="FZ924">
        <v>7.9803906568714869</v>
      </c>
      <c r="GA924">
        <v>2.6947631952093558</v>
      </c>
      <c r="GB924">
        <v>0.32325521841210242</v>
      </c>
      <c r="GC924">
        <v>0.37366077378412327</v>
      </c>
      <c r="GD924">
        <v>0.92520353098390773</v>
      </c>
      <c r="GE924">
        <v>2.6289229752350081</v>
      </c>
      <c r="GF924">
        <v>4.8067588483957708</v>
      </c>
      <c r="GG924">
        <v>2.9269068902655246</v>
      </c>
      <c r="GH924">
        <v>0.40861888541082891</v>
      </c>
      <c r="GI924">
        <v>3.4417731990904308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9.3689236111111107</v>
      </c>
      <c r="AO925">
        <v>12.440275194619881</v>
      </c>
      <c r="AP925">
        <v>116.90102440790346</v>
      </c>
      <c r="AQ925">
        <v>36.948004243680074</v>
      </c>
      <c r="AR925">
        <v>12.396425768647383</v>
      </c>
      <c r="AS925">
        <v>89.952742224127078</v>
      </c>
      <c r="AT925" t="e">
        <v>#DIV/0!</v>
      </c>
      <c r="AU925" t="e">
        <v>#DIV/0!</v>
      </c>
      <c r="AV925"/>
      <c r="AW925"/>
      <c r="FY925" s="210">
        <v>920</v>
      </c>
      <c r="FZ925">
        <v>3.5428993474297403</v>
      </c>
      <c r="GA925">
        <v>8.4090509680764605</v>
      </c>
      <c r="GB925">
        <v>1.516405441806165</v>
      </c>
      <c r="GC925">
        <v>0.55069173271814598</v>
      </c>
      <c r="GD925">
        <v>0.56519917306050949</v>
      </c>
      <c r="GE925">
        <v>1.2121672883115906</v>
      </c>
      <c r="GF925">
        <v>2.9618753489679497</v>
      </c>
      <c r="GG925">
        <v>1.5628049455265007</v>
      </c>
      <c r="GH925">
        <v>0</v>
      </c>
      <c r="GI925">
        <v>2.6922600036899658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7.1217320261437909</v>
      </c>
      <c r="AO926">
        <v>17.507299986521712</v>
      </c>
      <c r="AP926">
        <v>129.40212376062746</v>
      </c>
      <c r="AQ926">
        <v>25.087202455932779</v>
      </c>
      <c r="AR926">
        <v>16.211672185161881</v>
      </c>
      <c r="AS926">
        <v>66.587142706814063</v>
      </c>
      <c r="AT926" t="e">
        <v>#DIV/0!</v>
      </c>
      <c r="AU926" t="e">
        <v>#DIV/0!</v>
      </c>
      <c r="AV926"/>
      <c r="AW926"/>
      <c r="FY926" s="210">
        <v>921</v>
      </c>
      <c r="FZ926">
        <v>12.331852649210756</v>
      </c>
      <c r="GA926">
        <v>11.827568028968161</v>
      </c>
      <c r="GB926">
        <v>1.4675989038792268</v>
      </c>
      <c r="GC926">
        <v>0.30282411234928031</v>
      </c>
      <c r="GD926">
        <v>0.23259268978540779</v>
      </c>
      <c r="GE926">
        <v>0.79665002668856544</v>
      </c>
      <c r="GF926">
        <v>2.3269867030710545</v>
      </c>
      <c r="GG926">
        <v>1.1871761882489873</v>
      </c>
      <c r="GH926">
        <v>0.17282465026292085</v>
      </c>
      <c r="GI926">
        <v>4.0966414904669897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11.991027661064425</v>
      </c>
      <c r="AO927">
        <v>19.927566716081447</v>
      </c>
      <c r="AP927">
        <v>167.15672984511636</v>
      </c>
      <c r="AQ927">
        <v>36.145994082014276</v>
      </c>
      <c r="AR927">
        <v>18.943394939306636</v>
      </c>
      <c r="AS927">
        <v>85.781726319392149</v>
      </c>
      <c r="AT927">
        <v>10.309078615977933</v>
      </c>
      <c r="AU927">
        <v>-46.211062267950972</v>
      </c>
      <c r="AV927"/>
      <c r="AW927"/>
      <c r="FY927" s="210">
        <v>922</v>
      </c>
      <c r="FZ927">
        <v>4.5129216427727226</v>
      </c>
      <c r="GA927">
        <v>20.551351464669892</v>
      </c>
      <c r="GB927">
        <v>7.4429955316396317</v>
      </c>
      <c r="GC927">
        <v>0.81107644754452668</v>
      </c>
      <c r="GD927">
        <v>0.79328049659530775</v>
      </c>
      <c r="GE927">
        <v>0.71909512802756237</v>
      </c>
      <c r="GF927">
        <v>3.4182259003888924</v>
      </c>
      <c r="GG927">
        <v>2.8783726661173508</v>
      </c>
      <c r="GH927">
        <v>0.17282465026292085</v>
      </c>
      <c r="GI927">
        <v>5.0262530785950714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12.922801412231559</v>
      </c>
      <c r="AO928">
        <v>21.084689919085161</v>
      </c>
      <c r="AP928">
        <v>147.62953929043761</v>
      </c>
      <c r="AQ928">
        <v>39.602668052919235</v>
      </c>
      <c r="AR928">
        <v>19.641594522788672</v>
      </c>
      <c r="AS928">
        <v>91.287141150453323</v>
      </c>
      <c r="AT928">
        <v>7.3965689053256263</v>
      </c>
      <c r="AU928">
        <v>-14.360951431683807</v>
      </c>
      <c r="AV928"/>
      <c r="AW928"/>
      <c r="FY928" s="210">
        <v>923</v>
      </c>
      <c r="FZ928">
        <v>5.8340527814520904</v>
      </c>
      <c r="GA928">
        <v>18.569652829375134</v>
      </c>
      <c r="GB928">
        <v>4.5520523815441596</v>
      </c>
      <c r="GC928">
        <v>0.73059935840861345</v>
      </c>
      <c r="GD928">
        <v>0.71875516470900003</v>
      </c>
      <c r="GE928">
        <v>0.87799094491644269</v>
      </c>
      <c r="GF928">
        <v>4.9425664821338318</v>
      </c>
      <c r="GG928">
        <v>4.193940386708201</v>
      </c>
      <c r="GH928">
        <v>0.3456493005258417</v>
      </c>
      <c r="GI928">
        <v>4.6532070504939913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12.656104108309991</v>
      </c>
      <c r="AO929">
        <v>28.058724618512848</v>
      </c>
      <c r="AP929">
        <v>228.29384849837544</v>
      </c>
      <c r="AQ929">
        <v>32.579730416601819</v>
      </c>
      <c r="AR929">
        <v>26.008642814969303</v>
      </c>
      <c r="AS929">
        <v>109.393232449415</v>
      </c>
      <c r="AT929">
        <v>16.540511856060892</v>
      </c>
      <c r="AU929">
        <v>1.037788383579181</v>
      </c>
      <c r="AV929"/>
      <c r="AW929"/>
      <c r="FY929" s="210">
        <v>924</v>
      </c>
      <c r="FZ929">
        <v>9.613399286443272</v>
      </c>
      <c r="GA929">
        <v>7.3608344335692344</v>
      </c>
      <c r="GB929">
        <v>0.87681011753951243</v>
      </c>
      <c r="GC929">
        <v>0.23198745091443732</v>
      </c>
      <c r="GD929">
        <v>0.40480614605369541</v>
      </c>
      <c r="GE929">
        <v>1.1037593374340573</v>
      </c>
      <c r="GF929">
        <v>1.9322691976139139</v>
      </c>
      <c r="GG929">
        <v>0.93993896331333671</v>
      </c>
      <c r="GH929">
        <v>0.3456493005258417</v>
      </c>
      <c r="GI929">
        <v>2.5833642346844918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8.3315972222222197</v>
      </c>
      <c r="AO930">
        <v>21.152017318323512</v>
      </c>
      <c r="AP930">
        <v>170.54136341889586</v>
      </c>
      <c r="AQ930">
        <v>29.651621057905981</v>
      </c>
      <c r="AR930">
        <v>19.61602919256746</v>
      </c>
      <c r="AS930">
        <v>90.94728553403958</v>
      </c>
      <c r="AT930" t="e">
        <v>#DIV/0!</v>
      </c>
      <c r="AU930" t="e">
        <v>#DIV/0!</v>
      </c>
      <c r="AV930"/>
      <c r="AW930"/>
      <c r="FY930" s="210">
        <v>925</v>
      </c>
      <c r="FZ930">
        <v>3.94042577938575</v>
      </c>
      <c r="GA930">
        <v>9.6361856385772828</v>
      </c>
      <c r="GB930">
        <v>3.7032395359824388</v>
      </c>
      <c r="GC930">
        <v>1.0581626269062274</v>
      </c>
      <c r="GD930">
        <v>1.0188233274169083</v>
      </c>
      <c r="GE930">
        <v>1.2867559323695679</v>
      </c>
      <c r="GF930">
        <v>2.7399001954199473</v>
      </c>
      <c r="GG930">
        <v>1.9869679269521878</v>
      </c>
      <c r="GH930">
        <v>0.40861888541082891</v>
      </c>
      <c r="GI930">
        <v>3.4386465727673183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12.274261788048552</v>
      </c>
      <c r="AO931">
        <v>16.376598725114675</v>
      </c>
      <c r="AP931">
        <v>131.95726577615969</v>
      </c>
      <c r="AQ931">
        <v>42.970323317142189</v>
      </c>
      <c r="AR931">
        <v>15.693308119868743</v>
      </c>
      <c r="AS931">
        <v>95.39499658222104</v>
      </c>
      <c r="AT931">
        <v>6.5637223057384517</v>
      </c>
      <c r="AU931">
        <v>-8.4912821009453658</v>
      </c>
      <c r="AV931"/>
      <c r="AW931"/>
      <c r="FY931" s="210">
        <v>926</v>
      </c>
      <c r="FZ931">
        <v>7.4833251268154903</v>
      </c>
      <c r="GA931">
        <v>12.707257019626024</v>
      </c>
      <c r="GB931">
        <v>3.4077086960770346</v>
      </c>
      <c r="GC931">
        <v>0.22940581692468895</v>
      </c>
      <c r="GD931">
        <v>0.3483830168388295</v>
      </c>
      <c r="GE931">
        <v>1.6882530544418348</v>
      </c>
      <c r="GF931">
        <v>5.2157773349925431</v>
      </c>
      <c r="GG931">
        <v>3.3723714037075605</v>
      </c>
      <c r="GH931">
        <v>0.23579423514790807</v>
      </c>
      <c r="GI931">
        <v>3.6250445905649489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10.940928454715216</v>
      </c>
      <c r="AO932">
        <v>15.977849701265921</v>
      </c>
      <c r="AP932">
        <v>136.74988393816309</v>
      </c>
      <c r="AQ932">
        <v>41.156940129708616</v>
      </c>
      <c r="AR932">
        <v>14.856146842024945</v>
      </c>
      <c r="AS932">
        <v>87.201951180132198</v>
      </c>
      <c r="AT932">
        <v>6.288474736923745</v>
      </c>
      <c r="AU932">
        <v>-4.1236407629079093</v>
      </c>
      <c r="AV932"/>
      <c r="AW932"/>
      <c r="FY932" s="210">
        <v>927</v>
      </c>
      <c r="FZ932">
        <v>4.4250565510183559</v>
      </c>
      <c r="GA932">
        <v>21.326334936431184</v>
      </c>
      <c r="GB932">
        <v>7.6161991915280529</v>
      </c>
      <c r="GC932">
        <v>0.6647492326830533</v>
      </c>
      <c r="GD932">
        <v>0.53530780719560933</v>
      </c>
      <c r="GE932">
        <v>1.2203171252139262</v>
      </c>
      <c r="GF932">
        <v>2.6185218504698717</v>
      </c>
      <c r="GG932">
        <v>1.1871761882489873</v>
      </c>
      <c r="GH932">
        <v>0.17282465026292085</v>
      </c>
      <c r="GI932">
        <v>4.6304642518331445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8.1920445261437926</v>
      </c>
      <c r="AO933">
        <v>16.541623363031469</v>
      </c>
      <c r="AP933">
        <v>116.56208159186571</v>
      </c>
      <c r="AQ933">
        <v>20.016106062115245</v>
      </c>
      <c r="AR933">
        <v>15.394238224904822</v>
      </c>
      <c r="AS933">
        <v>67.509791958611942</v>
      </c>
      <c r="AT933">
        <v>9.6487783816572499</v>
      </c>
      <c r="AU933">
        <v>-135.96775092267779</v>
      </c>
      <c r="AV933"/>
      <c r="AW933"/>
      <c r="FY933" s="210">
        <v>928</v>
      </c>
      <c r="FZ933">
        <v>6.2315792134081001</v>
      </c>
      <c r="GA933">
        <v>6.2384052819649849</v>
      </c>
      <c r="GB933">
        <v>1.2385098714115419</v>
      </c>
      <c r="GC933">
        <v>0.62586952136483476</v>
      </c>
      <c r="GD933">
        <v>0.59021363056399023</v>
      </c>
      <c r="GE933">
        <v>1.2031088864019157</v>
      </c>
      <c r="GF933">
        <v>4.0911782402389836</v>
      </c>
      <c r="GG933">
        <v>3.4091499355874602</v>
      </c>
      <c r="GH933">
        <v>1.2258566562324869</v>
      </c>
      <c r="GI933">
        <v>3.7503305382245848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9.6336367880485518</v>
      </c>
      <c r="AO934">
        <v>20.885107725750622</v>
      </c>
      <c r="AP934">
        <v>176.58407950309194</v>
      </c>
      <c r="AQ934">
        <v>31.0239542228461</v>
      </c>
      <c r="AR934">
        <v>19.789377941536102</v>
      </c>
      <c r="AS934">
        <v>128.67239425150396</v>
      </c>
      <c r="AT934">
        <v>12.284802218700634</v>
      </c>
      <c r="AU934">
        <v>-44.270280595735713</v>
      </c>
      <c r="AV934"/>
      <c r="AW934"/>
      <c r="FY934" s="210">
        <v>929</v>
      </c>
      <c r="FZ934">
        <v>3.0582685757971344</v>
      </c>
      <c r="GA934">
        <v>2.5693209720333821</v>
      </c>
      <c r="GB934">
        <v>0.94531248936369561</v>
      </c>
      <c r="GC934">
        <v>1.0264212094278151</v>
      </c>
      <c r="GD934">
        <v>1.1231681999502625</v>
      </c>
      <c r="GE934">
        <v>1.6981528763406353</v>
      </c>
      <c r="GF934">
        <v>6.003962367955312</v>
      </c>
      <c r="GG934">
        <v>4.6879391242984099</v>
      </c>
      <c r="GH934">
        <v>0.23579423514790807</v>
      </c>
      <c r="GI934">
        <v>3.8495160601893925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8.2466299019607838</v>
      </c>
      <c r="AO935">
        <v>13.710313443838714</v>
      </c>
      <c r="AP935">
        <v>117.35496004003211</v>
      </c>
      <c r="AQ935">
        <v>26.510254173658538</v>
      </c>
      <c r="AR935">
        <v>13.60760445565187</v>
      </c>
      <c r="AS935">
        <v>60.481054371085996</v>
      </c>
      <c r="AT935">
        <v>7.3754913848581296</v>
      </c>
      <c r="AU935">
        <v>18.36742089944277</v>
      </c>
      <c r="AV935"/>
      <c r="AW935"/>
      <c r="FY935" s="210">
        <v>930</v>
      </c>
      <c r="FZ935">
        <v>5.7763415625257331</v>
      </c>
      <c r="GA935">
        <v>10.505801234402956</v>
      </c>
      <c r="GB935">
        <v>1.4326984745244808</v>
      </c>
      <c r="GC935">
        <v>0.99575507630606497</v>
      </c>
      <c r="GD935">
        <v>0.70882399426973741</v>
      </c>
      <c r="GE935">
        <v>0.49752033526195161</v>
      </c>
      <c r="GF935">
        <v>1.7871568560749427</v>
      </c>
      <c r="GG935">
        <v>1.2937904762934096</v>
      </c>
      <c r="GH935">
        <v>0.81723777082165783</v>
      </c>
      <c r="GI935">
        <v>3.2562309020808291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7.6481894841269833</v>
      </c>
      <c r="AO936">
        <v>21.640550014676254</v>
      </c>
      <c r="AP936">
        <v>190.93973766911307</v>
      </c>
      <c r="AQ936">
        <v>23.013354249587032</v>
      </c>
      <c r="AR936">
        <v>20.049199434021439</v>
      </c>
      <c r="AS936">
        <v>83.95100512431145</v>
      </c>
      <c r="AT936" t="e">
        <v>#DIV/0!</v>
      </c>
      <c r="AU936" t="e">
        <v>#DIV/0!</v>
      </c>
      <c r="AV936"/>
      <c r="AW936"/>
      <c r="FY936" s="210">
        <v>931</v>
      </c>
      <c r="FZ936">
        <v>12.244367933495276</v>
      </c>
      <c r="GA936">
        <v>18.349895679446821</v>
      </c>
      <c r="GB936">
        <v>5.6563057267953116</v>
      </c>
      <c r="GC936">
        <v>0.59929137186591908</v>
      </c>
      <c r="GD936">
        <v>0.58036372590238194</v>
      </c>
      <c r="GE936">
        <v>0.94486352054517697</v>
      </c>
      <c r="GF936">
        <v>4.7782287693446754</v>
      </c>
      <c r="GG936">
        <v>4.3490888989007974</v>
      </c>
      <c r="GH936">
        <v>0.88020735570664521</v>
      </c>
      <c r="GI936">
        <v>5.5958716627058456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5.9922896241830061</v>
      </c>
      <c r="AO937">
        <v>21.578663391981042</v>
      </c>
      <c r="AP937">
        <v>192.14687225582799</v>
      </c>
      <c r="AQ937">
        <v>34.742715442931349</v>
      </c>
      <c r="AR937">
        <v>20.938959894164295</v>
      </c>
      <c r="AS937">
        <v>79.118717976916614</v>
      </c>
      <c r="AT937">
        <v>14.147877759818215</v>
      </c>
      <c r="AU937">
        <v>-41.464014672351908</v>
      </c>
      <c r="AV937"/>
      <c r="AW937"/>
      <c r="FY937" s="210">
        <v>932</v>
      </c>
      <c r="FZ937">
        <v>5.8344331574909756</v>
      </c>
      <c r="GA937">
        <v>10.758614790181531</v>
      </c>
      <c r="GB937">
        <v>3.5334921435615128</v>
      </c>
      <c r="GC937">
        <v>1.1054714490591264</v>
      </c>
      <c r="GD937">
        <v>1.307204742616515</v>
      </c>
      <c r="GE937">
        <v>1.9443352247536587</v>
      </c>
      <c r="GF937">
        <v>2.4171498280859525</v>
      </c>
      <c r="GG937">
        <v>1.8948792142091335</v>
      </c>
      <c r="GH937">
        <v>0.94317694059163226</v>
      </c>
      <c r="GI937">
        <v>4.4206491149197431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11.467736052754434</v>
      </c>
      <c r="AO938">
        <v>22.836893793543553</v>
      </c>
      <c r="AP938">
        <v>169.06165999201079</v>
      </c>
      <c r="AQ938">
        <v>46.326397006613874</v>
      </c>
      <c r="AR938">
        <v>21.322009077798633</v>
      </c>
      <c r="AS938">
        <v>95.70501816381568</v>
      </c>
      <c r="AT938">
        <v>10.947976554252881</v>
      </c>
      <c r="AU938">
        <v>37.426401637885164</v>
      </c>
      <c r="AV938"/>
      <c r="AW938"/>
      <c r="FY938" s="210">
        <v>933</v>
      </c>
      <c r="FZ938">
        <v>8.4073102095777337</v>
      </c>
      <c r="GA938">
        <v>16.199669500302704</v>
      </c>
      <c r="GB938">
        <v>3.8799779244180055</v>
      </c>
      <c r="GC938">
        <v>0.99984305992889955</v>
      </c>
      <c r="GD938">
        <v>1.8188251529674275</v>
      </c>
      <c r="GE938">
        <v>3.2974717949243697</v>
      </c>
      <c r="GF938">
        <v>5.8595191126745387</v>
      </c>
      <c r="GG938">
        <v>4.2424746108563749</v>
      </c>
      <c r="GH938">
        <v>0.58144353567374973</v>
      </c>
      <c r="GI938">
        <v>7.1663308752327444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10.783810399159664</v>
      </c>
      <c r="AO939">
        <v>20.866011476581143</v>
      </c>
      <c r="AP939">
        <v>189.03779718180687</v>
      </c>
      <c r="AQ939">
        <v>45.418466680267301</v>
      </c>
      <c r="AR939">
        <v>19.410895779484488</v>
      </c>
      <c r="AS939">
        <v>88.148826035878855</v>
      </c>
      <c r="AT939">
        <v>10.997245084697994</v>
      </c>
      <c r="AU939">
        <v>-29.967668904755133</v>
      </c>
      <c r="AV939"/>
      <c r="AW939"/>
      <c r="FY939" s="210">
        <v>934</v>
      </c>
      <c r="FZ939">
        <v>16.52422854987179</v>
      </c>
      <c r="GA939">
        <v>17.173990615024952</v>
      </c>
      <c r="GB939">
        <v>3.7927268510311407</v>
      </c>
      <c r="GC939">
        <v>0.44441793509048189</v>
      </c>
      <c r="GD939">
        <v>0.87252270963245504</v>
      </c>
      <c r="GE939">
        <v>2.2271712779368218</v>
      </c>
      <c r="GF939">
        <v>4.7354945324532487</v>
      </c>
      <c r="GG939">
        <v>3.1736684029200841</v>
      </c>
      <c r="GH939">
        <v>0.64441312055873701</v>
      </c>
      <c r="GI939">
        <v>6.67987005064015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5.3274611928104578</v>
      </c>
      <c r="AO940">
        <v>5.2651649326731889</v>
      </c>
      <c r="AP940">
        <v>48.636268493154638</v>
      </c>
      <c r="AQ940">
        <v>25.392818468091793</v>
      </c>
      <c r="AR940">
        <v>5.7816375557805522</v>
      </c>
      <c r="AS940">
        <v>29.861488682909631</v>
      </c>
      <c r="AT940" t="e">
        <v>#DIV/0!</v>
      </c>
      <c r="AU940" t="e">
        <v>#DIV/0!</v>
      </c>
      <c r="AV940"/>
      <c r="AW940"/>
      <c r="FY940" s="210">
        <v>935</v>
      </c>
      <c r="FZ940">
        <v>10.553648084997132</v>
      </c>
      <c r="GA940">
        <v>4.8654088813208318</v>
      </c>
      <c r="GB940">
        <v>0.93270486767681215</v>
      </c>
      <c r="GC940">
        <v>0.36394084595456866</v>
      </c>
      <c r="GD940">
        <v>1.0275275789380174</v>
      </c>
      <c r="GE940">
        <v>2.0506916231173373</v>
      </c>
      <c r="GF940">
        <v>3.8493086291826</v>
      </c>
      <c r="GG940">
        <v>3.3723714037075605</v>
      </c>
      <c r="GH940">
        <v>0.58144353567374973</v>
      </c>
      <c r="GI940">
        <v>4.0495128084148728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10.560617997198879</v>
      </c>
      <c r="AO941">
        <v>14.837795143848023</v>
      </c>
      <c r="AP941">
        <v>105.23574812075445</v>
      </c>
      <c r="AQ941">
        <v>29.217726421188456</v>
      </c>
      <c r="AR941">
        <v>14.245194564045985</v>
      </c>
      <c r="AS941">
        <v>121.31045181138917</v>
      </c>
      <c r="AT941">
        <v>6.6427744443803105</v>
      </c>
      <c r="AU941">
        <v>1.2955851744117375</v>
      </c>
      <c r="AV941"/>
      <c r="AW941"/>
      <c r="FY941" s="210">
        <v>936</v>
      </c>
      <c r="FZ941">
        <v>7.4376682902736375</v>
      </c>
      <c r="GA941">
        <v>4.8654088813208318</v>
      </c>
      <c r="GB941">
        <v>0.84303249779470257</v>
      </c>
      <c r="GC941">
        <v>0.3745593258705715</v>
      </c>
      <c r="GD941">
        <v>0.82227227544057213</v>
      </c>
      <c r="GE941">
        <v>1.7148070009571335</v>
      </c>
      <c r="GF941">
        <v>5.1362321502238171</v>
      </c>
      <c r="GG941">
        <v>4.193940386708201</v>
      </c>
      <c r="GH941">
        <v>0</v>
      </c>
      <c r="GI941">
        <v>4.6573535422269376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11.067212301587301</v>
      </c>
      <c r="AO942">
        <v>21.304907595517324</v>
      </c>
      <c r="AP942">
        <v>181.26358935062086</v>
      </c>
      <c r="AQ942">
        <v>38.313320295136862</v>
      </c>
      <c r="AR942">
        <v>20.222586424377099</v>
      </c>
      <c r="AS942">
        <v>92.959087680085574</v>
      </c>
      <c r="AT942" t="e">
        <v>#DIV/0!</v>
      </c>
      <c r="AU942" t="e">
        <v>#DIV/0!</v>
      </c>
      <c r="AV942"/>
      <c r="AW942"/>
      <c r="FY942" s="210">
        <v>937</v>
      </c>
      <c r="FZ942">
        <v>4.45299427315559</v>
      </c>
      <c r="GA942">
        <v>8.0411857812661456</v>
      </c>
      <c r="GB942">
        <v>2.7356342389508805</v>
      </c>
      <c r="GC942">
        <v>1.168660440666454</v>
      </c>
      <c r="GD942">
        <v>1.4029760315454567</v>
      </c>
      <c r="GE942">
        <v>2.1485114083970585</v>
      </c>
      <c r="GF942">
        <v>3.5984570963495783</v>
      </c>
      <c r="GG942">
        <v>2.0568036831167102</v>
      </c>
      <c r="GH942">
        <v>0.40861888541082891</v>
      </c>
      <c r="GI942">
        <v>3.8015743711774368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13.280856092436974</v>
      </c>
      <c r="AO943">
        <v>25.25649084651247</v>
      </c>
      <c r="AP943">
        <v>224.88037401828635</v>
      </c>
      <c r="AQ943">
        <v>44.396951784885104</v>
      </c>
      <c r="AR943">
        <v>23.424629777612154</v>
      </c>
      <c r="AS943">
        <v>114.83692087164175</v>
      </c>
      <c r="AT943">
        <v>14.639136349837168</v>
      </c>
      <c r="AU943">
        <v>-27.719749236607399</v>
      </c>
      <c r="AV943"/>
      <c r="AW943"/>
      <c r="FY943" s="210">
        <v>938</v>
      </c>
      <c r="FZ943">
        <v>3.8827145604593918</v>
      </c>
      <c r="GA943">
        <v>9.0381727096944218</v>
      </c>
      <c r="GB943">
        <v>3.0868747741601767</v>
      </c>
      <c r="GC943">
        <v>0.60402476398619087</v>
      </c>
      <c r="GD943">
        <v>0.65440833462492365</v>
      </c>
      <c r="GE943">
        <v>1.3519346638085383</v>
      </c>
      <c r="GF943">
        <v>6.8024200489594806</v>
      </c>
      <c r="GG943">
        <v>5.3108051065115749</v>
      </c>
      <c r="GH943">
        <v>0.58144353567374973</v>
      </c>
      <c r="GI943">
        <v>3.7793667250330838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10.535648634453782</v>
      </c>
      <c r="AO944">
        <v>22.161987287829238</v>
      </c>
      <c r="AP944">
        <v>180.15755805790985</v>
      </c>
      <c r="AQ944">
        <v>28.604201775398884</v>
      </c>
      <c r="AR944">
        <v>21.063156172587824</v>
      </c>
      <c r="AS944">
        <v>87.990872457571072</v>
      </c>
      <c r="AT944">
        <v>9.590652423351953</v>
      </c>
      <c r="AU944">
        <v>-54.589879288344072</v>
      </c>
      <c r="AV944"/>
      <c r="AW944"/>
      <c r="FY944" s="210">
        <v>939</v>
      </c>
      <c r="FZ944">
        <v>4.8644108621479933</v>
      </c>
      <c r="GA944">
        <v>5.0647465242817846</v>
      </c>
      <c r="GB944">
        <v>1.13493139295724</v>
      </c>
      <c r="GC944">
        <v>0.30587442256625191</v>
      </c>
      <c r="GD944">
        <v>0.93416157923295295</v>
      </c>
      <c r="GE944">
        <v>2.4558756995663691</v>
      </c>
      <c r="GF944">
        <v>4.4579064452548707</v>
      </c>
      <c r="GG944">
        <v>3.1256098910530015</v>
      </c>
      <c r="GH944">
        <v>0</v>
      </c>
      <c r="GI944">
        <v>3.9296592614921977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8.9097222222222214</v>
      </c>
      <c r="AO945">
        <v>21.428622466793961</v>
      </c>
      <c r="AP945">
        <v>166.0518441224859</v>
      </c>
      <c r="AQ945">
        <v>25.197856110503949</v>
      </c>
      <c r="AR945">
        <v>20.312101693366948</v>
      </c>
      <c r="AS945">
        <v>81.828911423017374</v>
      </c>
      <c r="AT945" t="e">
        <v>#DIV/0!</v>
      </c>
      <c r="AU945" t="e">
        <v>#DIV/0!</v>
      </c>
      <c r="AV945"/>
      <c r="AW945"/>
      <c r="FY945" s="210">
        <v>940</v>
      </c>
      <c r="FZ945">
        <v>3.2611757293653318</v>
      </c>
      <c r="GA945">
        <v>13.883162084047894</v>
      </c>
      <c r="GB945">
        <v>5.1702182285198353</v>
      </c>
      <c r="GC945">
        <v>0.961608757108118</v>
      </c>
      <c r="GD945">
        <v>0.97376740871013567</v>
      </c>
      <c r="GE945">
        <v>1.4019743267715004</v>
      </c>
      <c r="GF945">
        <v>5.5008466455372007</v>
      </c>
      <c r="GG945">
        <v>4.1353846105308607</v>
      </c>
      <c r="GH945">
        <v>0.17282465026292085</v>
      </c>
      <c r="GI945">
        <v>4.9069187470165865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9.3940534547152215</v>
      </c>
      <c r="AO946">
        <v>15.335658492801437</v>
      </c>
      <c r="AP946">
        <v>133.60734943555678</v>
      </c>
      <c r="AQ946">
        <v>27.071356682561767</v>
      </c>
      <c r="AR946">
        <v>14.267227944270683</v>
      </c>
      <c r="AS946">
        <v>67.437501952739808</v>
      </c>
      <c r="AT946">
        <v>7.6246666935641834</v>
      </c>
      <c r="AU946">
        <v>70.461058360474453</v>
      </c>
      <c r="AV946"/>
      <c r="AW946"/>
      <c r="FY946" s="210">
        <v>941</v>
      </c>
      <c r="FZ946">
        <v>6.2613527101972233</v>
      </c>
      <c r="GA946">
        <v>16.199669500302704</v>
      </c>
      <c r="GB946">
        <v>4.0346085600191168</v>
      </c>
      <c r="GC946">
        <v>0.99510966780862775</v>
      </c>
      <c r="GD946">
        <v>1.2201694966268537</v>
      </c>
      <c r="GE946">
        <v>1.3011039292462914</v>
      </c>
      <c r="GF946">
        <v>1.1247274024019132</v>
      </c>
      <c r="GG946">
        <v>0.93993896331333671</v>
      </c>
      <c r="GH946">
        <v>0</v>
      </c>
      <c r="GI946">
        <v>4.7437185919540141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9.3968035130718945</v>
      </c>
      <c r="AO947">
        <v>18.262614558024655</v>
      </c>
      <c r="AP947">
        <v>141.08910474047778</v>
      </c>
      <c r="AQ947">
        <v>53.97848464470885</v>
      </c>
      <c r="AR947">
        <v>18.294532368960649</v>
      </c>
      <c r="AS947">
        <v>136.62113435750319</v>
      </c>
      <c r="AT947">
        <v>8.8095252662036536</v>
      </c>
      <c r="AU947">
        <v>-28.45340178604523</v>
      </c>
      <c r="AV947"/>
      <c r="AW947"/>
      <c r="FY947" s="210">
        <v>942</v>
      </c>
      <c r="FZ947">
        <v>13.599862278409759</v>
      </c>
      <c r="GA947">
        <v>18.201787642564817</v>
      </c>
      <c r="GB947">
        <v>5.6166505430877631</v>
      </c>
      <c r="GC947">
        <v>0.43276178176861596</v>
      </c>
      <c r="GD947">
        <v>0.58008881790858591</v>
      </c>
      <c r="GE947">
        <v>0.62997929384568896</v>
      </c>
      <c r="GF947">
        <v>1.7002196505539686</v>
      </c>
      <c r="GG947">
        <v>1.9166564585065737</v>
      </c>
      <c r="GH947">
        <v>0.64441312055873701</v>
      </c>
      <c r="GI947">
        <v>5.3884967590439228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11.059027777777777</v>
      </c>
      <c r="AO948">
        <v>17.410159830789581</v>
      </c>
      <c r="AP948">
        <v>148.33023323208326</v>
      </c>
      <c r="AQ948">
        <v>34.159406605469783</v>
      </c>
      <c r="AR948">
        <v>16.648763728306207</v>
      </c>
      <c r="AS948">
        <v>80.615559887613827</v>
      </c>
      <c r="AT948" t="e">
        <v>#DIV/0!</v>
      </c>
      <c r="AU948" t="e">
        <v>#DIV/0!</v>
      </c>
      <c r="AV948"/>
      <c r="AW948"/>
      <c r="FY948" s="210">
        <v>943</v>
      </c>
      <c r="FZ948">
        <v>7.4535516300263671</v>
      </c>
      <c r="GA948">
        <v>1.9486422294444932</v>
      </c>
      <c r="GB948">
        <v>0.20819192788085333</v>
      </c>
      <c r="GC948">
        <v>1.0465064735843614</v>
      </c>
      <c r="GD948">
        <v>0.92948991672991865</v>
      </c>
      <c r="GE948">
        <v>1.5820930619495774</v>
      </c>
      <c r="GF948">
        <v>8.7155530779172423</v>
      </c>
      <c r="GG948">
        <v>6.9221442761862484</v>
      </c>
      <c r="GH948">
        <v>0.47158847029581613</v>
      </c>
      <c r="GI948">
        <v>4.5043917212282194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14.102386788048554</v>
      </c>
      <c r="AO949">
        <v>22.276459080909881</v>
      </c>
      <c r="AP949">
        <v>160.27871561203725</v>
      </c>
      <c r="AQ949">
        <v>52.45286577655655</v>
      </c>
      <c r="AR949">
        <v>21.121803330070346</v>
      </c>
      <c r="AS949">
        <v>100.25746341297777</v>
      </c>
      <c r="AT949">
        <v>9.1616298661194744</v>
      </c>
      <c r="AU949">
        <v>-17.820857317686546</v>
      </c>
      <c r="AV949"/>
      <c r="AW949"/>
      <c r="FY949" s="210">
        <v>944</v>
      </c>
      <c r="FZ949">
        <v>5.9709608409135448</v>
      </c>
      <c r="GA949">
        <v>3.5436420867556286</v>
      </c>
      <c r="GB949">
        <v>0.77565293558045545</v>
      </c>
      <c r="GC949">
        <v>0.14795067557384306</v>
      </c>
      <c r="GD949">
        <v>0.52497054342490324</v>
      </c>
      <c r="GE949">
        <v>1.6491768832229234</v>
      </c>
      <c r="GF949">
        <v>4.5533478813195138</v>
      </c>
      <c r="GG949">
        <v>3.3723714037075605</v>
      </c>
      <c r="GH949">
        <v>0.40861888541082891</v>
      </c>
      <c r="GI949">
        <v>3.1438741745005769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11.974432481325865</v>
      </c>
      <c r="AO950">
        <v>28.802455767766922</v>
      </c>
      <c r="AP950">
        <v>211.8965919674132</v>
      </c>
      <c r="AQ950">
        <v>56.268504045159858</v>
      </c>
      <c r="AR950">
        <v>28.476746178769652</v>
      </c>
      <c r="AS950">
        <v>121.56755429004141</v>
      </c>
      <c r="AT950">
        <v>12.728711973725224</v>
      </c>
      <c r="AU950">
        <v>-30.740795154335764</v>
      </c>
      <c r="AV950"/>
      <c r="AW950"/>
      <c r="FY950" s="210">
        <v>945</v>
      </c>
      <c r="FZ950">
        <v>2.2493255548487214</v>
      </c>
      <c r="GA950">
        <v>4.5179632014778752</v>
      </c>
      <c r="GB950">
        <v>0.96518400053631337</v>
      </c>
      <c r="GC950">
        <v>0.59929137186591908</v>
      </c>
      <c r="GD950">
        <v>0.60013027911187788</v>
      </c>
      <c r="GE950">
        <v>1.7453788844618821</v>
      </c>
      <c r="GF950">
        <v>5.1395836092417087</v>
      </c>
      <c r="GG950">
        <v>2.9972183587111387</v>
      </c>
      <c r="GH950">
        <v>0.3456493005258417</v>
      </c>
      <c r="GI950">
        <v>3.4800927227546374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8.126940359477123</v>
      </c>
      <c r="AO951">
        <v>20.523666198743193</v>
      </c>
      <c r="AP951">
        <v>154.36257353809984</v>
      </c>
      <c r="AQ951">
        <v>31.646558258983482</v>
      </c>
      <c r="AR951">
        <v>20.476367883457204</v>
      </c>
      <c r="AS951">
        <v>78.413301320613897</v>
      </c>
      <c r="AT951">
        <v>10.592626309673514</v>
      </c>
      <c r="AU951">
        <v>-26.228740509853619</v>
      </c>
      <c r="AV951"/>
      <c r="AW951"/>
      <c r="FY951" s="210">
        <v>946</v>
      </c>
      <c r="FZ951">
        <v>4.806699643221636</v>
      </c>
      <c r="GA951">
        <v>24.316997008092503</v>
      </c>
      <c r="GB951">
        <v>8.8593666010966761</v>
      </c>
      <c r="GC951">
        <v>0.52917961905699762</v>
      </c>
      <c r="GD951">
        <v>0.64650918862086026</v>
      </c>
      <c r="GE951">
        <v>1.4257146184450835</v>
      </c>
      <c r="GF951">
        <v>4.0362290237149105</v>
      </c>
      <c r="GG951">
        <v>2.8783726661173508</v>
      </c>
      <c r="GH951">
        <v>0.51847395078876257</v>
      </c>
      <c r="GI951">
        <v>5.9357006960446235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7.8168402777777768</v>
      </c>
      <c r="AO952">
        <v>17.960333448589957</v>
      </c>
      <c r="AP952">
        <v>107.58697220373375</v>
      </c>
      <c r="AQ952">
        <v>30.045274350816399</v>
      </c>
      <c r="AR952">
        <v>17.540570094786425</v>
      </c>
      <c r="AS952">
        <v>129.82917485559102</v>
      </c>
      <c r="AT952" t="e">
        <v>#DIV/0!</v>
      </c>
      <c r="AU952" t="e">
        <v>#DIV/0!</v>
      </c>
      <c r="AV952"/>
      <c r="AW952"/>
      <c r="FY952" s="210">
        <v>947</v>
      </c>
      <c r="FZ952">
        <v>4.7644913880091213</v>
      </c>
      <c r="GA952">
        <v>16.606787785253683</v>
      </c>
      <c r="GB952">
        <v>4.9980495396036639</v>
      </c>
      <c r="GC952">
        <v>0.84931075036530812</v>
      </c>
      <c r="GD952">
        <v>0.67551698780552949</v>
      </c>
      <c r="GE952">
        <v>0.66466545944117617</v>
      </c>
      <c r="GF952">
        <v>4.7338024389976638</v>
      </c>
      <c r="GG952">
        <v>3.9952373859207246</v>
      </c>
      <c r="GH952">
        <v>0.40861888541082891</v>
      </c>
      <c r="GI952">
        <v>4.2626167317498682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13.153251925770309</v>
      </c>
      <c r="AO953">
        <v>15.120088371269668</v>
      </c>
      <c r="AP953">
        <v>113.98326010553609</v>
      </c>
      <c r="AQ953">
        <v>29.815416210036137</v>
      </c>
      <c r="AR953">
        <v>14.433968001511456</v>
      </c>
      <c r="AS953">
        <v>79.289811711731431</v>
      </c>
      <c r="AT953">
        <v>7.4054639355003502</v>
      </c>
      <c r="AU953">
        <v>1.5966626241142796</v>
      </c>
      <c r="AV953"/>
      <c r="AW953"/>
      <c r="FY953" s="210">
        <v>948</v>
      </c>
      <c r="FZ953">
        <v>9.9113866202992966</v>
      </c>
      <c r="GA953">
        <v>18.076345419388844</v>
      </c>
      <c r="GB953">
        <v>6.2086499776750994</v>
      </c>
      <c r="GC953">
        <v>0.40755394939305911</v>
      </c>
      <c r="GD953">
        <v>0.45983379434956911</v>
      </c>
      <c r="GE953">
        <v>1.2651249573664396</v>
      </c>
      <c r="GF953">
        <v>1.8335627370010261</v>
      </c>
      <c r="GG953">
        <v>0.84832596285137418</v>
      </c>
      <c r="GH953">
        <v>0.64441312055873701</v>
      </c>
      <c r="GI953">
        <v>4.9065237063351237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9.8862409547152197</v>
      </c>
      <c r="AO954">
        <v>11.281946768524799</v>
      </c>
      <c r="AP954">
        <v>91.170520535057122</v>
      </c>
      <c r="AQ954">
        <v>35.092165222911532</v>
      </c>
      <c r="AR954">
        <v>10.927207128701845</v>
      </c>
      <c r="AS954">
        <v>68.54931760129962</v>
      </c>
      <c r="AT954">
        <v>5.386046233205783</v>
      </c>
      <c r="AU954">
        <v>-15.325544657118812</v>
      </c>
      <c r="AV954"/>
      <c r="AW954"/>
      <c r="FY954" s="210">
        <v>949</v>
      </c>
      <c r="FZ954">
        <v>9.3686642537014464</v>
      </c>
      <c r="GA954">
        <v>19.229584670104686</v>
      </c>
      <c r="GB954">
        <v>7.5813866008109922</v>
      </c>
      <c r="GC954">
        <v>0.68522676174802566</v>
      </c>
      <c r="GD954">
        <v>0.67587316157697996</v>
      </c>
      <c r="GE954">
        <v>0.87799094491644269</v>
      </c>
      <c r="GF954">
        <v>2.8619813625506452</v>
      </c>
      <c r="GG954">
        <v>2.6578924210324333</v>
      </c>
      <c r="GH954">
        <v>1.2258566562324869</v>
      </c>
      <c r="GI954">
        <v>5.4911538515028413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7.8211805555555545</v>
      </c>
      <c r="AO955">
        <v>18.600515504932599</v>
      </c>
      <c r="AP955">
        <v>140.81783700795623</v>
      </c>
      <c r="AQ955">
        <v>26.273176078552662</v>
      </c>
      <c r="AR955">
        <v>17.653684681440584</v>
      </c>
      <c r="AS955">
        <v>73.652609811186196</v>
      </c>
      <c r="AT955" t="e">
        <v>#DIV/0!</v>
      </c>
      <c r="AU955" t="e">
        <v>#DIV/0!</v>
      </c>
      <c r="AV955"/>
      <c r="AW955"/>
      <c r="FY955" s="210">
        <v>950</v>
      </c>
      <c r="FZ955">
        <v>13.553825065829024</v>
      </c>
      <c r="GA955">
        <v>17.153571108057591</v>
      </c>
      <c r="GB955">
        <v>5.2201475760567089</v>
      </c>
      <c r="GC955">
        <v>1.0035387786433083</v>
      </c>
      <c r="GD955">
        <v>0.64107965965737956</v>
      </c>
      <c r="GE955">
        <v>0.7618729611708861</v>
      </c>
      <c r="GF955">
        <v>5.2295261406635287</v>
      </c>
      <c r="GG955">
        <v>3.818311629430688</v>
      </c>
      <c r="GH955">
        <v>0</v>
      </c>
      <c r="GI955">
        <v>5.9609437557499705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10.117289624183005</v>
      </c>
      <c r="AO956">
        <v>18.905985857324922</v>
      </c>
      <c r="AP956">
        <v>165.32788056685038</v>
      </c>
      <c r="AQ956">
        <v>40.367881187870381</v>
      </c>
      <c r="AR956">
        <v>17.594663949540191</v>
      </c>
      <c r="AS956">
        <v>88.135340049970338</v>
      </c>
      <c r="AT956">
        <v>11.348610710697265</v>
      </c>
      <c r="AU956">
        <v>-22.895351561948253</v>
      </c>
      <c r="AV956"/>
      <c r="AW956"/>
      <c r="FY956" s="210">
        <v>951</v>
      </c>
      <c r="FZ956">
        <v>7.2800375972084073</v>
      </c>
      <c r="GA956">
        <v>21.546092086359494</v>
      </c>
      <c r="GB956">
        <v>6.2574565156020379</v>
      </c>
      <c r="GC956">
        <v>0.81911638228046824</v>
      </c>
      <c r="GD956">
        <v>0.9812022833183256</v>
      </c>
      <c r="GE956">
        <v>1.2601226681930042</v>
      </c>
      <c r="GF956">
        <v>3.2287095675665327</v>
      </c>
      <c r="GG956">
        <v>2.5512781329880112</v>
      </c>
      <c r="GH956">
        <v>0.40861888541082891</v>
      </c>
      <c r="GI956">
        <v>5.3900750880207298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10.527529761904761</v>
      </c>
      <c r="AO957">
        <v>22.822852096125597</v>
      </c>
      <c r="AP957">
        <v>184.57879648298197</v>
      </c>
      <c r="AQ957">
        <v>36.820398821870079</v>
      </c>
      <c r="AR957">
        <v>21.25979274790167</v>
      </c>
      <c r="AS957">
        <v>102.50037783805445</v>
      </c>
      <c r="AT957" t="e">
        <v>#DIV/0!</v>
      </c>
      <c r="AU957" t="e">
        <v>#DIV/0!</v>
      </c>
      <c r="AV957"/>
      <c r="AW957"/>
      <c r="FY957" s="210">
        <v>952</v>
      </c>
      <c r="FZ957">
        <v>5.6888568468102516</v>
      </c>
      <c r="GA957">
        <v>6.0390676390040312</v>
      </c>
      <c r="GB957">
        <v>0.85814925461451708</v>
      </c>
      <c r="GC957">
        <v>0.43287889284789938</v>
      </c>
      <c r="GD957">
        <v>0.41213091301129845</v>
      </c>
      <c r="GE957">
        <v>0.98539339530322489</v>
      </c>
      <c r="GF957">
        <v>4.9704274749267308</v>
      </c>
      <c r="GG957">
        <v>3.5710744044950373</v>
      </c>
      <c r="GH957">
        <v>0.17282465026292085</v>
      </c>
      <c r="GI957">
        <v>2.6763193463452843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11.220960259103638</v>
      </c>
      <c r="AO958">
        <v>22.688768557191327</v>
      </c>
      <c r="AP958">
        <v>181.07920187491959</v>
      </c>
      <c r="AQ958">
        <v>48.710916346248439</v>
      </c>
      <c r="AR958">
        <v>22.624575445963188</v>
      </c>
      <c r="AS958">
        <v>104.89451853213879</v>
      </c>
      <c r="AT958">
        <v>9.6497920591350308</v>
      </c>
      <c r="AU958">
        <v>-14.989822323615414</v>
      </c>
      <c r="AV958"/>
      <c r="AW958"/>
      <c r="FY958" s="210">
        <v>953</v>
      </c>
      <c r="FZ958">
        <v>8.3495989906513763</v>
      </c>
      <c r="GA958">
        <v>13.829686171230275</v>
      </c>
      <c r="GB958">
        <v>3.2403826001513529</v>
      </c>
      <c r="GC958">
        <v>0.28467507368504524</v>
      </c>
      <c r="GD958">
        <v>0.75915878306877016</v>
      </c>
      <c r="GE958">
        <v>2.5859547717814837</v>
      </c>
      <c r="GF958">
        <v>2.4236156649401126</v>
      </c>
      <c r="GG958">
        <v>0.60108873791572359</v>
      </c>
      <c r="GH958">
        <v>0.81723777082165783</v>
      </c>
      <c r="GI958">
        <v>4.6982898658647851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13.054191468253965</v>
      </c>
      <c r="AO959">
        <v>20.6112908880398</v>
      </c>
      <c r="AP959">
        <v>158.53018953180026</v>
      </c>
      <c r="AQ959">
        <v>33.782152785243099</v>
      </c>
      <c r="AR959">
        <v>20.002263495929167</v>
      </c>
      <c r="AS959">
        <v>101.90572312544231</v>
      </c>
      <c r="AT959" t="e">
        <v>#DIV/0!</v>
      </c>
      <c r="AU959" t="e">
        <v>#DIV/0!</v>
      </c>
      <c r="AV959"/>
      <c r="AW959"/>
      <c r="FY959" s="210">
        <v>954</v>
      </c>
      <c r="FZ959">
        <v>4.0554678411995813</v>
      </c>
      <c r="GA959">
        <v>15.831804313492388</v>
      </c>
      <c r="GB959">
        <v>5.0992067215627213</v>
      </c>
      <c r="GC959">
        <v>0.33133848734050719</v>
      </c>
      <c r="GD959">
        <v>0.18006894609929611</v>
      </c>
      <c r="GE959">
        <v>1.0929926567593262</v>
      </c>
      <c r="GF959">
        <v>5.110964327596581</v>
      </c>
      <c r="GG959">
        <v>3.1954456472175239</v>
      </c>
      <c r="GH959">
        <v>0.17282465026292085</v>
      </c>
      <c r="GI959">
        <v>3.8980902796087875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7.0224235527544341</v>
      </c>
      <c r="AO960">
        <v>13.8456014292946</v>
      </c>
      <c r="AP960">
        <v>123.51686739262628</v>
      </c>
      <c r="AQ960">
        <v>24.090566310409777</v>
      </c>
      <c r="AR960">
        <v>13.711013554958733</v>
      </c>
      <c r="AS960">
        <v>57.67404786226858</v>
      </c>
      <c r="AT960">
        <v>8.2458903882260142</v>
      </c>
      <c r="AU960">
        <v>-44.345987687931213</v>
      </c>
      <c r="AV960"/>
      <c r="AW960"/>
      <c r="FY960" s="210">
        <v>955</v>
      </c>
      <c r="FZ960">
        <v>4.8644108621479933</v>
      </c>
      <c r="GA960">
        <v>18.822466385153707</v>
      </c>
      <c r="GB960">
        <v>6.4957941184848336</v>
      </c>
      <c r="GC960">
        <v>0.68892248046243421</v>
      </c>
      <c r="GD960">
        <v>0.41589300260722945</v>
      </c>
      <c r="GE960">
        <v>0.67730517755284347</v>
      </c>
      <c r="GF960">
        <v>6.0791554255723828</v>
      </c>
      <c r="GG960">
        <v>4.9351763492340606</v>
      </c>
      <c r="GH960">
        <v>0.40861888541082891</v>
      </c>
      <c r="GI960">
        <v>5.7715246371248039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11.471062383286647</v>
      </c>
      <c r="AO961">
        <v>19.606593780189506</v>
      </c>
      <c r="AP961">
        <v>148.34003963043727</v>
      </c>
      <c r="AQ961">
        <v>22.639817283535915</v>
      </c>
      <c r="AR961">
        <v>18.174826526562427</v>
      </c>
      <c r="AS961">
        <v>91.645120332085739</v>
      </c>
      <c r="AT961">
        <v>10.559318055846671</v>
      </c>
      <c r="AU961">
        <v>-33.40539646198846</v>
      </c>
      <c r="AV961"/>
      <c r="AW961"/>
      <c r="FY961" s="210">
        <v>956</v>
      </c>
      <c r="FZ961">
        <v>4.0282908711401166</v>
      </c>
      <c r="GA961">
        <v>8.4625268808940817</v>
      </c>
      <c r="GB961">
        <v>3.6171112722055101</v>
      </c>
      <c r="GC961">
        <v>1.1158367853861182</v>
      </c>
      <c r="GD961">
        <v>1.1241457227829277</v>
      </c>
      <c r="GE961">
        <v>1.9023872293385333</v>
      </c>
      <c r="GF961">
        <v>3.2264505802839469</v>
      </c>
      <c r="GG961">
        <v>1.5628049455265007</v>
      </c>
      <c r="GH961">
        <v>0</v>
      </c>
      <c r="GI961">
        <v>3.7681718150942878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11.480341094771244</v>
      </c>
      <c r="AO962">
        <v>23.618665168951448</v>
      </c>
      <c r="AP962">
        <v>204.92713285553148</v>
      </c>
      <c r="AQ962">
        <v>53.953243015199405</v>
      </c>
      <c r="AR962">
        <v>22.364147725699222</v>
      </c>
      <c r="AS962">
        <v>95.333985492118899</v>
      </c>
      <c r="AT962">
        <v>13.91808266874432</v>
      </c>
      <c r="AU962">
        <v>-227.73602069699632</v>
      </c>
      <c r="AV962"/>
      <c r="AW962"/>
      <c r="FY962" s="210">
        <v>957</v>
      </c>
      <c r="FZ962">
        <v>6.4047128701871738</v>
      </c>
      <c r="GA962">
        <v>20.551351464669892</v>
      </c>
      <c r="GB962">
        <v>7.5290359567788734</v>
      </c>
      <c r="GC962">
        <v>0.51752346573513164</v>
      </c>
      <c r="GD962">
        <v>0.60173791873742455</v>
      </c>
      <c r="GE962">
        <v>1.4593698447630137</v>
      </c>
      <c r="GF962">
        <v>5.1155398164657022</v>
      </c>
      <c r="GG962">
        <v>3.5710744044950373</v>
      </c>
      <c r="GH962">
        <v>0.3456493005258417</v>
      </c>
      <c r="GI962">
        <v>5.3850503883683585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14.158212243230626</v>
      </c>
      <c r="AO963">
        <v>14.959272094746925</v>
      </c>
      <c r="AP963">
        <v>120.23272693324152</v>
      </c>
      <c r="AQ963">
        <v>41.959097352557571</v>
      </c>
      <c r="AR963">
        <v>13.86227094018578</v>
      </c>
      <c r="AS963">
        <v>97.112337424284135</v>
      </c>
      <c r="AT963">
        <v>6.615962615437172</v>
      </c>
      <c r="AU963">
        <v>35.676644143172815</v>
      </c>
      <c r="AV963"/>
      <c r="AW963"/>
      <c r="FY963" s="210">
        <v>958</v>
      </c>
      <c r="FZ963">
        <v>5.4648444476722009</v>
      </c>
      <c r="GA963">
        <v>8.1892938181481494</v>
      </c>
      <c r="GB963">
        <v>2.7554179114858122</v>
      </c>
      <c r="GC963">
        <v>0.35013293450217936</v>
      </c>
      <c r="GD963">
        <v>0.79191597354538601</v>
      </c>
      <c r="GE963">
        <v>1.5766570043030494</v>
      </c>
      <c r="GF963">
        <v>2.0138190401497216</v>
      </c>
      <c r="GG963">
        <v>1.6113391696746744</v>
      </c>
      <c r="GH963">
        <v>0.40861888541082891</v>
      </c>
      <c r="GI963">
        <v>3.1083272163186004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11.424953314659197</v>
      </c>
      <c r="AO964">
        <v>22.079656617164698</v>
      </c>
      <c r="AP964">
        <v>181.31667534479368</v>
      </c>
      <c r="AQ964">
        <v>44.561720245218574</v>
      </c>
      <c r="AR964">
        <v>21.854839087409612</v>
      </c>
      <c r="AS964">
        <v>170.46869022767044</v>
      </c>
      <c r="AT964">
        <v>9.6538986549059604</v>
      </c>
      <c r="AU964">
        <v>-48.61457283824906</v>
      </c>
      <c r="AV964"/>
      <c r="AW964"/>
      <c r="FY964" s="210">
        <v>959</v>
      </c>
      <c r="FZ964">
        <v>0.93986842251497327</v>
      </c>
      <c r="GA964">
        <v>11.806831324688758</v>
      </c>
      <c r="GB964">
        <v>3.875223170065202</v>
      </c>
      <c r="GC964">
        <v>0.55718461806051511</v>
      </c>
      <c r="GD964">
        <v>0.69071515565296382</v>
      </c>
      <c r="GE964">
        <v>1.1386419089009649</v>
      </c>
      <c r="GF964">
        <v>4.244346319656505</v>
      </c>
      <c r="GG964">
        <v>3.3723714037075605</v>
      </c>
      <c r="GH964">
        <v>0.40861888541082891</v>
      </c>
      <c r="GI964">
        <v>4.149637625606803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13.255886729691877</v>
      </c>
      <c r="AO965">
        <v>13.701551990778162</v>
      </c>
      <c r="AP965">
        <v>124.32109999850785</v>
      </c>
      <c r="AQ965">
        <v>50.655610684176985</v>
      </c>
      <c r="AR965">
        <v>14.099017732144848</v>
      </c>
      <c r="AS965">
        <v>83.53848093960336</v>
      </c>
      <c r="AT965">
        <v>7.1661831733695971</v>
      </c>
      <c r="AU965">
        <v>-131.05986415471037</v>
      </c>
      <c r="AV965"/>
      <c r="AW965"/>
      <c r="FY965" s="210">
        <v>960</v>
      </c>
      <c r="FZ965">
        <v>3.6583217852824563</v>
      </c>
      <c r="GA965">
        <v>13.704243948054298</v>
      </c>
      <c r="GB965">
        <v>3.8648611675981908</v>
      </c>
      <c r="GC965">
        <v>0.68393594475315145</v>
      </c>
      <c r="GD965">
        <v>0.41856879918245499</v>
      </c>
      <c r="GE965">
        <v>0.28289422253766161</v>
      </c>
      <c r="GF965">
        <v>3.4738388340392681</v>
      </c>
      <c r="GG965">
        <v>2.9967426464300475</v>
      </c>
      <c r="GH965">
        <v>0.40861888541082891</v>
      </c>
      <c r="GI965">
        <v>3.5840763370240101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11.173363095238095</v>
      </c>
      <c r="AO966">
        <v>22.090543572229002</v>
      </c>
      <c r="AP966">
        <v>179.41324389243738</v>
      </c>
      <c r="AQ966">
        <v>53.342816675259094</v>
      </c>
      <c r="AR966">
        <v>21.846294021119029</v>
      </c>
      <c r="AS966">
        <v>101.45254148111803</v>
      </c>
      <c r="AT966" t="e">
        <v>#DIV/0!</v>
      </c>
      <c r="AU966" t="e">
        <v>#DIV/0!</v>
      </c>
      <c r="AV966"/>
      <c r="AW966"/>
      <c r="FY966" s="210">
        <v>961</v>
      </c>
      <c r="FZ966">
        <v>7.5828642249154772</v>
      </c>
      <c r="GA966">
        <v>18.549233322407773</v>
      </c>
      <c r="GB966">
        <v>5.7911526898614927</v>
      </c>
      <c r="GC966">
        <v>1.0069813537687058</v>
      </c>
      <c r="GD966">
        <v>1.6586066750625683</v>
      </c>
      <c r="GE966">
        <v>3.0105214596504686</v>
      </c>
      <c r="GF966">
        <v>3.3355412305958887</v>
      </c>
      <c r="GG966">
        <v>2.0355021511003617</v>
      </c>
      <c r="GH966">
        <v>0.64441312055873701</v>
      </c>
      <c r="GI966">
        <v>6.5933735071738759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14.01498307656396</v>
      </c>
      <c r="AO967">
        <v>21.583383193052406</v>
      </c>
      <c r="AP967">
        <v>203.84291147789824</v>
      </c>
      <c r="AQ967">
        <v>49.72270920694784</v>
      </c>
      <c r="AR967">
        <v>20.461224243458204</v>
      </c>
      <c r="AS967">
        <v>104.7428879890785</v>
      </c>
      <c r="AT967">
        <v>11.34018362794094</v>
      </c>
      <c r="AU967">
        <v>-191.04965176843521</v>
      </c>
      <c r="AV967"/>
      <c r="AW967"/>
      <c r="FY967" s="210">
        <v>962</v>
      </c>
      <c r="FZ967">
        <v>7.5828642249154772</v>
      </c>
      <c r="GA967">
        <v>18.549233322407773</v>
      </c>
      <c r="GB967">
        <v>5.7388020458293738</v>
      </c>
      <c r="GC967">
        <v>0.44578825221384055</v>
      </c>
      <c r="GD967">
        <v>0.72385736177396254</v>
      </c>
      <c r="GE967">
        <v>1.6922092915921669</v>
      </c>
      <c r="GF967">
        <v>3.5023465740267401</v>
      </c>
      <c r="GG967">
        <v>2.7862839533742965</v>
      </c>
      <c r="GH967">
        <v>1.2258566562324869</v>
      </c>
      <c r="GI967">
        <v>5.159801931187296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9.113569386087768</v>
      </c>
      <c r="AO968">
        <v>16.724623691607537</v>
      </c>
      <c r="AP968">
        <v>130.5869462192293</v>
      </c>
      <c r="AQ968">
        <v>25.807122817621195</v>
      </c>
      <c r="AR968">
        <v>15.927582849662576</v>
      </c>
      <c r="AS968">
        <v>126.19314599867253</v>
      </c>
      <c r="AT968">
        <v>8.5687751673821158</v>
      </c>
      <c r="AU968">
        <v>3.411458474641258</v>
      </c>
      <c r="AV968"/>
      <c r="AW968"/>
      <c r="FY968" s="210">
        <v>963</v>
      </c>
      <c r="FZ968">
        <v>4.4250565510183559</v>
      </c>
      <c r="GA968">
        <v>12.308581733704118</v>
      </c>
      <c r="GB968">
        <v>3.0868747741601767</v>
      </c>
      <c r="GC968">
        <v>0.54811009872839755</v>
      </c>
      <c r="GD968">
        <v>0.98239039445359022</v>
      </c>
      <c r="GE968">
        <v>2.1262681498439191</v>
      </c>
      <c r="GF968">
        <v>5.161276611133589</v>
      </c>
      <c r="GG968">
        <v>4.1018516739651467</v>
      </c>
      <c r="GH968">
        <v>0.88020735570664521</v>
      </c>
      <c r="GI968">
        <v>5.4463835604721158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10.048567343604109</v>
      </c>
      <c r="AO969">
        <v>13.782649114134154</v>
      </c>
      <c r="AP969">
        <v>110.73278304630854</v>
      </c>
      <c r="AQ969">
        <v>37.589688430110577</v>
      </c>
      <c r="AR969">
        <v>13.210001259889941</v>
      </c>
      <c r="AS969">
        <v>67.869509356292582</v>
      </c>
      <c r="AT969">
        <v>5.3078113189844052</v>
      </c>
      <c r="AU969">
        <v>-40.63510334199318</v>
      </c>
      <c r="AV969"/>
      <c r="AW969"/>
      <c r="FY969" s="210">
        <v>964</v>
      </c>
      <c r="FZ969">
        <v>3.9860826159276019</v>
      </c>
      <c r="GA969">
        <v>3.1223009871276921</v>
      </c>
      <c r="GB969">
        <v>0.27444868048516441</v>
      </c>
      <c r="GC969">
        <v>0.56113656917362209</v>
      </c>
      <c r="GD969">
        <v>0.42329903534248708</v>
      </c>
      <c r="GE969">
        <v>0.83025740969325557</v>
      </c>
      <c r="GF969">
        <v>3.379298474684703</v>
      </c>
      <c r="GG969">
        <v>2.1271151515623243</v>
      </c>
      <c r="GH969">
        <v>0</v>
      </c>
      <c r="GI969">
        <v>2.4490784277134026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10.860717203548086</v>
      </c>
      <c r="AO970">
        <v>12.033997341944062</v>
      </c>
      <c r="AP970">
        <v>93.642488678529176</v>
      </c>
      <c r="AQ970">
        <v>38.968203871139629</v>
      </c>
      <c r="AR970">
        <v>11.102901515685652</v>
      </c>
      <c r="AS970">
        <v>76.740078096010976</v>
      </c>
      <c r="AT970">
        <v>7.5996786733879595</v>
      </c>
      <c r="AU970">
        <v>2.2863273056642064</v>
      </c>
      <c r="AV970"/>
      <c r="AW970"/>
      <c r="FY970" s="210">
        <v>965</v>
      </c>
      <c r="FZ970">
        <v>3.4554146317142589</v>
      </c>
      <c r="GA970">
        <v>11.408156038766851</v>
      </c>
      <c r="GB970">
        <v>3.9009722452005589</v>
      </c>
      <c r="GC970">
        <v>0.96990183543307096</v>
      </c>
      <c r="GD970">
        <v>0.96650266650673944</v>
      </c>
      <c r="GE970">
        <v>1.4961833500490016</v>
      </c>
      <c r="GF970">
        <v>2.08185743659832</v>
      </c>
      <c r="GG970">
        <v>0.74171167480695199</v>
      </c>
      <c r="GH970">
        <v>0.17282465026292085</v>
      </c>
      <c r="GI970">
        <v>3.7726497263863736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9.8351715686274481</v>
      </c>
      <c r="AO971">
        <v>19.186740559637251</v>
      </c>
      <c r="AP971">
        <v>153.94264675543906</v>
      </c>
      <c r="AQ971">
        <v>49.159267323751124</v>
      </c>
      <c r="AR971">
        <v>18.223776208650349</v>
      </c>
      <c r="AS971">
        <v>107.26888112795</v>
      </c>
      <c r="AT971">
        <v>9.6207889328989555</v>
      </c>
      <c r="AU971">
        <v>-13.536391874424551</v>
      </c>
      <c r="AV971"/>
      <c r="AW971"/>
      <c r="FY971" s="210">
        <v>966</v>
      </c>
      <c r="FZ971">
        <v>10.583041205747367</v>
      </c>
      <c r="GA971">
        <v>8.0619224855455496</v>
      </c>
      <c r="GB971">
        <v>0.37914996854940219</v>
      </c>
      <c r="GC971">
        <v>0.8418596917455603</v>
      </c>
      <c r="GD971">
        <v>0.6806645171529595</v>
      </c>
      <c r="GE971">
        <v>1.0377391860059615</v>
      </c>
      <c r="GF971">
        <v>5.2277448446139125</v>
      </c>
      <c r="GG971">
        <v>3.9467031617725512</v>
      </c>
      <c r="GH971">
        <v>0</v>
      </c>
      <c r="GI971">
        <v>3.5649038811032363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9.5026041666666661</v>
      </c>
      <c r="AO972">
        <v>14.792752502485786</v>
      </c>
      <c r="AP972">
        <v>130.89232638731585</v>
      </c>
      <c r="AQ972">
        <v>28.807726102652023</v>
      </c>
      <c r="AR972">
        <v>14.233195757815851</v>
      </c>
      <c r="AS972">
        <v>69.016826292212315</v>
      </c>
      <c r="AT972" t="e">
        <v>#DIV/0!</v>
      </c>
      <c r="AU972" t="e">
        <v>#DIV/0!</v>
      </c>
      <c r="AV972"/>
      <c r="AW972"/>
      <c r="FY972" s="210">
        <v>967</v>
      </c>
      <c r="FZ972">
        <v>2.5310491729131295</v>
      </c>
      <c r="GA972">
        <v>5.4922843162001209</v>
      </c>
      <c r="GB972">
        <v>0.98142356696606403</v>
      </c>
      <c r="GC972">
        <v>0.45576132363240629</v>
      </c>
      <c r="GD972">
        <v>0.55206186359200216</v>
      </c>
      <c r="GE972">
        <v>1.4787201308131726</v>
      </c>
      <c r="GF972">
        <v>2.6583503528841397</v>
      </c>
      <c r="GG972">
        <v>1.669419233570923</v>
      </c>
      <c r="GH972">
        <v>0.81723777082165783</v>
      </c>
      <c r="GI972">
        <v>2.2637492061364259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12.805511788048554</v>
      </c>
      <c r="AO973">
        <v>19.447305365098728</v>
      </c>
      <c r="AP973">
        <v>165.16847032341366</v>
      </c>
      <c r="AQ973">
        <v>51.481045430726446</v>
      </c>
      <c r="AR973">
        <v>18.529048891710438</v>
      </c>
      <c r="AS973">
        <v>102.55659504260576</v>
      </c>
      <c r="AT973">
        <v>10.20879173114306</v>
      </c>
      <c r="AU973">
        <v>-46.135549417495341</v>
      </c>
      <c r="AV973"/>
      <c r="AW973"/>
      <c r="FY973" s="210">
        <v>968</v>
      </c>
      <c r="FZ973">
        <v>11.659817687723798</v>
      </c>
      <c r="GA973">
        <v>10.137936047592643</v>
      </c>
      <c r="GB973">
        <v>2.650716623421574</v>
      </c>
      <c r="GC973">
        <v>0.40088433178047589</v>
      </c>
      <c r="GD973">
        <v>0.28226874493083021</v>
      </c>
      <c r="GE973">
        <v>1.2898858622763212</v>
      </c>
      <c r="GF973">
        <v>5.8695935061864821</v>
      </c>
      <c r="GG973">
        <v>4.2206973665589356</v>
      </c>
      <c r="GH973">
        <v>0.88020735570664521</v>
      </c>
      <c r="GI973">
        <v>4.0234489737310772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7.0721507352941178</v>
      </c>
      <c r="AO974">
        <v>14.342225632450972</v>
      </c>
      <c r="AP974">
        <v>98.339282880403601</v>
      </c>
      <c r="AQ974">
        <v>26.270366401210602</v>
      </c>
      <c r="AR974">
        <v>13.815299807617446</v>
      </c>
      <c r="AS974">
        <v>114.62524582009398</v>
      </c>
      <c r="AT974">
        <v>6.0974037750687957</v>
      </c>
      <c r="AU974">
        <v>-19.678717131609705</v>
      </c>
      <c r="AV974"/>
      <c r="AW974"/>
      <c r="FY974" s="210">
        <v>969</v>
      </c>
      <c r="FZ974">
        <v>5.921917873206457</v>
      </c>
      <c r="GA974">
        <v>7.1614967906082807</v>
      </c>
      <c r="GB974">
        <v>0.87793292714944848</v>
      </c>
      <c r="GC974">
        <v>0.22033129759257142</v>
      </c>
      <c r="GD974">
        <v>0.46977100316356596</v>
      </c>
      <c r="GE974">
        <v>1.656459861349328</v>
      </c>
      <c r="GF974">
        <v>4.3457014171066612</v>
      </c>
      <c r="GG974">
        <v>2.9269068902655246</v>
      </c>
      <c r="GH974">
        <v>0.40861888541082891</v>
      </c>
      <c r="GI974">
        <v>3.6564284431877674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9.715131886087768</v>
      </c>
      <c r="AO975">
        <v>13.421706003250602</v>
      </c>
      <c r="AP975">
        <v>111.84963219614949</v>
      </c>
      <c r="AQ975">
        <v>31.183438834265072</v>
      </c>
      <c r="AR975">
        <v>12.43156249973479</v>
      </c>
      <c r="AS975">
        <v>73.248875532855592</v>
      </c>
      <c r="AT975">
        <v>5.8942869875264678</v>
      </c>
      <c r="AU975">
        <v>-6.2266068471094549</v>
      </c>
      <c r="AV975"/>
      <c r="AW975"/>
      <c r="FY975" s="210">
        <v>970</v>
      </c>
      <c r="FZ975">
        <v>0.88215720358861527</v>
      </c>
      <c r="GA975">
        <v>7.0668646665438999</v>
      </c>
      <c r="GB975">
        <v>2.8752359563698646</v>
      </c>
      <c r="GC975">
        <v>0.34234923216493601</v>
      </c>
      <c r="GD975">
        <v>0.34001251601035931</v>
      </c>
      <c r="GE975">
        <v>1.1967986781985691</v>
      </c>
      <c r="GF975">
        <v>7.3058793034871314</v>
      </c>
      <c r="GG975">
        <v>5.6981895560573612</v>
      </c>
      <c r="GH975">
        <v>0.17282465026292085</v>
      </c>
      <c r="GI975">
        <v>4.3929395929105155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7.9538471638655466</v>
      </c>
      <c r="AO976">
        <v>17.886337105009908</v>
      </c>
      <c r="AP976">
        <v>135.28015541838943</v>
      </c>
      <c r="AQ976">
        <v>33.076102570312365</v>
      </c>
      <c r="AR976">
        <v>16.641066282317475</v>
      </c>
      <c r="AS976">
        <v>95.956960850354562</v>
      </c>
      <c r="AT976">
        <v>10.916250816422457</v>
      </c>
      <c r="AU976">
        <v>92.506154874280313</v>
      </c>
      <c r="AV976"/>
      <c r="AW976"/>
      <c r="FY976" s="210">
        <v>971</v>
      </c>
      <c r="FZ976">
        <v>5.8340527814520904</v>
      </c>
      <c r="GA976">
        <v>7.9364802623695745</v>
      </c>
      <c r="GB976">
        <v>0.65583489069640311</v>
      </c>
      <c r="GC976">
        <v>0.48609481303666097</v>
      </c>
      <c r="GD976">
        <v>0.65937159009557145</v>
      </c>
      <c r="GE976">
        <v>1.3521896442323571</v>
      </c>
      <c r="GF976">
        <v>4.5117380828556293</v>
      </c>
      <c r="GG976">
        <v>3.1954456472175239</v>
      </c>
      <c r="GH976">
        <v>0.3456493005258417</v>
      </c>
      <c r="GI976">
        <v>3.3591079026073385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12.90548406862745</v>
      </c>
      <c r="AO977">
        <v>23.158361089230162</v>
      </c>
      <c r="AP977">
        <v>188.96769262552871</v>
      </c>
      <c r="AQ977">
        <v>50.208189735095345</v>
      </c>
      <c r="AR977">
        <v>21.928459028095336</v>
      </c>
      <c r="AS977">
        <v>102.5448966993405</v>
      </c>
      <c r="AT977">
        <v>10.822288942985928</v>
      </c>
      <c r="AU977">
        <v>-56.149919058667678</v>
      </c>
      <c r="AV977"/>
      <c r="AW977"/>
      <c r="FY977" s="210">
        <v>972</v>
      </c>
      <c r="FZ977">
        <v>6.5133028314725081</v>
      </c>
      <c r="GA977">
        <v>14.678565062776546</v>
      </c>
      <c r="GB977">
        <v>3.7950603088886989</v>
      </c>
      <c r="GC977">
        <v>1.5239190321973308</v>
      </c>
      <c r="GD977">
        <v>1.4967099222988773</v>
      </c>
      <c r="GE977">
        <v>1.656518030703827</v>
      </c>
      <c r="GF977">
        <v>5.3060687676557947</v>
      </c>
      <c r="GG977">
        <v>4.1721631424107617</v>
      </c>
      <c r="GH977">
        <v>0.47158847029581613</v>
      </c>
      <c r="GI977">
        <v>5.6293767659013998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9.6096813725490193</v>
      </c>
      <c r="AO978">
        <v>17.615910079931869</v>
      </c>
      <c r="AP978">
        <v>142.82665422242948</v>
      </c>
      <c r="AQ978">
        <v>47.407043613553405</v>
      </c>
      <c r="AR978">
        <v>16.840149170260851</v>
      </c>
      <c r="AS978">
        <v>135.50200091283281</v>
      </c>
      <c r="AT978">
        <v>7.5117071354002976</v>
      </c>
      <c r="AU978">
        <v>-85.008707734848571</v>
      </c>
      <c r="AV978"/>
      <c r="AW978"/>
      <c r="FY978" s="210">
        <v>973</v>
      </c>
      <c r="FZ978">
        <v>1.7066031882508728</v>
      </c>
      <c r="GA978">
        <v>10.012493824416669</v>
      </c>
      <c r="GB978">
        <v>3.3835284236755174</v>
      </c>
      <c r="GC978">
        <v>0.38427925370012622</v>
      </c>
      <c r="GD978">
        <v>0.32742007088724606</v>
      </c>
      <c r="GE978">
        <v>1.6757774168317934</v>
      </c>
      <c r="GF978">
        <v>3.4081263996889399</v>
      </c>
      <c r="GG978">
        <v>1.4924934770808866</v>
      </c>
      <c r="GH978">
        <v>0.23579423514790807</v>
      </c>
      <c r="GI978">
        <v>2.9118864453408131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12.583807481325863</v>
      </c>
      <c r="AO979">
        <v>18.597185448551194</v>
      </c>
      <c r="AP979">
        <v>147.66762140097967</v>
      </c>
      <c r="AQ979">
        <v>39.067000903186056</v>
      </c>
      <c r="AR979">
        <v>17.244947461480912</v>
      </c>
      <c r="AS979">
        <v>92.378894598725196</v>
      </c>
      <c r="AT979">
        <v>8.196663083951174</v>
      </c>
      <c r="AU979">
        <v>-10.984937014680835</v>
      </c>
      <c r="AV979"/>
      <c r="AW979"/>
      <c r="FY979" s="210">
        <v>974</v>
      </c>
      <c r="FZ979">
        <v>7.5828642249154772</v>
      </c>
      <c r="GA979">
        <v>10.68471937039655</v>
      </c>
      <c r="GB979">
        <v>2.8752359563698646</v>
      </c>
      <c r="GC979">
        <v>1.3865868365394909</v>
      </c>
      <c r="GD979">
        <v>1.5403818444221553</v>
      </c>
      <c r="GE979">
        <v>2.3377212760525037</v>
      </c>
      <c r="GF979">
        <v>3.0579858712907884</v>
      </c>
      <c r="GG979">
        <v>1.1871761882489873</v>
      </c>
      <c r="GH979">
        <v>0.17282465026292085</v>
      </c>
      <c r="GI979">
        <v>4.3490407252305046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11.596478174603174</v>
      </c>
      <c r="AO980">
        <v>22.833007936086549</v>
      </c>
      <c r="AP980">
        <v>139.96156063510935</v>
      </c>
      <c r="AQ980">
        <v>17.153017351710254</v>
      </c>
      <c r="AR980">
        <v>21.271500988849876</v>
      </c>
      <c r="AS980">
        <v>196.06696239905887</v>
      </c>
      <c r="AT980" t="e">
        <v>#DIV/0!</v>
      </c>
      <c r="AU980" t="e">
        <v>#DIV/0!</v>
      </c>
      <c r="AV980"/>
      <c r="AW980"/>
      <c r="FY980" s="210">
        <v>975</v>
      </c>
      <c r="FZ980">
        <v>2.6309686470520015</v>
      </c>
      <c r="GA980">
        <v>13.957057503832875</v>
      </c>
      <c r="GB980">
        <v>5.8272637674638608</v>
      </c>
      <c r="GC980">
        <v>0.57519762421502252</v>
      </c>
      <c r="GD980">
        <v>0.90738131763783614</v>
      </c>
      <c r="GE980">
        <v>2.0772921567262075</v>
      </c>
      <c r="GF980">
        <v>5.0752404823226929</v>
      </c>
      <c r="GG980">
        <v>3.9249259174751105</v>
      </c>
      <c r="GH980">
        <v>0.64441312055873701</v>
      </c>
      <c r="GI980">
        <v>5.4082220766827982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11.223812441643322</v>
      </c>
      <c r="AO981">
        <v>17.278168436850091</v>
      </c>
      <c r="AP981">
        <v>153.28074456357615</v>
      </c>
      <c r="AQ981">
        <v>28.966174255725043</v>
      </c>
      <c r="AR981">
        <v>16.443224196060804</v>
      </c>
      <c r="AS981">
        <v>79.21051200048413</v>
      </c>
      <c r="AT981">
        <v>10.86668803528287</v>
      </c>
      <c r="AU981">
        <v>-42.252598020495704</v>
      </c>
      <c r="AV981"/>
      <c r="AW981"/>
      <c r="FY981" s="210">
        <v>976</v>
      </c>
      <c r="FZ981">
        <v>6.1738679944817427</v>
      </c>
      <c r="GA981">
        <v>19.597449856914999</v>
      </c>
      <c r="GB981">
        <v>6.5703497315471289</v>
      </c>
      <c r="GC981">
        <v>0.78805798425029205</v>
      </c>
      <c r="GD981">
        <v>1.0099285225091537</v>
      </c>
      <c r="GE981">
        <v>2.2019355764926933</v>
      </c>
      <c r="GF981">
        <v>2.5502723209399316</v>
      </c>
      <c r="GG981">
        <v>0.93993896331333671</v>
      </c>
      <c r="GH981">
        <v>0.3456493005258417</v>
      </c>
      <c r="GI981">
        <v>4.8358502406059642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9.7636408730158717</v>
      </c>
      <c r="AO982">
        <v>11.901862129988194</v>
      </c>
      <c r="AP982">
        <v>75.142033347677653</v>
      </c>
      <c r="AQ982">
        <v>34.3237289422365</v>
      </c>
      <c r="AR982">
        <v>11.486563212396046</v>
      </c>
      <c r="AS982">
        <v>68.080752425521737</v>
      </c>
      <c r="AT982" t="e">
        <v>#DIV/0!</v>
      </c>
      <c r="AU982" t="e">
        <v>#DIV/0!</v>
      </c>
      <c r="AV982"/>
      <c r="AW982"/>
      <c r="FY982" s="210">
        <v>977</v>
      </c>
      <c r="FZ982">
        <v>7.5708098425309718</v>
      </c>
      <c r="GA982">
        <v>27.408487896108596</v>
      </c>
      <c r="GB982">
        <v>7.3458176122941765</v>
      </c>
      <c r="GC982">
        <v>0.44475057880797741</v>
      </c>
      <c r="GD982">
        <v>0.92447207427210631</v>
      </c>
      <c r="GE982">
        <v>2.2814041354538883</v>
      </c>
      <c r="GF982">
        <v>7.9541073674442151</v>
      </c>
      <c r="GG982">
        <v>6.2507440698249113</v>
      </c>
      <c r="GH982">
        <v>0.58144353567374973</v>
      </c>
      <c r="GI982">
        <v>6.7574817322028986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12.610571311858076</v>
      </c>
      <c r="AO983">
        <v>13.457949049020726</v>
      </c>
      <c r="AP983">
        <v>121.39533951839066</v>
      </c>
      <c r="AQ983">
        <v>18.900056937530046</v>
      </c>
      <c r="AR983">
        <v>12.454781183692084</v>
      </c>
      <c r="AS983">
        <v>70.317696052534885</v>
      </c>
      <c r="AT983">
        <v>6.8163194421954882</v>
      </c>
      <c r="AU983">
        <v>-7.1512309227755448</v>
      </c>
      <c r="AV983"/>
      <c r="AW983"/>
      <c r="FY983" s="210">
        <v>978</v>
      </c>
      <c r="FZ983">
        <v>11.320002474694146</v>
      </c>
      <c r="GA983">
        <v>20.298537908891312</v>
      </c>
      <c r="GB983">
        <v>5.741135503686932</v>
      </c>
      <c r="GC983">
        <v>0.50475322768860553</v>
      </c>
      <c r="GD983">
        <v>0.40828757349612244</v>
      </c>
      <c r="GE983">
        <v>1.2152821054727974</v>
      </c>
      <c r="GF983">
        <v>4.0732633333096739</v>
      </c>
      <c r="GG983">
        <v>2.8565954218199106</v>
      </c>
      <c r="GH983">
        <v>0.47158847029581613</v>
      </c>
      <c r="GI983">
        <v>5.3378919933999471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11.276515814659197</v>
      </c>
      <c r="AO984">
        <v>20.393040669907219</v>
      </c>
      <c r="AP984">
        <v>136.88596250881085</v>
      </c>
      <c r="AQ984">
        <v>41.415456499908785</v>
      </c>
      <c r="AR984">
        <v>20.204548771677281</v>
      </c>
      <c r="AS984">
        <v>188.70029452638286</v>
      </c>
      <c r="AT984">
        <v>10.00350351628169</v>
      </c>
      <c r="AU984">
        <v>-48.14841328570914</v>
      </c>
      <c r="AV984"/>
      <c r="AW984"/>
      <c r="FY984" s="210">
        <v>979</v>
      </c>
      <c r="FZ984">
        <v>8.8346101383228675</v>
      </c>
      <c r="GA984">
        <v>19.52355443713002</v>
      </c>
      <c r="GB984">
        <v>5.7201411829043778</v>
      </c>
      <c r="GC984">
        <v>0.16136632211780638</v>
      </c>
      <c r="GD984">
        <v>0.23173941607531828</v>
      </c>
      <c r="GE984">
        <v>1.4653776344272007</v>
      </c>
      <c r="GF984">
        <v>4.2966995978905285</v>
      </c>
      <c r="GG984">
        <v>2.5512781329880112</v>
      </c>
      <c r="GH984">
        <v>0.23579423514790807</v>
      </c>
      <c r="GI984">
        <v>4.9172159238039814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6.1164215686274499</v>
      </c>
      <c r="AO985">
        <v>21.231930653519193</v>
      </c>
      <c r="AP985">
        <v>174.4676955454224</v>
      </c>
      <c r="AQ985">
        <v>27.645565389040431</v>
      </c>
      <c r="AR985">
        <v>19.773317364362789</v>
      </c>
      <c r="AS985">
        <v>258.79807469451629</v>
      </c>
      <c r="AT985">
        <v>10.659643940143411</v>
      </c>
      <c r="AU985">
        <v>-5.0055732220926936</v>
      </c>
      <c r="AV985"/>
      <c r="AW985"/>
      <c r="FY985" s="210">
        <v>980</v>
      </c>
      <c r="FZ985">
        <v>7.2430490118858248</v>
      </c>
      <c r="GA985">
        <v>15.35079060875643</v>
      </c>
      <c r="GB985">
        <v>3.5322814953138897</v>
      </c>
      <c r="GC985">
        <v>0.62780574685714607</v>
      </c>
      <c r="GD985">
        <v>0.53530780719560933</v>
      </c>
      <c r="GE985">
        <v>0.89958918935187759</v>
      </c>
      <c r="GF985">
        <v>1.3753218375950436</v>
      </c>
      <c r="GG985">
        <v>0.49447444987130124</v>
      </c>
      <c r="GH985">
        <v>0</v>
      </c>
      <c r="GI985">
        <v>3.284303327006509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9.8817985527544359</v>
      </c>
      <c r="AO986">
        <v>22.202072188434531</v>
      </c>
      <c r="AP986">
        <v>170.80104753309766</v>
      </c>
      <c r="AQ986">
        <v>30.273251355594176</v>
      </c>
      <c r="AR986">
        <v>20.551646101102925</v>
      </c>
      <c r="AS986">
        <v>88.30354522175341</v>
      </c>
      <c r="AT986">
        <v>11.946596481424486</v>
      </c>
      <c r="AU986">
        <v>60.998761619494857</v>
      </c>
      <c r="AV986"/>
      <c r="AW986"/>
      <c r="FY986" s="210">
        <v>981</v>
      </c>
      <c r="FZ986">
        <v>11.262671631806672</v>
      </c>
      <c r="GA986">
        <v>8.9642772899094414</v>
      </c>
      <c r="GB986">
        <v>2.6043313819898808</v>
      </c>
      <c r="GC986">
        <v>0.62281921114786321</v>
      </c>
      <c r="GD986">
        <v>1.1795031271724024</v>
      </c>
      <c r="GE986">
        <v>2.7346496044520725</v>
      </c>
      <c r="GF986">
        <v>6.1766155172704185</v>
      </c>
      <c r="GG986">
        <v>4.1353846105308607</v>
      </c>
      <c r="GH986">
        <v>0</v>
      </c>
      <c r="GI986">
        <v>5.5020791187881199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8.6162756769374411</v>
      </c>
      <c r="AO987">
        <v>18.116940428370459</v>
      </c>
      <c r="AP987">
        <v>116.72971807824479</v>
      </c>
      <c r="AQ987">
        <v>28.33596491508899</v>
      </c>
      <c r="AR987">
        <v>16.834759490201073</v>
      </c>
      <c r="AS987">
        <v>189.56784745915658</v>
      </c>
      <c r="AT987">
        <v>9.0636206825406926</v>
      </c>
      <c r="AU987">
        <v>-18.414245026850441</v>
      </c>
      <c r="AV987"/>
      <c r="AW987"/>
      <c r="FY987" s="210">
        <v>982</v>
      </c>
      <c r="FZ987">
        <v>8.3499793666902615</v>
      </c>
      <c r="GA987">
        <v>10.359939504259625</v>
      </c>
      <c r="GB987">
        <v>3.3299671313957759</v>
      </c>
      <c r="GC987">
        <v>0.38557007069500038</v>
      </c>
      <c r="GD987">
        <v>0.38141511530924133</v>
      </c>
      <c r="GE987">
        <v>1.103114323316353</v>
      </c>
      <c r="GF987">
        <v>1.2924224256840391</v>
      </c>
      <c r="GG987">
        <v>0.60108873791572359</v>
      </c>
      <c r="GH987">
        <v>0.99006242108457876</v>
      </c>
      <c r="GI987">
        <v>3.2916509671238332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14.417906746031747</v>
      </c>
      <c r="AO988">
        <v>23.875854730170996</v>
      </c>
      <c r="AP988">
        <v>210.39952280412911</v>
      </c>
      <c r="AQ988">
        <v>45.243272334601549</v>
      </c>
      <c r="AR988">
        <v>22.541426835726661</v>
      </c>
      <c r="AS988">
        <v>113.05521027021062</v>
      </c>
      <c r="AT988" t="e">
        <v>#DIV/0!</v>
      </c>
      <c r="AU988" t="e">
        <v>#DIV/0!</v>
      </c>
      <c r="AV988"/>
      <c r="AW988"/>
      <c r="FY988" s="210">
        <v>983</v>
      </c>
      <c r="FZ988">
        <v>9.5138601883432852</v>
      </c>
      <c r="GA988">
        <v>12.308581733704118</v>
      </c>
      <c r="GB988">
        <v>3.224055195083916</v>
      </c>
      <c r="GC988">
        <v>1.7065819353380736</v>
      </c>
      <c r="GD988">
        <v>1.369139492192412</v>
      </c>
      <c r="GE988">
        <v>0.77413708016395999</v>
      </c>
      <c r="GF988">
        <v>5.1058089550632957</v>
      </c>
      <c r="GG988">
        <v>4.3123103670208973</v>
      </c>
      <c r="GH988">
        <v>0.40861888541082891</v>
      </c>
      <c r="GI988">
        <v>5.1435728368498577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10.545510912698413</v>
      </c>
      <c r="AO989">
        <v>12.53280593944959</v>
      </c>
      <c r="AP989">
        <v>81.164182691326062</v>
      </c>
      <c r="AQ989">
        <v>25.538402735020771</v>
      </c>
      <c r="AR989">
        <v>11.522944460161696</v>
      </c>
      <c r="AS989">
        <v>65.343349382658587</v>
      </c>
      <c r="AT989" t="e">
        <v>#DIV/0!</v>
      </c>
      <c r="AU989" t="e">
        <v>#DIV/0!</v>
      </c>
      <c r="AV989"/>
      <c r="AW989"/>
      <c r="FY989" s="210">
        <v>984</v>
      </c>
      <c r="FZ989">
        <v>4.8523564797634879</v>
      </c>
      <c r="GA989">
        <v>14.877902705737501</v>
      </c>
      <c r="GB989">
        <v>3.9311179202025022</v>
      </c>
      <c r="GC989">
        <v>1.0776024825653368</v>
      </c>
      <c r="GD989">
        <v>0.76814178996925131</v>
      </c>
      <c r="GE989">
        <v>0.5955304908518736</v>
      </c>
      <c r="GF989">
        <v>2.4661516473020848</v>
      </c>
      <c r="GG989">
        <v>2.0935822149966103</v>
      </c>
      <c r="GH989">
        <v>0.70738270544372439</v>
      </c>
      <c r="GI989">
        <v>3.1945887866581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10.833435457516339</v>
      </c>
      <c r="AO990">
        <v>19.470360461440496</v>
      </c>
      <c r="AP990">
        <v>168.44862035728249</v>
      </c>
      <c r="AQ990">
        <v>35.174536943729237</v>
      </c>
      <c r="AR990">
        <v>18.489039815042361</v>
      </c>
      <c r="AS990">
        <v>103.80511438245421</v>
      </c>
      <c r="AT990">
        <v>12.699225834832156</v>
      </c>
      <c r="AU990">
        <v>-50.623684168766836</v>
      </c>
      <c r="AV990"/>
      <c r="AW990"/>
      <c r="FY990" s="210">
        <v>985</v>
      </c>
      <c r="FZ990">
        <v>4.8527368558023731</v>
      </c>
      <c r="GA990">
        <v>12.561395289482693</v>
      </c>
      <c r="GB990">
        <v>5.2051186578745812</v>
      </c>
      <c r="GC990">
        <v>0.27865086456989929</v>
      </c>
      <c r="GD990">
        <v>0.62391617996491833</v>
      </c>
      <c r="GE990">
        <v>1.1600613652871257</v>
      </c>
      <c r="GF990">
        <v>2.1313023793476757</v>
      </c>
      <c r="GG990">
        <v>2.0568036831167102</v>
      </c>
      <c r="GH990">
        <v>0.40861888541082891</v>
      </c>
      <c r="GI990">
        <v>4.0981010832372338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11.487081290849673</v>
      </c>
      <c r="AO991">
        <v>27.370177334790917</v>
      </c>
      <c r="AP991">
        <v>194.05408540442485</v>
      </c>
      <c r="AQ991">
        <v>41.027962613967141</v>
      </c>
      <c r="AR991">
        <v>25.799408760560368</v>
      </c>
      <c r="AS991">
        <v>223.69610874859129</v>
      </c>
      <c r="AT991" t="e">
        <v>#DIV/0!</v>
      </c>
      <c r="AU991" t="e">
        <v>#DIV/0!</v>
      </c>
      <c r="AV991"/>
      <c r="AW991"/>
      <c r="FY991" s="210">
        <v>986</v>
      </c>
      <c r="FZ991">
        <v>2.6309686470520015</v>
      </c>
      <c r="GA991">
        <v>11.587074174760446</v>
      </c>
      <c r="GB991">
        <v>5.203908009626959</v>
      </c>
      <c r="GC991">
        <v>1.3289126780595999</v>
      </c>
      <c r="GD991">
        <v>1.0843601314489517</v>
      </c>
      <c r="GE991">
        <v>1.2917582215430032</v>
      </c>
      <c r="GF991">
        <v>3.357903318745965</v>
      </c>
      <c r="GG991">
        <v>1.9869679269521878</v>
      </c>
      <c r="GH991">
        <v>0.40861888541082891</v>
      </c>
      <c r="GI991">
        <v>3.8150124936315009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12.297699288048555</v>
      </c>
      <c r="AO992">
        <v>15.595232576404436</v>
      </c>
      <c r="AP992">
        <v>148.16691336366642</v>
      </c>
      <c r="AQ992">
        <v>45.013300491581091</v>
      </c>
      <c r="AR992">
        <v>14.927864128512775</v>
      </c>
      <c r="AS992">
        <v>81.415391469179937</v>
      </c>
      <c r="AT992">
        <v>8.9607310517564329</v>
      </c>
      <c r="AU992">
        <v>-110.97513438016193</v>
      </c>
      <c r="AV992"/>
      <c r="AW992"/>
      <c r="FY992" s="210">
        <v>987</v>
      </c>
      <c r="FZ992">
        <v>9.9532144994729244</v>
      </c>
      <c r="GA992">
        <v>10.957952433142484</v>
      </c>
      <c r="GB992">
        <v>3.4775973934242126</v>
      </c>
      <c r="GC992">
        <v>0.56320882717566101</v>
      </c>
      <c r="GD992">
        <v>0.55195176387061995</v>
      </c>
      <c r="GE992">
        <v>1.3429761374847708</v>
      </c>
      <c r="GF992">
        <v>6.8912727096535038</v>
      </c>
      <c r="GG992">
        <v>5.1338793500215374</v>
      </c>
      <c r="GH992">
        <v>0.17282465026292085</v>
      </c>
      <c r="GI992">
        <v>5.2466619471587439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15.223666549953311</v>
      </c>
      <c r="AO993">
        <v>26.228692081091442</v>
      </c>
      <c r="AP993">
        <v>212.49513280510533</v>
      </c>
      <c r="AQ993">
        <v>67.519518844613486</v>
      </c>
      <c r="AR993">
        <v>24.420370543780617</v>
      </c>
      <c r="AS993">
        <v>252.50300621340426</v>
      </c>
      <c r="AT993">
        <v>11.626080703041291</v>
      </c>
      <c r="AU993">
        <v>17.170285792545382</v>
      </c>
      <c r="AV993"/>
      <c r="AW993"/>
      <c r="FY993" s="210">
        <v>988</v>
      </c>
      <c r="FZ993">
        <v>2.4733379539867713</v>
      </c>
      <c r="GA993">
        <v>10.986814939138915</v>
      </c>
      <c r="GB993">
        <v>3.312516916718403</v>
      </c>
      <c r="GC993">
        <v>0.76603649460143441</v>
      </c>
      <c r="GD993">
        <v>1.2717781743587944</v>
      </c>
      <c r="GE993">
        <v>2.1865996969473649</v>
      </c>
      <c r="GF993">
        <v>2.7129402793371264</v>
      </c>
      <c r="GG993">
        <v>1.8100421704621514</v>
      </c>
      <c r="GH993">
        <v>0</v>
      </c>
      <c r="GI993">
        <v>3.863316940245149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11.186135912698413</v>
      </c>
      <c r="AO994">
        <v>18.489080800092189</v>
      </c>
      <c r="AP994">
        <v>158.22618375407578</v>
      </c>
      <c r="AQ994">
        <v>52.227338012755261</v>
      </c>
      <c r="AR994">
        <v>17.993653464165426</v>
      </c>
      <c r="AS994">
        <v>154.76147260518354</v>
      </c>
      <c r="AT994" t="e">
        <v>#DIV/0!</v>
      </c>
      <c r="AU994" t="e">
        <v>#DIV/0!</v>
      </c>
      <c r="AV994"/>
      <c r="AW994"/>
      <c r="FY994" s="210">
        <v>989</v>
      </c>
      <c r="FZ994">
        <v>7.9803906568714869</v>
      </c>
      <c r="GA994">
        <v>7.0360545674323074</v>
      </c>
      <c r="GB994">
        <v>1.3477808589951745</v>
      </c>
      <c r="GC994">
        <v>0.99227489022986837</v>
      </c>
      <c r="GD994">
        <v>1.1973551938664064</v>
      </c>
      <c r="GE994">
        <v>1.5581739822267202</v>
      </c>
      <c r="GF994">
        <v>0.86661800794007604</v>
      </c>
      <c r="GG994">
        <v>0.353851512980073</v>
      </c>
      <c r="GH994">
        <v>1.1628870713474995</v>
      </c>
      <c r="GI994">
        <v>3.957299454113052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8.584821428571427</v>
      </c>
      <c r="AO995">
        <v>17.008816399248481</v>
      </c>
      <c r="AP995">
        <v>160.45174069615152</v>
      </c>
      <c r="AQ995">
        <v>47.937777020808021</v>
      </c>
      <c r="AR995">
        <v>16.232056457354901</v>
      </c>
      <c r="AS995">
        <v>83.4173817564633</v>
      </c>
      <c r="AT995" t="e">
        <v>#DIV/0!</v>
      </c>
      <c r="AU995" t="e">
        <v>#DIV/0!</v>
      </c>
      <c r="AV995"/>
      <c r="AW995"/>
      <c r="FY995" s="210">
        <v>990</v>
      </c>
      <c r="FZ995">
        <v>4.7071605451216492</v>
      </c>
      <c r="GA995">
        <v>13.934391690126844</v>
      </c>
      <c r="GB995">
        <v>5.1631300163094735</v>
      </c>
      <c r="GC995">
        <v>0.58329409133220733</v>
      </c>
      <c r="GD995">
        <v>0.68354104756658107</v>
      </c>
      <c r="GE995">
        <v>1.1795904393865588</v>
      </c>
      <c r="GF995">
        <v>4.0362290237149105</v>
      </c>
      <c r="GG995">
        <v>3.232224179097424</v>
      </c>
      <c r="GH995">
        <v>0.47158847029581613</v>
      </c>
      <c r="GI995">
        <v>5.1019520392290012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7.057291666666667</v>
      </c>
      <c r="AO996">
        <v>20.369587480348208</v>
      </c>
      <c r="AP996">
        <v>165.99975854549146</v>
      </c>
      <c r="AQ996">
        <v>33.342923473833629</v>
      </c>
      <c r="AR996">
        <v>18.903174261982038</v>
      </c>
      <c r="AS996">
        <v>76.831721291428664</v>
      </c>
      <c r="AT996" t="e">
        <v>#DIV/0!</v>
      </c>
      <c r="AU996" t="e">
        <v>#DIV/0!</v>
      </c>
      <c r="AV996"/>
      <c r="AW996"/>
      <c r="FY996" s="210">
        <v>991</v>
      </c>
      <c r="FZ996">
        <v>0.48501114767149078</v>
      </c>
      <c r="GA996">
        <v>2.5693209720333821</v>
      </c>
      <c r="GB996">
        <v>0.88035422364469329</v>
      </c>
      <c r="GC996">
        <v>0.99421111572217968</v>
      </c>
      <c r="GD996">
        <v>2.0255229153278238</v>
      </c>
      <c r="GE996">
        <v>3.4403867181502168</v>
      </c>
      <c r="GF996">
        <v>1.9018122665309667</v>
      </c>
      <c r="GG996">
        <v>0.74171167480695199</v>
      </c>
      <c r="GH996">
        <v>0.17282465026292085</v>
      </c>
      <c r="GI996">
        <v>4.1515965256194347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11.292286706349206</v>
      </c>
      <c r="AO997">
        <v>17.819262686988566</v>
      </c>
      <c r="AP997">
        <v>149.65237012865526</v>
      </c>
      <c r="AQ997">
        <v>43.182331493067736</v>
      </c>
      <c r="AR997">
        <v>17.850293789769971</v>
      </c>
      <c r="AS997">
        <v>93.97151629750519</v>
      </c>
      <c r="AT997" t="e">
        <v>#DIV/0!</v>
      </c>
      <c r="AU997" t="e">
        <v>#DIV/0!</v>
      </c>
      <c r="AV997"/>
      <c r="AW997"/>
      <c r="FY997" s="210">
        <v>992</v>
      </c>
      <c r="FZ997">
        <v>2.2493255548487214</v>
      </c>
      <c r="GA997">
        <v>10.012493824416669</v>
      </c>
      <c r="GB997">
        <v>3.2776164873636571</v>
      </c>
      <c r="GC997">
        <v>0.78178063154613509</v>
      </c>
      <c r="GD997">
        <v>1.4233512434413873</v>
      </c>
      <c r="GE997">
        <v>3.1063895680022422</v>
      </c>
      <c r="GF997">
        <v>3.1627988786867505</v>
      </c>
      <c r="GG997">
        <v>1.5410277012290603</v>
      </c>
      <c r="GH997">
        <v>0.81723777082165783</v>
      </c>
      <c r="GI997">
        <v>5.0988449067615607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7.991625816993464</v>
      </c>
      <c r="AO998">
        <v>13.284902254303024</v>
      </c>
      <c r="AP998">
        <v>92.498220129963315</v>
      </c>
      <c r="AQ998">
        <v>30.085210063474431</v>
      </c>
      <c r="AR998">
        <v>13.330091620677967</v>
      </c>
      <c r="AS998">
        <v>58.309025411925795</v>
      </c>
      <c r="AT998">
        <v>6.2537008142711246</v>
      </c>
      <c r="AU998">
        <v>-43.891079745146627</v>
      </c>
      <c r="AV998"/>
      <c r="AW998"/>
      <c r="FY998" s="210">
        <v>993</v>
      </c>
      <c r="FZ998">
        <v>0.173133656779074</v>
      </c>
      <c r="GA998">
        <v>10.433834924044604</v>
      </c>
      <c r="GB998">
        <v>3.8811007340279415</v>
      </c>
      <c r="GC998">
        <v>0.62444267186023295</v>
      </c>
      <c r="GD998">
        <v>1.1162801917844263</v>
      </c>
      <c r="GE998">
        <v>2.1998844291767368</v>
      </c>
      <c r="GF998">
        <v>3.6915650608959583</v>
      </c>
      <c r="GG998">
        <v>2.8565954218199106</v>
      </c>
      <c r="GH998">
        <v>0.99006242108457876</v>
      </c>
      <c r="GI998">
        <v>4.2215309649995412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14.078599147992529</v>
      </c>
      <c r="AO999">
        <v>17.86118195089302</v>
      </c>
      <c r="AP999">
        <v>157.05454929189642</v>
      </c>
      <c r="AQ999">
        <v>43.866666669170655</v>
      </c>
      <c r="AR999">
        <v>17.509054106996757</v>
      </c>
      <c r="AS999">
        <v>96.549692117611301</v>
      </c>
      <c r="AT999">
        <v>9.7845930617355972</v>
      </c>
      <c r="AU999">
        <v>-16.568726190785608</v>
      </c>
      <c r="AV999"/>
      <c r="AW999"/>
      <c r="FY999" s="210">
        <v>994</v>
      </c>
      <c r="FZ999">
        <v>12.019975158318339</v>
      </c>
      <c r="GA999">
        <v>9.656922342856685</v>
      </c>
      <c r="GB999">
        <v>0.90928925039901354</v>
      </c>
      <c r="GC999">
        <v>0.63494404069695221</v>
      </c>
      <c r="GD999">
        <v>0.88369082403443877</v>
      </c>
      <c r="GE999">
        <v>1.6491768832229234</v>
      </c>
      <c r="GF999">
        <v>3.4653346034955992</v>
      </c>
      <c r="GG999">
        <v>2.3040409080523605</v>
      </c>
      <c r="GH999">
        <v>0.58144353567374973</v>
      </c>
      <c r="GI999">
        <v>4.847692025371102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12.030753968253967</v>
      </c>
      <c r="AO1000">
        <v>19.215512707877338</v>
      </c>
      <c r="AP1000">
        <v>162.74646078415606</v>
      </c>
      <c r="AQ1000">
        <v>34.564357223490475</v>
      </c>
      <c r="AR1000">
        <v>17.87773663655706</v>
      </c>
      <c r="AS1000">
        <v>222.7703986274247</v>
      </c>
      <c r="AT1000" t="e">
        <v>#DIV/0!</v>
      </c>
      <c r="AU1000" t="e">
        <v>#DIV/0!</v>
      </c>
      <c r="AV1000"/>
      <c r="AW1000"/>
      <c r="FY1000" s="210">
        <v>995</v>
      </c>
      <c r="FZ1000">
        <v>3.1736910136498504</v>
      </c>
      <c r="GA1000">
        <v>5.8932059088606996</v>
      </c>
      <c r="GB1000">
        <v>2.6531379199168192</v>
      </c>
      <c r="GC1000">
        <v>0.70621057799102027</v>
      </c>
      <c r="GD1000">
        <v>0.79120693991239632</v>
      </c>
      <c r="GE1000">
        <v>1.428607590948064</v>
      </c>
      <c r="GF1000">
        <v>5.3700406542697561</v>
      </c>
      <c r="GG1000">
        <v>3.9467031617725512</v>
      </c>
      <c r="GH1000">
        <v>0.17282465026292085</v>
      </c>
      <c r="GI1000">
        <v>3.6844797374141796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9.5918679971988787</v>
      </c>
      <c r="AO1001">
        <v>21.823769838017249</v>
      </c>
      <c r="AP1001">
        <v>186.12689579825573</v>
      </c>
      <c r="AQ1001">
        <v>33.37670524409404</v>
      </c>
      <c r="AR1001">
        <v>20.853658052662315</v>
      </c>
      <c r="AS1001">
        <v>102.79456202901329</v>
      </c>
      <c r="AT1001">
        <v>11.618133804074093</v>
      </c>
      <c r="AU1001">
        <v>-26.964414715116249</v>
      </c>
      <c r="AV1001"/>
      <c r="AW1001"/>
      <c r="FY1001" s="210">
        <v>996</v>
      </c>
      <c r="FZ1001">
        <v>8.1625751768359081</v>
      </c>
      <c r="GA1001">
        <v>10.986814939138915</v>
      </c>
      <c r="GB1001">
        <v>3.2252658433315382</v>
      </c>
      <c r="GC1001">
        <v>0.91928647066450198</v>
      </c>
      <c r="GD1001">
        <v>0.86584570148471118</v>
      </c>
      <c r="GE1001">
        <v>1.4328007855021687</v>
      </c>
      <c r="GF1001">
        <v>5.8244980895812741</v>
      </c>
      <c r="GG1001">
        <v>4.3123103670208973</v>
      </c>
      <c r="GH1001">
        <v>0.23579423514790807</v>
      </c>
      <c r="GI1001">
        <v>5.2152481199172716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10.350796568627448</v>
      </c>
      <c r="AO1002">
        <v>14.131981313437146</v>
      </c>
      <c r="AP1002">
        <v>112.79995010647043</v>
      </c>
      <c r="AQ1002">
        <v>32.69548448723144</v>
      </c>
      <c r="AR1002">
        <v>13.511036005044113</v>
      </c>
      <c r="AS1002">
        <v>69.591333268110517</v>
      </c>
      <c r="AT1002" t="e">
        <v>#DIV/0!</v>
      </c>
      <c r="AU1002" t="e">
        <v>#DIV/0!</v>
      </c>
      <c r="AV1002"/>
      <c r="AW1002"/>
      <c r="FY1002" s="210">
        <v>997</v>
      </c>
      <c r="FZ1002">
        <v>6.0286720598399031</v>
      </c>
      <c r="GA1002">
        <v>1.1736587576831998</v>
      </c>
      <c r="GB1002">
        <v>0.30813846159228792</v>
      </c>
      <c r="GC1002">
        <v>0.67920255263287954</v>
      </c>
      <c r="GD1002">
        <v>1.0513294840757488</v>
      </c>
      <c r="GE1002">
        <v>1.2578018329055816</v>
      </c>
      <c r="GF1002">
        <v>2.2897150338925139</v>
      </c>
      <c r="GG1002">
        <v>2.3040409080523605</v>
      </c>
      <c r="GH1002">
        <v>0.23579423514790807</v>
      </c>
      <c r="GI1002">
        <v>3.1718427481911755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9.009650735294116</v>
      </c>
      <c r="AO1003">
        <v>23.898340341943861</v>
      </c>
      <c r="AP1003">
        <v>221.95551513392311</v>
      </c>
      <c r="AQ1003">
        <v>44.291539711667376</v>
      </c>
      <c r="AR1003">
        <v>23.476294748988181</v>
      </c>
      <c r="AS1003">
        <v>94.055520690307574</v>
      </c>
      <c r="AT1003">
        <v>15.896842661464397</v>
      </c>
      <c r="AU1003">
        <v>30.579308176715553</v>
      </c>
      <c r="AV1003"/>
      <c r="AW1003"/>
      <c r="FY1003" s="210">
        <v>998</v>
      </c>
      <c r="FZ1003">
        <v>7.0978530772439861</v>
      </c>
      <c r="GA1003">
        <v>7.1614967906082807</v>
      </c>
      <c r="GB1003">
        <v>0.89780443832206624</v>
      </c>
      <c r="GC1003">
        <v>1.344264550095875</v>
      </c>
      <c r="GD1003">
        <v>1.2548934500457054</v>
      </c>
      <c r="GE1003">
        <v>1.137563531508067</v>
      </c>
      <c r="GF1003">
        <v>3.1786951299826667</v>
      </c>
      <c r="GG1003">
        <v>2.2555066839041871</v>
      </c>
      <c r="GH1003">
        <v>0.17282465026292085</v>
      </c>
      <c r="GI1003">
        <v>3.3523180694868895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13.819568452380953</v>
      </c>
      <c r="AO1004">
        <v>14.567956213570316</v>
      </c>
      <c r="AP1004">
        <v>107.01937569814511</v>
      </c>
      <c r="AQ1004">
        <v>29.383383565796105</v>
      </c>
      <c r="AR1004">
        <v>13.472723726823162</v>
      </c>
      <c r="AS1004">
        <v>85.597678220549781</v>
      </c>
      <c r="AT1004" t="e">
        <v>#DIV/0!</v>
      </c>
      <c r="AU1004" t="e">
        <v>#DIV/0!</v>
      </c>
      <c r="AV1004"/>
      <c r="AW1004"/>
      <c r="FY1004" s="210">
        <v>999</v>
      </c>
      <c r="FZ1004">
        <v>3.0578881997582497</v>
      </c>
      <c r="GA1004">
        <v>8.4090509680764605</v>
      </c>
      <c r="GB1004">
        <v>1.5338556564835379</v>
      </c>
      <c r="GC1004">
        <v>0.62780574685714596</v>
      </c>
      <c r="GD1004">
        <v>0.8396124281603311</v>
      </c>
      <c r="GE1004">
        <v>1.1434654100251265</v>
      </c>
      <c r="GF1004">
        <v>2.8573835346179015</v>
      </c>
      <c r="GG1004">
        <v>2.4324324403942232</v>
      </c>
      <c r="GH1004">
        <v>0.23579423514790807</v>
      </c>
      <c r="GI1004">
        <v>3.1179858147830268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8.9222834967320264</v>
      </c>
      <c r="AO1005">
        <v>15.045957109308622</v>
      </c>
      <c r="AP1005">
        <v>89.793294601163254</v>
      </c>
      <c r="AQ1005">
        <v>26.452686196002663</v>
      </c>
      <c r="AR1005">
        <v>14.9495040720454</v>
      </c>
      <c r="AS1005">
        <v>72.002919094786293</v>
      </c>
      <c r="AT1005" t="e">
        <v>#DIV/0!</v>
      </c>
      <c r="AU1005" t="e">
        <v>#DIV/0!</v>
      </c>
      <c r="AV1005"/>
      <c r="AW1005"/>
      <c r="FY1005" s="210">
        <v>1000</v>
      </c>
      <c r="FZ1005">
        <v>19.371994507528385</v>
      </c>
      <c r="GA1005">
        <v>24.284257799554283</v>
      </c>
      <c r="GB1005">
        <v>4.538146272971967</v>
      </c>
      <c r="GC1005">
        <v>0.92771558149918243</v>
      </c>
      <c r="GD1005">
        <v>1.0168501456805519</v>
      </c>
      <c r="GE1005">
        <v>1.3855747773809217</v>
      </c>
      <c r="GF1005">
        <v>2.3228206018127304</v>
      </c>
      <c r="GG1005">
        <v>1.788264926164711</v>
      </c>
      <c r="GH1005">
        <v>0.47158847029581613</v>
      </c>
      <c r="GI1005">
        <v>6.4400078327204762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11.811135912698413</v>
      </c>
      <c r="AO1006">
        <v>14.536471617430134</v>
      </c>
      <c r="AP1006">
        <v>94.589788062093547</v>
      </c>
      <c r="AQ1006">
        <v>39.093101542180463</v>
      </c>
      <c r="AR1006">
        <v>13.93519911031126</v>
      </c>
      <c r="AS1006">
        <v>85.382108669594402</v>
      </c>
      <c r="AT1006" t="e">
        <v>#DIV/0!</v>
      </c>
      <c r="AU1006" t="e">
        <v>#DIV/0!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9.4575674019607838</v>
      </c>
      <c r="AO1007">
        <v>18.010669793004716</v>
      </c>
      <c r="AP1007">
        <v>129.63901443864052</v>
      </c>
      <c r="AQ1007">
        <v>17.362752209770061</v>
      </c>
      <c r="AR1007">
        <v>16.713377214272732</v>
      </c>
      <c r="AS1007">
        <v>77.585161079858182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13.676791549953316</v>
      </c>
      <c r="AO1008">
        <v>13.866027091408217</v>
      </c>
      <c r="AP1008">
        <v>93.510498629238441</v>
      </c>
      <c r="AQ1008">
        <v>31.470866567117845</v>
      </c>
      <c r="AR1008">
        <v>12.85257226188498</v>
      </c>
      <c r="AS1008">
        <v>84.81794628821585</v>
      </c>
      <c r="AT1008">
        <v>5.2657543381637177</v>
      </c>
      <c r="AU1008">
        <v>-1.0841633508839388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10.97513276143791</v>
      </c>
      <c r="AO1009">
        <v>17.044211682697757</v>
      </c>
      <c r="AP1009">
        <v>131.49392468936506</v>
      </c>
      <c r="AQ1009">
        <v>30.188430476473005</v>
      </c>
      <c r="AR1009">
        <v>15.822483451645221</v>
      </c>
      <c r="AS1009">
        <v>78.055170358025691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9.5540236928104552</v>
      </c>
      <c r="AO1010">
        <v>27.869946829839012</v>
      </c>
      <c r="AP1010">
        <v>243.86319105744991</v>
      </c>
      <c r="AQ1010">
        <v>36.952509572121166</v>
      </c>
      <c r="AR1010">
        <v>26.753687852895148</v>
      </c>
      <c r="AS1010">
        <v>103.98835807278816</v>
      </c>
      <c r="AT1010">
        <v>15.886607117632005</v>
      </c>
      <c r="AU1010">
        <v>-67.2781818430187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8.384650735294116</v>
      </c>
      <c r="AO1011">
        <v>16.302527347330305</v>
      </c>
      <c r="AP1011">
        <v>128.26954588262123</v>
      </c>
      <c r="AQ1011">
        <v>27.820108154998255</v>
      </c>
      <c r="AR1011">
        <v>15.583394439123417</v>
      </c>
      <c r="AS1011">
        <v>73.841847852513183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13.697172619047617</v>
      </c>
      <c r="AO1012">
        <v>18.56768948503511</v>
      </c>
      <c r="AP1012">
        <v>140.00978299034998</v>
      </c>
      <c r="AQ1012">
        <v>41.180439728625096</v>
      </c>
      <c r="AR1012">
        <v>18.112442283321982</v>
      </c>
      <c r="AS1012">
        <v>100.436567939791</v>
      </c>
      <c r="AT1012" t="e">
        <v>#DIV/0!</v>
      </c>
      <c r="AU1012" t="e">
        <v>#DIV/0!</v>
      </c>
      <c r="AV1012"/>
      <c r="AW1012"/>
      <c r="FZ1012" s="7">
        <v>14.680717302159465</v>
      </c>
      <c r="GA1012" s="7">
        <v>20.572088168949293</v>
      </c>
      <c r="GB1012" s="7">
        <v>5.0504001836357828</v>
      </c>
      <c r="GC1012" s="7">
        <v>0.56884077138238098</v>
      </c>
      <c r="GD1012" s="7">
        <v>0.40595821798831527</v>
      </c>
      <c r="GE1012" s="7">
        <v>0.75881631336417832</v>
      </c>
      <c r="GF1012" s="7">
        <v>6.3616455638176896</v>
      </c>
      <c r="GG1012" s="7">
        <v>5.1338793500215374</v>
      </c>
      <c r="GH1012" s="7">
        <v>0.17282465026292085</v>
      </c>
      <c r="GI1012" s="7">
        <v>5.856208951216054</v>
      </c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7.8973214285714279</v>
      </c>
      <c r="AO1013">
        <v>14.221768802171422</v>
      </c>
      <c r="AP1013">
        <v>113.24890764340975</v>
      </c>
      <c r="AQ1013">
        <v>18.500196074013562</v>
      </c>
      <c r="AR1013">
        <v>14.111190730057023</v>
      </c>
      <c r="AS1013">
        <v>67.11896790382886</v>
      </c>
      <c r="AT1013" t="e">
        <v>#DIV/0!</v>
      </c>
      <c r="AU1013" t="e">
        <v>#DIV/0!</v>
      </c>
      <c r="AV1013"/>
      <c r="AW1013"/>
      <c r="FZ1013" s="7">
        <v>5.5523291633876823</v>
      </c>
      <c r="GA1013" s="7">
        <v>20.71987900851925</v>
      </c>
      <c r="GB1013" s="7">
        <v>6.2074393294274772</v>
      </c>
      <c r="GC1013" s="7">
        <v>0.831161711701073</v>
      </c>
      <c r="GD1013" s="7">
        <v>1.3723703335647819</v>
      </c>
      <c r="GE1013" s="7">
        <v>2.3663845392382568</v>
      </c>
      <c r="GF1013" s="7">
        <v>6.8238152048982208</v>
      </c>
      <c r="GG1013" s="7">
        <v>5.8048038441017837</v>
      </c>
      <c r="GH1013" s="7">
        <v>0.64441312055873701</v>
      </c>
      <c r="GI1013" s="7">
        <v>6.3716048357272079</v>
      </c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9.0235396241830053</v>
      </c>
      <c r="AO1014">
        <v>21.317598520799979</v>
      </c>
      <c r="AP1014">
        <v>132.52637350142476</v>
      </c>
      <c r="AQ1014">
        <v>27.853220371460644</v>
      </c>
      <c r="AR1014">
        <v>20.210275932175954</v>
      </c>
      <c r="AS1014">
        <v>194.92983720704876</v>
      </c>
      <c r="AT1014">
        <v>12.004771795851115</v>
      </c>
      <c r="AU1014">
        <v>47.725017289865768</v>
      </c>
      <c r="AV1014"/>
      <c r="AW1014"/>
      <c r="FZ1014" s="7">
        <v>5.7763415625257331</v>
      </c>
      <c r="GA1014" s="7">
        <v>11.459702842157846</v>
      </c>
      <c r="GB1014" s="7">
        <v>2.7229387786263111</v>
      </c>
      <c r="GC1014" s="7">
        <v>0.5043609627801795</v>
      </c>
      <c r="GD1014" s="7">
        <v>0.89436183849778361</v>
      </c>
      <c r="GE1014" s="7">
        <v>1.9065015114292716</v>
      </c>
      <c r="GF1014" s="7">
        <v>2.9926420762380079</v>
      </c>
      <c r="GG1014" s="7">
        <v>1.8100421704621514</v>
      </c>
      <c r="GH1014" s="7">
        <v>0.17282465026292085</v>
      </c>
      <c r="GI1014" s="7">
        <v>4.3447266350303879</v>
      </c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8.827008928571427</v>
      </c>
      <c r="AO1015">
        <v>17.92217268005999</v>
      </c>
      <c r="AP1015">
        <v>147.0465488053359</v>
      </c>
      <c r="AQ1015">
        <v>24.255274434303907</v>
      </c>
      <c r="AR1015">
        <v>16.600396822675336</v>
      </c>
      <c r="AS1015">
        <v>71.851425832062702</v>
      </c>
      <c r="AT1015" t="e">
        <v>#DIV/0!</v>
      </c>
      <c r="AU1015" t="e">
        <v>#DIV/0!</v>
      </c>
      <c r="AV1015"/>
      <c r="AW1015"/>
      <c r="FZ1015" s="7">
        <v>9.5138601883432852</v>
      </c>
      <c r="GA1015" s="7">
        <v>12.906594662586977</v>
      </c>
      <c r="GB1015" s="7">
        <v>3.3903463200373478</v>
      </c>
      <c r="GC1015" s="7">
        <v>0.15293721128312596</v>
      </c>
      <c r="GD1015" s="7">
        <v>8.7719051929370226E-2</v>
      </c>
      <c r="GE1015" s="7">
        <v>1.6923884848393396</v>
      </c>
      <c r="GF1015" s="7">
        <v>4.881474214779872</v>
      </c>
      <c r="GG1015" s="7">
        <v>2.2342051518878385</v>
      </c>
      <c r="GH1015" s="7">
        <v>0.40861888541082891</v>
      </c>
      <c r="GI1015" s="7">
        <v>3.4604841517350984</v>
      </c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8.9296874999999964</v>
      </c>
      <c r="AO1016">
        <v>19.199328033298968</v>
      </c>
      <c r="AP1016">
        <v>162.36336991929639</v>
      </c>
      <c r="AQ1016">
        <v>62.547220915609024</v>
      </c>
      <c r="AR1016">
        <v>19.184825745811764</v>
      </c>
      <c r="AS1016">
        <v>91.200737976486508</v>
      </c>
      <c r="AT1016" t="e">
        <v>#DIV/0!</v>
      </c>
      <c r="AU1016" t="e">
        <v>#DIV/0!</v>
      </c>
      <c r="AV1016"/>
      <c r="AW1016"/>
      <c r="FZ1016" s="7">
        <v>1.7643144071772305</v>
      </c>
      <c r="GA1016" s="7">
        <v>7.8418481383051937</v>
      </c>
      <c r="GB1016" s="7">
        <v>2.6344770569918237</v>
      </c>
      <c r="GC1016" s="7">
        <v>0.89421467079867267</v>
      </c>
      <c r="GD1016" s="7">
        <v>1.0723245939356849</v>
      </c>
      <c r="GE1016" s="7">
        <v>2.1281556218561479</v>
      </c>
      <c r="GF1016" s="7">
        <v>5.8695935061864821</v>
      </c>
      <c r="GG1016" s="7">
        <v>3.6899200970888253</v>
      </c>
      <c r="GH1016" s="7">
        <v>0</v>
      </c>
      <c r="GI1016" s="7">
        <v>3.9143114153866283</v>
      </c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  <c r="FZ1017" s="7">
        <v>4.8644108621479933</v>
      </c>
      <c r="GA1017" s="7">
        <v>14.082499727008848</v>
      </c>
      <c r="GB1017" s="7">
        <v>5.2527145475538966</v>
      </c>
      <c r="GC1017" s="7">
        <v>0.95124342078112645</v>
      </c>
      <c r="GD1017" s="7">
        <v>1.6243684430205279</v>
      </c>
      <c r="GE1017" s="7">
        <v>3.2114711831016014</v>
      </c>
      <c r="GF1017" s="7">
        <v>3.4393639586877396</v>
      </c>
      <c r="GG1017" s="7">
        <v>1.4344134131846378</v>
      </c>
      <c r="GH1017" s="7">
        <v>0</v>
      </c>
      <c r="GI1017" s="7">
        <v>5.5086239769104521</v>
      </c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  <c r="FZ1018" s="7">
        <v>8.4073102095777337</v>
      </c>
      <c r="GA1018" s="7">
        <v>10.705138877363909</v>
      </c>
      <c r="GB1018" s="7">
        <v>1.6373462963001533</v>
      </c>
      <c r="GC1018" s="7">
        <v>0.65847187997889611</v>
      </c>
      <c r="GD1018" s="7">
        <v>0.84851365186220673</v>
      </c>
      <c r="GE1018" s="7">
        <v>1.6113431698985363</v>
      </c>
      <c r="GF1018" s="7">
        <v>1.3931084368759987</v>
      </c>
      <c r="GG1018" s="7">
        <v>0.42416298142568709</v>
      </c>
      <c r="GH1018" s="7">
        <v>0.58144353567374973</v>
      </c>
      <c r="GI1018" s="7">
        <v>3.7469682344634405</v>
      </c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FZ1019" s="7">
        <v>7.8645878429798852</v>
      </c>
      <c r="GA1019" s="7">
        <v>10.705138877363909</v>
      </c>
      <c r="GB1019" s="7">
        <v>1.7083578032572677</v>
      </c>
      <c r="GC1019" s="7">
        <v>0.65502930485349864</v>
      </c>
      <c r="GD1019" s="7">
        <v>0.93733447574681761</v>
      </c>
      <c r="GE1019" s="7">
        <v>1.9964260350325773</v>
      </c>
      <c r="GF1019" s="7">
        <v>1.6014239873470479</v>
      </c>
      <c r="GG1019" s="7">
        <v>0.42416298142568709</v>
      </c>
      <c r="GH1019" s="7">
        <v>0.40861888541082891</v>
      </c>
      <c r="GI1019" s="7">
        <v>3.732632931193959</v>
      </c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FZ1020" s="7">
        <v>8.4073102095777337</v>
      </c>
      <c r="GA1020" s="7">
        <v>5.5664969332971452</v>
      </c>
      <c r="GB1020" s="7">
        <v>0.25933192366534985</v>
      </c>
      <c r="GC1020" s="7">
        <v>0.42444978201321903</v>
      </c>
      <c r="GD1020" s="7">
        <v>0.2152461182715282</v>
      </c>
      <c r="GE1020" s="7">
        <v>0.97649907389517598</v>
      </c>
      <c r="GF1020" s="7">
        <v>5.1979907357115875</v>
      </c>
      <c r="GG1020" s="7">
        <v>3.4426828721531746</v>
      </c>
      <c r="GH1020" s="7">
        <v>0.17282465026292085</v>
      </c>
      <c r="GI1020" s="7">
        <v>3.0150943132121739</v>
      </c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FZ1021" s="7">
        <v>6.3190639291235815</v>
      </c>
      <c r="GA1021" s="7">
        <v>13.829686171230275</v>
      </c>
      <c r="GB1021" s="7">
        <v>3.3264230252905955</v>
      </c>
      <c r="GC1021" s="7">
        <v>1.2900329667413815</v>
      </c>
      <c r="GD1021" s="7">
        <v>1.7412630776018143</v>
      </c>
      <c r="GE1021" s="7">
        <v>2.405026941984076</v>
      </c>
      <c r="GF1021" s="7">
        <v>6.6839474384865651</v>
      </c>
      <c r="GG1021" s="7">
        <v>5.9118938444272979</v>
      </c>
      <c r="GH1021" s="7">
        <v>1.3986813064954078</v>
      </c>
      <c r="GI1021" s="7">
        <v>6.4214687847406307</v>
      </c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FZ1022" s="7">
        <v>6.2315792134081001</v>
      </c>
      <c r="GA1022" s="7">
        <v>6.2384052819649849</v>
      </c>
      <c r="GB1022" s="7">
        <v>1.0640077246378121</v>
      </c>
      <c r="GC1022" s="7">
        <v>0.55976625205026354</v>
      </c>
      <c r="GD1022" s="7">
        <v>0.39513079049404198</v>
      </c>
      <c r="GE1022" s="7">
        <v>0.90586666698753082</v>
      </c>
      <c r="GF1022" s="7">
        <v>2.6999601513480243</v>
      </c>
      <c r="GG1022" s="7">
        <v>1.669419233570923</v>
      </c>
      <c r="GH1022" s="7">
        <v>0.47158847029581613</v>
      </c>
      <c r="GI1022" s="7">
        <v>2.6170755251066593</v>
      </c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FZ1023" s="7">
        <v>6.2315792134081001</v>
      </c>
      <c r="GA1023" s="7">
        <v>17.227466527842569</v>
      </c>
      <c r="GB1023" s="7">
        <v>5.6876620500448771</v>
      </c>
      <c r="GC1023" s="7">
        <v>0.74505267835843991</v>
      </c>
      <c r="GD1023" s="7">
        <v>1.2501602643404348</v>
      </c>
      <c r="GE1023" s="7">
        <v>2.1956580988570402</v>
      </c>
      <c r="GF1023" s="7">
        <v>4.0362290237149105</v>
      </c>
      <c r="GG1023" s="7">
        <v>3.232224179097424</v>
      </c>
      <c r="GH1023" s="7">
        <v>0.47158847029581613</v>
      </c>
      <c r="GI1023" s="7">
        <v>5.5231924126587559</v>
      </c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FZ1024" s="7">
        <v>3.5708370695669749</v>
      </c>
      <c r="GA1024" s="7">
        <v>5.7142877728671042</v>
      </c>
      <c r="GB1024" s="7">
        <v>1.3465702107475521</v>
      </c>
      <c r="GC1024" s="7">
        <v>0.61679500203271709</v>
      </c>
      <c r="GD1024" s="7">
        <v>0.63580933228458292</v>
      </c>
      <c r="GE1024" s="7">
        <v>1.9088227519145931</v>
      </c>
      <c r="GF1024" s="7">
        <v>5.0241361740110291</v>
      </c>
      <c r="GG1024" s="7">
        <v>2.6311354411817005</v>
      </c>
      <c r="GH1024" s="7">
        <v>0.17282465026292085</v>
      </c>
      <c r="GI1024" s="7">
        <v>2.8542519491455804</v>
      </c>
    </row>
    <row r="1025" spans="1:191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FZ1025" s="7">
        <v>7.9226794379451286</v>
      </c>
      <c r="GA1025" s="7">
        <v>10.758614790181531</v>
      </c>
      <c r="GB1025" s="7">
        <v>3.428790855497275</v>
      </c>
      <c r="GC1025" s="7">
        <v>0.43696687647073412</v>
      </c>
      <c r="GD1025" s="7">
        <v>0.27959294835560461</v>
      </c>
      <c r="GE1025" s="7">
        <v>0.68626370387661084</v>
      </c>
      <c r="GF1025" s="7">
        <v>3.6191494301076936</v>
      </c>
      <c r="GG1025" s="7">
        <v>2.8565954218199106</v>
      </c>
      <c r="GH1025" s="7">
        <v>0.64441312055873701</v>
      </c>
      <c r="GI1025" s="7">
        <v>3.6538594920913496</v>
      </c>
    </row>
    <row r="1026" spans="1:191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FZ1026" s="7">
        <v>3.6583217852824563</v>
      </c>
      <c r="GA1026" s="7">
        <v>3.4697466669706492</v>
      </c>
      <c r="GB1026" s="7">
        <v>0.39781083147439761</v>
      </c>
      <c r="GC1026" s="7">
        <v>1.3434831090887098</v>
      </c>
      <c r="GD1026" s="7">
        <v>1.3083329243204007</v>
      </c>
      <c r="GE1026" s="7">
        <v>2.1906381918614581</v>
      </c>
      <c r="GF1026" s="7">
        <v>6.0632591742764665</v>
      </c>
      <c r="GG1026" s="7">
        <v>3.6899200970888253</v>
      </c>
      <c r="GH1026" s="7">
        <v>0.3456493005258417</v>
      </c>
      <c r="GI1026" s="7">
        <v>3.3870845039057897</v>
      </c>
    </row>
    <row r="1027" spans="1:191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FZ1027" s="7">
        <v>7.4259942839280173</v>
      </c>
      <c r="GA1027" s="7">
        <v>9.6361856385772828</v>
      </c>
      <c r="GB1027" s="7">
        <v>3.4252467493920937</v>
      </c>
      <c r="GC1027" s="7">
        <v>0.96659529281740109</v>
      </c>
      <c r="GD1027" s="7">
        <v>0.76134773795584898</v>
      </c>
      <c r="GE1027" s="7">
        <v>1.0038768225774528</v>
      </c>
      <c r="GF1027" s="7">
        <v>3.3929580777616564</v>
      </c>
      <c r="GG1027" s="7">
        <v>1.8798779266266734</v>
      </c>
      <c r="GH1027" s="7">
        <v>0</v>
      </c>
      <c r="GI1027" s="7">
        <v>3.4870757722815258</v>
      </c>
    </row>
    <row r="1028" spans="1:191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FZ1028" s="7">
        <v>8.7467450465685008</v>
      </c>
      <c r="GA1028" s="7">
        <v>18.127892222779838</v>
      </c>
      <c r="GB1028" s="7">
        <v>5.274919516584073</v>
      </c>
      <c r="GC1028" s="7">
        <v>0.99640048480350207</v>
      </c>
      <c r="GD1028" s="7">
        <v>1.0537255915953443</v>
      </c>
      <c r="GE1028" s="7">
        <v>1.5102181971474076</v>
      </c>
      <c r="GF1028" s="7">
        <v>3.6150224339036914</v>
      </c>
      <c r="GG1028" s="7">
        <v>3.0335211783099472</v>
      </c>
      <c r="GH1028" s="7">
        <v>1.2258566562324869</v>
      </c>
      <c r="GI1028" s="7">
        <v>5.094595700811996</v>
      </c>
    </row>
    <row r="1029" spans="1:191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FZ1029" s="7">
        <v>0.60043358552420678</v>
      </c>
      <c r="GA1029" s="7">
        <v>8.6618645238550354</v>
      </c>
      <c r="GB1029" s="7">
        <v>3.5088658780360915</v>
      </c>
      <c r="GC1029" s="7">
        <v>0.24884567258379822</v>
      </c>
      <c r="GD1029" s="7">
        <v>0.54856163517961942</v>
      </c>
      <c r="GE1029" s="7">
        <v>1.6535668888463477</v>
      </c>
      <c r="GF1029" s="7">
        <v>2.5401979274279887</v>
      </c>
      <c r="GG1029" s="7">
        <v>1.669419233570923</v>
      </c>
      <c r="GH1029" s="7">
        <v>0.81723777082165783</v>
      </c>
      <c r="GI1029" s="7">
        <v>2.8246557838913788</v>
      </c>
    </row>
    <row r="1030" spans="1:191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FZ1030" s="7">
        <v>2.5887603918394877</v>
      </c>
      <c r="GA1030" s="7">
        <v>3.1223009871276921</v>
      </c>
      <c r="GB1030" s="7">
        <v>0.36048910562440684</v>
      </c>
      <c r="GC1030" s="7">
        <v>0.55446695156103898</v>
      </c>
      <c r="GD1030" s="7">
        <v>1.382675805917317</v>
      </c>
      <c r="GE1030" s="7">
        <v>2.2381925338374726</v>
      </c>
      <c r="GF1030" s="7">
        <v>0.61220637273005429</v>
      </c>
      <c r="GG1030" s="7">
        <v>0.49447444987130124</v>
      </c>
      <c r="GH1030" s="7">
        <v>0.3456493005258417</v>
      </c>
      <c r="GI1030" s="7">
        <v>2.5844744498186456</v>
      </c>
    </row>
    <row r="1031" spans="1:191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FZ1031" s="7">
        <v>2.1916143359223637</v>
      </c>
      <c r="GA1031" s="7">
        <v>10.012493824416669</v>
      </c>
      <c r="GB1031" s="7">
        <v>3.1542543363744242</v>
      </c>
      <c r="GC1031" s="7">
        <v>0.22441928121540605</v>
      </c>
      <c r="GD1031" s="7">
        <v>0.33589426057218247</v>
      </c>
      <c r="GE1031" s="7">
        <v>1.6452206460725913</v>
      </c>
      <c r="GF1031" s="7">
        <v>5.894772126219685</v>
      </c>
      <c r="GG1031" s="7">
        <v>4.1721631424107617</v>
      </c>
      <c r="GH1031" s="7">
        <v>0.64441312055873701</v>
      </c>
      <c r="GI1031" s="7">
        <v>3.7775725334197636</v>
      </c>
    </row>
    <row r="1032" spans="1:191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FZ1032" s="7">
        <v>3.0578881997582497</v>
      </c>
      <c r="GA1032" s="7">
        <v>11.533598261942824</v>
      </c>
      <c r="GB1032" s="7">
        <v>3.2915225959358496</v>
      </c>
      <c r="GC1032" s="7">
        <v>1.3574270530508268</v>
      </c>
      <c r="GD1032" s="7">
        <v>1.2725149295533811</v>
      </c>
      <c r="GE1032" s="7">
        <v>1.3907738776236769</v>
      </c>
      <c r="GF1032" s="7">
        <v>2.8583728058928628</v>
      </c>
      <c r="GG1032" s="7">
        <v>1.5628049455265007</v>
      </c>
      <c r="GH1032" s="7">
        <v>0</v>
      </c>
      <c r="GI1032" s="7">
        <v>3.7992360526655311</v>
      </c>
    </row>
    <row r="1033" spans="1:191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  <c r="FZ1033" s="7">
        <v>6.6015482992657599</v>
      </c>
      <c r="GA1033" s="7">
        <v>4.7399666581448576</v>
      </c>
      <c r="GB1033" s="7">
        <v>1.5036221428439089</v>
      </c>
      <c r="GC1033" s="7">
        <v>0.70427435249870896</v>
      </c>
      <c r="GD1033" s="7">
        <v>0.63580933228458292</v>
      </c>
      <c r="GE1033" s="7">
        <v>1.2612014507838012</v>
      </c>
      <c r="GF1033" s="7">
        <v>2.838827249625913</v>
      </c>
      <c r="GG1033" s="7">
        <v>1.6113391696746744</v>
      </c>
      <c r="GH1033" s="7">
        <v>0.40861888541082891</v>
      </c>
      <c r="GI1033" s="7">
        <v>3.4592328064471878</v>
      </c>
    </row>
    <row r="1034" spans="1:191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  <c r="FZ1034" s="7">
        <v>5.3490416337806002</v>
      </c>
      <c r="GA1034" s="7">
        <v>7.9364802623695745</v>
      </c>
      <c r="GB1034" s="7">
        <v>0.79422595986776456</v>
      </c>
      <c r="GC1034" s="7">
        <v>0.32097315101351537</v>
      </c>
      <c r="GD1034" s="7">
        <v>0.79191597354538601</v>
      </c>
      <c r="GE1034" s="7">
        <v>1.7534494037029522</v>
      </c>
      <c r="GF1034" s="7">
        <v>2.0046457233478563</v>
      </c>
      <c r="GG1034" s="7">
        <v>1.1871761882489873</v>
      </c>
      <c r="GH1034" s="7">
        <v>0.3456493005258417</v>
      </c>
      <c r="GI1034" s="7">
        <v>3.1591330267163746</v>
      </c>
    </row>
    <row r="1035" spans="1:191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  <c r="FZ1035" s="7">
        <v>3.8038980959631807</v>
      </c>
      <c r="GA1035" s="7">
        <v>10.559277147220579</v>
      </c>
      <c r="GB1035" s="7">
        <v>3.4846856056345743</v>
      </c>
      <c r="GC1035" s="7">
        <v>1.7940612858040654</v>
      </c>
      <c r="GD1035" s="7">
        <v>1.8973750173454025</v>
      </c>
      <c r="GE1035" s="7">
        <v>2.4814452938976821</v>
      </c>
      <c r="GF1035" s="7">
        <v>3.3715629218229184</v>
      </c>
      <c r="GG1035" s="7">
        <v>1.7397307020165371</v>
      </c>
      <c r="GH1035" s="7">
        <v>0.58144353567374973</v>
      </c>
      <c r="GI1035" s="7">
        <v>5.3085228863135674</v>
      </c>
    </row>
    <row r="1036" spans="1:191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  <c r="FZ1036" s="7">
        <v>12.671287486201521</v>
      </c>
      <c r="GA1036" s="7">
        <v>14.972534829801884</v>
      </c>
      <c r="GB1036" s="7">
        <v>2.3014800474545409</v>
      </c>
      <c r="GC1036" s="7">
        <v>1.3475710927115445</v>
      </c>
      <c r="GD1036" s="7">
        <v>1.1654512770998802</v>
      </c>
      <c r="GE1036" s="7">
        <v>1.7330940223599405</v>
      </c>
      <c r="GF1036" s="7">
        <v>1.6325500046881922</v>
      </c>
      <c r="GG1036" s="7">
        <v>0</v>
      </c>
      <c r="GH1036" s="7">
        <v>0.3456493005258417</v>
      </c>
      <c r="GI1036" s="7">
        <v>4.8684367597032319</v>
      </c>
    </row>
    <row r="1037" spans="1:191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  <c r="FZ1037" s="7">
        <v>3.3977034127879011</v>
      </c>
      <c r="GA1037" s="7">
        <v>9.2375103526553755</v>
      </c>
      <c r="GB1037" s="7">
        <v>3.3276336735382177</v>
      </c>
      <c r="GC1037" s="7">
        <v>0.58957144403636452</v>
      </c>
      <c r="GD1037" s="7">
        <v>0.55025349012805935</v>
      </c>
      <c r="GE1037" s="7">
        <v>1.8301047130203312</v>
      </c>
      <c r="GF1037" s="7">
        <v>3.2987379034238566</v>
      </c>
      <c r="GG1037" s="7">
        <v>0.93993896331333671</v>
      </c>
      <c r="GH1037" s="7">
        <v>0.17282465026292085</v>
      </c>
      <c r="GI1037" s="7">
        <v>3.911667987073812</v>
      </c>
    </row>
    <row r="1038" spans="1:191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  <c r="FZ1038" s="7">
        <v>12.534759802778952</v>
      </c>
      <c r="GA1038" s="7">
        <v>14.123655938255609</v>
      </c>
      <c r="GB1038" s="7">
        <v>1.4838384703089775</v>
      </c>
      <c r="GC1038" s="7">
        <v>0.72909300877552707</v>
      </c>
      <c r="GD1038" s="7">
        <v>0.79388273648762187</v>
      </c>
      <c r="GE1038" s="7">
        <v>1.1457133684104024</v>
      </c>
      <c r="GF1038" s="7">
        <v>2.3818968145408057</v>
      </c>
      <c r="GG1038" s="7">
        <v>1.4344134131846378</v>
      </c>
      <c r="GH1038" s="7">
        <v>0</v>
      </c>
      <c r="GI1038" s="7">
        <v>4.4714363781568629</v>
      </c>
    </row>
    <row r="1039" spans="1:191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  <c r="FZ1039" s="7">
        <v>2.6766254835938543</v>
      </c>
      <c r="GA1039" s="7">
        <v>1.9486422294444932</v>
      </c>
      <c r="GB1039" s="7">
        <v>0.29423235302009587</v>
      </c>
      <c r="GC1039" s="7">
        <v>0.58057642483273142</v>
      </c>
      <c r="GD1039" s="7">
        <v>0.9457468731876727</v>
      </c>
      <c r="GE1039" s="7">
        <v>2.1231533326827123</v>
      </c>
      <c r="GF1039" s="7">
        <v>1.5972969911430457</v>
      </c>
      <c r="GG1039" s="7">
        <v>0.24723722493565062</v>
      </c>
      <c r="GH1039" s="7">
        <v>0.17282465026292085</v>
      </c>
      <c r="GI1039" s="7">
        <v>2.0096224519847889</v>
      </c>
    </row>
    <row r="1040" spans="1:191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  <c r="FZ1040" s="7">
        <v>8.2202863957622654</v>
      </c>
      <c r="GA1040" s="7">
        <v>5.2929466732391681</v>
      </c>
      <c r="GB1040" s="7">
        <v>0.82912638922251047</v>
      </c>
      <c r="GC1040" s="7">
        <v>0.43413209889197463</v>
      </c>
      <c r="GD1040" s="7">
        <v>0.71155863354380555</v>
      </c>
      <c r="GE1040" s="7">
        <v>1.7746289924108409</v>
      </c>
      <c r="GF1040" s="7">
        <v>7.6597556881622708</v>
      </c>
      <c r="GG1040" s="7">
        <v>6.2507440698249113</v>
      </c>
      <c r="GH1040" s="7">
        <v>0.23579423514790807</v>
      </c>
      <c r="GI1040" s="7">
        <v>4.5630586843989418</v>
      </c>
    </row>
    <row r="1041" spans="1:191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  <c r="FZ1041" s="7">
        <v>3.1155994186846074</v>
      </c>
      <c r="GA1041" s="7">
        <v>11.334260618981871</v>
      </c>
      <c r="GB1041" s="7">
        <v>3.2601662726862841</v>
      </c>
      <c r="GC1041" s="7">
        <v>0.59430483615663632</v>
      </c>
      <c r="GD1041" s="7">
        <v>0.7579287753211208</v>
      </c>
      <c r="GE1041" s="7">
        <v>2.0598293426882774</v>
      </c>
      <c r="GF1041" s="7">
        <v>5.6744667270636437</v>
      </c>
      <c r="GG1041" s="7">
        <v>4.1018516739651467</v>
      </c>
      <c r="GH1041" s="7">
        <v>0.88020735570664521</v>
      </c>
      <c r="GI1041" s="7">
        <v>4.0291980924099455</v>
      </c>
    </row>
    <row r="1042" spans="1:191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  <c r="FZ1042" s="7">
        <v>12.389563868137113</v>
      </c>
      <c r="GA1042" s="7">
        <v>7.087601370823303</v>
      </c>
      <c r="GB1042" s="7">
        <v>0.34424953919465628</v>
      </c>
      <c r="GC1042" s="7">
        <v>0.52853421055956051</v>
      </c>
      <c r="GD1042" s="7">
        <v>0.45645538293547444</v>
      </c>
      <c r="GE1042" s="7">
        <v>0.73630336683957287</v>
      </c>
      <c r="GF1042" s="7">
        <v>3.3101478684446848</v>
      </c>
      <c r="GG1042" s="7">
        <v>2.6796696653298739</v>
      </c>
      <c r="GH1042" s="7">
        <v>0.58144353567374973</v>
      </c>
      <c r="GI1042" s="7">
        <v>3.9734883448324654</v>
      </c>
    </row>
    <row r="1043" spans="1:191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  <c r="FZ1043" s="7">
        <v>2.5732574281256437</v>
      </c>
      <c r="GA1043" s="7">
        <v>5.5373172299886706</v>
      </c>
      <c r="GB1043" s="7">
        <v>1.8234210937885167</v>
      </c>
      <c r="GC1043" s="7">
        <v>0.33327471283281845</v>
      </c>
      <c r="GD1043" s="7">
        <v>0.6413952742789919</v>
      </c>
      <c r="GE1043" s="7">
        <v>1.6796694490664068</v>
      </c>
      <c r="GF1043" s="7">
        <v>5.7774117255381903</v>
      </c>
      <c r="GG1043" s="7">
        <v>4.3826218354665114</v>
      </c>
      <c r="GH1043" s="7">
        <v>0.3456493005258417</v>
      </c>
      <c r="GI1043" s="7">
        <v>3.1915636724286314</v>
      </c>
    </row>
    <row r="1044" spans="1:191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  <c r="FZ1044" s="7">
        <v>3.6006105663560986</v>
      </c>
      <c r="GA1044" s="7">
        <v>5.6403923530821247</v>
      </c>
      <c r="GB1044" s="7">
        <v>0.70939618297614437</v>
      </c>
      <c r="GC1044" s="7">
        <v>0.6234646196453002</v>
      </c>
      <c r="GD1044" s="7">
        <v>0.99476396966728098</v>
      </c>
      <c r="GE1044" s="7">
        <v>1.5745731264193996</v>
      </c>
      <c r="GF1044" s="7">
        <v>3.3101478684446848</v>
      </c>
      <c r="GG1044" s="7">
        <v>3.0335211783099472</v>
      </c>
      <c r="GH1044" s="7">
        <v>0.88020735570664521</v>
      </c>
      <c r="GI1044" s="7">
        <v>3.8467610369361971</v>
      </c>
    </row>
    <row r="1045" spans="1:191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  <c r="FZ1045" s="7">
        <v>4.0279104951012314</v>
      </c>
      <c r="GA1045" s="7">
        <v>13.704243948054298</v>
      </c>
      <c r="GB1045" s="7">
        <v>3.831171386491067</v>
      </c>
      <c r="GC1045" s="7">
        <v>0.26050182590566417</v>
      </c>
      <c r="GD1045" s="7">
        <v>0.70368433481363679</v>
      </c>
      <c r="GE1045" s="7">
        <v>2.1856359026880221</v>
      </c>
      <c r="GF1045" s="7">
        <v>3.1555410170579341</v>
      </c>
      <c r="GG1045" s="7">
        <v>1.5628049455265007</v>
      </c>
      <c r="GH1045" s="7">
        <v>0.17282465026292085</v>
      </c>
      <c r="GI1045" s="7">
        <v>4.2642025618229153</v>
      </c>
    </row>
    <row r="1046" spans="1:191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  <c r="FZ1046" s="7">
        <v>2.6309686470520015</v>
      </c>
      <c r="GA1046" s="7">
        <v>14.156395146793828</v>
      </c>
      <c r="GB1046" s="7">
        <v>5.7178077250468196</v>
      </c>
      <c r="GC1046" s="7">
        <v>0.15293721128312596</v>
      </c>
      <c r="GD1046" s="7">
        <v>0.40090676052494106</v>
      </c>
      <c r="GE1046" s="7">
        <v>1.3652189908400116</v>
      </c>
      <c r="GF1046" s="7">
        <v>3.4876966916456755</v>
      </c>
      <c r="GG1046" s="7">
        <v>2.4324324403942232</v>
      </c>
      <c r="GH1046" s="7">
        <v>0.23579423514790807</v>
      </c>
      <c r="GI1046" s="7">
        <v>4.0781457741206797</v>
      </c>
    </row>
    <row r="1047" spans="1:191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  <c r="FZ1047" s="7">
        <v>3.94042577938575</v>
      </c>
      <c r="GA1047" s="7">
        <v>12.760732932443645</v>
      </c>
      <c r="GB1047" s="7">
        <v>5.1991532552741555</v>
      </c>
      <c r="GC1047" s="7">
        <v>0.90620346783803407</v>
      </c>
      <c r="GD1047" s="7">
        <v>1.0915167680987208</v>
      </c>
      <c r="GE1047" s="7">
        <v>1.4308491085742214</v>
      </c>
      <c r="GF1047" s="7">
        <v>4.3611491757374594</v>
      </c>
      <c r="GG1047" s="7">
        <v>3.7965343851332478</v>
      </c>
      <c r="GH1047" s="7">
        <v>0.64441312055873701</v>
      </c>
      <c r="GI1047" s="7">
        <v>4.6203398510487439</v>
      </c>
    </row>
    <row r="1048" spans="1:191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  <c r="FZ1048" s="7">
        <v>2.3647479927014374</v>
      </c>
      <c r="GA1048" s="7">
        <v>10.411169110338575</v>
      </c>
      <c r="GB1048" s="7">
        <v>3.3403291338627872</v>
      </c>
      <c r="GC1048" s="7">
        <v>1.1129225076788747</v>
      </c>
      <c r="GD1048" s="7">
        <v>1.268816277863023</v>
      </c>
      <c r="GE1048" s="7">
        <v>2.00478739055188</v>
      </c>
      <c r="GF1048" s="7">
        <v>3.6428834266965899</v>
      </c>
      <c r="GG1048" s="7">
        <v>2.0568036831167102</v>
      </c>
      <c r="GH1048" s="7">
        <v>0.40861888541082891</v>
      </c>
      <c r="GI1048" s="7">
        <v>3.8725292068681476</v>
      </c>
    </row>
    <row r="1049" spans="1:191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  <c r="FZ1049" s="7">
        <v>4.2798606163765163</v>
      </c>
      <c r="GA1049" s="7">
        <v>2.3473175153663997</v>
      </c>
      <c r="GB1049" s="7">
        <v>0.39426672536921675</v>
      </c>
      <c r="GC1049" s="7">
        <v>0.50539863618604264</v>
      </c>
      <c r="GD1049" s="7">
        <v>0.71281106437026676</v>
      </c>
      <c r="GE1049" s="7">
        <v>2.4213834347657022</v>
      </c>
      <c r="GF1049" s="7">
        <v>3.5298863737737238</v>
      </c>
      <c r="GG1049" s="7">
        <v>0.93993896331333671</v>
      </c>
      <c r="GH1049" s="7">
        <v>0.69129860105168339</v>
      </c>
      <c r="GI1049" s="7">
        <v>2.8613698314356144</v>
      </c>
    </row>
    <row r="1050" spans="1:191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  <c r="FZ1050" s="7">
        <v>6.1161567755553836</v>
      </c>
      <c r="GA1050" s="7">
        <v>11.334260618981871</v>
      </c>
      <c r="GB1050" s="7">
        <v>3.2938560537934078</v>
      </c>
      <c r="GC1050" s="7">
        <v>0.72346106456880721</v>
      </c>
      <c r="GD1050" s="7">
        <v>0.84231706660848915</v>
      </c>
      <c r="GE1050" s="7">
        <v>2.0516795057859416</v>
      </c>
      <c r="GF1050" s="7">
        <v>6.2943853055627104</v>
      </c>
      <c r="GG1050" s="7">
        <v>4.193940386708201</v>
      </c>
      <c r="GH1050" s="7">
        <v>0</v>
      </c>
      <c r="GI1050" s="7">
        <v>5.337043225514627</v>
      </c>
    </row>
    <row r="1051" spans="1:191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  <c r="FZ1051" s="7">
        <v>0.60043358552420678</v>
      </c>
      <c r="GA1051" s="7">
        <v>0.1993376429609533</v>
      </c>
      <c r="GB1051" s="7">
        <v>0.39660018322677515</v>
      </c>
      <c r="GC1051" s="7">
        <v>0.68677072233191094</v>
      </c>
      <c r="GD1051" s="7">
        <v>0.87091905667674141</v>
      </c>
      <c r="GE1051" s="7">
        <v>2.00478739055188</v>
      </c>
      <c r="GF1051" s="7">
        <v>2.9128735297518169</v>
      </c>
      <c r="GG1051" s="7">
        <v>1.5410277012290603</v>
      </c>
      <c r="GH1051" s="7">
        <v>0.47158847029581613</v>
      </c>
      <c r="GI1051" s="7">
        <v>2.8826646699718319</v>
      </c>
    </row>
    <row r="1052" spans="1:191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  <c r="FZ1052" s="7">
        <v>7.3007602308121831</v>
      </c>
      <c r="GA1052" s="7">
        <v>19.692081980979385</v>
      </c>
      <c r="GB1052" s="7">
        <v>4.4707667107577196</v>
      </c>
      <c r="GC1052" s="7">
        <v>1.0262056767896031</v>
      </c>
      <c r="GD1052" s="7">
        <v>1.1515801619820247</v>
      </c>
      <c r="GE1052" s="7">
        <v>1.4389989454765568</v>
      </c>
      <c r="GF1052" s="7">
        <v>3.0926590011717714</v>
      </c>
      <c r="GG1052" s="7">
        <v>2.7862839533742965</v>
      </c>
      <c r="GH1052" s="7">
        <v>0.88020735570664521</v>
      </c>
      <c r="GI1052" s="7">
        <v>5.0361188876351477</v>
      </c>
    </row>
    <row r="1053" spans="1:191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  <c r="FZ1053" s="7">
        <v>3.2887330754636817</v>
      </c>
      <c r="GA1053" s="7">
        <v>3.2704090240096959</v>
      </c>
      <c r="GB1053" s="7">
        <v>0.15705193209635682</v>
      </c>
      <c r="GC1053" s="7">
        <v>0.32506113463635</v>
      </c>
      <c r="GD1053" s="7">
        <v>0.33688991947587404</v>
      </c>
      <c r="GE1053" s="7">
        <v>1.8107544269701721</v>
      </c>
      <c r="GF1053" s="7">
        <v>6.471934128763702</v>
      </c>
      <c r="GG1053" s="7">
        <v>4.1236289182625878</v>
      </c>
      <c r="GH1053" s="7">
        <v>0.40861888541082891</v>
      </c>
      <c r="GI1053" s="7">
        <v>3.2284733576804747</v>
      </c>
    </row>
    <row r="1054" spans="1:191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  <c r="FZ1054" s="7">
        <v>10.098410434114763</v>
      </c>
      <c r="GA1054" s="7">
        <v>10.485381727435598</v>
      </c>
      <c r="GB1054" s="7">
        <v>2.5995766276370778</v>
      </c>
      <c r="GC1054" s="7">
        <v>0.71808226395109831</v>
      </c>
      <c r="GD1054" s="7">
        <v>0.70140859319512039</v>
      </c>
      <c r="GE1054" s="7">
        <v>1.7401220200625269</v>
      </c>
      <c r="GF1054" s="7">
        <v>7.2701935552384152</v>
      </c>
      <c r="GG1054" s="7">
        <v>4.8866421250858876</v>
      </c>
      <c r="GH1054" s="7">
        <v>0</v>
      </c>
      <c r="GI1054" s="7">
        <v>5.4428571808703534</v>
      </c>
    </row>
    <row r="1055" spans="1:191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  <c r="FZ1055" s="7">
        <v>9.5715714072696443</v>
      </c>
      <c r="GA1055" s="7">
        <v>6.6147134678043713</v>
      </c>
      <c r="GB1055" s="7">
        <v>0.82912638922251047</v>
      </c>
      <c r="GC1055" s="7">
        <v>0.93244897361945411</v>
      </c>
      <c r="GD1055" s="7">
        <v>1.1212238600868385</v>
      </c>
      <c r="GE1055" s="7">
        <v>1.8473452772021361</v>
      </c>
      <c r="GF1055" s="7">
        <v>4.0054622964448523</v>
      </c>
      <c r="GG1055" s="7">
        <v>2.6311354411817005</v>
      </c>
      <c r="GH1055" s="7">
        <v>0.3456493005258417</v>
      </c>
      <c r="GI1055" s="7">
        <v>4.2862846819233722</v>
      </c>
    </row>
    <row r="1056" spans="1:191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  <c r="FZ1056" s="7">
        <v>4.2798606163765163</v>
      </c>
      <c r="GA1056" s="7">
        <v>21.599567999177115</v>
      </c>
      <c r="GB1056" s="7">
        <v>8.2546717061847694</v>
      </c>
      <c r="GC1056" s="7">
        <v>0.6856954379752489</v>
      </c>
      <c r="GD1056" s="7">
        <v>1.2669012659973751</v>
      </c>
      <c r="GE1056" s="7">
        <v>2.3877605338175667</v>
      </c>
      <c r="GF1056" s="7">
        <v>2.8259363242308426</v>
      </c>
      <c r="GG1056" s="7">
        <v>1.9869679269521878</v>
      </c>
      <c r="GH1056" s="7">
        <v>0.23579423514790807</v>
      </c>
      <c r="GI1056" s="7">
        <v>5.5486278645765248</v>
      </c>
    </row>
    <row r="1057" spans="1:191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  <c r="FZ1057" s="7">
        <v>8.1829174344007978</v>
      </c>
      <c r="GA1057" s="7">
        <v>16.325111723478678</v>
      </c>
      <c r="GB1057" s="7">
        <v>3.5647606281733912</v>
      </c>
      <c r="GC1057" s="7">
        <v>0.99575507630606497</v>
      </c>
      <c r="GD1057" s="7">
        <v>0.86584570148471118</v>
      </c>
      <c r="GE1057" s="7">
        <v>1.5003183752486073</v>
      </c>
      <c r="GF1057" s="7">
        <v>4.1914157587658245</v>
      </c>
      <c r="GG1057" s="7">
        <v>2.5027439088398373</v>
      </c>
      <c r="GH1057" s="7">
        <v>0.17282465026292085</v>
      </c>
      <c r="GI1057" s="7">
        <v>4.1186440496073038</v>
      </c>
    </row>
    <row r="1058" spans="1:191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  <c r="FZ1058" s="7">
        <v>10.213452495928593</v>
      </c>
      <c r="GA1058" s="7">
        <v>15.92643643755677</v>
      </c>
      <c r="GB1058" s="7">
        <v>3.2252658433315382</v>
      </c>
      <c r="GC1058" s="7">
        <v>0.35077834299961647</v>
      </c>
      <c r="GD1058" s="7">
        <v>1.08337234243659</v>
      </c>
      <c r="GE1058" s="7">
        <v>2.7408537999876796</v>
      </c>
      <c r="GF1058" s="7">
        <v>5.0757113140514347</v>
      </c>
      <c r="GG1058" s="7">
        <v>3.6196086286432112</v>
      </c>
      <c r="GH1058" s="7">
        <v>0.23579423514790807</v>
      </c>
      <c r="GI1058" s="7">
        <v>5.9287473742318033</v>
      </c>
    </row>
    <row r="1059" spans="1:191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  <c r="FZ1059" s="7">
        <v>3.5432797234686255</v>
      </c>
      <c r="GA1059" s="7">
        <v>16.127703189944352</v>
      </c>
      <c r="GB1059" s="7">
        <v>6.206228681179855</v>
      </c>
      <c r="GC1059" s="7">
        <v>0.15035557729337756</v>
      </c>
      <c r="GD1059" s="7">
        <v>0.6686971906778949</v>
      </c>
      <c r="GE1059" s="7">
        <v>2.6164473376249666</v>
      </c>
      <c r="GF1059" s="7">
        <v>6.4582745256867495</v>
      </c>
      <c r="GG1059" s="7">
        <v>4.5477918996882742</v>
      </c>
      <c r="GH1059" s="7">
        <v>0.99006242108457876</v>
      </c>
      <c r="GI1059" s="7">
        <v>5.6909740058909337</v>
      </c>
    </row>
    <row r="1060" spans="1:191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  <c r="FZ1060" s="7">
        <v>19.127259474786555</v>
      </c>
      <c r="GA1060" s="7">
        <v>14.730111866167544</v>
      </c>
      <c r="GB1060" s="7">
        <v>2.7566285597334348</v>
      </c>
      <c r="GC1060" s="7">
        <v>0.50338291056524698</v>
      </c>
      <c r="GD1060" s="7">
        <v>1.0625765153178408</v>
      </c>
      <c r="GE1060" s="7">
        <v>2.625538470102335</v>
      </c>
      <c r="GF1060" s="7">
        <v>3.6282335443155258</v>
      </c>
      <c r="GG1060" s="7">
        <v>1.8798779266266734</v>
      </c>
      <c r="GH1060" s="7">
        <v>0</v>
      </c>
      <c r="GI1060" s="7">
        <v>6.0879188959578112</v>
      </c>
    </row>
    <row r="1061" spans="1:191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  <c r="FZ1061" s="7">
        <v>6.0743288963817541</v>
      </c>
      <c r="GA1061" s="7">
        <v>5.4922843162001209</v>
      </c>
      <c r="GB1061" s="7">
        <v>0.87914357539707089</v>
      </c>
      <c r="GC1061" s="7">
        <v>0.72909300877552707</v>
      </c>
      <c r="GD1061" s="7">
        <v>0.82761744979690277</v>
      </c>
      <c r="GE1061" s="7">
        <v>1.176205934253886</v>
      </c>
      <c r="GF1061" s="7">
        <v>0.76311546486498916</v>
      </c>
      <c r="GG1061" s="7">
        <v>0.1769257564900365</v>
      </c>
      <c r="GH1061" s="7">
        <v>0.23579423514790807</v>
      </c>
      <c r="GI1061" s="7">
        <v>3.3635890293930455</v>
      </c>
    </row>
    <row r="1062" spans="1:191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  <c r="FZ1062" s="7">
        <v>3.1733106376109657</v>
      </c>
      <c r="GA1062" s="7">
        <v>6.0390676390040312</v>
      </c>
      <c r="GB1062" s="7">
        <v>0.85814925461451708</v>
      </c>
      <c r="GC1062" s="7">
        <v>1.1678789996592891</v>
      </c>
      <c r="GD1062" s="7">
        <v>1.2784415584555004</v>
      </c>
      <c r="GE1062" s="7">
        <v>1.2979563815173911</v>
      </c>
      <c r="GF1062" s="7">
        <v>3.3692240811727601</v>
      </c>
      <c r="GG1062" s="7">
        <v>2.5027439088398373</v>
      </c>
      <c r="GH1062" s="7">
        <v>0</v>
      </c>
      <c r="GI1062" s="7">
        <v>3.5587288076761228</v>
      </c>
    </row>
    <row r="1063" spans="1:191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  <c r="FZ1063" s="7">
        <v>5.2917107908931271</v>
      </c>
      <c r="GA1063" s="7">
        <v>2.8941008381703091</v>
      </c>
      <c r="GB1063" s="7">
        <v>0.56280346954252092</v>
      </c>
      <c r="GC1063" s="7">
        <v>1.4081784503291235</v>
      </c>
      <c r="GD1063" s="7">
        <v>1.5606502786321241</v>
      </c>
      <c r="GE1063" s="7">
        <v>2.1107358644271703</v>
      </c>
      <c r="GF1063" s="7">
        <v>2.7631633602801013</v>
      </c>
      <c r="GG1063" s="7">
        <v>1.4924934770808866</v>
      </c>
      <c r="GH1063" s="7">
        <v>0.58144353567374973</v>
      </c>
      <c r="GI1063" s="7">
        <v>3.7454380164868928</v>
      </c>
    </row>
    <row r="1064" spans="1:191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  <c r="FZ1064" s="7">
        <v>5.2917107908931271</v>
      </c>
      <c r="GA1064" s="7">
        <v>5.0647465242817846</v>
      </c>
      <c r="GB1064" s="7">
        <v>1.0501016160656198</v>
      </c>
      <c r="GC1064" s="7">
        <v>0.6485364195111295</v>
      </c>
      <c r="GD1064" s="7">
        <v>0.54738766551634366</v>
      </c>
      <c r="GE1064" s="7">
        <v>1.1816747224681072</v>
      </c>
      <c r="GF1064" s="7">
        <v>2.3863831008158938</v>
      </c>
      <c r="GG1064" s="7">
        <v>0.93993896331333671</v>
      </c>
      <c r="GH1064" s="7">
        <v>0.3456493005258417</v>
      </c>
      <c r="GI1064" s="7">
        <v>3.3857477076789904</v>
      </c>
    </row>
    <row r="1065" spans="1:191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  <c r="FZ1065" s="7">
        <v>7.1555642961703434</v>
      </c>
      <c r="GA1065" s="7">
        <v>4.5921758185748986</v>
      </c>
      <c r="GB1065" s="7">
        <v>0.34658299705221479</v>
      </c>
      <c r="GC1065" s="7">
        <v>0.84508673423274572</v>
      </c>
      <c r="GD1065" s="7">
        <v>0.87267336850367538</v>
      </c>
      <c r="GE1065" s="7">
        <v>1.3542735221160067</v>
      </c>
      <c r="GF1065" s="7">
        <v>1.4788243806701304</v>
      </c>
      <c r="GG1065" s="7">
        <v>0.67140020636133779</v>
      </c>
      <c r="GH1065" s="7">
        <v>0.58144353567374973</v>
      </c>
      <c r="GI1065" s="7">
        <v>2.3813604896347562</v>
      </c>
    </row>
    <row r="1066" spans="1:191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  <c r="FZ1066" s="7">
        <v>0.54272236659784878</v>
      </c>
      <c r="GA1066" s="7">
        <v>5.6938682658997468</v>
      </c>
      <c r="GB1066" s="7">
        <v>2.7078220218064963</v>
      </c>
      <c r="GC1066" s="7">
        <v>1.47471159550292</v>
      </c>
      <c r="GD1066" s="7">
        <v>1.2227146252853829</v>
      </c>
      <c r="GE1066" s="7">
        <v>0.80966466574857221</v>
      </c>
      <c r="GF1066" s="7">
        <v>3.577988124308928</v>
      </c>
      <c r="GG1066" s="7">
        <v>2.8783726661173508</v>
      </c>
      <c r="GH1066" s="7">
        <v>0.17282465026292085</v>
      </c>
      <c r="GI1066" s="7">
        <v>2.9529861769992207</v>
      </c>
    </row>
    <row r="1067" spans="1:191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  <c r="FZ1067" s="7">
        <v>7.9226794379451286</v>
      </c>
      <c r="GA1067" s="7">
        <v>11.975358868538118</v>
      </c>
      <c r="GB1067" s="7">
        <v>2.5710767573911797</v>
      </c>
      <c r="GC1067" s="7">
        <v>0.17517423357019568</v>
      </c>
      <c r="GD1067" s="7">
        <v>0.55388438645713833</v>
      </c>
      <c r="GE1067" s="7">
        <v>1.6491768832229234</v>
      </c>
      <c r="GF1067" s="7">
        <v>1.1756195696030849</v>
      </c>
      <c r="GG1067" s="7">
        <v>0.353851512980073</v>
      </c>
      <c r="GH1067" s="7">
        <v>0.47158847029581613</v>
      </c>
      <c r="GI1067" s="7">
        <v>4.523109639630464</v>
      </c>
    </row>
    <row r="1068" spans="1:191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  <c r="FZ1068" s="7">
        <v>5.3373676274349791</v>
      </c>
      <c r="GA1068" s="7">
        <v>12.507919376665072</v>
      </c>
      <c r="GB1068" s="7">
        <v>3.2752830295060988</v>
      </c>
      <c r="GC1068" s="7">
        <v>0.28747224031300567</v>
      </c>
      <c r="GD1068" s="7">
        <v>0.77964608718816153</v>
      </c>
      <c r="GE1068" s="7">
        <v>1.8105752337229992</v>
      </c>
      <c r="GF1068" s="7">
        <v>4.9159267510677758</v>
      </c>
      <c r="GG1068" s="7">
        <v>4.1236289182625878</v>
      </c>
      <c r="GH1068" s="7">
        <v>0.40861888541082891</v>
      </c>
      <c r="GI1068" s="7">
        <v>4.9749270096173008</v>
      </c>
    </row>
    <row r="1069" spans="1:191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  <c r="FZ1069" s="7">
        <v>11.038278856629736</v>
      </c>
      <c r="GA1069" s="7">
        <v>5.7658345762580989</v>
      </c>
      <c r="GB1069" s="7">
        <v>0.29189889516253731</v>
      </c>
      <c r="GC1069" s="7">
        <v>1.4787995791257544</v>
      </c>
      <c r="GD1069" s="7">
        <v>1.5193053551499025</v>
      </c>
      <c r="GE1069" s="7">
        <v>1.4389989454765568</v>
      </c>
      <c r="GF1069" s="7">
        <v>3.0926590011717714</v>
      </c>
      <c r="GG1069" s="7">
        <v>2.4324324403942232</v>
      </c>
      <c r="GH1069" s="7">
        <v>0.23579423514790807</v>
      </c>
      <c r="GI1069" s="7">
        <v>3.9412702813481291</v>
      </c>
    </row>
    <row r="1070" spans="1:191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  <c r="FZ1070" s="7">
        <v>9.0077437951019412</v>
      </c>
      <c r="GA1070" s="7">
        <v>5.7658345762580989</v>
      </c>
      <c r="GB1070" s="7">
        <v>0.32437802802203847</v>
      </c>
      <c r="GC1070" s="7">
        <v>0.65567471335093575</v>
      </c>
      <c r="GD1070" s="7">
        <v>0.93544617396776686</v>
      </c>
      <c r="GE1070" s="7">
        <v>1.6012063905959633</v>
      </c>
      <c r="GF1070" s="7">
        <v>8.2936550627842038</v>
      </c>
      <c r="GG1070" s="7">
        <v>7.3190745654801113</v>
      </c>
      <c r="GH1070" s="7">
        <v>0.23579423514790807</v>
      </c>
      <c r="GI1070" s="7">
        <v>5.8670415650702772</v>
      </c>
    </row>
    <row r="1071" spans="1:191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  <c r="FZ1071" s="7">
        <v>8.2621142749358949</v>
      </c>
      <c r="GA1071" s="7">
        <v>8.9642772899094414</v>
      </c>
      <c r="GB1071" s="7">
        <v>2.758962017590993</v>
      </c>
      <c r="GC1071" s="7">
        <v>0.42251355652090772</v>
      </c>
      <c r="GD1071" s="7">
        <v>0.73936338798634194</v>
      </c>
      <c r="GE1071" s="7">
        <v>1.6695326697638337</v>
      </c>
      <c r="GF1071" s="7">
        <v>1.3753218375950436</v>
      </c>
      <c r="GG1071" s="7">
        <v>0.67140020636133779</v>
      </c>
      <c r="GH1071" s="7">
        <v>0.40861888541082891</v>
      </c>
      <c r="GI1071" s="7">
        <v>3.6586797558090849</v>
      </c>
    </row>
    <row r="1072" spans="1:191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  <c r="FZ1072" s="7">
        <v>3.0578881997582497</v>
      </c>
      <c r="GA1072" s="7">
        <v>9.1636149328703951</v>
      </c>
      <c r="GB1072" s="7">
        <v>2.7740787744108077</v>
      </c>
      <c r="GC1072" s="7">
        <v>0.36049827082917113</v>
      </c>
      <c r="GD1072" s="7">
        <v>0.4753686624348808</v>
      </c>
      <c r="GE1072" s="7">
        <v>1.9291203691010048</v>
      </c>
      <c r="GF1072" s="7">
        <v>5.3654875044642587</v>
      </c>
      <c r="GG1072" s="7">
        <v>3.2439798713656982</v>
      </c>
      <c r="GH1072" s="7">
        <v>0.23579423514790807</v>
      </c>
      <c r="GI1072" s="7">
        <v>3.5501001082544783</v>
      </c>
    </row>
    <row r="1073" spans="1:191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  <c r="FZ1073" s="7">
        <v>4.3673453320919977</v>
      </c>
      <c r="GA1073" s="7">
        <v>9.1840344398377525</v>
      </c>
      <c r="GB1073" s="7">
        <v>1.5548499772660918</v>
      </c>
      <c r="GC1073" s="7">
        <v>0.75735424017774289</v>
      </c>
      <c r="GD1073" s="7">
        <v>0.94571325818211094</v>
      </c>
      <c r="GE1073" s="7">
        <v>1.4582910621722167</v>
      </c>
      <c r="GF1073" s="7">
        <v>4.4988471574605597</v>
      </c>
      <c r="GG1073" s="7">
        <v>3.7480001609850739</v>
      </c>
      <c r="GH1073" s="7">
        <v>0.75426818593667067</v>
      </c>
      <c r="GI1073" s="7">
        <v>4.1916272139632769</v>
      </c>
    </row>
    <row r="1074" spans="1:191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  <c r="FZ1074" s="7">
        <v>6.2892904323344574</v>
      </c>
      <c r="GA1074" s="7">
        <v>11.334260618981871</v>
      </c>
      <c r="GB1074" s="7">
        <v>3.2776164873636571</v>
      </c>
      <c r="GC1074" s="7">
        <v>0.2931041845197257</v>
      </c>
      <c r="GD1074" s="7">
        <v>0.36600449634650511</v>
      </c>
      <c r="GE1074" s="7">
        <v>1.4624846619242204</v>
      </c>
      <c r="GF1074" s="7">
        <v>2.0377512912680729</v>
      </c>
      <c r="GG1074" s="7">
        <v>0.84832596285137418</v>
      </c>
      <c r="GH1074" s="7">
        <v>0.47158847029581613</v>
      </c>
      <c r="GI1074" s="7">
        <v>3.9739850426164387</v>
      </c>
    </row>
    <row r="1075" spans="1:191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  <c r="FZ1075" s="7">
        <v>7.4953795091999957</v>
      </c>
      <c r="GA1075" s="7">
        <v>7.9899561751871957</v>
      </c>
      <c r="GB1075" s="7">
        <v>2.534530523280389</v>
      </c>
      <c r="GC1075" s="7">
        <v>0.54505978851142589</v>
      </c>
      <c r="GD1075" s="7">
        <v>0.61677423578688839</v>
      </c>
      <c r="GE1075" s="7">
        <v>1.6361040748084179</v>
      </c>
      <c r="GF1075" s="7">
        <v>6.1451459678197375</v>
      </c>
      <c r="GG1075" s="7">
        <v>4.3708661431982385</v>
      </c>
      <c r="GH1075" s="7">
        <v>0.23579423514790807</v>
      </c>
      <c r="GI1075" s="7">
        <v>3.5760534180231653</v>
      </c>
    </row>
    <row r="1076" spans="1:191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  <c r="FZ1076" s="7">
        <v>3.746186877036823</v>
      </c>
      <c r="GA1076" s="7">
        <v>4.8654088813208318</v>
      </c>
      <c r="GB1076" s="7">
        <v>0.9140440047518168</v>
      </c>
      <c r="GC1076" s="7">
        <v>0.52853421055956062</v>
      </c>
      <c r="GD1076" s="7">
        <v>1.0406507390053314</v>
      </c>
      <c r="GE1076" s="7">
        <v>2.6868574946764876</v>
      </c>
      <c r="GF1076" s="7">
        <v>6.9799688721604722</v>
      </c>
      <c r="GG1076" s="7">
        <v>5.0635678815759242</v>
      </c>
      <c r="GH1076" s="7">
        <v>0.75426818593667067</v>
      </c>
      <c r="GI1076" s="7">
        <v>3.948006612850361</v>
      </c>
    </row>
    <row r="1077" spans="1:191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  <c r="FZ1077" s="7">
        <v>12.331852649210756</v>
      </c>
      <c r="GA1077" s="7">
        <v>12.980807279684001</v>
      </c>
      <c r="GB1077" s="7">
        <v>2.7867742347353772</v>
      </c>
      <c r="GC1077" s="7">
        <v>0.92143822879502535</v>
      </c>
      <c r="GD1077" s="7">
        <v>0.62978729613282014</v>
      </c>
      <c r="GE1077" s="7">
        <v>0.77226472089727771</v>
      </c>
      <c r="GF1077" s="7">
        <v>3.7863260138435999</v>
      </c>
      <c r="GG1077" s="7">
        <v>2.3743523764979746</v>
      </c>
      <c r="GH1077" s="7">
        <v>0.51847395078876257</v>
      </c>
      <c r="GI1077" s="7">
        <v>4.5044180804146405</v>
      </c>
    </row>
    <row r="1078" spans="1:191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  <c r="FZ1078" s="7">
        <v>1.3671683512601061</v>
      </c>
      <c r="GA1078" s="7">
        <v>9.2375103526553755</v>
      </c>
      <c r="GB1078" s="7">
        <v>3.3101834588608448</v>
      </c>
      <c r="GC1078" s="7">
        <v>0.60467017248362809</v>
      </c>
      <c r="GD1078" s="7">
        <v>0.94294284082003843</v>
      </c>
      <c r="GE1078" s="7">
        <v>2.1210694547990632</v>
      </c>
      <c r="GF1078" s="7">
        <v>4.1767658763847608</v>
      </c>
      <c r="GG1078" s="7">
        <v>2.8565954218199106</v>
      </c>
      <c r="GH1078" s="7">
        <v>0.47158847029581613</v>
      </c>
      <c r="GI1078" s="7">
        <v>4.203360577000975</v>
      </c>
    </row>
    <row r="1079" spans="1:191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  <c r="FZ1079" s="7">
        <v>2.4065758718750665</v>
      </c>
      <c r="GA1079" s="7">
        <v>5.0647465242817846</v>
      </c>
      <c r="GB1079" s="7">
        <v>0.99775097203350083</v>
      </c>
      <c r="GC1079" s="7">
        <v>0.86323577289698084</v>
      </c>
      <c r="GD1079" s="7">
        <v>0.57931799203151502</v>
      </c>
      <c r="GE1079" s="7">
        <v>0.55464616528199862</v>
      </c>
      <c r="GF1079" s="7">
        <v>2.2458462481460439</v>
      </c>
      <c r="GG1079" s="7">
        <v>1.4924934770808866</v>
      </c>
      <c r="GH1079" s="7">
        <v>0.40861888541082891</v>
      </c>
      <c r="GI1079" s="7">
        <v>2.236263772275902</v>
      </c>
    </row>
    <row r="1080" spans="1:191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  <c r="FZ1080" s="7">
        <v>3.6884756581104652</v>
      </c>
      <c r="GA1080" s="7">
        <v>13.683824441086943</v>
      </c>
      <c r="GB1080" s="7">
        <v>5.0329499689584098</v>
      </c>
      <c r="GC1080" s="7">
        <v>1.0957515212295719</v>
      </c>
      <c r="GD1080" s="7">
        <v>1.1224655851113936</v>
      </c>
      <c r="GE1080" s="7">
        <v>1.2971476920959593</v>
      </c>
      <c r="GF1080" s="7">
        <v>3.8307300051269886</v>
      </c>
      <c r="GG1080" s="7">
        <v>2.8783726661173508</v>
      </c>
      <c r="GH1080" s="7">
        <v>0</v>
      </c>
      <c r="GI1080" s="7">
        <v>4.5322734376021101</v>
      </c>
    </row>
    <row r="1081" spans="1:191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  <c r="FZ1081" s="7">
        <v>5.5893177487102639</v>
      </c>
      <c r="GA1081" s="7">
        <v>10.986814939138915</v>
      </c>
      <c r="GB1081" s="7">
        <v>3.2589556244386619</v>
      </c>
      <c r="GC1081" s="7">
        <v>0.19310773959621874</v>
      </c>
      <c r="GD1081" s="7">
        <v>7.8571762106630999E-2</v>
      </c>
      <c r="GE1081" s="7">
        <v>0.8405910000651482</v>
      </c>
      <c r="GF1081" s="7">
        <v>3.867764314721752</v>
      </c>
      <c r="GG1081" s="7">
        <v>2.8565954218199106</v>
      </c>
      <c r="GH1081" s="7">
        <v>0.47158847029581613</v>
      </c>
      <c r="GI1081" s="7">
        <v>3.3332731336192225</v>
      </c>
    </row>
    <row r="1082" spans="1:191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  <c r="FZ1082" s="7">
        <v>11.747682779478165</v>
      </c>
      <c r="GA1082" s="7">
        <v>9.5622902187923025</v>
      </c>
      <c r="GB1082" s="7">
        <v>2.8530309873396886</v>
      </c>
      <c r="GC1082" s="7">
        <v>0.25831245682434173</v>
      </c>
      <c r="GD1082" s="7">
        <v>0.35785286542745742</v>
      </c>
      <c r="GE1082" s="7">
        <v>1.3563246694319628</v>
      </c>
      <c r="GF1082" s="7">
        <v>3.0666883563639109</v>
      </c>
      <c r="GG1082" s="7">
        <v>1.9166564585065737</v>
      </c>
      <c r="GH1082" s="7">
        <v>0.64441312055873701</v>
      </c>
      <c r="GI1082" s="7">
        <v>4.2607107980628092</v>
      </c>
    </row>
    <row r="1083" spans="1:191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  <c r="FZ1083" s="7">
        <v>6.9983139791439992</v>
      </c>
      <c r="GA1083" s="7">
        <v>4.244730138731942</v>
      </c>
      <c r="GB1083" s="7">
        <v>0.31047191944984642</v>
      </c>
      <c r="GC1083" s="7">
        <v>0.97631522064695564</v>
      </c>
      <c r="GD1083" s="7">
        <v>0.768266039091827</v>
      </c>
      <c r="GE1083" s="7">
        <v>1.3696094016613345</v>
      </c>
      <c r="GF1083" s="7">
        <v>4.5984432979247218</v>
      </c>
      <c r="GG1083" s="7">
        <v>2.749981133775488</v>
      </c>
      <c r="GH1083" s="7">
        <v>0.17282465026292085</v>
      </c>
      <c r="GI1083" s="7">
        <v>3.0465527755172364</v>
      </c>
    </row>
    <row r="1084" spans="1:191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  <c r="FZ1084" s="7">
        <v>3.1155994186846074</v>
      </c>
      <c r="GA1084" s="7">
        <v>19.398112213954047</v>
      </c>
      <c r="GB1084" s="7">
        <v>6.277240188136969</v>
      </c>
      <c r="GC1084" s="7">
        <v>0.15487343677543727</v>
      </c>
      <c r="GD1084" s="7">
        <v>0.67184862908531262</v>
      </c>
      <c r="GE1084" s="7">
        <v>2.0079349382807803</v>
      </c>
      <c r="GF1084" s="7">
        <v>1.5795103918620901</v>
      </c>
      <c r="GG1084" s="7">
        <v>0.67140020636133779</v>
      </c>
      <c r="GH1084" s="7">
        <v>0.23579423514790807</v>
      </c>
      <c r="GI1084" s="7">
        <v>4.089298553009713</v>
      </c>
    </row>
    <row r="1085" spans="1:191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  <c r="FZ1085" s="7">
        <v>2.718453362767483</v>
      </c>
      <c r="GA1085" s="7">
        <v>7.6340674963151667</v>
      </c>
      <c r="GB1085" s="7">
        <v>1.6338021901949726</v>
      </c>
      <c r="GC1085" s="7">
        <v>0.41124966810746771</v>
      </c>
      <c r="GD1085" s="7">
        <v>1.1092400736501602</v>
      </c>
      <c r="GE1085" s="7">
        <v>2.8125645842882232</v>
      </c>
      <c r="GF1085" s="7">
        <v>2.9719497424798922</v>
      </c>
      <c r="GG1085" s="7">
        <v>1.3641019447390237</v>
      </c>
      <c r="GH1085" s="7">
        <v>0.23579423514790807</v>
      </c>
      <c r="GI1085" s="7">
        <v>4.0170827302801078</v>
      </c>
    </row>
    <row r="1086" spans="1:191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  <c r="FZ1086" s="7">
        <v>6.9986943551828844</v>
      </c>
      <c r="GA1086" s="7">
        <v>9.0381727096944218</v>
      </c>
      <c r="GB1086" s="7">
        <v>3.2264764915791604</v>
      </c>
      <c r="GC1086" s="7">
        <v>0.35142375149705357</v>
      </c>
      <c r="GD1086" s="7">
        <v>0.61800424353453787</v>
      </c>
      <c r="GE1086" s="7">
        <v>1.4574823727507848</v>
      </c>
      <c r="GF1086" s="7">
        <v>4.3440316627147002</v>
      </c>
      <c r="GG1086" s="7">
        <v>3.2444555836467894</v>
      </c>
      <c r="GH1086" s="7">
        <v>0.3456493005258417</v>
      </c>
      <c r="GI1086" s="7">
        <v>3.8931436884721071</v>
      </c>
    </row>
    <row r="1087" spans="1:191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  <c r="FZ1087" s="7">
        <v>8.0101641536606092</v>
      </c>
      <c r="GA1087" s="7">
        <v>16.179249993335343</v>
      </c>
      <c r="GB1087" s="7">
        <v>5.1341071509174672</v>
      </c>
      <c r="GC1087" s="7">
        <v>1.1685244081567263</v>
      </c>
      <c r="GD1087" s="7">
        <v>0.80384968501488885</v>
      </c>
      <c r="GE1087" s="7">
        <v>1.2705355762261621</v>
      </c>
      <c r="GF1087" s="7">
        <v>3.3079112202257215</v>
      </c>
      <c r="GG1087" s="7">
        <v>1.3641019447390237</v>
      </c>
      <c r="GH1087" s="7">
        <v>0.23579423514790807</v>
      </c>
      <c r="GI1087" s="7">
        <v>4.6304033241028613</v>
      </c>
    </row>
    <row r="1088" spans="1:191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  <c r="FZ1088" s="7">
        <v>2.7463910849047179</v>
      </c>
      <c r="GA1088" s="7">
        <v>16.127703189944352</v>
      </c>
      <c r="GB1088" s="7">
        <v>6.3458303985988387</v>
      </c>
      <c r="GC1088" s="7">
        <v>0.6701280333007622</v>
      </c>
      <c r="GD1088" s="7">
        <v>1.0395449803802577</v>
      </c>
      <c r="GE1088" s="7">
        <v>2.1046699054084841</v>
      </c>
      <c r="GF1088" s="7">
        <v>5.4644814222006346</v>
      </c>
      <c r="GG1088" s="7">
        <v>4.2424746108563749</v>
      </c>
      <c r="GH1088" s="7">
        <v>0.23579423514790807</v>
      </c>
      <c r="GI1088" s="7">
        <v>5.5663616968235567</v>
      </c>
    </row>
    <row r="1089" spans="1:191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  <c r="FZ1089" s="7">
        <v>6.1161567755553836</v>
      </c>
      <c r="GA1089" s="7">
        <v>11.533598261942824</v>
      </c>
      <c r="GB1089" s="7">
        <v>3.1531315267644882</v>
      </c>
      <c r="GC1089" s="7">
        <v>0.47422312707658293</v>
      </c>
      <c r="GD1089" s="7">
        <v>0.38116263039425702</v>
      </c>
      <c r="GE1089" s="7">
        <v>0.63411472424319371</v>
      </c>
      <c r="GF1089" s="7">
        <v>2.5493712442298535</v>
      </c>
      <c r="GG1089" s="7">
        <v>1.9166564585065737</v>
      </c>
      <c r="GH1089" s="7">
        <v>0.64441312055873701</v>
      </c>
      <c r="GI1089" s="7">
        <v>3.5539654261717262</v>
      </c>
    </row>
    <row r="1090" spans="1:191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  <c r="FZ1090" s="7">
        <v>5.7711218926357992E-2</v>
      </c>
      <c r="GA1090" s="7">
        <v>8.0638515949721761</v>
      </c>
      <c r="GB1090" s="7">
        <v>3.1031143405899275</v>
      </c>
      <c r="GC1090" s="7">
        <v>0.1388761562417255</v>
      </c>
      <c r="GD1090" s="7">
        <v>0.2583000212982165</v>
      </c>
      <c r="GE1090" s="7">
        <v>0.87214723575388209</v>
      </c>
      <c r="GF1090" s="7">
        <v>4.1436603084645451</v>
      </c>
      <c r="GG1090" s="7">
        <v>3.3723714037075605</v>
      </c>
      <c r="GH1090" s="7">
        <v>0.40861888541082891</v>
      </c>
      <c r="GI1090" s="7">
        <v>3.1992771880616813</v>
      </c>
    </row>
    <row r="1091" spans="1:191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  <c r="FZ1091" s="7">
        <v>5.1921716927931403</v>
      </c>
      <c r="GA1091" s="7">
        <v>12.382477153489098</v>
      </c>
      <c r="GB1091" s="7">
        <v>3.8137211718136941</v>
      </c>
      <c r="GC1091" s="7">
        <v>0.32226396800838963</v>
      </c>
      <c r="GD1091" s="7">
        <v>0.19885797647612691</v>
      </c>
      <c r="GE1091" s="7">
        <v>0.54730501780109508</v>
      </c>
      <c r="GF1091" s="7">
        <v>1.3162456248669678</v>
      </c>
      <c r="GG1091" s="7">
        <v>0.49447444987130124</v>
      </c>
      <c r="GH1091" s="7">
        <v>0</v>
      </c>
      <c r="GI1091" s="7">
        <v>3.5943630390079511</v>
      </c>
    </row>
    <row r="1092" spans="1:191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  <c r="FZ1092" s="7">
        <v>2.2911534340223501</v>
      </c>
      <c r="GA1092" s="7">
        <v>11.776021225577164</v>
      </c>
      <c r="GB1092" s="7">
        <v>2.4187795796476261</v>
      </c>
      <c r="GC1092" s="7">
        <v>0.40553822377226334</v>
      </c>
      <c r="GD1092" s="7">
        <v>0.99753517349214971</v>
      </c>
      <c r="GE1092" s="7">
        <v>2.0992015223921614</v>
      </c>
      <c r="GF1092" s="7">
        <v>4.1222651525258058</v>
      </c>
      <c r="GG1092" s="7">
        <v>3.0552984226073874</v>
      </c>
      <c r="GH1092" s="7">
        <v>0.58144353567374973</v>
      </c>
      <c r="GI1092" s="7">
        <v>4.5748649145712958</v>
      </c>
    </row>
    <row r="1093" spans="1:191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  <c r="FZ1093" s="7">
        <v>2.1339031169960054</v>
      </c>
      <c r="GA1093" s="7">
        <v>2.1479798724054464</v>
      </c>
      <c r="GB1093" s="7">
        <v>0.410418453161281</v>
      </c>
      <c r="GC1093" s="7">
        <v>0.47584658778895267</v>
      </c>
      <c r="GD1093" s="7">
        <v>0.67442737274940368</v>
      </c>
      <c r="GE1093" s="7">
        <v>1.6491768832229234</v>
      </c>
      <c r="GF1093" s="7">
        <v>3.8233379843747404</v>
      </c>
      <c r="GG1093" s="7">
        <v>2.5027439088398373</v>
      </c>
      <c r="GH1093" s="7">
        <v>0</v>
      </c>
      <c r="GI1093" s="7">
        <v>2.0723412656340776</v>
      </c>
    </row>
    <row r="1094" spans="1:191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  <c r="FZ1094" s="7">
        <v>9.5715714072696443</v>
      </c>
      <c r="GA1094" s="7">
        <v>12.507919376665072</v>
      </c>
      <c r="GB1094" s="7">
        <v>3.3450838882155907</v>
      </c>
      <c r="GC1094" s="7">
        <v>0.86225772068204831</v>
      </c>
      <c r="GD1094" s="7">
        <v>0.9390370364971633</v>
      </c>
      <c r="GE1094" s="7">
        <v>1.508134319263758</v>
      </c>
      <c r="GF1094" s="7">
        <v>4.8299129613205034</v>
      </c>
      <c r="GG1094" s="7">
        <v>3.4426828721531746</v>
      </c>
      <c r="GH1094" s="7">
        <v>0.3456493005258417</v>
      </c>
      <c r="GI1094" s="7">
        <v>5.5210476239656527</v>
      </c>
    </row>
    <row r="1095" spans="1:191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  <c r="FZ1095" s="7">
        <v>5.7469484417754941</v>
      </c>
      <c r="GA1095" s="7">
        <v>0.3986752859219066</v>
      </c>
      <c r="GB1095" s="7">
        <v>0.37560586244422139</v>
      </c>
      <c r="GC1095" s="7">
        <v>1.615014601249247</v>
      </c>
      <c r="GD1095" s="7">
        <v>1.5964776417385029</v>
      </c>
      <c r="GE1095" s="7">
        <v>1.5964410588263007</v>
      </c>
      <c r="GF1095" s="7">
        <v>2.6346386953588659</v>
      </c>
      <c r="GG1095" s="7">
        <v>1.4344134131846378</v>
      </c>
      <c r="GH1095" s="7">
        <v>0</v>
      </c>
      <c r="GI1095" s="7">
        <v>2.8692365498707497</v>
      </c>
    </row>
    <row r="1096" spans="1:191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  <c r="FZ1096" s="7">
        <v>12.584183146524925</v>
      </c>
      <c r="GA1096" s="7">
        <v>12.729922833332054</v>
      </c>
      <c r="GB1096" s="7">
        <v>3.8660718158458129</v>
      </c>
      <c r="GC1096" s="7">
        <v>0.44105486009356876</v>
      </c>
      <c r="GD1096" s="7">
        <v>0.45255599740672015</v>
      </c>
      <c r="GE1096" s="7">
        <v>1.4023082196586854</v>
      </c>
      <c r="GF1096" s="7">
        <v>2.8638493714720612</v>
      </c>
      <c r="GG1096" s="7">
        <v>1.3155677205908503</v>
      </c>
      <c r="GH1096" s="7">
        <v>0.17282465026292085</v>
      </c>
      <c r="GI1096" s="7">
        <v>4.5256566938614116</v>
      </c>
    </row>
    <row r="1097" spans="1:191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  <c r="FZ1097" s="7">
        <v>10.43784527110553</v>
      </c>
      <c r="GA1097" s="7">
        <v>16.954233465096639</v>
      </c>
      <c r="GB1097" s="7">
        <v>5.0666397500655336</v>
      </c>
      <c r="GC1097" s="7">
        <v>0.95752077348528342</v>
      </c>
      <c r="GD1097" s="7">
        <v>1.0696487973604596</v>
      </c>
      <c r="GE1097" s="7">
        <v>1.4041163740096489</v>
      </c>
      <c r="GF1097" s="7">
        <v>4.4348752708465984</v>
      </c>
      <c r="GG1097" s="7">
        <v>3.6196086286432112</v>
      </c>
      <c r="GH1097" s="7">
        <v>0.40861888541082891</v>
      </c>
      <c r="GI1097" s="7">
        <v>5.2680187805807002</v>
      </c>
    </row>
    <row r="1098" spans="1:191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  <c r="FZ1098" s="7">
        <v>3.5131258506406171</v>
      </c>
      <c r="GA1098" s="7">
        <v>7.0668646665438999</v>
      </c>
      <c r="GB1098" s="7">
        <v>2.7356342389508805</v>
      </c>
      <c r="GC1098" s="7">
        <v>0.89012668717583798</v>
      </c>
      <c r="GD1098" s="7">
        <v>1.224771496994477</v>
      </c>
      <c r="GE1098" s="7">
        <v>1.7378589489317042</v>
      </c>
      <c r="GF1098" s="7">
        <v>3.551348393242872</v>
      </c>
      <c r="GG1098" s="7">
        <v>2.6311354411817005</v>
      </c>
      <c r="GH1098" s="7">
        <v>0.3456493005258417</v>
      </c>
      <c r="GI1098" s="7">
        <v>4.140638455527446</v>
      </c>
    </row>
    <row r="1099" spans="1:191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  <c r="FZ1099" s="7">
        <v>4.1734868057819554</v>
      </c>
      <c r="GA1099" s="7">
        <v>7.0360545674323074</v>
      </c>
      <c r="GB1099" s="7">
        <v>1.3489915072427969</v>
      </c>
      <c r="GC1099" s="7">
        <v>0.81807870887460521</v>
      </c>
      <c r="GD1099" s="7">
        <v>0.87631598210966022</v>
      </c>
      <c r="GE1099" s="7">
        <v>1.5378824006015281</v>
      </c>
      <c r="GF1099" s="7">
        <v>4.0879132156907376</v>
      </c>
      <c r="GG1099" s="7">
        <v>2.6796696653298739</v>
      </c>
      <c r="GH1099" s="7">
        <v>0.23579423514790807</v>
      </c>
      <c r="GI1099" s="7">
        <v>3.4942190852445276</v>
      </c>
    </row>
    <row r="1100" spans="1:191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  <c r="FZ1100" s="7">
        <v>8.6019294879655472</v>
      </c>
      <c r="GA1100" s="7">
        <v>3.3443044437946754</v>
      </c>
      <c r="GB1100" s="7">
        <v>0.72563574940589493</v>
      </c>
      <c r="GC1100" s="7">
        <v>1.4991379868713119</v>
      </c>
      <c r="GD1100" s="7">
        <v>1.5320401775374126</v>
      </c>
      <c r="GE1100" s="7">
        <v>1.7975024253084935</v>
      </c>
      <c r="GF1100" s="7">
        <v>6.1637245918753489</v>
      </c>
      <c r="GG1100" s="7">
        <v>4.5110133678083741</v>
      </c>
      <c r="GH1100" s="7">
        <v>0.17282465026292085</v>
      </c>
      <c r="GI1100" s="7">
        <v>4.24292733927187</v>
      </c>
    </row>
    <row r="1101" spans="1:191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  <c r="FZ1101" s="7">
        <v>5.7767219385646182</v>
      </c>
      <c r="GA1101" s="7">
        <v>7.9899561751871957</v>
      </c>
      <c r="GB1101" s="7">
        <v>2.6566820260219997</v>
      </c>
      <c r="GC1101" s="7">
        <v>0.418817837806499</v>
      </c>
      <c r="GD1101" s="7">
        <v>0.84373710239262856</v>
      </c>
      <c r="GE1101" s="7">
        <v>1.7615992406052876</v>
      </c>
      <c r="GF1101" s="7">
        <v>2.377298986608062</v>
      </c>
      <c r="GG1101" s="7">
        <v>1.9166564585065737</v>
      </c>
      <c r="GH1101" s="7">
        <v>0.99006242108457876</v>
      </c>
      <c r="GI1101" s="7">
        <v>3.5867355186083625</v>
      </c>
    </row>
    <row r="1102" spans="1:191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  <c r="FZ1102" s="7">
        <v>8.319825493862254</v>
      </c>
      <c r="GA1102" s="7">
        <v>30.78584874575354</v>
      </c>
      <c r="GB1102" s="7">
        <v>11.032197370505035</v>
      </c>
      <c r="GC1102" s="7">
        <v>0.91799565366962776</v>
      </c>
      <c r="GD1102" s="7">
        <v>0.87981386158449637</v>
      </c>
      <c r="GE1102" s="7">
        <v>1.040631753311043</v>
      </c>
      <c r="GF1102" s="7">
        <v>0.82219167759306466</v>
      </c>
      <c r="GG1102" s="7">
        <v>0.1769257564900365</v>
      </c>
      <c r="GH1102" s="7">
        <v>0.40861888541082891</v>
      </c>
      <c r="GI1102" s="7">
        <v>6.6926449690825365</v>
      </c>
    </row>
    <row r="1103" spans="1:191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  <c r="FZ1103" s="7">
        <v>8.8044562654948582</v>
      </c>
      <c r="GA1103" s="7">
        <v>12.434023956880093</v>
      </c>
      <c r="GB1103" s="7">
        <v>2.740388993303684</v>
      </c>
      <c r="GC1103" s="7">
        <v>0.36394084595456866</v>
      </c>
      <c r="GD1103" s="7">
        <v>0.96368262985441389</v>
      </c>
      <c r="GE1103" s="7">
        <v>1.8799651827361203</v>
      </c>
      <c r="GF1103" s="7">
        <v>3.8048822988355893</v>
      </c>
      <c r="GG1103" s="7">
        <v>3.5492971601975971</v>
      </c>
      <c r="GH1103" s="7">
        <v>0.81723777082165783</v>
      </c>
      <c r="GI1103" s="7">
        <v>5.5573302930264301</v>
      </c>
    </row>
    <row r="1104" spans="1:191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  <c r="FZ1104" s="7">
        <v>3.4554146317142589</v>
      </c>
      <c r="GA1104" s="7">
        <v>3.5436420867556286</v>
      </c>
      <c r="GB1104" s="7">
        <v>0.89538314182682144</v>
      </c>
      <c r="GC1104" s="7">
        <v>0.34041300667262475</v>
      </c>
      <c r="GD1104" s="7">
        <v>0.3689263590425943</v>
      </c>
      <c r="GE1104" s="7">
        <v>1.1446496985651522</v>
      </c>
      <c r="GF1104" s="7">
        <v>4.9529610606625392</v>
      </c>
      <c r="GG1104" s="7">
        <v>3.5710744044950373</v>
      </c>
      <c r="GH1104" s="7">
        <v>0.17282465026292085</v>
      </c>
      <c r="GI1104" s="7">
        <v>3.1688928056901662</v>
      </c>
    </row>
    <row r="1105" spans="1:191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  <c r="FZ1105" s="7">
        <v>10.92285641877702</v>
      </c>
      <c r="GA1105" s="7">
        <v>17.153571108057591</v>
      </c>
      <c r="GB1105" s="7">
        <v>5.0643062922079753</v>
      </c>
      <c r="GC1105" s="7">
        <v>0.8174333003771681</v>
      </c>
      <c r="GD1105" s="7">
        <v>0.9738956445025444</v>
      </c>
      <c r="GE1105" s="7">
        <v>1.2979563815173911</v>
      </c>
      <c r="GF1105" s="7">
        <v>4.4572373589966752</v>
      </c>
      <c r="GG1105" s="7">
        <v>3.9249259174751105</v>
      </c>
      <c r="GH1105" s="7">
        <v>0.64441312055873701</v>
      </c>
      <c r="GI1105" s="7">
        <v>5.3446403180503461</v>
      </c>
    </row>
    <row r="1106" spans="1:191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  <c r="FZ1106" s="7">
        <v>5.6311456278838934</v>
      </c>
      <c r="GA1106" s="7">
        <v>3.4697466669706492</v>
      </c>
      <c r="GB1106" s="7">
        <v>0.42786866783865396</v>
      </c>
      <c r="GC1106" s="7">
        <v>0.37391391737313445</v>
      </c>
      <c r="GD1106" s="7">
        <v>0.37009390991174951</v>
      </c>
      <c r="GE1106" s="7">
        <v>1.1558501477129757</v>
      </c>
      <c r="GF1106" s="7">
        <v>3.1296933107665343</v>
      </c>
      <c r="GG1106" s="7">
        <v>2.0568036831167102</v>
      </c>
      <c r="GH1106" s="7">
        <v>0.92709283619959149</v>
      </c>
      <c r="GI1106" s="7">
        <v>2.9442594800262523</v>
      </c>
    </row>
    <row r="1107" spans="1:191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  <c r="FZ1107" s="7">
        <v>3.5432797234686255</v>
      </c>
      <c r="GA1107" s="7">
        <v>0.3986752859219066</v>
      </c>
      <c r="GB1107" s="7">
        <v>0.2721152226276059</v>
      </c>
      <c r="GC1107" s="7">
        <v>0.60811274760902556</v>
      </c>
      <c r="GD1107" s="7">
        <v>0.87605177991777006</v>
      </c>
      <c r="GE1107" s="7">
        <v>1.1323644312653121</v>
      </c>
      <c r="GF1107" s="7">
        <v>3.3591496876608171</v>
      </c>
      <c r="GG1107" s="7">
        <v>3.232224179097424</v>
      </c>
      <c r="GH1107" s="7">
        <v>0.64441312055873701</v>
      </c>
      <c r="GI1107" s="7">
        <v>3.4626199703323621</v>
      </c>
    </row>
    <row r="1108" spans="1:191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  <c r="FZ1108" s="7">
        <v>1.9098907178579547</v>
      </c>
      <c r="GA1108" s="7">
        <v>1.3729964006441531</v>
      </c>
      <c r="GB1108" s="7">
        <v>0.30701565198235187</v>
      </c>
      <c r="GC1108" s="7">
        <v>0.88514015146655511</v>
      </c>
      <c r="GD1108" s="7">
        <v>1.0084796448520816</v>
      </c>
      <c r="GE1108" s="7">
        <v>0.96163799088409485</v>
      </c>
      <c r="GF1108" s="7">
        <v>4.3212983342595681</v>
      </c>
      <c r="GG1108" s="7">
        <v>3.818311629430688</v>
      </c>
      <c r="GH1108" s="7">
        <v>0.51847395078876257</v>
      </c>
      <c r="GI1108" s="7">
        <v>3.0649273716278094</v>
      </c>
    </row>
    <row r="1109" spans="1:191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  <c r="FZ1109" s="7">
        <v>4.0279104951012314</v>
      </c>
      <c r="GA1109" s="7">
        <v>5.8397299960430775</v>
      </c>
      <c r="GB1109" s="7">
        <v>0.96518400053631337</v>
      </c>
      <c r="GC1109" s="7">
        <v>1.1672335911618519</v>
      </c>
      <c r="GD1109" s="7">
        <v>1.222502174170081</v>
      </c>
      <c r="GE1109" s="7">
        <v>1.6981528763406353</v>
      </c>
      <c r="GF1109" s="7">
        <v>4.1859391931866261</v>
      </c>
      <c r="GG1109" s="7">
        <v>3.2807584032455974</v>
      </c>
      <c r="GH1109" s="7">
        <v>0.70738270544372439</v>
      </c>
      <c r="GI1109" s="7">
        <v>3.4539658980335322</v>
      </c>
    </row>
    <row r="1110" spans="1:191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  <c r="FZ1110" s="7">
        <v>5.6888568468102516</v>
      </c>
      <c r="GA1110" s="7">
        <v>14.857483198770142</v>
      </c>
      <c r="GB1110" s="7">
        <v>5.2051186578745812</v>
      </c>
      <c r="GC1110" s="7">
        <v>0.57085649700317687</v>
      </c>
      <c r="GD1110" s="7">
        <v>0.54056876622904682</v>
      </c>
      <c r="GE1110" s="7">
        <v>0.93008175519536107</v>
      </c>
      <c r="GF1110" s="7">
        <v>4.2405291196396133</v>
      </c>
      <c r="GG1110" s="7">
        <v>3.2444555836467894</v>
      </c>
      <c r="GH1110" s="7">
        <v>0.3456493005258417</v>
      </c>
      <c r="GI1110" s="7">
        <v>4.3973191180245301</v>
      </c>
    </row>
    <row r="1111" spans="1:191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  <c r="FZ1111" s="7">
        <v>13.835929059932315</v>
      </c>
      <c r="GA1111" s="7">
        <v>5.8397299960430775</v>
      </c>
      <c r="GB1111" s="7">
        <v>1.0187452928160545</v>
      </c>
      <c r="GC1111" s="7">
        <v>0.46522810787294988</v>
      </c>
      <c r="GD1111" s="7">
        <v>0.25603069847382076</v>
      </c>
      <c r="GE1111" s="7">
        <v>0.46049531135899635</v>
      </c>
      <c r="GF1111" s="7">
        <v>0.89456820332700726</v>
      </c>
      <c r="GG1111" s="7">
        <v>0.42416298142568709</v>
      </c>
      <c r="GH1111" s="7">
        <v>0.40861888541082891</v>
      </c>
      <c r="GI1111" s="7">
        <v>2.5428354155965556</v>
      </c>
    </row>
    <row r="1112" spans="1:191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  <c r="FZ1112" s="7">
        <v>6.2892904323344574</v>
      </c>
      <c r="GA1112" s="7">
        <v>5.6403923530821247</v>
      </c>
      <c r="GB1112" s="7">
        <v>0.69194596829877142</v>
      </c>
      <c r="GC1112" s="7">
        <v>0.8365405123187819</v>
      </c>
      <c r="GD1112" s="7">
        <v>0.88731052843676772</v>
      </c>
      <c r="GE1112" s="7">
        <v>1.900514870071851</v>
      </c>
      <c r="GF1112" s="7">
        <v>4.2781209738349171</v>
      </c>
      <c r="GG1112" s="7">
        <v>2.2342051518878385</v>
      </c>
      <c r="GH1112" s="7">
        <v>0.75426818593667067</v>
      </c>
      <c r="GI1112" s="7">
        <v>3.0998986148114485</v>
      </c>
    </row>
    <row r="1113" spans="1:191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  <c r="FZ1113" s="7">
        <v>5.8344331574909756</v>
      </c>
      <c r="GA1113" s="7">
        <v>17.469889491476913</v>
      </c>
      <c r="GB1113" s="7">
        <v>5.1266016014541229</v>
      </c>
      <c r="GC1113" s="7">
        <v>0.64032284131466111</v>
      </c>
      <c r="GD1113" s="7">
        <v>0.58568647717990086</v>
      </c>
      <c r="GE1113" s="7">
        <v>1.5777030563261529</v>
      </c>
      <c r="GF1113" s="7">
        <v>7.8858578379142745</v>
      </c>
      <c r="GG1113" s="7">
        <v>5.8265810883992248</v>
      </c>
      <c r="GH1113" s="7">
        <v>0.17282465026292085</v>
      </c>
      <c r="GI1113" s="7">
        <v>5.964523375489903</v>
      </c>
    </row>
    <row r="1114" spans="1:191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  <c r="FZ1114" s="7">
        <v>3.6583217852824563</v>
      </c>
      <c r="GA1114" s="7">
        <v>5.6403923530821247</v>
      </c>
      <c r="GB1114" s="7">
        <v>0.63959532426665244</v>
      </c>
      <c r="GC1114" s="7">
        <v>0.5679422192959328</v>
      </c>
      <c r="GD1114" s="7">
        <v>0.82639386084337407</v>
      </c>
      <c r="GE1114" s="7">
        <v>1.3550822115374384</v>
      </c>
      <c r="GF1114" s="7">
        <v>1.828766654538827</v>
      </c>
      <c r="GG1114" s="7">
        <v>0.93993896331333671</v>
      </c>
      <c r="GH1114" s="7">
        <v>0</v>
      </c>
      <c r="GI1114" s="7">
        <v>2.7307419294951703</v>
      </c>
    </row>
    <row r="1115" spans="1:191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  <c r="FZ1115" s="7">
        <v>4.5129216427727226</v>
      </c>
      <c r="GA1115" s="7">
        <v>3.4697466669706492</v>
      </c>
      <c r="GB1115" s="7">
        <v>0.18719760709829947</v>
      </c>
      <c r="GC1115" s="7">
        <v>0.3266050952202354</v>
      </c>
      <c r="GD1115" s="7">
        <v>1.0262942412257432</v>
      </c>
      <c r="GE1115" s="7">
        <v>2.9240231474112446</v>
      </c>
      <c r="GF1115" s="7">
        <v>5.3462397941504509</v>
      </c>
      <c r="GG1115" s="7">
        <v>3.3723714037075605</v>
      </c>
      <c r="GH1115" s="7">
        <v>0.23579423514790807</v>
      </c>
      <c r="GI1115" s="7">
        <v>4.0499939271560601</v>
      </c>
    </row>
    <row r="1116" spans="1:191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  <c r="FZ1116" s="7">
        <v>11.378094069659388</v>
      </c>
      <c r="GA1116" s="7">
        <v>3.4697466669706492</v>
      </c>
      <c r="GB1116" s="7">
        <v>0.13605761131380295</v>
      </c>
      <c r="GC1116" s="7">
        <v>0.73881293660508174</v>
      </c>
      <c r="GD1116" s="7">
        <v>0.89438426157659545</v>
      </c>
      <c r="GE1116" s="7">
        <v>0.96897913836499838</v>
      </c>
      <c r="GF1116" s="7">
        <v>7.4591756905530069</v>
      </c>
      <c r="GG1116" s="7">
        <v>6.6381285193706985</v>
      </c>
      <c r="GH1116" s="7">
        <v>0.17282465026292085</v>
      </c>
      <c r="GI1116" s="7">
        <v>4.4594146233130703</v>
      </c>
    </row>
    <row r="1117" spans="1:191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  <c r="FZ1117" s="7">
        <v>8.9500325761755821</v>
      </c>
      <c r="GA1117" s="7">
        <v>17.153571108057591</v>
      </c>
      <c r="GB1117" s="7">
        <v>4.9957160817461048</v>
      </c>
      <c r="GC1117" s="7">
        <v>1.3893840031674514</v>
      </c>
      <c r="GD1117" s="7">
        <v>1.3171716911437823</v>
      </c>
      <c r="GE1117" s="7">
        <v>1.1764756222253521</v>
      </c>
      <c r="GF1117" s="7">
        <v>4.5799876123855698</v>
      </c>
      <c r="GG1117" s="7">
        <v>3.4426828721531746</v>
      </c>
      <c r="GH1117" s="7">
        <v>0</v>
      </c>
      <c r="GI1117" s="7">
        <v>5.1623420262318804</v>
      </c>
    </row>
    <row r="1118" spans="1:191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  <c r="FZ1118" s="7">
        <v>4.2798606163765163</v>
      </c>
      <c r="GA1118" s="7">
        <v>13.336378761243985</v>
      </c>
      <c r="GB1118" s="7">
        <v>5.0678503983131558</v>
      </c>
      <c r="GC1118" s="7">
        <v>1.0296482519150005</v>
      </c>
      <c r="GD1118" s="7">
        <v>0.99283134708076248</v>
      </c>
      <c r="GE1118" s="7">
        <v>1.4664413042724511</v>
      </c>
      <c r="GF1118" s="7">
        <v>4.3411035891739171</v>
      </c>
      <c r="GG1118" s="7">
        <v>3.0552984226073874</v>
      </c>
      <c r="GH1118" s="7">
        <v>0.40861888541082891</v>
      </c>
      <c r="GI1118" s="7">
        <v>4.5032446540939937</v>
      </c>
    </row>
    <row r="1119" spans="1:191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  <c r="FZ1119" s="7">
        <v>3.4554146317142589</v>
      </c>
      <c r="GA1119" s="7">
        <v>9.0381727096944218</v>
      </c>
      <c r="GB1119" s="7">
        <v>3.0868747741601767</v>
      </c>
      <c r="GC1119" s="7">
        <v>1.0326985621319722</v>
      </c>
      <c r="GD1119" s="7">
        <v>0.7596676002843149</v>
      </c>
      <c r="GE1119" s="7">
        <v>0.51681245195761161</v>
      </c>
      <c r="GF1119" s="7">
        <v>0.82219167759306466</v>
      </c>
      <c r="GG1119" s="7">
        <v>0.707703025960146</v>
      </c>
      <c r="GH1119" s="7">
        <v>1.1160015908545531</v>
      </c>
      <c r="GI1119" s="7">
        <v>2.5996776813743456</v>
      </c>
    </row>
    <row r="1120" spans="1:191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  <c r="FZ1120" s="7">
        <v>6.4555916125461508</v>
      </c>
      <c r="GA1120" s="7">
        <v>7.2127263966872324</v>
      </c>
      <c r="GB1120" s="7">
        <v>1.0802472910675625</v>
      </c>
      <c r="GC1120" s="7">
        <v>0.94216890144900878</v>
      </c>
      <c r="GD1120" s="7">
        <v>1.0198008502495735</v>
      </c>
      <c r="GE1120" s="7">
        <v>1.5125243248871825</v>
      </c>
      <c r="GF1120" s="7">
        <v>5.1879163421996441</v>
      </c>
      <c r="GG1120" s="7">
        <v>3.9952373859207246</v>
      </c>
      <c r="GH1120" s="7">
        <v>0.23579423514790807</v>
      </c>
      <c r="GI1120" s="7">
        <v>4.0582608005821168</v>
      </c>
    </row>
    <row r="1121" spans="1:191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  <c r="FZ1121" s="7">
        <v>8.2621142749358949</v>
      </c>
      <c r="GA1121" s="7">
        <v>13.704243948054298</v>
      </c>
      <c r="GB1121" s="7">
        <v>3.7427096648565801</v>
      </c>
      <c r="GC1121" s="7">
        <v>0.85533495948045413</v>
      </c>
      <c r="GD1121" s="7">
        <v>1.0761679413800658</v>
      </c>
      <c r="GE1121" s="7">
        <v>1.8614386988529399</v>
      </c>
      <c r="GF1121" s="7">
        <v>4.703704797985802</v>
      </c>
      <c r="GG1121" s="7">
        <v>3.1256098910530015</v>
      </c>
      <c r="GH1121" s="7">
        <v>0</v>
      </c>
      <c r="GI1121" s="7">
        <v>4.7950500677312817</v>
      </c>
    </row>
    <row r="1122" spans="1:191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  <c r="FZ1122" s="7">
        <v>3.0578881997582497</v>
      </c>
      <c r="GA1122" s="7">
        <v>5.8397299960430775</v>
      </c>
      <c r="GB1122" s="7">
        <v>0.96518400053631337</v>
      </c>
      <c r="GC1122" s="7">
        <v>0.3792927179908433</v>
      </c>
      <c r="GD1122" s="7">
        <v>0.21380365940857696</v>
      </c>
      <c r="GE1122" s="7">
        <v>0.74761586421635495</v>
      </c>
      <c r="GF1122" s="7">
        <v>4.1051813754254747</v>
      </c>
      <c r="GG1122" s="7">
        <v>2.8198168899400109</v>
      </c>
      <c r="GH1122" s="7">
        <v>0</v>
      </c>
      <c r="GI1122" s="7">
        <v>2.0994542833721717</v>
      </c>
    </row>
    <row r="1123" spans="1:191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  <c r="FZ1123" s="7">
        <v>5.8921443764173329</v>
      </c>
      <c r="GA1123" s="7">
        <v>5.2640841672427374</v>
      </c>
      <c r="GB1123" s="7">
        <v>1.1175690169175532</v>
      </c>
      <c r="GC1123" s="7">
        <v>0.76732731159630863</v>
      </c>
      <c r="GD1123" s="7">
        <v>1.0906634943886311</v>
      </c>
      <c r="GE1123" s="7">
        <v>1.6176055347886429</v>
      </c>
      <c r="GF1123" s="7">
        <v>3.6237249189768148</v>
      </c>
      <c r="GG1123" s="7">
        <v>2.8783726661173508</v>
      </c>
      <c r="GH1123" s="7">
        <v>0.17282465026292085</v>
      </c>
      <c r="GI1123" s="7">
        <v>4.4293685307587154</v>
      </c>
    </row>
    <row r="1124" spans="1:191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  <c r="FZ1124" s="7">
        <v>0.48501114767149078</v>
      </c>
      <c r="GA1124" s="7">
        <v>14.156395146793828</v>
      </c>
      <c r="GB1124" s="7">
        <v>5.7539188026491885</v>
      </c>
      <c r="GC1124" s="7">
        <v>1.4326048416975157</v>
      </c>
      <c r="GD1124" s="7">
        <v>1.4835867543023586</v>
      </c>
      <c r="GE1124" s="7">
        <v>1.6870105965473106</v>
      </c>
      <c r="GF1124" s="7">
        <v>5.3284308558058715</v>
      </c>
      <c r="GG1124" s="7">
        <v>4.1236289182625878</v>
      </c>
      <c r="GH1124" s="7">
        <v>0.23579423514790807</v>
      </c>
      <c r="GI1124" s="7">
        <v>4.9521257637656211</v>
      </c>
    </row>
    <row r="1125" spans="1:191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  <c r="FZ1125" s="7">
        <v>8.465401804542978</v>
      </c>
      <c r="GA1125" s="7">
        <v>8.1892938181481494</v>
      </c>
      <c r="GB1125" s="7">
        <v>2.7740787744108077</v>
      </c>
      <c r="GC1125" s="7">
        <v>0.7958416865875354</v>
      </c>
      <c r="GD1125" s="7">
        <v>0.75030785934627375</v>
      </c>
      <c r="GE1125" s="7">
        <v>1.3235259758487046</v>
      </c>
      <c r="GF1125" s="7">
        <v>5.0120372733906144</v>
      </c>
      <c r="GG1125" s="7">
        <v>3.7480001609850739</v>
      </c>
      <c r="GH1125" s="7">
        <v>0.58144353567374973</v>
      </c>
      <c r="GI1125" s="7">
        <v>3.9799276258809053</v>
      </c>
    </row>
    <row r="1126" spans="1:191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  <c r="FZ1126" s="7">
        <v>5.7711218926357992E-2</v>
      </c>
      <c r="GA1126" s="7">
        <v>11.587074174760446</v>
      </c>
      <c r="GB1126" s="7">
        <v>5.185247146701963</v>
      </c>
      <c r="GC1126" s="7">
        <v>0.59800055487104498</v>
      </c>
      <c r="GD1126" s="7">
        <v>0.78801016922251099</v>
      </c>
      <c r="GE1126" s="7">
        <v>1.7738203029894091</v>
      </c>
      <c r="GF1126" s="7">
        <v>4.2226533177646246</v>
      </c>
      <c r="GG1126" s="7">
        <v>2.6215896014336257</v>
      </c>
      <c r="GH1126" s="7">
        <v>0.17282465026292085</v>
      </c>
      <c r="GI1126" s="7">
        <v>3.9263210276940659</v>
      </c>
    </row>
    <row r="1127" spans="1:191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  <c r="FZ1127" s="7">
        <v>7.0401418583176287</v>
      </c>
      <c r="GA1127" s="7">
        <v>12.855365056508028</v>
      </c>
      <c r="GB1127" s="7">
        <v>3.22293238547398</v>
      </c>
      <c r="GC1127" s="7">
        <v>0.60273394699131666</v>
      </c>
      <c r="GD1127" s="7">
        <v>0.75987311518454503</v>
      </c>
      <c r="GE1127" s="7">
        <v>1.9106369418267766</v>
      </c>
      <c r="GF1127" s="7">
        <v>4.2138001859795242</v>
      </c>
      <c r="GG1127" s="7">
        <v>2.4809666645423967</v>
      </c>
      <c r="GH1127" s="7">
        <v>1.1628870713474995</v>
      </c>
      <c r="GI1127" s="7">
        <v>4.7061074989336973</v>
      </c>
    </row>
    <row r="1128" spans="1:191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  <c r="FZ1128" s="7">
        <v>7.1853377929594675</v>
      </c>
      <c r="GA1128" s="7">
        <v>15.35079060875643</v>
      </c>
      <c r="GB1128" s="7">
        <v>3.5659712764210134</v>
      </c>
      <c r="GC1128" s="7">
        <v>0.6466001940188183</v>
      </c>
      <c r="GD1128" s="7">
        <v>0.8217448825317919</v>
      </c>
      <c r="GE1128" s="7">
        <v>1.9328797951820167</v>
      </c>
      <c r="GF1128" s="7">
        <v>4.0925110436234817</v>
      </c>
      <c r="GG1128" s="7">
        <v>2.5512781329880112</v>
      </c>
      <c r="GH1128" s="7">
        <v>0.23579423514790807</v>
      </c>
      <c r="GI1128" s="7">
        <v>4.2180501049788752</v>
      </c>
    </row>
    <row r="1129" spans="1:191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  <c r="FZ1129" s="7">
        <v>5.5406551570420621</v>
      </c>
      <c r="GA1129" s="7">
        <v>3.6690843099316024</v>
      </c>
      <c r="GB1129" s="7">
        <v>0.68970972663693497</v>
      </c>
      <c r="GC1129" s="7">
        <v>0.56960329095910156</v>
      </c>
      <c r="GD1129" s="7">
        <v>0.57319439094862878</v>
      </c>
      <c r="GE1129" s="7">
        <v>1.7941433589626263</v>
      </c>
      <c r="GF1129" s="7">
        <v>5.3888398719184458</v>
      </c>
      <c r="GG1129" s="7">
        <v>3.6196086286432112</v>
      </c>
      <c r="GH1129" s="7">
        <v>0.40861888541082891</v>
      </c>
      <c r="GI1129" s="7">
        <v>3.3702247603721571</v>
      </c>
    </row>
    <row r="1130" spans="1:191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  <c r="FZ1130" s="7">
        <v>6.2613527101972233</v>
      </c>
      <c r="GA1130" s="7">
        <v>16.199669500302704</v>
      </c>
      <c r="GB1130" s="7">
        <v>3.9672289978048703</v>
      </c>
      <c r="GC1130" s="7">
        <v>0.8999261151338771</v>
      </c>
      <c r="GD1130" s="7">
        <v>1.3656074723618583</v>
      </c>
      <c r="GE1130" s="7">
        <v>2.8297728231002335</v>
      </c>
      <c r="GF1130" s="7">
        <v>3.5798784722939674</v>
      </c>
      <c r="GG1130" s="7">
        <v>1.7397307020165371</v>
      </c>
      <c r="GH1130" s="7">
        <v>0.40861888541082891</v>
      </c>
      <c r="GI1130" s="7">
        <v>4.8575078736482524</v>
      </c>
    </row>
    <row r="1131" spans="1:191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  <c r="FZ1131" s="7">
        <v>8.6596407068919063</v>
      </c>
      <c r="GA1131" s="7">
        <v>6.8675270235829462</v>
      </c>
      <c r="GB1131" s="7">
        <v>2.8613298477976725</v>
      </c>
      <c r="GC1131" s="7">
        <v>0.44410517031054031</v>
      </c>
      <c r="GD1131" s="7">
        <v>0.78514005760301009</v>
      </c>
      <c r="GE1131" s="7">
        <v>2.092660766839229</v>
      </c>
      <c r="GF1131" s="7">
        <v>3.3929580777616564</v>
      </c>
      <c r="GG1131" s="7">
        <v>2.2337294396067464</v>
      </c>
      <c r="GH1131" s="7">
        <v>0.47158847029581613</v>
      </c>
      <c r="GI1131" s="7">
        <v>4.0962849937871884</v>
      </c>
    </row>
    <row r="1132" spans="1:191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  <c r="FZ1132" s="7">
        <v>5.6771828404646314</v>
      </c>
      <c r="GA1132" s="7">
        <v>7.0872841735112573</v>
      </c>
      <c r="GB1132" s="7">
        <v>1.7059365067620229</v>
      </c>
      <c r="GC1132" s="7">
        <v>1.1166977265217675</v>
      </c>
      <c r="GD1132" s="7">
        <v>0.94613387340492938</v>
      </c>
      <c r="GE1132" s="7">
        <v>1.9325048742336772</v>
      </c>
      <c r="GF1132" s="7">
        <v>4.2542977746519881</v>
      </c>
      <c r="GG1132" s="7">
        <v>1.9869679269521878</v>
      </c>
      <c r="GH1132" s="7">
        <v>0.75426818593667067</v>
      </c>
      <c r="GI1132" s="7">
        <v>3.5377034679712098</v>
      </c>
    </row>
    <row r="1133" spans="1:191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  <c r="FZ1133" s="7">
        <v>0.82444598466225738</v>
      </c>
      <c r="GA1133" s="7">
        <v>14.732040975594169</v>
      </c>
      <c r="GB1133" s="7">
        <v>5.516704009376328</v>
      </c>
      <c r="GC1133" s="7">
        <v>0.32854132071254671</v>
      </c>
      <c r="GD1133" s="7">
        <v>0.72065084232533161</v>
      </c>
      <c r="GE1133" s="7">
        <v>2.0159878396997035</v>
      </c>
      <c r="GF1133" s="7">
        <v>2.082177621615084</v>
      </c>
      <c r="GG1133" s="7">
        <v>0.84832596285137418</v>
      </c>
      <c r="GH1133" s="7">
        <v>0.47158847029581613</v>
      </c>
      <c r="GI1133" s="7">
        <v>4.3370175506408186</v>
      </c>
    </row>
    <row r="1134" spans="1:191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  <c r="FZ1134" s="7">
        <v>7.9800102808326017</v>
      </c>
      <c r="GA1134" s="7">
        <v>14.029023814191227</v>
      </c>
      <c r="GB1134" s="7">
        <v>3.428790855497275</v>
      </c>
      <c r="GC1134" s="7">
        <v>0.53903557939628</v>
      </c>
      <c r="GD1134" s="7">
        <v>0.76412536057483837</v>
      </c>
      <c r="GE1134" s="7">
        <v>2.0035122020896621</v>
      </c>
      <c r="GF1134" s="7">
        <v>1.7345464802010273</v>
      </c>
      <c r="GG1134" s="7">
        <v>0.1769257564900365</v>
      </c>
      <c r="GH1134" s="7">
        <v>0.58144353567374973</v>
      </c>
      <c r="GI1134" s="7">
        <v>4.1063323236487461</v>
      </c>
    </row>
    <row r="1135" spans="1:191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  <c r="FZ1135" s="7">
        <v>4.3673453320919977</v>
      </c>
      <c r="GA1135" s="7">
        <v>4.4440677816928957</v>
      </c>
      <c r="GB1135" s="7">
        <v>0.101157181959057</v>
      </c>
      <c r="GC1135" s="7">
        <v>0.38609836811315401</v>
      </c>
      <c r="GD1135" s="7">
        <v>0.44975196503908582</v>
      </c>
      <c r="GE1135" s="7">
        <v>1.3020918119148961</v>
      </c>
      <c r="GF1135" s="7">
        <v>3.2118006979028824</v>
      </c>
      <c r="GG1135" s="7">
        <v>1.7397307020165371</v>
      </c>
      <c r="GH1135" s="7">
        <v>0.23579423514790807</v>
      </c>
      <c r="GI1135" s="7">
        <v>2.4648340953838113</v>
      </c>
    </row>
    <row r="1136" spans="1:191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  <c r="FZ1136" s="7">
        <v>4.9677789176162044</v>
      </c>
      <c r="GA1136" s="7">
        <v>6.814051110765325</v>
      </c>
      <c r="GB1136" s="7">
        <v>0.89780443832206624</v>
      </c>
      <c r="GC1136" s="7">
        <v>0.83317743732186877</v>
      </c>
      <c r="GD1136" s="7">
        <v>1.366803865103946</v>
      </c>
      <c r="GE1136" s="7">
        <v>1.9066979173006926</v>
      </c>
      <c r="GF1136" s="7">
        <v>4.6422897446075693</v>
      </c>
      <c r="GG1136" s="7">
        <v>4.5963261238364481</v>
      </c>
      <c r="GH1136" s="7">
        <v>1.0530320059695661</v>
      </c>
      <c r="GI1136" s="7">
        <v>4.6861376699963735</v>
      </c>
    </row>
    <row r="1137" spans="1:191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  <c r="FZ1137" s="7">
        <v>7.5251530059891198</v>
      </c>
      <c r="GA1137" s="7">
        <v>10.485381727435598</v>
      </c>
      <c r="GB1137" s="7">
        <v>2.7229387786263111</v>
      </c>
      <c r="GC1137" s="7">
        <v>0.48750274111081854</v>
      </c>
      <c r="GD1137" s="7">
        <v>0.57112580196262908</v>
      </c>
      <c r="GE1137" s="7">
        <v>1.2100830052300422</v>
      </c>
      <c r="GF1137" s="7">
        <v>3.6191494301076936</v>
      </c>
      <c r="GG1137" s="7">
        <v>2.5027439088398373</v>
      </c>
      <c r="GH1137" s="7">
        <v>0</v>
      </c>
      <c r="GI1137" s="7">
        <v>3.6005536831399976</v>
      </c>
    </row>
    <row r="1138" spans="1:191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  <c r="FZ1138" s="7">
        <v>5.4946179444613241</v>
      </c>
      <c r="GA1138" s="7">
        <v>5.3895263904187116</v>
      </c>
      <c r="GB1138" s="7">
        <v>0.57792022636233542</v>
      </c>
      <c r="GC1138" s="7">
        <v>0.47150546057710685</v>
      </c>
      <c r="GD1138" s="7">
        <v>0.57380159853785462</v>
      </c>
      <c r="GE1138" s="7">
        <v>1.1957677389210122</v>
      </c>
      <c r="GF1138" s="7">
        <v>2.8850125369589179</v>
      </c>
      <c r="GG1138" s="7">
        <v>1.9869679269521878</v>
      </c>
      <c r="GH1138" s="7">
        <v>0.58144353567374973</v>
      </c>
      <c r="GI1138" s="7">
        <v>2.3423436414049856</v>
      </c>
    </row>
    <row r="1139" spans="1:191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  <c r="FZ1139" s="7">
        <v>11.320382850733031</v>
      </c>
      <c r="GA1139" s="7">
        <v>11.533598261942824</v>
      </c>
      <c r="GB1139" s="7">
        <v>3.3089728106132226</v>
      </c>
      <c r="GC1139" s="7">
        <v>0.21254759525532801</v>
      </c>
      <c r="GD1139" s="7">
        <v>1.0187506043587176</v>
      </c>
      <c r="GE1139" s="7">
        <v>2.6274108293690177</v>
      </c>
      <c r="GF1139" s="7">
        <v>4.8522750494705793</v>
      </c>
      <c r="GG1139" s="7">
        <v>3.5710744044950373</v>
      </c>
      <c r="GH1139" s="7">
        <v>0.69129860105168339</v>
      </c>
      <c r="GI1139" s="7">
        <v>5.7900075146575523</v>
      </c>
    </row>
    <row r="1140" spans="1:191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  <c r="FZ1140" s="7">
        <v>4.8644108621479933</v>
      </c>
      <c r="GA1140" s="7">
        <v>13.883162084047894</v>
      </c>
      <c r="GB1140" s="7">
        <v>5.0468560775306024</v>
      </c>
      <c r="GC1140" s="7">
        <v>0.98513659639006212</v>
      </c>
      <c r="GD1140" s="7">
        <v>0.88906484026370158</v>
      </c>
      <c r="GE1140" s="7">
        <v>1.1967986781985691</v>
      </c>
      <c r="GF1140" s="7">
        <v>5.2112910487174542</v>
      </c>
      <c r="GG1140" s="7">
        <v>3.8668458535788619</v>
      </c>
      <c r="GH1140" s="7">
        <v>0.40861888541082891</v>
      </c>
      <c r="GI1140" s="7">
        <v>4.9661996766269949</v>
      </c>
    </row>
    <row r="1141" spans="1:191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  <c r="FZ1141" s="7">
        <v>4.3673453320919977</v>
      </c>
      <c r="GA1141" s="7">
        <v>7.0133887537262787</v>
      </c>
      <c r="GB1141" s="7">
        <v>0.94661097624900437</v>
      </c>
      <c r="GC1141" s="7">
        <v>0.64161365830953532</v>
      </c>
      <c r="GD1141" s="7">
        <v>0.71727576087586198</v>
      </c>
      <c r="GE1141" s="7">
        <v>1.2479167185544291</v>
      </c>
      <c r="GF1141" s="7">
        <v>2.3950855858890177</v>
      </c>
      <c r="GG1141" s="7">
        <v>1.4924934770808866</v>
      </c>
      <c r="GH1141" s="7">
        <v>0.23579423514790807</v>
      </c>
      <c r="GI1141" s="7">
        <v>3.016130687721267</v>
      </c>
    </row>
    <row r="1142" spans="1:191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  <c r="FZ1142" s="7">
        <v>4.2798606163765163</v>
      </c>
      <c r="GA1142" s="7">
        <v>7.8418481383051937</v>
      </c>
      <c r="GB1142" s="7">
        <v>2.6693774863465696</v>
      </c>
      <c r="GC1142" s="7">
        <v>0.36957279016128869</v>
      </c>
      <c r="GD1142" s="7">
        <v>0.43953651826666779</v>
      </c>
      <c r="GE1142" s="7">
        <v>1.1639999846153111</v>
      </c>
      <c r="GF1142" s="7">
        <v>6.2315032896765468</v>
      </c>
      <c r="GG1142" s="7">
        <v>5.2404936380659599</v>
      </c>
      <c r="GH1142" s="7">
        <v>0.47158847029581613</v>
      </c>
      <c r="GI1142" s="7">
        <v>3.5653331732658331</v>
      </c>
    </row>
    <row r="1143" spans="1:191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  <c r="FZ1143" s="7">
        <v>2.1339031169960054</v>
      </c>
      <c r="GA1143" s="7">
        <v>13.336378761243985</v>
      </c>
      <c r="GB1143" s="7">
        <v>5.1202010423452746</v>
      </c>
      <c r="GC1143" s="7">
        <v>0.48900909074390486</v>
      </c>
      <c r="GD1143" s="7">
        <v>0.74763684383288243</v>
      </c>
      <c r="GE1143" s="7">
        <v>2.0371527208599445</v>
      </c>
      <c r="GF1143" s="7">
        <v>2.9128735297518169</v>
      </c>
      <c r="GG1143" s="7">
        <v>1.3641019447390237</v>
      </c>
      <c r="GH1143" s="7">
        <v>0.23579423514790807</v>
      </c>
      <c r="GI1143" s="7">
        <v>4.6758305090529353</v>
      </c>
    </row>
    <row r="1144" spans="1:191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  <c r="FZ1144" s="7">
        <v>5.162017819965131</v>
      </c>
      <c r="GA1144" s="7">
        <v>5.2929466732391681</v>
      </c>
      <c r="GB1144" s="7">
        <v>0.74308596408326799</v>
      </c>
      <c r="GC1144" s="7">
        <v>0.60707507420316253</v>
      </c>
      <c r="GD1144" s="7">
        <v>0.84681537811964613</v>
      </c>
      <c r="GE1144" s="7">
        <v>2.0925638313558168</v>
      </c>
      <c r="GF1144" s="7">
        <v>7.1632623007853731</v>
      </c>
      <c r="GG1144" s="7">
        <v>5.0054878176796747</v>
      </c>
      <c r="GH1144" s="7">
        <v>0.69129860105168339</v>
      </c>
      <c r="GI1144" s="7">
        <v>4.7250756620433281</v>
      </c>
    </row>
    <row r="1145" spans="1:191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  <c r="FZ1145" s="7">
        <v>3.2034645104389741</v>
      </c>
      <c r="GA1145" s="7">
        <v>10.359939504259625</v>
      </c>
      <c r="GB1145" s="7">
        <v>3.1380147699446734</v>
      </c>
      <c r="GC1145" s="7">
        <v>0.913654526457782</v>
      </c>
      <c r="GD1145" s="7">
        <v>1.0535355635588541</v>
      </c>
      <c r="GE1145" s="7">
        <v>1.6483681938014914</v>
      </c>
      <c r="GF1145" s="7">
        <v>6.2979938622204941</v>
      </c>
      <c r="GG1145" s="7">
        <v>5.1121021057240972</v>
      </c>
      <c r="GH1145" s="7">
        <v>0.64441312055873701</v>
      </c>
      <c r="GI1145" s="7">
        <v>4.5333434531597483</v>
      </c>
    </row>
    <row r="1146" spans="1:191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  <c r="FZ1146" s="7">
        <v>4.4250565510183559</v>
      </c>
      <c r="GA1146" s="7">
        <v>6.6147134678043713</v>
      </c>
      <c r="GB1146" s="7">
        <v>0.76174682700826335</v>
      </c>
      <c r="GC1146" s="7">
        <v>0.28578915840970553</v>
      </c>
      <c r="GD1146" s="7">
        <v>0.62782530632321354</v>
      </c>
      <c r="GE1146" s="7">
        <v>1.2088405473355177</v>
      </c>
      <c r="GF1146" s="7">
        <v>4.656939626988633</v>
      </c>
      <c r="GG1146" s="7">
        <v>4.4194003673464124</v>
      </c>
      <c r="GH1146" s="7">
        <v>0.64441312055873701</v>
      </c>
      <c r="GI1146" s="7">
        <v>3.2197409293691077</v>
      </c>
    </row>
    <row r="1147" spans="1:191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  <c r="FZ1147" s="7">
        <v>7.2800375972084073</v>
      </c>
      <c r="GA1147" s="7">
        <v>5.6177265393760951</v>
      </c>
      <c r="GB1147" s="7">
        <v>0.41050629179896736</v>
      </c>
      <c r="GC1147" s="7">
        <v>0.80835878104505066</v>
      </c>
      <c r="GD1147" s="7">
        <v>0.7517872631794118</v>
      </c>
      <c r="GE1147" s="7">
        <v>1.4765780835750242</v>
      </c>
      <c r="GF1147" s="7">
        <v>4.0008868075757311</v>
      </c>
      <c r="GG1147" s="7">
        <v>2.2555066839041871</v>
      </c>
      <c r="GH1147" s="7">
        <v>0.17282465026292085</v>
      </c>
      <c r="GI1147" s="7">
        <v>3.2369636958957786</v>
      </c>
    </row>
    <row r="1148" spans="1:191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  <c r="FZ1148" s="7">
        <v>2.718453362767483</v>
      </c>
      <c r="GA1148" s="7">
        <v>7.2353922103932602</v>
      </c>
      <c r="GB1148" s="7">
        <v>1.4838384703089775</v>
      </c>
      <c r="GC1148" s="7">
        <v>0.85631301169538676</v>
      </c>
      <c r="GD1148" s="7">
        <v>1.1439640270690117</v>
      </c>
      <c r="GE1148" s="7">
        <v>1.9524268923014954</v>
      </c>
      <c r="GF1148" s="7">
        <v>1.5528706607960343</v>
      </c>
      <c r="GG1148" s="7">
        <v>0.60108873791572359</v>
      </c>
      <c r="GH1148" s="7">
        <v>0.64441312055873701</v>
      </c>
      <c r="GI1148" s="7">
        <v>3.4869042178506051</v>
      </c>
    </row>
    <row r="1149" spans="1:191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  <c r="FZ1149" s="7">
        <v>5.2917107908931271</v>
      </c>
      <c r="GA1149" s="7">
        <v>7.9899561751871957</v>
      </c>
      <c r="GB1149" s="7">
        <v>2.6043313819898808</v>
      </c>
      <c r="GC1149" s="7">
        <v>1.1255567132156727</v>
      </c>
      <c r="GD1149" s="7">
        <v>1.0309689646515572</v>
      </c>
      <c r="GE1149" s="7">
        <v>1.2960840222507091</v>
      </c>
      <c r="GF1149" s="7">
        <v>6.5969210303715586</v>
      </c>
      <c r="GG1149" s="7">
        <v>5.3108051065115749</v>
      </c>
      <c r="GH1149" s="7">
        <v>0.23579423514790807</v>
      </c>
      <c r="GI1149" s="7">
        <v>4.2373268577355807</v>
      </c>
    </row>
    <row r="1150" spans="1:191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  <c r="FZ1150" s="7">
        <v>7.5828642249154772</v>
      </c>
      <c r="GA1150" s="7">
        <v>10.286044084474646</v>
      </c>
      <c r="GB1150" s="7">
        <v>2.7090326700541185</v>
      </c>
      <c r="GC1150" s="7">
        <v>0.72500502515269261</v>
      </c>
      <c r="GD1150" s="7">
        <v>0.65075501521703294</v>
      </c>
      <c r="GE1150" s="7">
        <v>1.5205772263061057</v>
      </c>
      <c r="GF1150" s="7">
        <v>4.3260052141277345</v>
      </c>
      <c r="GG1150" s="7">
        <v>2.5027439088398373</v>
      </c>
      <c r="GH1150" s="7">
        <v>0</v>
      </c>
      <c r="GI1150" s="7">
        <v>3.3514649821314566</v>
      </c>
    </row>
    <row r="1151" spans="1:191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  <c r="FZ1151" s="7">
        <v>3.6006105663560986</v>
      </c>
      <c r="GA1151" s="7">
        <v>6.0390676390040312</v>
      </c>
      <c r="GB1151" s="7">
        <v>0.87681011753951243</v>
      </c>
      <c r="GC1151" s="7">
        <v>0.79292740888029156</v>
      </c>
      <c r="GD1151" s="7">
        <v>0.79425801942797269</v>
      </c>
      <c r="GE1151" s="7">
        <v>1.7742540714625015</v>
      </c>
      <c r="GF1151" s="7">
        <v>4.734382322661828</v>
      </c>
      <c r="GG1151" s="7">
        <v>2.6796696653298739</v>
      </c>
      <c r="GH1151" s="7">
        <v>0.23579423514790807</v>
      </c>
      <c r="GI1151" s="7">
        <v>3.4625744448209699</v>
      </c>
    </row>
    <row r="1152" spans="1:191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  <c r="FZ1152" s="7">
        <v>12.728998705127879</v>
      </c>
      <c r="GA1152" s="7">
        <v>20.865740738662584</v>
      </c>
      <c r="GB1152" s="7">
        <v>4.5544736780394039</v>
      </c>
      <c r="GC1152" s="7">
        <v>0.40411137426766147</v>
      </c>
      <c r="GD1152" s="7">
        <v>0.62046117020034086</v>
      </c>
      <c r="GE1152" s="7">
        <v>1.6298265971727643</v>
      </c>
      <c r="GF1152" s="7">
        <v>3.9908124140637882</v>
      </c>
      <c r="GG1152" s="7">
        <v>2.6311354411817005</v>
      </c>
      <c r="GH1152" s="7">
        <v>0.17282465026292085</v>
      </c>
      <c r="GI1152" s="7">
        <v>5.6227146596627149</v>
      </c>
    </row>
    <row r="1153" spans="1:191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  <c r="FZ1153" s="7">
        <v>9.2317561942399919</v>
      </c>
      <c r="GA1153" s="7">
        <v>11.679459992086155</v>
      </c>
      <c r="GB1153" s="7">
        <v>1.5500952229132885</v>
      </c>
      <c r="GC1153" s="7">
        <v>0.53060646856159954</v>
      </c>
      <c r="GD1153" s="7">
        <v>0.84555320646364418</v>
      </c>
      <c r="GE1153" s="7">
        <v>1.6152998122467672</v>
      </c>
      <c r="GF1153" s="7">
        <v>1.5204341791340146</v>
      </c>
      <c r="GG1153" s="7">
        <v>1.2021774758314472</v>
      </c>
      <c r="GH1153" s="7">
        <v>1.1160015908545531</v>
      </c>
      <c r="GI1153" s="7">
        <v>4.3298094749963765</v>
      </c>
    </row>
    <row r="1154" spans="1:191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  <c r="FZ1154" s="7">
        <v>6.9406027602176419</v>
      </c>
      <c r="GA1154" s="7">
        <v>14.877902705737501</v>
      </c>
      <c r="GB1154" s="7">
        <v>4.0532694229441129</v>
      </c>
      <c r="GC1154" s="7">
        <v>0.68049336962775386</v>
      </c>
      <c r="GD1154" s="7">
        <v>1.0058102670709768</v>
      </c>
      <c r="GE1154" s="7">
        <v>1.8780928234694376</v>
      </c>
      <c r="GF1154" s="7">
        <v>3.6548509363179589</v>
      </c>
      <c r="GG1154" s="7">
        <v>2.8080611976717367</v>
      </c>
      <c r="GH1154" s="7">
        <v>0.92709283619959149</v>
      </c>
      <c r="GI1154" s="7">
        <v>4.8744676496309038</v>
      </c>
    </row>
    <row r="1155" spans="1:191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  <c r="FZ1155" s="7">
        <v>13.893259902819789</v>
      </c>
      <c r="GA1155" s="7">
        <v>9.1101390200527739</v>
      </c>
      <c r="GB1155" s="7">
        <v>0.81055336493520136</v>
      </c>
      <c r="GC1155" s="7">
        <v>0.38144447612136667</v>
      </c>
      <c r="GD1155" s="7">
        <v>0.34876064871672691</v>
      </c>
      <c r="GE1155" s="7">
        <v>0.66466545944117617</v>
      </c>
      <c r="GF1155" s="7">
        <v>2.0046457233478563</v>
      </c>
      <c r="GG1155" s="7">
        <v>1.7179534577190969</v>
      </c>
      <c r="GH1155" s="7">
        <v>0.70738270544372439</v>
      </c>
      <c r="GI1155" s="7">
        <v>3.4276670410101957</v>
      </c>
    </row>
    <row r="1156" spans="1:191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  <c r="FZ1156" s="7">
        <v>3.6587021613213411</v>
      </c>
      <c r="GA1156" s="7">
        <v>4.9393043011058113</v>
      </c>
      <c r="GB1156" s="7">
        <v>1.534978466093474</v>
      </c>
      <c r="GC1156" s="7">
        <v>1.1201779125979641</v>
      </c>
      <c r="GD1156" s="7">
        <v>1.1347354714686182</v>
      </c>
      <c r="GE1156" s="7">
        <v>1.2296301023495209</v>
      </c>
      <c r="GF1156" s="7">
        <v>6.1798190977007197</v>
      </c>
      <c r="GG1156" s="7">
        <v>5.262270882363401</v>
      </c>
      <c r="GH1156" s="7">
        <v>0.17282465026292085</v>
      </c>
      <c r="GI1156" s="7">
        <v>4.8781440684444197</v>
      </c>
    </row>
    <row r="1157" spans="1:191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  <c r="FZ1157" s="7">
        <v>10.43784527110553</v>
      </c>
      <c r="GA1157" s="7">
        <v>11.659040485118798</v>
      </c>
      <c r="GB1157" s="7">
        <v>2.8589963899401143</v>
      </c>
      <c r="GC1157" s="7">
        <v>0.93937173482104841</v>
      </c>
      <c r="GD1157" s="7">
        <v>1.2399360498363494</v>
      </c>
      <c r="GE1157" s="7">
        <v>1.7534494037029522</v>
      </c>
      <c r="GF1157" s="7">
        <v>5.740377415943426</v>
      </c>
      <c r="GG1157" s="7">
        <v>5.1121021057240972</v>
      </c>
      <c r="GH1157" s="7">
        <v>0.47158847029581613</v>
      </c>
      <c r="GI1157" s="7">
        <v>5.1663440845329465</v>
      </c>
    </row>
    <row r="1158" spans="1:191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  <c r="FZ1158" s="7">
        <v>8.6019294879655472</v>
      </c>
      <c r="GA1158" s="7">
        <v>20.425909241493915</v>
      </c>
      <c r="GB1158" s="7">
        <v>8.1721753871507072</v>
      </c>
      <c r="GC1158" s="7">
        <v>0.39808716515251552</v>
      </c>
      <c r="GD1158" s="7">
        <v>0.5081258529114967</v>
      </c>
      <c r="GE1158" s="7">
        <v>1.2854807439073501</v>
      </c>
      <c r="GF1158" s="7">
        <v>4.8578631567074346</v>
      </c>
      <c r="GG1158" s="7">
        <v>3.8668458535788619</v>
      </c>
      <c r="GH1158" s="7">
        <v>0.58144353567374973</v>
      </c>
      <c r="GI1158" s="7">
        <v>6.2010693438110893</v>
      </c>
    </row>
    <row r="1159" spans="1:191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  <c r="FZ1159" s="7">
        <v>9.968717463186767</v>
      </c>
      <c r="GA1159" s="7">
        <v>11.31159480527584</v>
      </c>
      <c r="GB1159" s="7">
        <v>2.7007338095961346</v>
      </c>
      <c r="GC1159" s="7">
        <v>0.14128105796126</v>
      </c>
      <c r="GD1159" s="7">
        <v>0.81997654286753152</v>
      </c>
      <c r="GE1159" s="7">
        <v>2.8104225370500751</v>
      </c>
      <c r="GF1159" s="7">
        <v>3.389349521103874</v>
      </c>
      <c r="GG1159" s="7">
        <v>1.8463449900609596</v>
      </c>
      <c r="GH1159" s="7">
        <v>0.88020735570664521</v>
      </c>
      <c r="GI1159" s="7">
        <v>5.4977937153939545</v>
      </c>
    </row>
    <row r="1160" spans="1:191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  <c r="FZ1160" s="7">
        <v>6.6011679232268747</v>
      </c>
      <c r="GA1160" s="7">
        <v>9.5622902187923025</v>
      </c>
      <c r="GB1160" s="7">
        <v>2.9763931383289215</v>
      </c>
      <c r="GC1160" s="7">
        <v>1.0588080354036646</v>
      </c>
      <c r="GD1160" s="7">
        <v>1.1053566924060969</v>
      </c>
      <c r="GE1160" s="7">
        <v>1.346932374635103</v>
      </c>
      <c r="GF1160" s="7">
        <v>4.5432734878075705</v>
      </c>
      <c r="GG1160" s="7">
        <v>3.7480001609850739</v>
      </c>
      <c r="GH1160" s="7">
        <v>0.40861888541082891</v>
      </c>
      <c r="GI1160" s="7">
        <v>4.4693398537111886</v>
      </c>
    </row>
    <row r="1161" spans="1:191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  <c r="FZ1161" s="7">
        <v>8.7467450465685008</v>
      </c>
      <c r="GA1161" s="7">
        <v>31.686274440690806</v>
      </c>
      <c r="GB1161" s="7">
        <v>10.548443330087116</v>
      </c>
      <c r="GC1161" s="7">
        <v>0.63558944919438931</v>
      </c>
      <c r="GD1161" s="7">
        <v>1.1724442001389761</v>
      </c>
      <c r="GE1161" s="7">
        <v>2.2652595664871282</v>
      </c>
      <c r="GF1161" s="7">
        <v>3.2968475554388172</v>
      </c>
      <c r="GG1161" s="7">
        <v>2.2555066839041871</v>
      </c>
      <c r="GH1161" s="7">
        <v>0.17282465026292085</v>
      </c>
      <c r="GI1161" s="7">
        <v>7.2602043447597797</v>
      </c>
    </row>
    <row r="1162" spans="1:191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  <c r="FZ1162" s="7">
        <v>8.3495989906513763</v>
      </c>
      <c r="GA1162" s="7">
        <v>6.1645098621800054</v>
      </c>
      <c r="GB1162" s="7">
        <v>0.56401411779014343</v>
      </c>
      <c r="GC1162" s="7">
        <v>0.7999296702103702</v>
      </c>
      <c r="GD1162" s="7">
        <v>1.1846170415142707</v>
      </c>
      <c r="GE1162" s="7">
        <v>1.9453407252444104</v>
      </c>
      <c r="GF1162" s="7">
        <v>4.8789147805366353</v>
      </c>
      <c r="GG1162" s="7">
        <v>3.9952373859207246</v>
      </c>
      <c r="GH1162" s="7">
        <v>0.40861888541082891</v>
      </c>
      <c r="GI1162" s="7">
        <v>4.6213304210878672</v>
      </c>
    </row>
    <row r="1163" spans="1:191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  <c r="FZ1163" s="7">
        <v>6.9983139791439992</v>
      </c>
      <c r="GA1163" s="7">
        <v>18.002449999603861</v>
      </c>
      <c r="GB1163" s="7">
        <v>5.6376448638703165</v>
      </c>
      <c r="GC1163" s="7">
        <v>0.3661302150358911</v>
      </c>
      <c r="GD1163" s="7">
        <v>0.38119624539981878</v>
      </c>
      <c r="GE1163" s="7">
        <v>2.0833150591359408</v>
      </c>
      <c r="GF1163" s="7">
        <v>4.066428857157967</v>
      </c>
      <c r="GG1163" s="7">
        <v>1.3155677205908503</v>
      </c>
      <c r="GH1163" s="7">
        <v>0</v>
      </c>
      <c r="GI1163" s="7">
        <v>4.4102821997998172</v>
      </c>
    </row>
    <row r="1164" spans="1:191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  <c r="FZ1164" s="7">
        <v>10.640752424673726</v>
      </c>
      <c r="GA1164" s="7">
        <v>18.495757409590155</v>
      </c>
      <c r="GB1164" s="7">
        <v>4.0171583453417439</v>
      </c>
      <c r="GC1164" s="7">
        <v>0.45077478792312342</v>
      </c>
      <c r="GD1164" s="7">
        <v>0.50605726392549677</v>
      </c>
      <c r="GE1164" s="7">
        <v>0.89358139968769046</v>
      </c>
      <c r="GF1164" s="7">
        <v>1.7547203744129232</v>
      </c>
      <c r="GG1164" s="7">
        <v>1.1871761882489873</v>
      </c>
      <c r="GH1164" s="7">
        <v>0.17282465026292085</v>
      </c>
      <c r="GI1164" s="7">
        <v>4.2794662535064223</v>
      </c>
    </row>
    <row r="1165" spans="1:191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  <c r="FZ1165" s="7">
        <v>8.1621948007970229</v>
      </c>
      <c r="GA1165" s="7">
        <v>31.538166403808805</v>
      </c>
      <c r="GB1165" s="7">
        <v>10.578589005089059</v>
      </c>
      <c r="GC1165" s="7">
        <v>0.91236370946290779</v>
      </c>
      <c r="GD1165" s="7">
        <v>0.78973086604388332</v>
      </c>
      <c r="GE1165" s="7">
        <v>1.0385478754273934</v>
      </c>
      <c r="GF1165" s="7">
        <v>3.9547907228367585</v>
      </c>
      <c r="GG1165" s="7">
        <v>2.749981133775488</v>
      </c>
      <c r="GH1165" s="7">
        <v>0.69129860105168339</v>
      </c>
      <c r="GI1165" s="7">
        <v>7.4804344504104963</v>
      </c>
    </row>
    <row r="1166" spans="1:191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  <c r="FZ1166" s="7">
        <v>5.8340527814520904</v>
      </c>
      <c r="GA1166" s="7">
        <v>11.459702842157846</v>
      </c>
      <c r="GB1166" s="7">
        <v>2.6531379199168192</v>
      </c>
      <c r="GC1166" s="7">
        <v>0.8136580815342751</v>
      </c>
      <c r="GD1166" s="7">
        <v>1.0266903095126192</v>
      </c>
      <c r="GE1166" s="7">
        <v>1.5909726758099785</v>
      </c>
      <c r="GF1166" s="7">
        <v>3.3055723795755636</v>
      </c>
      <c r="GG1166" s="7">
        <v>2.4809666645423967</v>
      </c>
      <c r="GH1166" s="7">
        <v>0.99006242108457876</v>
      </c>
      <c r="GI1166" s="7">
        <v>4.1746476691128551</v>
      </c>
    </row>
    <row r="1167" spans="1:191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  <c r="FZ1167" s="7">
        <v>1.7944682800052389</v>
      </c>
      <c r="GA1167" s="7">
        <v>14.732040975594169</v>
      </c>
      <c r="GB1167" s="7">
        <v>5.7597963666119272</v>
      </c>
      <c r="GC1167" s="7">
        <v>0.83472139790575406</v>
      </c>
      <c r="GD1167" s="7">
        <v>1.0268185453050276</v>
      </c>
      <c r="GE1167" s="7">
        <v>1.5819142739003031</v>
      </c>
      <c r="GF1167" s="7">
        <v>4.79287865172574</v>
      </c>
      <c r="GG1167" s="7">
        <v>3.9952373859207246</v>
      </c>
      <c r="GH1167" s="7">
        <v>0.58144353567374973</v>
      </c>
      <c r="GI1167" s="7">
        <v>5.1634286106025788</v>
      </c>
    </row>
    <row r="1168" spans="1:191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  <c r="FZ1168" s="7">
        <v>3.94042577938575</v>
      </c>
      <c r="GA1168" s="7">
        <v>1.3729964006441531</v>
      </c>
      <c r="GB1168" s="7">
        <v>0.30459435548710706</v>
      </c>
      <c r="GC1168" s="7">
        <v>0.51752346573513175</v>
      </c>
      <c r="GD1168" s="7">
        <v>0.72724416050033791</v>
      </c>
      <c r="GE1168" s="7">
        <v>1.5125243248871825</v>
      </c>
      <c r="GF1168" s="7">
        <v>4.8299129613205034</v>
      </c>
      <c r="GG1168" s="7">
        <v>3.7965343851332478</v>
      </c>
      <c r="GH1168" s="7">
        <v>0.64441312055873701</v>
      </c>
      <c r="GI1168" s="7">
        <v>3.1494221855713977</v>
      </c>
    </row>
    <row r="1169" spans="1:191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  <c r="FZ1169" s="7">
        <v>5.3377480034738642</v>
      </c>
      <c r="GA1169" s="7">
        <v>9.4368479956163291</v>
      </c>
      <c r="GB1169" s="7">
        <v>3.4612699883567757</v>
      </c>
      <c r="GC1169" s="7">
        <v>0.36548480653845405</v>
      </c>
      <c r="GD1169" s="7">
        <v>0.64906316026859312</v>
      </c>
      <c r="GE1169" s="7">
        <v>1.5258086519186556</v>
      </c>
      <c r="GF1169" s="7">
        <v>2.1497580648868277</v>
      </c>
      <c r="GG1169" s="7">
        <v>1.5410277012290603</v>
      </c>
      <c r="GH1169" s="7">
        <v>0.47158847029581613</v>
      </c>
      <c r="GI1169" s="7">
        <v>3.9746001553178729</v>
      </c>
    </row>
    <row r="1170" spans="1:191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  <c r="FZ1170" s="7">
        <v>5.5523291633876823</v>
      </c>
      <c r="GA1170" s="7">
        <v>18.549233322407773</v>
      </c>
      <c r="GB1170" s="7">
        <v>5.651550972442509</v>
      </c>
      <c r="GC1170" s="7">
        <v>0.28144803119785972</v>
      </c>
      <c r="GD1170" s="7">
        <v>0.42047257989604098</v>
      </c>
      <c r="GE1170" s="7">
        <v>0.59509672237878108</v>
      </c>
      <c r="GF1170" s="7">
        <v>1.7592958632820441</v>
      </c>
      <c r="GG1170" s="7">
        <v>1.7397307020165371</v>
      </c>
      <c r="GH1170" s="7">
        <v>0.40861888541082891</v>
      </c>
      <c r="GI1170" s="7">
        <v>4.0738513021473057</v>
      </c>
    </row>
    <row r="1171" spans="1:191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  <c r="FZ1171" s="7">
        <v>9.7288217242959867</v>
      </c>
      <c r="GA1171" s="7">
        <v>14.271446777825567</v>
      </c>
      <c r="GB1171" s="7">
        <v>2.6420882643482941</v>
      </c>
      <c r="GC1171" s="7">
        <v>0.35206915999449068</v>
      </c>
      <c r="GD1171" s="7">
        <v>0.21792191484675377</v>
      </c>
      <c r="GE1171" s="7">
        <v>0.47897873863322449</v>
      </c>
      <c r="GF1171" s="7">
        <v>4.0454023405167749</v>
      </c>
      <c r="GG1171" s="7">
        <v>3.3025356475430381</v>
      </c>
      <c r="GH1171" s="7">
        <v>0.23579423514790807</v>
      </c>
      <c r="GI1171" s="7">
        <v>5.2581995378387045</v>
      </c>
    </row>
    <row r="1172" spans="1:191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  <c r="FZ1172" s="7">
        <v>6.5136832075113933</v>
      </c>
      <c r="GA1172" s="7">
        <v>6.6681893806219925</v>
      </c>
      <c r="GB1172" s="7">
        <v>2.6566820260219997</v>
      </c>
      <c r="GC1172" s="7">
        <v>1.2261985666366169</v>
      </c>
      <c r="GD1172" s="7">
        <v>1.3957112893420602</v>
      </c>
      <c r="GE1172" s="7">
        <v>1.8574673489570612</v>
      </c>
      <c r="GF1172" s="7">
        <v>6.2168534072954822</v>
      </c>
      <c r="GG1172" s="7">
        <v>4.8866421250858876</v>
      </c>
      <c r="GH1172" s="7">
        <v>0.17282465026292085</v>
      </c>
      <c r="GI1172" s="7">
        <v>4.8205814184704519</v>
      </c>
    </row>
    <row r="1173" spans="1:191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  <c r="FZ1173" s="7">
        <v>8.3499793666902615</v>
      </c>
      <c r="GA1173" s="7">
        <v>10.559277147220579</v>
      </c>
      <c r="GB1173" s="7">
        <v>3.3601128063977188</v>
      </c>
      <c r="GC1173" s="7">
        <v>0.42290582142933364</v>
      </c>
      <c r="GD1173" s="7">
        <v>0.53084311069001411</v>
      </c>
      <c r="GE1173" s="7">
        <v>1.5891003165432958</v>
      </c>
      <c r="GF1173" s="7">
        <v>6.5332693287743631</v>
      </c>
      <c r="GG1173" s="7">
        <v>4.9351763492340606</v>
      </c>
      <c r="GH1173" s="7">
        <v>0.23579423514790807</v>
      </c>
      <c r="GI1173" s="7">
        <v>5.1285661475958033</v>
      </c>
    </row>
    <row r="1174" spans="1:191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  <c r="FZ1174" s="7">
        <v>1.7643144071772305</v>
      </c>
      <c r="GA1174" s="7">
        <v>7.8418481383051937</v>
      </c>
      <c r="GB1174" s="7">
        <v>2.6705881345941922</v>
      </c>
      <c r="GC1174" s="7">
        <v>0.58264868283477034</v>
      </c>
      <c r="GD1174" s="7">
        <v>0.974722508463989</v>
      </c>
      <c r="GE1174" s="7">
        <v>1.4171310130696555</v>
      </c>
      <c r="GF1174" s="7">
        <v>1.8687066986107501</v>
      </c>
      <c r="GG1174" s="7">
        <v>1.4344134131846378</v>
      </c>
      <c r="GH1174" s="7">
        <v>0</v>
      </c>
      <c r="GI1174" s="7">
        <v>3.0322066925346243</v>
      </c>
    </row>
    <row r="1175" spans="1:191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  <c r="FZ1175" s="7">
        <v>8.2202863957622654</v>
      </c>
      <c r="GA1175" s="7">
        <v>7.8622676452725493</v>
      </c>
      <c r="GB1175" s="7">
        <v>1.3965873969221125</v>
      </c>
      <c r="GC1175" s="7">
        <v>0.61180846632343422</v>
      </c>
      <c r="GD1175" s="7">
        <v>1.1826438597779141</v>
      </c>
      <c r="GE1175" s="7">
        <v>2.5119960290956644</v>
      </c>
      <c r="GF1175" s="7">
        <v>2.0968275039961481</v>
      </c>
      <c r="GG1175" s="7">
        <v>0.67140020636133779</v>
      </c>
      <c r="GH1175" s="7">
        <v>0.40861888541082891</v>
      </c>
      <c r="GI1175" s="7">
        <v>4.2455035644800008</v>
      </c>
    </row>
    <row r="1176" spans="1:191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  <c r="FZ1176" s="7">
        <v>6.9406027602176419</v>
      </c>
      <c r="GA1176" s="7">
        <v>24.094993551425521</v>
      </c>
      <c r="GB1176" s="7">
        <v>8.4430799615306906</v>
      </c>
      <c r="GC1176" s="7">
        <v>1.4818498893427261</v>
      </c>
      <c r="GD1176" s="7">
        <v>1.180259656170302</v>
      </c>
      <c r="GE1176" s="7">
        <v>0.68941125160551087</v>
      </c>
      <c r="GF1176" s="7">
        <v>0.36807777439108441</v>
      </c>
      <c r="GG1176" s="7">
        <v>0.1769257564900365</v>
      </c>
      <c r="GH1176" s="7">
        <v>0.23579423514790807</v>
      </c>
      <c r="GI1176" s="7">
        <v>4.8732555989481083</v>
      </c>
    </row>
    <row r="1177" spans="1:191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  <c r="FZ1177" s="7">
        <v>3.1159797947234926</v>
      </c>
      <c r="GA1177" s="7">
        <v>10.433834924044604</v>
      </c>
      <c r="GB1177" s="7">
        <v>3.983380725596934</v>
      </c>
      <c r="GC1177" s="7">
        <v>1.440173011396547</v>
      </c>
      <c r="GD1177" s="7">
        <v>1.5998510854556862</v>
      </c>
      <c r="GE1177" s="7">
        <v>2.0308752432242914</v>
      </c>
      <c r="GF1177" s="7">
        <v>2.1231183338207718</v>
      </c>
      <c r="GG1177" s="7">
        <v>1.1168647198033732</v>
      </c>
      <c r="GH1177" s="7">
        <v>0.23579423514790807</v>
      </c>
      <c r="GI1177" s="7">
        <v>5.0183535076245658</v>
      </c>
    </row>
    <row r="1178" spans="1:191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  <c r="FZ1178" s="7">
        <v>10.201778489582974</v>
      </c>
      <c r="GA1178" s="7">
        <v>6.9394933339412983</v>
      </c>
      <c r="GB1178" s="7">
        <v>0.37560586244422139</v>
      </c>
      <c r="GC1178" s="7">
        <v>0.94023267595669746</v>
      </c>
      <c r="GD1178" s="7">
        <v>0.64375545623260511</v>
      </c>
      <c r="GE1178" s="7">
        <v>0.84868266761298483</v>
      </c>
      <c r="GF1178" s="7">
        <v>3.2800502274328229</v>
      </c>
      <c r="GG1178" s="7">
        <v>2.1638936834422244</v>
      </c>
      <c r="GH1178" s="7">
        <v>0.64441312055873701</v>
      </c>
      <c r="GI1178" s="7">
        <v>3.5706283615455754</v>
      </c>
    </row>
    <row r="1179" spans="1:191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  <c r="FZ1179" s="7">
        <v>4.7071605451216492</v>
      </c>
      <c r="GA1179" s="7">
        <v>19.229584670104686</v>
      </c>
      <c r="GB1179" s="7">
        <v>7.5278253085312512</v>
      </c>
      <c r="GC1179" s="7">
        <v>0.23005122542212603</v>
      </c>
      <c r="GD1179" s="7">
        <v>0.68873865188118688</v>
      </c>
      <c r="GE1179" s="7">
        <v>2.3755549893768904</v>
      </c>
      <c r="GF1179" s="7">
        <v>5.8462187996686712</v>
      </c>
      <c r="GG1179" s="7">
        <v>3.818311629430688</v>
      </c>
      <c r="GH1179" s="7">
        <v>0.17282465026292085</v>
      </c>
      <c r="GI1179" s="7">
        <v>5.9328736368203367</v>
      </c>
    </row>
    <row r="1180" spans="1:191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  <c r="FZ1180" s="7">
        <v>12.426932829498581</v>
      </c>
      <c r="GA1180" s="7">
        <v>12.980490082371958</v>
      </c>
      <c r="GB1180" s="7">
        <v>4.0112807813790052</v>
      </c>
      <c r="GC1180" s="7">
        <v>0.1049829806327898</v>
      </c>
      <c r="GD1180" s="7">
        <v>0.33029660130086769</v>
      </c>
      <c r="GE1180" s="7">
        <v>1.6176206475341897</v>
      </c>
      <c r="GF1180" s="7">
        <v>5.6560333805881147</v>
      </c>
      <c r="GG1180" s="7">
        <v>3.7597558532533468</v>
      </c>
      <c r="GH1180" s="7">
        <v>0</v>
      </c>
      <c r="GI1180" s="7">
        <v>5.0311897481744774</v>
      </c>
    </row>
    <row r="1181" spans="1:191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  <c r="FZ1181" s="7">
        <v>5.8710413667746728</v>
      </c>
      <c r="GA1181" s="7">
        <v>4.2959597448108928</v>
      </c>
      <c r="GB1181" s="7">
        <v>0.42795650647634031</v>
      </c>
      <c r="GC1181" s="7">
        <v>0.61937663602246551</v>
      </c>
      <c r="GD1181" s="7">
        <v>0.63002164497677793</v>
      </c>
      <c r="GE1181" s="7">
        <v>1.6882530544418348</v>
      </c>
      <c r="GF1181" s="7">
        <v>4.5672057389259226</v>
      </c>
      <c r="GG1181" s="7">
        <v>2.8080611976717367</v>
      </c>
      <c r="GH1181" s="7">
        <v>0.40861888541082891</v>
      </c>
      <c r="GI1181" s="7">
        <v>2.7125729243320174</v>
      </c>
    </row>
    <row r="1182" spans="1:191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  <c r="FZ1182" s="7">
        <v>3.6583217852824563</v>
      </c>
      <c r="GA1182" s="7">
        <v>3.4697466669706492</v>
      </c>
      <c r="GB1182" s="7">
        <v>0.22209803645304543</v>
      </c>
      <c r="GC1182" s="7">
        <v>1.1997564496474293</v>
      </c>
      <c r="GD1182" s="7">
        <v>0.93138250551675483</v>
      </c>
      <c r="GE1182" s="7">
        <v>0.60448901717564096</v>
      </c>
      <c r="GF1182" s="7">
        <v>4.4718872413777397</v>
      </c>
      <c r="GG1182" s="7">
        <v>3.5710744044950373</v>
      </c>
      <c r="GH1182" s="7">
        <v>0.3456493005258417</v>
      </c>
      <c r="GI1182" s="7">
        <v>2.7486337866795356</v>
      </c>
    </row>
    <row r="1183" spans="1:191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  <c r="FZ1183" s="7">
        <v>6.8531180445021604</v>
      </c>
      <c r="GA1183" s="7">
        <v>10.411169110338577</v>
      </c>
      <c r="GB1183" s="7">
        <v>3.4636912848520209</v>
      </c>
      <c r="GC1183" s="7">
        <v>0.60772048270059964</v>
      </c>
      <c r="GD1183" s="7">
        <v>0.42788798097065783</v>
      </c>
      <c r="GE1183" s="7">
        <v>0.82210757279092017</v>
      </c>
      <c r="GF1183" s="7">
        <v>3.8040902740609326</v>
      </c>
      <c r="GG1183" s="7">
        <v>2.6311354411817005</v>
      </c>
      <c r="GH1183" s="7">
        <v>0.3456493005258417</v>
      </c>
      <c r="GI1183" s="7">
        <v>3.9469981242807277</v>
      </c>
    </row>
    <row r="1184" spans="1:191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  <c r="FZ1184" s="7">
        <v>9.2321365702788754</v>
      </c>
      <c r="GA1184" s="7">
        <v>19.398112213954047</v>
      </c>
      <c r="GB1184" s="7">
        <v>6.1201882560406116</v>
      </c>
      <c r="GC1184" s="7">
        <v>1.2554943826350087</v>
      </c>
      <c r="GD1184" s="7">
        <v>1.5786437111155256</v>
      </c>
      <c r="GE1184" s="7">
        <v>2.0141003676874747</v>
      </c>
      <c r="GF1184" s="7">
        <v>3.6635757604547052</v>
      </c>
      <c r="GG1184" s="7">
        <v>2.5027439088398373</v>
      </c>
      <c r="GH1184" s="7">
        <v>0.3456493005258417</v>
      </c>
      <c r="GI1184" s="7">
        <v>6.1332070956678804</v>
      </c>
    </row>
    <row r="1185" spans="1:191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  <c r="FZ1185" s="7">
        <v>9.2317561942399919</v>
      </c>
      <c r="GA1185" s="7">
        <v>11.280784706164249</v>
      </c>
      <c r="GB1185" s="7">
        <v>1.5036221428439089</v>
      </c>
      <c r="GC1185" s="7">
        <v>0.73189017540348755</v>
      </c>
      <c r="GD1185" s="7">
        <v>0.71995155745108752</v>
      </c>
      <c r="GE1185" s="7">
        <v>0.82606380994125184</v>
      </c>
      <c r="GF1185" s="7">
        <v>3.6643677852293615</v>
      </c>
      <c r="GG1185" s="7">
        <v>3.2439798713656982</v>
      </c>
      <c r="GH1185" s="7">
        <v>0.58144353567374973</v>
      </c>
      <c r="GI1185" s="7">
        <v>3.6933191504880689</v>
      </c>
    </row>
    <row r="1186" spans="1:191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  <c r="FZ1186" s="7">
        <v>11.46557878537487</v>
      </c>
      <c r="GA1186" s="7">
        <v>11.659040485118798</v>
      </c>
      <c r="GB1186" s="7">
        <v>2.7019444578437573</v>
      </c>
      <c r="GC1186" s="7">
        <v>0.92337445428733655</v>
      </c>
      <c r="GD1186" s="7">
        <v>1.2305880261752142</v>
      </c>
      <c r="GE1186" s="7">
        <v>1.2283876444549964</v>
      </c>
      <c r="GF1186" s="7">
        <v>4.1304491980527107</v>
      </c>
      <c r="GG1186" s="7">
        <v>3.818311629430688</v>
      </c>
      <c r="GH1186" s="7">
        <v>0.3456493005258417</v>
      </c>
      <c r="GI1186" s="7">
        <v>4.7492910712898881</v>
      </c>
    </row>
    <row r="1187" spans="1:191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  <c r="FZ1187" s="7">
        <v>10.43784527110553</v>
      </c>
      <c r="GA1187" s="7">
        <v>7.9364802623695745</v>
      </c>
      <c r="GB1187" s="7">
        <v>0.96630681014624953</v>
      </c>
      <c r="GC1187" s="7">
        <v>0.69144449326125235</v>
      </c>
      <c r="GD1187" s="7">
        <v>0.8520105503099642</v>
      </c>
      <c r="GE1187" s="7">
        <v>1.9135876784863568</v>
      </c>
      <c r="GF1187" s="7">
        <v>5.4969179038626539</v>
      </c>
      <c r="GG1187" s="7">
        <v>3.818311629430688</v>
      </c>
      <c r="GH1187" s="7">
        <v>0.17282465026292085</v>
      </c>
      <c r="GI1187" s="7">
        <v>4.1419960217458662</v>
      </c>
    </row>
    <row r="1188" spans="1:191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  <c r="FZ1188" s="7">
        <v>7.4256139078891312</v>
      </c>
      <c r="GA1188" s="7">
        <v>12.507919376665072</v>
      </c>
      <c r="GB1188" s="7">
        <v>3.3974345322477095</v>
      </c>
      <c r="GC1188" s="7">
        <v>0.53047043605187183</v>
      </c>
      <c r="GD1188" s="7">
        <v>0.69518958486259108</v>
      </c>
      <c r="GE1188" s="7">
        <v>1.5808506040550527</v>
      </c>
      <c r="GF1188" s="7">
        <v>4.8299129613205034</v>
      </c>
      <c r="GG1188" s="7">
        <v>3.6196086286432112</v>
      </c>
      <c r="GH1188" s="7">
        <v>0.40861888541082891</v>
      </c>
      <c r="GI1188" s="7">
        <v>4.6408153124102309</v>
      </c>
    </row>
    <row r="1189" spans="1:191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  <c r="FZ1189" s="7">
        <v>8.2047834320484228</v>
      </c>
      <c r="GA1189" s="7">
        <v>7.1099499872172878</v>
      </c>
      <c r="GB1189" s="7">
        <v>2.0722059601534473</v>
      </c>
      <c r="GC1189" s="7">
        <v>0.94715543715829176</v>
      </c>
      <c r="GD1189" s="7">
        <v>0.80200075240110769</v>
      </c>
      <c r="GE1189" s="7">
        <v>1.7054612932538453</v>
      </c>
      <c r="GF1189" s="7">
        <v>3.0945493491568099</v>
      </c>
      <c r="GG1189" s="7">
        <v>1.1168647198033732</v>
      </c>
      <c r="GH1189" s="7">
        <v>0.40861888541082891</v>
      </c>
      <c r="GI1189" s="7">
        <v>4.3326356510068909</v>
      </c>
    </row>
    <row r="1190" spans="1:191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  <c r="FZ1190" s="7">
        <v>10.15612165304112</v>
      </c>
      <c r="GA1190" s="7">
        <v>18.349895679446821</v>
      </c>
      <c r="GB1190" s="7">
        <v>5.6027444345155706</v>
      </c>
      <c r="GC1190" s="7">
        <v>0.24579536236682664</v>
      </c>
      <c r="GD1190" s="7">
        <v>0.86246035385554487</v>
      </c>
      <c r="GE1190" s="7">
        <v>3.1729076928191486</v>
      </c>
      <c r="GF1190" s="7">
        <v>7.6986580066784489</v>
      </c>
      <c r="GG1190" s="7">
        <v>5.2404936380659599</v>
      </c>
      <c r="GH1190" s="7">
        <v>0.81723777082165783</v>
      </c>
      <c r="GI1190" s="7">
        <v>7.2559753346613292</v>
      </c>
    </row>
    <row r="1191" spans="1:191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  <c r="FZ1191" s="7">
        <v>5.5316065297839057</v>
      </c>
      <c r="GA1191" s="7">
        <v>14.310699875966232</v>
      </c>
      <c r="GB1191" s="7">
        <v>4.963149110248918</v>
      </c>
      <c r="GC1191" s="7">
        <v>0.55133714121558308</v>
      </c>
      <c r="GD1191" s="7">
        <v>0.6488106753536087</v>
      </c>
      <c r="GE1191" s="7">
        <v>1.2479167185544291</v>
      </c>
      <c r="GF1191" s="7">
        <v>3.7596639437139214</v>
      </c>
      <c r="GG1191" s="7">
        <v>2.8080611976717367</v>
      </c>
      <c r="GH1191" s="7">
        <v>0.58144353567374973</v>
      </c>
      <c r="GI1191" s="7">
        <v>4.7427861060169834</v>
      </c>
    </row>
    <row r="1192" spans="1:191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  <c r="FZ1192" s="7">
        <v>6.7954068255758022</v>
      </c>
      <c r="GA1192" s="7">
        <v>4.5179632014778752</v>
      </c>
      <c r="GB1192" s="7">
        <v>0.96397335228869097</v>
      </c>
      <c r="GC1192" s="7">
        <v>0.6167950020327172</v>
      </c>
      <c r="GD1192" s="7">
        <v>0.95445407425402029</v>
      </c>
      <c r="GE1192" s="7">
        <v>1.8668923743216146</v>
      </c>
      <c r="GF1192" s="7">
        <v>1.8560754718630796</v>
      </c>
      <c r="GG1192" s="7">
        <v>0.91863743129698849</v>
      </c>
      <c r="GH1192" s="7">
        <v>0.58144353567374973</v>
      </c>
      <c r="GI1192" s="7">
        <v>3.2499767730116718</v>
      </c>
    </row>
    <row r="1193" spans="1:191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  <c r="FZ1193" s="7">
        <v>7.4829447507766051</v>
      </c>
      <c r="GA1193" s="7">
        <v>19.301550980463038</v>
      </c>
      <c r="GB1193" s="7">
        <v>5.2352643328765236</v>
      </c>
      <c r="GC1193" s="7">
        <v>0.57357416350265278</v>
      </c>
      <c r="GD1193" s="7">
        <v>0.63556326616371928</v>
      </c>
      <c r="GE1193" s="7">
        <v>1.3837024181142394</v>
      </c>
      <c r="GF1193" s="7">
        <v>2.2682306753597432</v>
      </c>
      <c r="GG1193" s="7">
        <v>0.93993896331333671</v>
      </c>
      <c r="GH1193" s="7">
        <v>0</v>
      </c>
      <c r="GI1193" s="7">
        <v>3.6095993723701203</v>
      </c>
    </row>
    <row r="1194" spans="1:191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  <c r="FZ1194" s="7">
        <v>6.9406027602176419</v>
      </c>
      <c r="GA1194" s="7">
        <v>11.554017768910184</v>
      </c>
      <c r="GB1194" s="7">
        <v>2.1583342239303764</v>
      </c>
      <c r="GC1194" s="7">
        <v>1.0283574349201263</v>
      </c>
      <c r="GD1194" s="7">
        <v>0.90057607369768355</v>
      </c>
      <c r="GE1194" s="7">
        <v>1.1706319130627914</v>
      </c>
      <c r="GF1194" s="7">
        <v>4.0436433835307817</v>
      </c>
      <c r="GG1194" s="7">
        <v>2.9269068902655246</v>
      </c>
      <c r="GH1194" s="7">
        <v>0.23579423514790807</v>
      </c>
      <c r="GI1194" s="7">
        <v>4.7109300891165153</v>
      </c>
    </row>
    <row r="1195" spans="1:191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  <c r="FZ1195" s="7">
        <v>7.0978530772439861</v>
      </c>
      <c r="GA1195" s="7">
        <v>4.7915134615358523</v>
      </c>
      <c r="GB1195" s="7">
        <v>0.37551802380653498</v>
      </c>
      <c r="GC1195" s="7">
        <v>0.75846832490240312</v>
      </c>
      <c r="GD1195" s="7">
        <v>0.8401431510337366</v>
      </c>
      <c r="GE1195" s="7">
        <v>1.2252400967260964</v>
      </c>
      <c r="GF1195" s="7">
        <v>4.3757990581185231</v>
      </c>
      <c r="GG1195" s="7">
        <v>3.4426828721531746</v>
      </c>
      <c r="GH1195" s="7">
        <v>0</v>
      </c>
      <c r="GI1195" s="7">
        <v>3.5835176607311796</v>
      </c>
    </row>
    <row r="1196" spans="1:191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  <c r="FZ1196" s="7">
        <v>5.2917107908931271</v>
      </c>
      <c r="GA1196" s="7">
        <v>20.793774428304232</v>
      </c>
      <c r="GB1196" s="7">
        <v>6.8109235760917617</v>
      </c>
      <c r="GC1196" s="7">
        <v>0.21904048059769715</v>
      </c>
      <c r="GD1196" s="7">
        <v>0.60373233356802436</v>
      </c>
      <c r="GE1196" s="7">
        <v>1.4018102462698743</v>
      </c>
      <c r="GF1196" s="7">
        <v>0.84883140865912055</v>
      </c>
      <c r="GG1196" s="7">
        <v>0.24723722493565062</v>
      </c>
      <c r="GH1196" s="7">
        <v>0</v>
      </c>
      <c r="GI1196" s="7">
        <v>4.1197251588564328</v>
      </c>
    </row>
    <row r="1197" spans="1:191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  <c r="FZ1197" s="7">
        <v>9.5715714072696443</v>
      </c>
      <c r="GA1197" s="7">
        <v>12.707257019626024</v>
      </c>
      <c r="GB1197" s="7">
        <v>3.2705282751532954</v>
      </c>
      <c r="GC1197" s="7">
        <v>0.22033129759257136</v>
      </c>
      <c r="GD1197" s="7">
        <v>0.49148189623648603</v>
      </c>
      <c r="GE1197" s="7">
        <v>1.1569138175582259</v>
      </c>
      <c r="GF1197" s="7">
        <v>4.7338024389976638</v>
      </c>
      <c r="GG1197" s="7">
        <v>3.818311629430688</v>
      </c>
      <c r="GH1197" s="7">
        <v>0</v>
      </c>
      <c r="GI1197" s="7">
        <v>4.7416381221845265</v>
      </c>
    </row>
    <row r="1198" spans="1:191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  <c r="FZ1198" s="7">
        <v>3.2611757293653318</v>
      </c>
      <c r="GA1198" s="7">
        <v>14.082499727008848</v>
      </c>
      <c r="GB1198" s="7">
        <v>5.3586264838657574</v>
      </c>
      <c r="GC1198" s="7">
        <v>0.76668190309887141</v>
      </c>
      <c r="GD1198" s="7">
        <v>0.63366425858276276</v>
      </c>
      <c r="GE1198" s="7">
        <v>1.7054612932538453</v>
      </c>
      <c r="GF1198" s="7">
        <v>9.2014343765230464</v>
      </c>
      <c r="GG1198" s="7">
        <v>6.7665200517125612</v>
      </c>
      <c r="GH1198" s="7">
        <v>0.17282465026292085</v>
      </c>
      <c r="GI1198" s="7">
        <v>5.4754029089119829</v>
      </c>
    </row>
    <row r="1199" spans="1:191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  <c r="FZ1199" s="7">
        <v>0.93986842251497327</v>
      </c>
      <c r="GA1199" s="7">
        <v>1.3729964006441531</v>
      </c>
      <c r="GB1199" s="7">
        <v>0.42674585822871791</v>
      </c>
      <c r="GC1199" s="7">
        <v>0.76578335101242334</v>
      </c>
      <c r="GD1199" s="7">
        <v>0.52272364367931923</v>
      </c>
      <c r="GE1199" s="7">
        <v>0.77307341031870958</v>
      </c>
      <c r="GF1199" s="7">
        <v>3.4876966916456755</v>
      </c>
      <c r="GG1199" s="7">
        <v>2.7862839533742965</v>
      </c>
      <c r="GH1199" s="7">
        <v>0.70738270544372439</v>
      </c>
      <c r="GI1199" s="7">
        <v>2.2632703715279208</v>
      </c>
    </row>
    <row r="1200" spans="1:191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  <c r="FZ1200" s="7">
        <v>7.0401418583176287</v>
      </c>
      <c r="GA1200" s="7">
        <v>10.485381727435598</v>
      </c>
      <c r="GB1200" s="7">
        <v>2.7391783450560618</v>
      </c>
      <c r="GC1200" s="7">
        <v>0.23069663391956313</v>
      </c>
      <c r="GD1200" s="7">
        <v>0.26959238482277592</v>
      </c>
      <c r="GE1200" s="7">
        <v>1.0956737054474406</v>
      </c>
      <c r="GF1200" s="7">
        <v>3.7789116540277288</v>
      </c>
      <c r="GG1200" s="7">
        <v>2.6796696653298739</v>
      </c>
      <c r="GH1200" s="7">
        <v>0.58144353567374973</v>
      </c>
      <c r="GI1200" s="7">
        <v>3.363345523257558</v>
      </c>
    </row>
    <row r="1201" spans="1:191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  <c r="FZ1201" s="7">
        <v>13.496113846902666</v>
      </c>
      <c r="GA1201" s="7">
        <v>7.9364802623695745</v>
      </c>
      <c r="GB1201" s="7">
        <v>0.86402681857725638</v>
      </c>
      <c r="GC1201" s="7">
        <v>0.80337224533576779</v>
      </c>
      <c r="GD1201" s="7">
        <v>0.72192473918744415</v>
      </c>
      <c r="GE1201" s="7">
        <v>1.0101391874675594</v>
      </c>
      <c r="GF1201" s="7">
        <v>3.2524212250918065</v>
      </c>
      <c r="GG1201" s="7">
        <v>2.2555066839041871</v>
      </c>
      <c r="GH1201" s="7">
        <v>0</v>
      </c>
      <c r="GI1201" s="7">
        <v>3.3916412516059267</v>
      </c>
    </row>
    <row r="1202" spans="1:191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  <c r="FZ1202" s="7">
        <v>5.4067528527069575</v>
      </c>
      <c r="GA1202" s="7">
        <v>11.659040485118798</v>
      </c>
      <c r="GB1202" s="7">
        <v>2.8577857416924912</v>
      </c>
      <c r="GC1202" s="7">
        <v>0.31318944867627208</v>
      </c>
      <c r="GD1202" s="7">
        <v>0.72926741720387001</v>
      </c>
      <c r="GE1202" s="7">
        <v>1.9301836337483564</v>
      </c>
      <c r="GF1202" s="7">
        <v>8.0531236242442148</v>
      </c>
      <c r="GG1202" s="7">
        <v>6.7452185196962127</v>
      </c>
      <c r="GH1202" s="7">
        <v>0.58144353567374973</v>
      </c>
      <c r="GI1202" s="7">
        <v>5.5651443245872256</v>
      </c>
    </row>
    <row r="1203" spans="1:191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  <c r="FZ1203" s="7">
        <v>5.261937294104003</v>
      </c>
      <c r="GA1203" s="7">
        <v>8.263189237933128</v>
      </c>
      <c r="GB1203" s="7">
        <v>3.3613234546453414</v>
      </c>
      <c r="GC1203" s="7">
        <v>1.0450001239512752</v>
      </c>
      <c r="GD1203" s="7">
        <v>1.132791131605194</v>
      </c>
      <c r="GE1203" s="7">
        <v>1.9090191577860143</v>
      </c>
      <c r="GF1203" s="7">
        <v>6.8689106215034279</v>
      </c>
      <c r="GG1203" s="7">
        <v>5.1824135741697113</v>
      </c>
      <c r="GH1203" s="7">
        <v>0.75426818593667067</v>
      </c>
      <c r="GI1203" s="7">
        <v>4.6394102813525864</v>
      </c>
    </row>
    <row r="1204" spans="1:191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  <c r="FZ1204" s="7">
        <v>5.3072137546069706</v>
      </c>
      <c r="GA1204" s="7">
        <v>18.222207149532174</v>
      </c>
      <c r="GB1204" s="7">
        <v>4.4497723899751662</v>
      </c>
      <c r="GC1204" s="7">
        <v>0.21190218675789091</v>
      </c>
      <c r="GD1204" s="7">
        <v>0.36332869977127952</v>
      </c>
      <c r="GE1204" s="7">
        <v>0.98350592329099595</v>
      </c>
      <c r="GF1204" s="7">
        <v>6.0169424959444147</v>
      </c>
      <c r="GG1204" s="7">
        <v>5.3593393306597479</v>
      </c>
      <c r="GH1204" s="7">
        <v>0.81723777082165783</v>
      </c>
      <c r="GI1204" s="7">
        <v>4.8177784832353776</v>
      </c>
    </row>
    <row r="1205" spans="1:191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  <c r="FZ1205" s="7">
        <v>2.8915870195465572</v>
      </c>
      <c r="GA1205" s="7">
        <v>16.05380777015937</v>
      </c>
      <c r="GB1205" s="7">
        <v>5.6027444345155706</v>
      </c>
      <c r="GC1205" s="7">
        <v>1.0048295956381825</v>
      </c>
      <c r="GD1205" s="7">
        <v>1.0679686596889255</v>
      </c>
      <c r="GE1205" s="7">
        <v>1.3735656388116666</v>
      </c>
      <c r="GF1205" s="7">
        <v>2.6084474569579292</v>
      </c>
      <c r="GG1205" s="7">
        <v>1.7397307020165371</v>
      </c>
      <c r="GH1205" s="7">
        <v>0.40861888541082891</v>
      </c>
      <c r="GI1205" s="7">
        <v>4.4911238065647536</v>
      </c>
    </row>
    <row r="1206" spans="1:191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  <c r="FZ1206" s="7">
        <v>8.6894142036810287</v>
      </c>
      <c r="GA1206" s="7">
        <v>3.2704090240096959</v>
      </c>
      <c r="GB1206" s="7">
        <v>0.12215150274161087</v>
      </c>
      <c r="GC1206" s="7">
        <v>0.1965503147216163</v>
      </c>
      <c r="GD1206" s="7">
        <v>0.1320911646964342</v>
      </c>
      <c r="GE1206" s="7">
        <v>0.61482260754753382</v>
      </c>
      <c r="GF1206" s="7">
        <v>2.5077614457659694</v>
      </c>
      <c r="GG1206" s="7">
        <v>1.7397307020165371</v>
      </c>
      <c r="GH1206" s="7">
        <v>0.40861888541082891</v>
      </c>
      <c r="GI1206" s="7">
        <v>2.3072034651353341</v>
      </c>
    </row>
    <row r="1207" spans="1:191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  <c r="FZ1207" s="7">
        <v>10.43784527110553</v>
      </c>
      <c r="GA1207" s="7">
        <v>8.1358179053305282</v>
      </c>
      <c r="GB1207" s="7">
        <v>1.0374061557410501</v>
      </c>
      <c r="GC1207" s="7">
        <v>0.93614469233386299</v>
      </c>
      <c r="GD1207" s="7">
        <v>0.79230297376264258</v>
      </c>
      <c r="GE1207" s="7">
        <v>1.2277577430828386</v>
      </c>
      <c r="GF1207" s="7">
        <v>3.2331958538416212</v>
      </c>
      <c r="GG1207" s="7">
        <v>1.8798779266266734</v>
      </c>
      <c r="GH1207" s="7">
        <v>0.17282465026292085</v>
      </c>
      <c r="GI1207" s="7">
        <v>4.8381989765235751</v>
      </c>
    </row>
    <row r="1208" spans="1:191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  <c r="FZ1208" s="7">
        <v>10.641132800712612</v>
      </c>
      <c r="GA1208" s="7">
        <v>20.71987900851925</v>
      </c>
      <c r="GB1208" s="7">
        <v>6.2074393294274772</v>
      </c>
      <c r="GC1208" s="7">
        <v>1.508740803621583</v>
      </c>
      <c r="GD1208" s="7">
        <v>1.7036225599696588</v>
      </c>
      <c r="GE1208" s="7">
        <v>1.8024253968206638</v>
      </c>
      <c r="GF1208" s="7">
        <v>2.1721201530369045</v>
      </c>
      <c r="GG1208" s="7">
        <v>1.8463449900609596</v>
      </c>
      <c r="GH1208" s="7">
        <v>0.88020735570664521</v>
      </c>
      <c r="GI1208" s="7">
        <v>6.3926386084536713</v>
      </c>
    </row>
    <row r="1209" spans="1:191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  <c r="FZ1209" s="7">
        <v>4.9798333000007098</v>
      </c>
      <c r="GA1209" s="7">
        <v>2.6947631952093558</v>
      </c>
      <c r="GB1209" s="7">
        <v>0.32325521841210242</v>
      </c>
      <c r="GC1209" s="7">
        <v>0.61718726694114312</v>
      </c>
      <c r="GD1209" s="7">
        <v>0.85748161945036172</v>
      </c>
      <c r="GE1209" s="7">
        <v>1.3788225032110217</v>
      </c>
      <c r="GF1209" s="7">
        <v>1.2892857087841476</v>
      </c>
      <c r="GG1209" s="7">
        <v>0.49447444987130124</v>
      </c>
      <c r="GH1209" s="7">
        <v>0</v>
      </c>
      <c r="GI1209" s="7">
        <v>2.3812151789046609</v>
      </c>
    </row>
    <row r="1210" spans="1:191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  <c r="FZ1210" s="7">
        <v>7.4833251268154903</v>
      </c>
      <c r="GA1210" s="7">
        <v>12.707257019626025</v>
      </c>
      <c r="GB1210" s="7">
        <v>3.4275802072496524</v>
      </c>
      <c r="GC1210" s="7">
        <v>0.5396809878937171</v>
      </c>
      <c r="GD1210" s="7">
        <v>0.32354310843730355</v>
      </c>
      <c r="GE1210" s="7">
        <v>0.42185290861317737</v>
      </c>
      <c r="GF1210" s="7">
        <v>0.93899453367401864</v>
      </c>
      <c r="GG1210" s="7">
        <v>0.24723722493565062</v>
      </c>
      <c r="GH1210" s="7">
        <v>0</v>
      </c>
      <c r="GI1210" s="7">
        <v>3.3938533452245645</v>
      </c>
    </row>
    <row r="1211" spans="1:191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  <c r="FZ1211" s="7">
        <v>7.1555642961703434</v>
      </c>
      <c r="GA1211" s="7">
        <v>10.485381727435598</v>
      </c>
      <c r="GB1211" s="7">
        <v>2.7229387786263111</v>
      </c>
      <c r="GC1211" s="7">
        <v>0.52217735772691909</v>
      </c>
      <c r="GD1211" s="7">
        <v>0.5622773103644203</v>
      </c>
      <c r="GE1211" s="7">
        <v>1.1988825560822187</v>
      </c>
      <c r="GF1211" s="7">
        <v>2.3552570834747497</v>
      </c>
      <c r="GG1211" s="7">
        <v>1.7179534577190969</v>
      </c>
      <c r="GH1211" s="7">
        <v>0.88020735570664521</v>
      </c>
      <c r="GI1211" s="7">
        <v>3.7856726281078048</v>
      </c>
    </row>
    <row r="1212" spans="1:191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  <c r="FZ1212" s="7">
        <v>6.5136832075113933</v>
      </c>
      <c r="GA1212" s="7">
        <v>9.4368479956163291</v>
      </c>
      <c r="GB1212" s="7">
        <v>3.3240895674330369</v>
      </c>
      <c r="GC1212" s="7">
        <v>0.79863885321549588</v>
      </c>
      <c r="GD1212" s="7">
        <v>1.5970638773461261</v>
      </c>
      <c r="GE1212" s="7">
        <v>3.1618976139815258</v>
      </c>
      <c r="GF1212" s="7">
        <v>7.0206117384130184</v>
      </c>
      <c r="GG1212" s="7">
        <v>5.075323573844198</v>
      </c>
      <c r="GH1212" s="7">
        <v>0.51847395078876257</v>
      </c>
      <c r="GI1212" s="7">
        <v>5.9803778337988387</v>
      </c>
    </row>
    <row r="1213" spans="1:191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  <c r="FZ1213" s="7">
        <v>7.0861790708983659</v>
      </c>
      <c r="GA1213" s="7">
        <v>12.949679983260364</v>
      </c>
      <c r="GB1213" s="7">
        <v>2.7455789041649092</v>
      </c>
      <c r="GC1213" s="7">
        <v>0.33976759817518759</v>
      </c>
      <c r="GD1213" s="7">
        <v>0.85478339979632445</v>
      </c>
      <c r="GE1213" s="7">
        <v>2.1395524768753922</v>
      </c>
      <c r="GF1213" s="7">
        <v>3.7642617716466651</v>
      </c>
      <c r="GG1213" s="7">
        <v>2.5027439088398373</v>
      </c>
      <c r="GH1213" s="7">
        <v>0.17282465026292085</v>
      </c>
      <c r="GI1213" s="7">
        <v>4.7386059259531521</v>
      </c>
    </row>
    <row r="1214" spans="1:191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  <c r="FZ1214" s="7">
        <v>5.6311456278838934</v>
      </c>
      <c r="GA1214" s="7">
        <v>5.6403923530821247</v>
      </c>
      <c r="GB1214" s="7">
        <v>0.74308596408326799</v>
      </c>
      <c r="GC1214" s="7">
        <v>0.38617786824163852</v>
      </c>
      <c r="GD1214" s="7">
        <v>0.61035449361596317</v>
      </c>
      <c r="GE1214" s="7">
        <v>1.0038617098319063</v>
      </c>
      <c r="GF1214" s="7">
        <v>1.3746527513368467</v>
      </c>
      <c r="GG1214" s="7">
        <v>0.93993896331333671</v>
      </c>
      <c r="GH1214" s="7">
        <v>0.17282465026292085</v>
      </c>
      <c r="GI1214" s="7">
        <v>3.2870640286570265</v>
      </c>
    </row>
    <row r="1215" spans="1:191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  <c r="FZ1215" s="7">
        <v>6.1738679944817427</v>
      </c>
      <c r="GA1215" s="7">
        <v>13.704243948054298</v>
      </c>
      <c r="GB1215" s="7">
        <v>4.019491803199303</v>
      </c>
      <c r="GC1215" s="7">
        <v>0.99252803381887955</v>
      </c>
      <c r="GD1215" s="7">
        <v>1.3701964179900292</v>
      </c>
      <c r="GE1215" s="7">
        <v>2.293668254446962</v>
      </c>
      <c r="GF1215" s="7">
        <v>3.8040902740609326</v>
      </c>
      <c r="GG1215" s="7">
        <v>2.9849869541617733</v>
      </c>
      <c r="GH1215" s="7">
        <v>0.47158847029581613</v>
      </c>
      <c r="GI1215" s="7">
        <v>5.4728012341285543</v>
      </c>
    </row>
    <row r="1216" spans="1:191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  <c r="FZ1216" s="7">
        <v>7.8645878429798852</v>
      </c>
      <c r="GA1216" s="7">
        <v>22.648101730996384</v>
      </c>
      <c r="GB1216" s="7">
        <v>7.4976796335293088</v>
      </c>
      <c r="GC1216" s="7">
        <v>0.92900639849405664</v>
      </c>
      <c r="GD1216" s="7">
        <v>1.036132953960601</v>
      </c>
      <c r="GE1216" s="7">
        <v>1.9886100910174265</v>
      </c>
      <c r="GF1216" s="7">
        <v>3.8872102795650152</v>
      </c>
      <c r="GG1216" s="7">
        <v>2.0572793953978019</v>
      </c>
      <c r="GH1216" s="7">
        <v>0</v>
      </c>
      <c r="GI1216" s="7">
        <v>5.9584156979620939</v>
      </c>
    </row>
    <row r="1217" spans="1:191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  <c r="FZ1217" s="7">
        <v>5.6768024644257444</v>
      </c>
      <c r="GA1217" s="7">
        <v>19.37544640024802</v>
      </c>
      <c r="GB1217" s="7">
        <v>5.8212983648634351</v>
      </c>
      <c r="GC1217" s="7">
        <v>0.52673401757697691</v>
      </c>
      <c r="GD1217" s="7">
        <v>1.1372381860938114</v>
      </c>
      <c r="GE1217" s="7">
        <v>2.4762461936549269</v>
      </c>
      <c r="GF1217" s="7">
        <v>3.6474589155657107</v>
      </c>
      <c r="GG1217" s="7">
        <v>2.6093581968842599</v>
      </c>
      <c r="GH1217" s="7">
        <v>0.47158847029581613</v>
      </c>
      <c r="GI1217" s="7">
        <v>5.884048430363312</v>
      </c>
    </row>
    <row r="1218" spans="1:191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  <c r="FZ1218" s="7">
        <v>9.007363419063056</v>
      </c>
      <c r="GA1218" s="7">
        <v>19.669416167273354</v>
      </c>
      <c r="GB1218" s="7">
        <v>4.1183155273008012</v>
      </c>
      <c r="GC1218" s="7">
        <v>0.42853776563605361</v>
      </c>
      <c r="GD1218" s="7">
        <v>0.64091152934954532</v>
      </c>
      <c r="GE1218" s="7">
        <v>1.6728590055420076</v>
      </c>
      <c r="GF1218" s="7">
        <v>2.5003694250137212</v>
      </c>
      <c r="GG1218" s="7">
        <v>1.3641019447390237</v>
      </c>
      <c r="GH1218" s="7">
        <v>0.40861888541082891</v>
      </c>
      <c r="GI1218" s="7">
        <v>5.4464499412321432</v>
      </c>
    </row>
    <row r="1219" spans="1:191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  <c r="FZ1219" s="7">
        <v>5.8344331574909756</v>
      </c>
      <c r="GA1219" s="7">
        <v>2.4954255522484026</v>
      </c>
      <c r="GB1219" s="7">
        <v>0.22330868470066786</v>
      </c>
      <c r="GC1219" s="7">
        <v>0.79020974238081543</v>
      </c>
      <c r="GD1219" s="7">
        <v>0.83853949807802297</v>
      </c>
      <c r="GE1219" s="7">
        <v>1.1467917458033006</v>
      </c>
      <c r="GF1219" s="7">
        <v>4.2589962020375687</v>
      </c>
      <c r="GG1219" s="7">
        <v>3.3723714037075605</v>
      </c>
      <c r="GH1219" s="7">
        <v>0.75426818593667067</v>
      </c>
      <c r="GI1219" s="7">
        <v>3.5554844299349777</v>
      </c>
    </row>
    <row r="1220" spans="1:191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  <c r="FZ1220" s="7">
        <v>3.6884756581104652</v>
      </c>
      <c r="GA1220" s="7">
        <v>13.683824441086943</v>
      </c>
      <c r="GB1220" s="7">
        <v>5.0154997542810369</v>
      </c>
      <c r="GC1220" s="7">
        <v>1.019928324085446</v>
      </c>
      <c r="GD1220" s="7">
        <v>0.85265433037919514</v>
      </c>
      <c r="GE1220" s="7">
        <v>0.93238788293513586</v>
      </c>
      <c r="GF1220" s="7">
        <v>0.97143101533603826</v>
      </c>
      <c r="GG1220" s="7">
        <v>0</v>
      </c>
      <c r="GH1220" s="7">
        <v>0.17282465026292085</v>
      </c>
      <c r="GI1220" s="7">
        <v>3.2853398585835167</v>
      </c>
    </row>
    <row r="1221" spans="1:191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  <c r="FZ1221" s="7">
        <v>6.8040750767950726</v>
      </c>
      <c r="GA1221" s="7">
        <v>11.459702842157846</v>
      </c>
      <c r="GB1221" s="7">
        <v>2.6356877052394463</v>
      </c>
      <c r="GC1221" s="7">
        <v>0.63318454747485498</v>
      </c>
      <c r="GD1221" s="7">
        <v>0.68451857039924624</v>
      </c>
      <c r="GE1221" s="7">
        <v>1.1162991799598172</v>
      </c>
      <c r="GF1221" s="7">
        <v>2.5000492399969572</v>
      </c>
      <c r="GG1221" s="7">
        <v>1.6113391696746744</v>
      </c>
      <c r="GH1221" s="7">
        <v>0.75426818593667067</v>
      </c>
      <c r="GI1221" s="7">
        <v>3.421234408392773</v>
      </c>
    </row>
    <row r="1222" spans="1:191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  <c r="FZ1222" s="7">
        <v>12.584183146524925</v>
      </c>
      <c r="GA1222" s="7">
        <v>10.559277147220579</v>
      </c>
      <c r="GB1222" s="7">
        <v>3.3264230252905955</v>
      </c>
      <c r="GC1222" s="7">
        <v>0.47559344419994154</v>
      </c>
      <c r="GD1222" s="7">
        <v>0.30882935015372848</v>
      </c>
      <c r="GE1222" s="7">
        <v>0.33192838500987215</v>
      </c>
      <c r="GF1222" s="7">
        <v>2.0536475425639891</v>
      </c>
      <c r="GG1222" s="7">
        <v>1.7397307020165371</v>
      </c>
      <c r="GH1222" s="7">
        <v>0.23579423514790807</v>
      </c>
      <c r="GI1222" s="7">
        <v>3.3244489641424217</v>
      </c>
    </row>
    <row r="1223" spans="1:191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  <c r="FZ1223" s="7">
        <v>0.97002229534298157</v>
      </c>
      <c r="GA1223" s="7">
        <v>7.1099499872172878</v>
      </c>
      <c r="GB1223" s="7">
        <v>2.0908668230784428</v>
      </c>
      <c r="GC1223" s="7">
        <v>0.79085515087825264</v>
      </c>
      <c r="GD1223" s="7">
        <v>0.48631313379481278</v>
      </c>
      <c r="GE1223" s="7">
        <v>1.4963039687437769</v>
      </c>
      <c r="GF1223" s="7">
        <v>6.7625023439511818</v>
      </c>
      <c r="GG1223" s="7">
        <v>4.1353846105308607</v>
      </c>
      <c r="GH1223" s="7">
        <v>0.17282465026292085</v>
      </c>
      <c r="GI1223" s="7">
        <v>2.8518532459641834</v>
      </c>
    </row>
    <row r="1224" spans="1:191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  <c r="FZ1224" s="7">
        <v>9.613399286443272</v>
      </c>
      <c r="GA1224" s="7">
        <v>12.100801091714093</v>
      </c>
      <c r="GB1224" s="7">
        <v>2.2083514101049366</v>
      </c>
      <c r="GC1224" s="7">
        <v>0.54226262188346552</v>
      </c>
      <c r="GD1224" s="7">
        <v>0.80415224489704873</v>
      </c>
      <c r="GE1224" s="7">
        <v>1.5972497482477328</v>
      </c>
      <c r="GF1224" s="7">
        <v>1.524561175338017</v>
      </c>
      <c r="GG1224" s="7">
        <v>0.84832596285137418</v>
      </c>
      <c r="GH1224" s="7">
        <v>0.47158847029581613</v>
      </c>
      <c r="GI1224" s="7">
        <v>3.7640768808914471</v>
      </c>
    </row>
    <row r="1225" spans="1:191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  <c r="FZ1225" s="7">
        <v>6.6287252693252245</v>
      </c>
      <c r="GA1225" s="7">
        <v>6.814051110765325</v>
      </c>
      <c r="GB1225" s="7">
        <v>1.0536457221708007</v>
      </c>
      <c r="GC1225" s="7">
        <v>1.2963103194455385</v>
      </c>
      <c r="GD1225" s="7">
        <v>1.4039535543781219</v>
      </c>
      <c r="GE1225" s="7">
        <v>1.8574673489570612</v>
      </c>
      <c r="GF1225" s="7">
        <v>3.4062583907675235</v>
      </c>
      <c r="GG1225" s="7">
        <v>2.1271151515623243</v>
      </c>
      <c r="GH1225" s="7">
        <v>0</v>
      </c>
      <c r="GI1225" s="7">
        <v>3.85627299801765</v>
      </c>
    </row>
    <row r="1226" spans="1:191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  <c r="FZ1226" s="7">
        <v>6.2613527101972233</v>
      </c>
      <c r="GA1226" s="7">
        <v>6.1645098621800054</v>
      </c>
      <c r="GB1226" s="7">
        <v>0.56280346954252092</v>
      </c>
      <c r="GC1226" s="7">
        <v>0.19895521644115083</v>
      </c>
      <c r="GD1226" s="7">
        <v>0.76627685307077931</v>
      </c>
      <c r="GE1226" s="7">
        <v>2.6675653779808273</v>
      </c>
      <c r="GF1226" s="7">
        <v>3.7557575411029971</v>
      </c>
      <c r="GG1226" s="7">
        <v>2.1638936834422244</v>
      </c>
      <c r="GH1226" s="7">
        <v>0.81723777082165783</v>
      </c>
      <c r="GI1226" s="7">
        <v>3.1706766564877373</v>
      </c>
    </row>
    <row r="1227" spans="1:191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  <c r="FZ1227" s="7">
        <v>3.5432797234686255</v>
      </c>
      <c r="GA1227" s="7">
        <v>8.0638515949721761</v>
      </c>
      <c r="GB1227" s="7">
        <v>3.2601662726862841</v>
      </c>
      <c r="GC1227" s="7">
        <v>0.70208498341738657</v>
      </c>
      <c r="GD1227" s="7">
        <v>1.4334200180124181</v>
      </c>
      <c r="GE1227" s="7">
        <v>2.6480363038813945</v>
      </c>
      <c r="GF1227" s="7">
        <v>4.207981096319938</v>
      </c>
      <c r="GG1227" s="7">
        <v>3.3025356475430381</v>
      </c>
      <c r="GH1227" s="7">
        <v>0.23579423514790807</v>
      </c>
      <c r="GI1227" s="7">
        <v>4.4544294050849773</v>
      </c>
    </row>
    <row r="1228" spans="1:191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  <c r="FZ1228" s="7">
        <v>2.2334422150959923</v>
      </c>
      <c r="GA1228" s="7">
        <v>3.0934384811312627</v>
      </c>
      <c r="GB1228" s="7">
        <v>0.49066915297547048</v>
      </c>
      <c r="GC1228" s="7">
        <v>0.25921100891078996</v>
      </c>
      <c r="GD1228" s="7">
        <v>0.38503959284419953</v>
      </c>
      <c r="GE1228" s="7">
        <v>1.4090604938285856</v>
      </c>
      <c r="GF1228" s="7">
        <v>4.5459558605672665</v>
      </c>
      <c r="GG1228" s="7">
        <v>2.9967426464300475</v>
      </c>
      <c r="GH1228" s="7">
        <v>0.23579423514790807</v>
      </c>
      <c r="GI1228" s="7">
        <v>2.903896930160982</v>
      </c>
    </row>
    <row r="1229" spans="1:191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  <c r="FZ1229" s="7">
        <v>3.8827145604593918</v>
      </c>
      <c r="GA1229" s="7">
        <v>11.607493681727803</v>
      </c>
      <c r="GB1229" s="7">
        <v>3.8276272803858866</v>
      </c>
      <c r="GC1229" s="7">
        <v>0.48071601241895212</v>
      </c>
      <c r="GD1229" s="7">
        <v>0.47768828523865581</v>
      </c>
      <c r="GE1229" s="7">
        <v>0.578052564068397</v>
      </c>
      <c r="GF1229" s="7">
        <v>1.2421993447410642</v>
      </c>
      <c r="GG1229" s="7">
        <v>1.0955631877870249</v>
      </c>
      <c r="GH1229" s="7">
        <v>0.81723777082165783</v>
      </c>
      <c r="GI1229" s="7">
        <v>3.4873470721731481</v>
      </c>
    </row>
    <row r="1230" spans="1:191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  <c r="FZ1230" s="7">
        <v>5.3494220098194845</v>
      </c>
      <c r="GA1230" s="7">
        <v>2.4954255522484026</v>
      </c>
      <c r="GB1230" s="7">
        <v>0.22330868470066786</v>
      </c>
      <c r="GC1230" s="7">
        <v>0.50747089418808167</v>
      </c>
      <c r="GD1230" s="7">
        <v>0.86799555624836566</v>
      </c>
      <c r="GE1230" s="7">
        <v>1.7214598047390248</v>
      </c>
      <c r="GF1230" s="7">
        <v>1.0263802318601114</v>
      </c>
      <c r="GG1230" s="7">
        <v>0</v>
      </c>
      <c r="GH1230" s="7">
        <v>0.17282465026292085</v>
      </c>
      <c r="GI1230" s="7">
        <v>2.7093921678559605</v>
      </c>
    </row>
    <row r="1231" spans="1:191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  <c r="FZ1231" s="7">
        <v>4.9798333000007098</v>
      </c>
      <c r="GA1231" s="7">
        <v>10.758614790181531</v>
      </c>
      <c r="GB1231" s="7">
        <v>3.4799308512817713</v>
      </c>
      <c r="GC1231" s="7">
        <v>0.73253558390092466</v>
      </c>
      <c r="GD1231" s="7">
        <v>1.2942205241435158</v>
      </c>
      <c r="GE1231" s="7">
        <v>2.4243190586797358</v>
      </c>
      <c r="GF1231" s="7">
        <v>1.9018122665309667</v>
      </c>
      <c r="GG1231" s="7">
        <v>1.0955631877870249</v>
      </c>
      <c r="GH1231" s="7">
        <v>0.64441312055873701</v>
      </c>
      <c r="GI1231" s="7">
        <v>4.1028340227085121</v>
      </c>
    </row>
    <row r="1232" spans="1:191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  <c r="FZ1232" s="7">
        <v>13.496113846902666</v>
      </c>
      <c r="GA1232" s="7">
        <v>25.217422703029769</v>
      </c>
      <c r="GB1232" s="7">
        <v>8.2721219208621424</v>
      </c>
      <c r="GC1232" s="7">
        <v>1.0061204126330567</v>
      </c>
      <c r="GD1232" s="7">
        <v>0.88079138441716132</v>
      </c>
      <c r="GE1232" s="7">
        <v>0.74958769387104596</v>
      </c>
      <c r="GF1232" s="7">
        <v>5.0957345615513523</v>
      </c>
      <c r="GG1232" s="7">
        <v>4.6879391242984099</v>
      </c>
      <c r="GH1232" s="7">
        <v>0.40861888541082891</v>
      </c>
      <c r="GI1232" s="7">
        <v>6.7454740607619561</v>
      </c>
    </row>
    <row r="1233" spans="1:191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  <c r="FZ1233" s="7">
        <v>0.48501114767149078</v>
      </c>
      <c r="GA1233" s="7">
        <v>10.433834924044604</v>
      </c>
      <c r="GB1233" s="7">
        <v>3.9334513780600604</v>
      </c>
      <c r="GC1233" s="7">
        <v>0.64660019401881819</v>
      </c>
      <c r="GD1233" s="7">
        <v>1.1433114871973185</v>
      </c>
      <c r="GE1233" s="7">
        <v>2.8297728231002339</v>
      </c>
      <c r="GF1233" s="7">
        <v>2.2153001144690636</v>
      </c>
      <c r="GG1233" s="7">
        <v>0.24723722493565062</v>
      </c>
      <c r="GH1233" s="7">
        <v>0</v>
      </c>
      <c r="GI1233" s="7">
        <v>4.055600146869625</v>
      </c>
    </row>
    <row r="1234" spans="1:191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  <c r="FZ1234" s="7">
        <v>5.7767219385646182</v>
      </c>
      <c r="GA1234" s="7">
        <v>10.359939504259625</v>
      </c>
      <c r="GB1234" s="7">
        <v>3.2764058391160349</v>
      </c>
      <c r="GC1234" s="7">
        <v>0.23783492775936937</v>
      </c>
      <c r="GD1234" s="7">
        <v>0.85371125617681243</v>
      </c>
      <c r="GE1234" s="7">
        <v>2.7622552333537951</v>
      </c>
      <c r="GF1234" s="7">
        <v>5.7660909631113952</v>
      </c>
      <c r="GG1234" s="7">
        <v>3.6899200970888253</v>
      </c>
      <c r="GH1234" s="7">
        <v>0.17282465026292085</v>
      </c>
      <c r="GI1234" s="7">
        <v>5.3316502118526552</v>
      </c>
    </row>
    <row r="1235" spans="1:191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  <c r="FZ1235" s="7">
        <v>9.1740449753136328</v>
      </c>
      <c r="GA1235" s="7">
        <v>28.36238950386349</v>
      </c>
      <c r="GB1235" s="7">
        <v>8.6210289982138786</v>
      </c>
      <c r="GC1235" s="7">
        <v>0.2216221145874456</v>
      </c>
      <c r="GD1235" s="7">
        <v>0.12941536812120863</v>
      </c>
      <c r="GE1235" s="7">
        <v>0.81090712364309669</v>
      </c>
      <c r="GF1235" s="7">
        <v>4.0999030643757299</v>
      </c>
      <c r="GG1235" s="7">
        <v>2.749981133775488</v>
      </c>
      <c r="GH1235" s="7">
        <v>0</v>
      </c>
      <c r="GI1235" s="7">
        <v>6.1206612584662663</v>
      </c>
    </row>
    <row r="1236" spans="1:191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  <c r="FZ1236" s="7">
        <v>5.6888568468102516</v>
      </c>
      <c r="GA1236" s="7">
        <v>17.028128884881617</v>
      </c>
      <c r="GB1236" s="7">
        <v>5.6737559414726846</v>
      </c>
      <c r="GC1236" s="7">
        <v>0.43954851046048254</v>
      </c>
      <c r="GD1236" s="7">
        <v>0.42172501072250207</v>
      </c>
      <c r="GE1236" s="7">
        <v>0.68421255656065461</v>
      </c>
      <c r="GF1236" s="7">
        <v>2.7612953513586853</v>
      </c>
      <c r="GG1236" s="7">
        <v>2.3040409080523605</v>
      </c>
      <c r="GH1236" s="7">
        <v>0.23579423514790807</v>
      </c>
      <c r="GI1236" s="7">
        <v>4.528684502805528</v>
      </c>
    </row>
    <row r="1237" spans="1:191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  <c r="FZ1237" s="7">
        <v>5.6311456278838934</v>
      </c>
      <c r="GA1237" s="7">
        <v>16.074227277126731</v>
      </c>
      <c r="GB1237" s="7">
        <v>4.467134766014853</v>
      </c>
      <c r="GC1237" s="7">
        <v>0.44449743521896634</v>
      </c>
      <c r="GD1237" s="7">
        <v>0.54748706736502473</v>
      </c>
      <c r="GE1237" s="7">
        <v>1.8014845064435296</v>
      </c>
      <c r="GF1237" s="7">
        <v>2.405829065659157</v>
      </c>
      <c r="GG1237" s="7">
        <v>0.67140020636133779</v>
      </c>
      <c r="GH1237" s="7">
        <v>0.23579423514790807</v>
      </c>
      <c r="GI1237" s="7">
        <v>5.071296985432638</v>
      </c>
    </row>
    <row r="1238" spans="1:191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  <c r="FZ1238" s="7">
        <v>8.3956362032321135</v>
      </c>
      <c r="GA1238" s="7">
        <v>9.3833720827987079</v>
      </c>
      <c r="GB1238" s="7">
        <v>1.6198960816227803</v>
      </c>
      <c r="GC1238" s="7">
        <v>0.86040099531822145</v>
      </c>
      <c r="GD1238" s="7">
        <v>1.1955390897953908</v>
      </c>
      <c r="GE1238" s="7">
        <v>2.0170515095449537</v>
      </c>
      <c r="GF1238" s="7">
        <v>1.963705011142169</v>
      </c>
      <c r="GG1238" s="7">
        <v>0.74171167480695199</v>
      </c>
      <c r="GH1238" s="7">
        <v>0.3456493005258417</v>
      </c>
      <c r="GI1238" s="7">
        <v>4.2770191112605103</v>
      </c>
    </row>
    <row r="1239" spans="1:191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  <c r="FZ1239" s="7">
        <v>6.2315792134081001</v>
      </c>
      <c r="GA1239" s="7">
        <v>11.533598261942824</v>
      </c>
      <c r="GB1239" s="7">
        <v>3.3101834588608448</v>
      </c>
      <c r="GC1239" s="7">
        <v>1.0387227712471181</v>
      </c>
      <c r="GD1239" s="7">
        <v>0.93409191709754191</v>
      </c>
      <c r="GE1239" s="7">
        <v>0.68502124598208647</v>
      </c>
      <c r="GF1239" s="7">
        <v>3.0157961891627396</v>
      </c>
      <c r="GG1239" s="7">
        <v>2.6796696653298739</v>
      </c>
      <c r="GH1239" s="7">
        <v>0.75426818593667067</v>
      </c>
      <c r="GI1239" s="7">
        <v>3.795711357316784</v>
      </c>
    </row>
    <row r="1240" spans="1:191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  <c r="FZ1240" s="7">
        <v>19.611890246419165</v>
      </c>
      <c r="GA1240" s="7">
        <v>17.046619282422348</v>
      </c>
      <c r="GB1240" s="7">
        <v>1.6408904024053343</v>
      </c>
      <c r="GC1240" s="7">
        <v>1.006765821130494</v>
      </c>
      <c r="GD1240" s="7">
        <v>0.88079138441716132</v>
      </c>
      <c r="GE1240" s="7">
        <v>1.9036296872330578</v>
      </c>
      <c r="GF1240" s="7">
        <v>4.9178170990528152</v>
      </c>
      <c r="GG1240" s="7">
        <v>2.8080611976717367</v>
      </c>
      <c r="GH1240" s="7">
        <v>0.23579423514790807</v>
      </c>
      <c r="GI1240" s="7">
        <v>5.689099387176654</v>
      </c>
    </row>
    <row r="1241" spans="1:191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  <c r="FZ1241" s="7">
        <v>9.5715714072696443</v>
      </c>
      <c r="GA1241" s="7">
        <v>8.9846967968768006</v>
      </c>
      <c r="GB1241" s="7">
        <v>1.4326106358867945</v>
      </c>
      <c r="GC1241" s="7">
        <v>1.0326985621319722</v>
      </c>
      <c r="GD1241" s="7">
        <v>1.3206710217158273</v>
      </c>
      <c r="GE1241" s="7">
        <v>2.3489217252003267</v>
      </c>
      <c r="GF1241" s="7">
        <v>2.2272899631540555</v>
      </c>
      <c r="GG1241" s="7">
        <v>0.84832596285137418</v>
      </c>
      <c r="GH1241" s="7">
        <v>0.47158847029581613</v>
      </c>
      <c r="GI1241" s="7">
        <v>3.8655790014575269</v>
      </c>
    </row>
    <row r="1242" spans="1:191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  <c r="FZ1242" s="7">
        <v>5.7767219385646182</v>
      </c>
      <c r="GA1242" s="7">
        <v>2.6947631952093558</v>
      </c>
      <c r="GB1242" s="7">
        <v>0.44661736940133573</v>
      </c>
      <c r="GC1242" s="7">
        <v>0.71399428032826362</v>
      </c>
      <c r="GD1242" s="7">
        <v>0.88369082403443877</v>
      </c>
      <c r="GE1242" s="7">
        <v>1.6595686429493146</v>
      </c>
      <c r="GF1242" s="7">
        <v>1.4550011814872013</v>
      </c>
      <c r="GG1242" s="7">
        <v>0.24723722493565062</v>
      </c>
      <c r="GH1242" s="7">
        <v>0</v>
      </c>
      <c r="GI1242" s="7">
        <v>2.7549080993281034</v>
      </c>
    </row>
    <row r="1243" spans="1:191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  <c r="FZ1243" s="7">
        <v>8.4076905856166189</v>
      </c>
      <c r="GA1243" s="7">
        <v>4.8654088813208318</v>
      </c>
      <c r="GB1243" s="7">
        <v>0.82679293136495202</v>
      </c>
      <c r="GC1243" s="7">
        <v>0.28273884819273387</v>
      </c>
      <c r="GD1243" s="7">
        <v>1.1021613728134207</v>
      </c>
      <c r="GE1243" s="7">
        <v>2.4394761501757904</v>
      </c>
      <c r="GF1243" s="7">
        <v>3.4699100923647199</v>
      </c>
      <c r="GG1243" s="7">
        <v>2.6796696653298739</v>
      </c>
      <c r="GH1243" s="7">
        <v>0.23579423514790807</v>
      </c>
      <c r="GI1243" s="7">
        <v>4.669828942795669</v>
      </c>
    </row>
    <row r="1244" spans="1:191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  <c r="FZ1244" s="7">
        <v>9.2317561942399919</v>
      </c>
      <c r="GA1244" s="7">
        <v>12.434023956880093</v>
      </c>
      <c r="GB1244" s="7">
        <v>2.7018566192060707</v>
      </c>
      <c r="GC1244" s="7">
        <v>0.61292255104809457</v>
      </c>
      <c r="GD1244" s="7">
        <v>0.57721228749496434</v>
      </c>
      <c r="GE1244" s="7">
        <v>0.89143935244954209</v>
      </c>
      <c r="GF1244" s="7">
        <v>2.1721201530369045</v>
      </c>
      <c r="GG1244" s="7">
        <v>1.3155677205908503</v>
      </c>
      <c r="GH1244" s="7">
        <v>0.17282465026292085</v>
      </c>
      <c r="GI1244" s="7">
        <v>3.4745538994252119</v>
      </c>
    </row>
    <row r="1245" spans="1:191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  <c r="FZ1245" s="7">
        <v>6.6011679232268747</v>
      </c>
      <c r="GA1245" s="7">
        <v>3.2704090240096959</v>
      </c>
      <c r="GB1245" s="7">
        <v>6.9800858709491903E-2</v>
      </c>
      <c r="GC1245" s="7">
        <v>7.7759422636437162E-2</v>
      </c>
      <c r="GD1245" s="7">
        <v>0.34013676513293484</v>
      </c>
      <c r="GE1245" s="7">
        <v>2.154888761618619</v>
      </c>
      <c r="GF1245" s="7">
        <v>2.4226253856360014</v>
      </c>
      <c r="GG1245" s="7">
        <v>0.1769257564900365</v>
      </c>
      <c r="GH1245" s="7">
        <v>0.23579423514790807</v>
      </c>
      <c r="GI1245" s="7">
        <v>2.1980697470099906</v>
      </c>
    </row>
    <row r="1246" spans="1:191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  <c r="FZ1246" s="7">
        <v>11.999632900753447</v>
      </c>
      <c r="GA1246" s="7">
        <v>12.58181479645005</v>
      </c>
      <c r="GB1246" s="7">
        <v>3.8962174908477563</v>
      </c>
      <c r="GC1246" s="7">
        <v>0.62281921114786321</v>
      </c>
      <c r="GD1246" s="7">
        <v>1.1199953034363983</v>
      </c>
      <c r="GE1246" s="7">
        <v>1.7878986118946663</v>
      </c>
      <c r="GF1246" s="7">
        <v>4.5254868885266148</v>
      </c>
      <c r="GG1246" s="7">
        <v>3.9952373859207246</v>
      </c>
      <c r="GH1246" s="7">
        <v>0.40861888541082891</v>
      </c>
      <c r="GI1246" s="7">
        <v>6.5104205157198356</v>
      </c>
    </row>
    <row r="1247" spans="1:191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  <c r="FZ1247" s="7">
        <v>6.5133028314725081</v>
      </c>
      <c r="GA1247" s="7">
        <v>4.4440677816928957</v>
      </c>
      <c r="GB1247" s="7">
        <v>0.34546018744227874</v>
      </c>
      <c r="GC1247" s="7">
        <v>0.4732649537992043</v>
      </c>
      <c r="GD1247" s="7">
        <v>0.29258358562272457</v>
      </c>
      <c r="GE1247" s="7">
        <v>0.3400782219122076</v>
      </c>
      <c r="GF1247" s="7">
        <v>5.5274640375396338</v>
      </c>
      <c r="GG1247" s="7">
        <v>5.0635678815759242</v>
      </c>
      <c r="GH1247" s="7">
        <v>0.75426818593667067</v>
      </c>
      <c r="GI1247" s="7">
        <v>2.990294403215918</v>
      </c>
    </row>
    <row r="1248" spans="1:191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  <c r="FZ1248" s="7">
        <v>7.6405754438418345</v>
      </c>
      <c r="GA1248" s="7">
        <v>21.67378061627414</v>
      </c>
      <c r="GB1248" s="7">
        <v>7.4627792041745629</v>
      </c>
      <c r="GC1248" s="7">
        <v>0.38402611011111504</v>
      </c>
      <c r="GD1248" s="7">
        <v>0.7606381869019081</v>
      </c>
      <c r="GE1248" s="7">
        <v>2.2731548281635443</v>
      </c>
      <c r="GF1248" s="7">
        <v>6.5318023662664331</v>
      </c>
      <c r="GG1248" s="7">
        <v>4.6879391242984099</v>
      </c>
      <c r="GH1248" s="7">
        <v>0.75426818593667067</v>
      </c>
      <c r="GI1248" s="7">
        <v>6.4541629238858995</v>
      </c>
    </row>
    <row r="1249" spans="1:191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  <c r="FZ1249" s="7">
        <v>7.4837055028543755</v>
      </c>
      <c r="GA1249" s="7">
        <v>3.5436420867556286</v>
      </c>
      <c r="GB1249" s="7">
        <v>0.98384486346130873</v>
      </c>
      <c r="GC1249" s="7">
        <v>1.0518852742020703</v>
      </c>
      <c r="GD1249" s="7">
        <v>1.0583745699069267</v>
      </c>
      <c r="GE1249" s="7">
        <v>1.7301428805024612</v>
      </c>
      <c r="GF1249" s="7">
        <v>4.534122510069329</v>
      </c>
      <c r="GG1249" s="7">
        <v>2.9967426464300475</v>
      </c>
      <c r="GH1249" s="7">
        <v>0.23579423514790807</v>
      </c>
      <c r="GI1249" s="7">
        <v>4.0562717016399308</v>
      </c>
    </row>
    <row r="1250" spans="1:191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  <c r="FZ1250" s="7">
        <v>3.2611757293653318</v>
      </c>
      <c r="GA1250" s="7">
        <v>10.559277147220579</v>
      </c>
      <c r="GB1250" s="7">
        <v>3.6044158118809406</v>
      </c>
      <c r="GC1250" s="7">
        <v>0.99841621042429785</v>
      </c>
      <c r="GD1250" s="7">
        <v>0.55575574214973111</v>
      </c>
      <c r="GE1250" s="7">
        <v>0.64762130113079197</v>
      </c>
      <c r="GF1250" s="7">
        <v>2.3804357035079535</v>
      </c>
      <c r="GG1250" s="7">
        <v>1.3155677205908503</v>
      </c>
      <c r="GH1250" s="7">
        <v>0.3456493005258417</v>
      </c>
      <c r="GI1250" s="7">
        <v>2.5114511434925362</v>
      </c>
    </row>
    <row r="1251" spans="1:191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  <c r="FZ1251" s="7">
        <v>7.5410363457418477</v>
      </c>
      <c r="GA1251" s="7">
        <v>6.6147134678043713</v>
      </c>
      <c r="GB1251" s="7">
        <v>0.88026638500700694</v>
      </c>
      <c r="GC1251" s="7">
        <v>0.9555845479929721</v>
      </c>
      <c r="GD1251" s="7">
        <v>1.3603465133284209</v>
      </c>
      <c r="GE1251" s="7">
        <v>2.2149502155527001</v>
      </c>
      <c r="GF1251" s="7">
        <v>4.7264104182454165</v>
      </c>
      <c r="GG1251" s="7">
        <v>3.4426828721531746</v>
      </c>
      <c r="GH1251" s="7">
        <v>0.17282465026292085</v>
      </c>
      <c r="GI1251" s="7">
        <v>5.0378599545026574</v>
      </c>
    </row>
    <row r="1252" spans="1:191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  <c r="FZ1252" s="7">
        <v>2.2334422150959923</v>
      </c>
      <c r="GA1252" s="7">
        <v>25.071560972886438</v>
      </c>
      <c r="GB1252" s="7">
        <v>9.8065680142514697</v>
      </c>
      <c r="GC1252" s="7">
        <v>0.50690498581912879</v>
      </c>
      <c r="GD1252" s="7">
        <v>1.0387228974806471</v>
      </c>
      <c r="GE1252" s="7">
        <v>2.0136670044122811</v>
      </c>
      <c r="GF1252" s="7">
        <v>3.5957747235898836</v>
      </c>
      <c r="GG1252" s="7">
        <v>2.8080611976717367</v>
      </c>
      <c r="GH1252" s="7">
        <v>0.40861888541082891</v>
      </c>
      <c r="GI1252" s="7">
        <v>6.6525096934889492</v>
      </c>
    </row>
    <row r="1253" spans="1:191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  <c r="FZ1253" s="7">
        <v>12.477048583852595</v>
      </c>
      <c r="GA1253" s="7">
        <v>15.27689518897145</v>
      </c>
      <c r="GB1253" s="7">
        <v>2.8216746640901231</v>
      </c>
      <c r="GC1253" s="7">
        <v>0.69735159129711466</v>
      </c>
      <c r="GD1253" s="7">
        <v>0.75505224490749923</v>
      </c>
      <c r="GE1253" s="7">
        <v>1.2765222175835829</v>
      </c>
      <c r="GF1253" s="7">
        <v>3.5821374595765532</v>
      </c>
      <c r="GG1253" s="7">
        <v>2.5512781329880112</v>
      </c>
      <c r="GH1253" s="7">
        <v>0.40861888541082891</v>
      </c>
      <c r="GI1253" s="7">
        <v>4.938494961830787</v>
      </c>
    </row>
    <row r="1254" spans="1:191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  <c r="FZ1254" s="7">
        <v>9.2321365702788754</v>
      </c>
      <c r="GA1254" s="7">
        <v>3.4697466669706492</v>
      </c>
      <c r="GB1254" s="7">
        <v>0.29310954341015977</v>
      </c>
      <c r="GC1254" s="7">
        <v>1.019282915588009</v>
      </c>
      <c r="GD1254" s="7">
        <v>1.0167258965579762</v>
      </c>
      <c r="GE1254" s="7">
        <v>1.2826356147176099</v>
      </c>
      <c r="GF1254" s="7">
        <v>4.9970672059927868</v>
      </c>
      <c r="GG1254" s="7">
        <v>3.818311629430688</v>
      </c>
      <c r="GH1254" s="7">
        <v>0.17282465026292085</v>
      </c>
      <c r="GI1254" s="7">
        <v>4.3104487159267793</v>
      </c>
    </row>
    <row r="1255" spans="1:191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  <c r="FZ1255" s="7">
        <v>5.2498829117194976</v>
      </c>
      <c r="GA1255" s="7">
        <v>4.5179632014778752</v>
      </c>
      <c r="GB1255" s="7">
        <v>0.74075250622570943</v>
      </c>
      <c r="GC1255" s="7">
        <v>0.89012668717583798</v>
      </c>
      <c r="GD1255" s="7">
        <v>1.0390548166566904</v>
      </c>
      <c r="GE1255" s="7">
        <v>1.4553984948671352</v>
      </c>
      <c r="GF1255" s="7">
        <v>2.7160769962370184</v>
      </c>
      <c r="GG1255" s="7">
        <v>1.5628049455265007</v>
      </c>
      <c r="GH1255" s="7">
        <v>0.17282465026292085</v>
      </c>
      <c r="GI1255" s="7">
        <v>3.539278730046739</v>
      </c>
    </row>
    <row r="1256" spans="1:191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  <c r="FZ1256" s="7">
        <v>8.2621142749358949</v>
      </c>
      <c r="GA1256" s="7">
        <v>11.334260618981871</v>
      </c>
      <c r="GB1256" s="7">
        <v>3.2264764915791604</v>
      </c>
      <c r="GC1256" s="7">
        <v>1.0108538047533284</v>
      </c>
      <c r="GD1256" s="7">
        <v>1.2455337091076641</v>
      </c>
      <c r="GE1256" s="7">
        <v>2.1781952848191102</v>
      </c>
      <c r="GF1256" s="7">
        <v>4.1960135866985695</v>
      </c>
      <c r="GG1256" s="7">
        <v>2.7282038894780474</v>
      </c>
      <c r="GH1256" s="7">
        <v>0.81723777082165783</v>
      </c>
      <c r="GI1256" s="7">
        <v>5.7570846472850583</v>
      </c>
    </row>
    <row r="1257" spans="1:191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  <c r="FZ1257" s="7">
        <v>10.098030058075878</v>
      </c>
      <c r="GA1257" s="7">
        <v>13.001226786651362</v>
      </c>
      <c r="GB1257" s="7">
        <v>1.7059365067620229</v>
      </c>
      <c r="GC1257" s="7">
        <v>0.64096824981209832</v>
      </c>
      <c r="GD1257" s="7">
        <v>0.70805198633730237</v>
      </c>
      <c r="GE1257" s="7">
        <v>1.4398080400958875</v>
      </c>
      <c r="GF1257" s="7">
        <v>2.8167630074289782</v>
      </c>
      <c r="GG1257" s="7">
        <v>1.5628049455265007</v>
      </c>
      <c r="GH1257" s="7">
        <v>0.17282465026292085</v>
      </c>
      <c r="GI1257" s="7">
        <v>3.9658367459092023</v>
      </c>
    </row>
    <row r="1258" spans="1:191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  <c r="FZ1258" s="7">
        <v>4.4250565510183559</v>
      </c>
      <c r="GA1258" s="7">
        <v>18.002449999603861</v>
      </c>
      <c r="GB1258" s="7">
        <v>5.5666333569132025</v>
      </c>
      <c r="GC1258" s="7">
        <v>0.52996106006416244</v>
      </c>
      <c r="GD1258" s="7">
        <v>0.59915275627921283</v>
      </c>
      <c r="GE1258" s="7">
        <v>0.79557124409776847</v>
      </c>
      <c r="GF1258" s="7">
        <v>2.2634242040678907</v>
      </c>
      <c r="GG1258" s="7">
        <v>1.8585763946103251</v>
      </c>
      <c r="GH1258" s="7">
        <v>0.23579423514790807</v>
      </c>
      <c r="GI1258" s="7">
        <v>4.0048731471662116</v>
      </c>
    </row>
    <row r="1259" spans="1:191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  <c r="FZ1259" s="7">
        <v>12.671287486201521</v>
      </c>
      <c r="GA1259" s="7">
        <v>8.0619224855455496</v>
      </c>
      <c r="GB1259" s="7">
        <v>0.23954825113041844</v>
      </c>
      <c r="GC1259" s="7">
        <v>9.5263052803235188E-2</v>
      </c>
      <c r="GD1259" s="7">
        <v>0.70460581956192847</v>
      </c>
      <c r="GE1259" s="7">
        <v>2.1855360271021147</v>
      </c>
      <c r="GF1259" s="7">
        <v>2.5548478098090528</v>
      </c>
      <c r="GG1259" s="7">
        <v>1.4924934770808866</v>
      </c>
      <c r="GH1259" s="7">
        <v>1.0999174864625123</v>
      </c>
      <c r="GI1259" s="7">
        <v>3.5962055892885418</v>
      </c>
    </row>
    <row r="1260" spans="1:191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  <c r="FZ1260" s="7">
        <v>2.2334422150959923</v>
      </c>
      <c r="GA1260" s="7">
        <v>8.1892938181481494</v>
      </c>
      <c r="GB1260" s="7">
        <v>2.6182374905620733</v>
      </c>
      <c r="GC1260" s="7">
        <v>0.66733086667280161</v>
      </c>
      <c r="GD1260" s="7">
        <v>0.46601585771191151</v>
      </c>
      <c r="GE1260" s="7">
        <v>1.0254750670128878</v>
      </c>
      <c r="GF1260" s="7">
        <v>4.2774518875767207</v>
      </c>
      <c r="GG1260" s="7">
        <v>2.5027439088398373</v>
      </c>
      <c r="GH1260" s="7">
        <v>0.17282465026292085</v>
      </c>
      <c r="GI1260" s="7">
        <v>2.8166131181415608</v>
      </c>
    </row>
    <row r="1261" spans="1:191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  <c r="FZ1261" s="7">
        <v>7.4953795091999957</v>
      </c>
      <c r="GA1261" s="7">
        <v>10.559277147220579</v>
      </c>
      <c r="GB1261" s="7">
        <v>3.3962238840000873</v>
      </c>
      <c r="GC1261" s="7">
        <v>0.89519272301360531</v>
      </c>
      <c r="GD1261" s="7">
        <v>0.91005069541894101</v>
      </c>
      <c r="GE1261" s="7">
        <v>2.0792795043243437</v>
      </c>
      <c r="GF1261" s="7">
        <v>4.9059837485548785</v>
      </c>
      <c r="GG1261" s="7">
        <v>2.8080611976717367</v>
      </c>
      <c r="GH1261" s="7">
        <v>0.40861888541082891</v>
      </c>
      <c r="GI1261" s="7">
        <v>4.9154883237461231</v>
      </c>
    </row>
    <row r="1262" spans="1:191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  <c r="FZ1262" s="7">
        <v>0.60043358552420678</v>
      </c>
      <c r="GA1262" s="7">
        <v>0</v>
      </c>
      <c r="GB1262" s="7">
        <v>0.31168256769746883</v>
      </c>
      <c r="GC1262" s="7">
        <v>0.99790683443658823</v>
      </c>
      <c r="GD1262" s="7">
        <v>0.98271627525489946</v>
      </c>
      <c r="GE1262" s="7">
        <v>1.4713789833322692</v>
      </c>
      <c r="GF1262" s="7">
        <v>5.5459197230787858</v>
      </c>
      <c r="GG1262" s="7">
        <v>4.193940386708201</v>
      </c>
      <c r="GH1262" s="7">
        <v>0.3456493005258417</v>
      </c>
      <c r="GI1262" s="7">
        <v>3.2780093687586813</v>
      </c>
    </row>
    <row r="1263" spans="1:191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  <c r="FZ1263" s="7">
        <v>4.9798333000007098</v>
      </c>
      <c r="GA1263" s="7">
        <v>14.082499727008848</v>
      </c>
      <c r="GB1263" s="7">
        <v>5.1480132594896588</v>
      </c>
      <c r="GC1263" s="7">
        <v>0.24514995386938954</v>
      </c>
      <c r="GD1263" s="7">
        <v>0.38891178216151268</v>
      </c>
      <c r="GE1263" s="7">
        <v>1.4921685383462722</v>
      </c>
      <c r="GF1263" s="7">
        <v>6.0944743942116446</v>
      </c>
      <c r="GG1263" s="7">
        <v>4.6666375922820631</v>
      </c>
      <c r="GH1263" s="7">
        <v>0.47158847029581613</v>
      </c>
      <c r="GI1263" s="7">
        <v>4.1571889657912759</v>
      </c>
    </row>
    <row r="1264" spans="1:191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  <c r="FZ1264" s="7">
        <v>3.9981369983121078</v>
      </c>
      <c r="GA1264" s="7">
        <v>1.1736587576831998</v>
      </c>
      <c r="GB1264" s="7">
        <v>0.27565932873278676</v>
      </c>
      <c r="GC1264" s="7">
        <v>0.81236726453940089</v>
      </c>
      <c r="GD1264" s="7">
        <v>0.89930550680019605</v>
      </c>
      <c r="GE1264" s="7">
        <v>1.6593136625254965</v>
      </c>
      <c r="GF1264" s="7">
        <v>5.2057029414806006</v>
      </c>
      <c r="GG1264" s="7">
        <v>3.9249259174751105</v>
      </c>
      <c r="GH1264" s="7">
        <v>0.81723777082165783</v>
      </c>
      <c r="GI1264" s="7">
        <v>2.5152093801636579</v>
      </c>
    </row>
    <row r="1265" spans="1:191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  <c r="FZ1265" s="7">
        <v>0.54272236659784878</v>
      </c>
      <c r="GA1265" s="7">
        <v>8.263189237933128</v>
      </c>
      <c r="GB1265" s="7">
        <v>3.4124634504298377</v>
      </c>
      <c r="GC1265" s="7">
        <v>0.30781064805856317</v>
      </c>
      <c r="GD1265" s="7">
        <v>0.54856163517961942</v>
      </c>
      <c r="GE1265" s="7">
        <v>1.7975024253084935</v>
      </c>
      <c r="GF1265" s="7">
        <v>1.4214179223340162</v>
      </c>
      <c r="GG1265" s="7">
        <v>0.1769257564900365</v>
      </c>
      <c r="GH1265" s="7">
        <v>0.23579423514790807</v>
      </c>
      <c r="GI1265" s="7">
        <v>2.8301277551291575</v>
      </c>
    </row>
    <row r="1266" spans="1:191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  <c r="FZ1266" s="7">
        <v>9.9110062442604097</v>
      </c>
      <c r="GA1266" s="7">
        <v>7.9877098684485244</v>
      </c>
      <c r="GB1266" s="7">
        <v>0.91171054689425834</v>
      </c>
      <c r="GC1266" s="7">
        <v>0.55348889934610646</v>
      </c>
      <c r="GD1266" s="7">
        <v>0.81597533129501343</v>
      </c>
      <c r="GE1266" s="7">
        <v>1.7025428819640593</v>
      </c>
      <c r="GF1266" s="7">
        <v>1.5382207784149702</v>
      </c>
      <c r="GG1266" s="7">
        <v>0.24723722493565062</v>
      </c>
      <c r="GH1266" s="7">
        <v>0.17282465026292085</v>
      </c>
      <c r="GI1266" s="7">
        <v>4.2196534997680919</v>
      </c>
    </row>
    <row r="1267" spans="1:191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  <c r="FZ1267" s="7">
        <v>5.8340527814520904</v>
      </c>
      <c r="GA1267" s="7">
        <v>25.217422703029769</v>
      </c>
      <c r="GB1267" s="7">
        <v>8.1313095551955357</v>
      </c>
      <c r="GC1267" s="7">
        <v>1.3517951088441069</v>
      </c>
      <c r="GD1267" s="7">
        <v>1.2036795287876887</v>
      </c>
      <c r="GE1267" s="7">
        <v>1.8047466373059851</v>
      </c>
      <c r="GF1267" s="7">
        <v>2.3041527751630859</v>
      </c>
      <c r="GG1267" s="7">
        <v>0.42416298142568709</v>
      </c>
      <c r="GH1267" s="7">
        <v>0.75426818593667067</v>
      </c>
      <c r="GI1267" s="7">
        <v>6.0093628675392399</v>
      </c>
    </row>
    <row r="1268" spans="1:191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  <c r="FZ1268" s="7">
        <v>8.8349905143617526</v>
      </c>
      <c r="GA1268" s="7">
        <v>8.3886314611091013</v>
      </c>
      <c r="GB1268" s="7">
        <v>2.7542951018758761</v>
      </c>
      <c r="GC1268" s="7">
        <v>0.67662091864313123</v>
      </c>
      <c r="GD1268" s="7">
        <v>1.0782882814426538</v>
      </c>
      <c r="GE1268" s="7">
        <v>1.4917200623255316</v>
      </c>
      <c r="GF1268" s="7">
        <v>3.3737995700418812</v>
      </c>
      <c r="GG1268" s="7">
        <v>3.4091499355874602</v>
      </c>
      <c r="GH1268" s="7">
        <v>1.0530320059695661</v>
      </c>
      <c r="GI1268" s="7">
        <v>4.9381110312123848</v>
      </c>
    </row>
    <row r="1269" spans="1:191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  <c r="FZ1269" s="7">
        <v>7.2804179732472925</v>
      </c>
      <c r="GA1269" s="7">
        <v>4.5179632014778752</v>
      </c>
      <c r="GB1269" s="7">
        <v>0.89538314182682144</v>
      </c>
      <c r="GC1269" s="7">
        <v>0.14321728345357132</v>
      </c>
      <c r="GD1269" s="7">
        <v>0.5918616043271715</v>
      </c>
      <c r="GE1269" s="7">
        <v>1.9524268923014954</v>
      </c>
      <c r="GF1269" s="7">
        <v>5.2071640525134519</v>
      </c>
      <c r="GG1269" s="7">
        <v>3.8668458535788619</v>
      </c>
      <c r="GH1269" s="7">
        <v>0.58144353567374973</v>
      </c>
      <c r="GI1269" s="7">
        <v>3.8659783743214575</v>
      </c>
    </row>
    <row r="1270" spans="1:191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  <c r="FZ1270" s="7">
        <v>4.8644108621479933</v>
      </c>
      <c r="GA1270" s="7">
        <v>13.883162084047894</v>
      </c>
      <c r="GB1270" s="7">
        <v>5.1341071509174672</v>
      </c>
      <c r="GC1270" s="7">
        <v>0.58763521854405321</v>
      </c>
      <c r="GD1270" s="7">
        <v>0.76824361601301505</v>
      </c>
      <c r="GE1270" s="7">
        <v>1.494040897612954</v>
      </c>
      <c r="GF1270" s="7">
        <v>5.0428040006606736</v>
      </c>
      <c r="GG1270" s="7">
        <v>3.818311629430688</v>
      </c>
      <c r="GH1270" s="7">
        <v>0.17282465026292085</v>
      </c>
      <c r="GI1270" s="7">
        <v>4.1663331783950444</v>
      </c>
    </row>
    <row r="1271" spans="1:191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  <c r="FZ1271" s="7">
        <v>2.5732574281256437</v>
      </c>
      <c r="GA1271" s="7">
        <v>7.1099499872172878</v>
      </c>
      <c r="GB1271" s="7">
        <v>2.0060370461868229</v>
      </c>
      <c r="GC1271" s="7">
        <v>0.61873122752502852</v>
      </c>
      <c r="GD1271" s="7">
        <v>0.45875686966822299</v>
      </c>
      <c r="GE1271" s="7">
        <v>1.0968519584262459</v>
      </c>
      <c r="GF1271" s="7">
        <v>5.8032594318295896</v>
      </c>
      <c r="GG1271" s="7">
        <v>4.0655488543663392</v>
      </c>
      <c r="GH1271" s="7">
        <v>0.17282465026292085</v>
      </c>
      <c r="GI1271" s="7">
        <v>3.3606614659111109</v>
      </c>
    </row>
    <row r="1272" spans="1:191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  <c r="FZ1272" s="7">
        <v>2.2493255548487214</v>
      </c>
      <c r="GA1272" s="7">
        <v>12.382477153489098</v>
      </c>
      <c r="GB1272" s="7">
        <v>3.7240488019315841</v>
      </c>
      <c r="GC1272" s="7">
        <v>0.94995260378625213</v>
      </c>
      <c r="GD1272" s="7">
        <v>1.146976523882115</v>
      </c>
      <c r="GE1272" s="7">
        <v>1.7912835222252383</v>
      </c>
      <c r="GF1272" s="7">
        <v>5.0739300180018176</v>
      </c>
      <c r="GG1272" s="7">
        <v>3.7480001609850739</v>
      </c>
      <c r="GH1272" s="7">
        <v>0.58144353567374973</v>
      </c>
      <c r="GI1272" s="7">
        <v>5.2689235369072032</v>
      </c>
    </row>
    <row r="1273" spans="1:191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  <c r="FZ1273" s="7">
        <v>7.5251530059891198</v>
      </c>
      <c r="GA1273" s="7">
        <v>21.873118259235092</v>
      </c>
      <c r="GB1273" s="7">
        <v>7.633737244843112</v>
      </c>
      <c r="GC1273" s="7">
        <v>0.63623485769182642</v>
      </c>
      <c r="GD1273" s="7">
        <v>0.70439866692941178</v>
      </c>
      <c r="GE1273" s="7">
        <v>2.2016810012667736</v>
      </c>
      <c r="GF1273" s="7">
        <v>3.6759889946168061</v>
      </c>
      <c r="GG1273" s="7">
        <v>1.1871761882489873</v>
      </c>
      <c r="GH1273" s="7">
        <v>0</v>
      </c>
      <c r="GI1273" s="7">
        <v>6.1943236994573434</v>
      </c>
    </row>
    <row r="1274" spans="1:191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  <c r="FZ1274" s="7">
        <v>4.8523564797634879</v>
      </c>
      <c r="GA1274" s="7">
        <v>15.276577991659405</v>
      </c>
      <c r="GB1274" s="7">
        <v>4.0973212065182478</v>
      </c>
      <c r="GC1274" s="7">
        <v>0.59107779366945068</v>
      </c>
      <c r="GD1274" s="7">
        <v>0.66447710919595426</v>
      </c>
      <c r="GE1274" s="7">
        <v>1.1957677389210122</v>
      </c>
      <c r="GF1274" s="7">
        <v>3.5335841330255393</v>
      </c>
      <c r="GG1274" s="7">
        <v>2.7282038894780474</v>
      </c>
      <c r="GH1274" s="7">
        <v>0.64441312055873701</v>
      </c>
      <c r="GI1274" s="7">
        <v>3.7951787718007797</v>
      </c>
    </row>
    <row r="1275" spans="1:191" s="7" customFormat="1">
      <c r="C1275" s="4"/>
      <c r="D1275" s="4"/>
      <c r="E1275" s="4"/>
      <c r="F1275" s="28"/>
      <c r="G1275" s="28"/>
      <c r="H1275" s="83"/>
      <c r="I1275" s="4"/>
      <c r="J1275" s="4"/>
      <c r="K1275" s="4"/>
      <c r="FZ1275" s="7">
        <v>3.6583217852824563</v>
      </c>
      <c r="GA1275" s="7">
        <v>13.903581591015254</v>
      </c>
      <c r="GB1275" s="7">
        <v>3.8089664174608906</v>
      </c>
      <c r="GC1275" s="7">
        <v>0.96031794011324378</v>
      </c>
      <c r="GD1275" s="7">
        <v>1.2019588319663161</v>
      </c>
      <c r="GE1275" s="7">
        <v>1.5829926512932015</v>
      </c>
      <c r="GF1275" s="7">
        <v>5.5819647613985879</v>
      </c>
      <c r="GG1275" s="7">
        <v>4.6879391242984099</v>
      </c>
      <c r="GH1275" s="7">
        <v>0.23579423514790807</v>
      </c>
      <c r="GI1275" s="7">
        <v>4.4381530169287506</v>
      </c>
    </row>
    <row r="1276" spans="1:191" s="7" customFormat="1">
      <c r="C1276" s="4"/>
      <c r="D1276" s="4"/>
      <c r="E1276" s="4"/>
      <c r="F1276" s="28"/>
      <c r="G1276" s="28"/>
      <c r="H1276" s="83"/>
      <c r="I1276" s="4"/>
      <c r="J1276" s="4"/>
      <c r="K1276" s="4"/>
      <c r="FZ1276" s="7">
        <v>3.3188869482916896</v>
      </c>
      <c r="GA1276" s="7">
        <v>18.423791099231799</v>
      </c>
      <c r="GB1276" s="7">
        <v>6.241129110534601</v>
      </c>
      <c r="GC1276" s="7">
        <v>0.15293721128312596</v>
      </c>
      <c r="GD1276" s="7">
        <v>0.77709453973551146</v>
      </c>
      <c r="GE1276" s="7">
        <v>2.3692775117412372</v>
      </c>
      <c r="GF1276" s="7">
        <v>2.3273068880878185</v>
      </c>
      <c r="GG1276" s="7">
        <v>0.93993896331333671</v>
      </c>
      <c r="GH1276" s="7">
        <v>0</v>
      </c>
      <c r="GI1276" s="7">
        <v>5.0334312562454517</v>
      </c>
    </row>
    <row r="1277" spans="1:191" s="7" customFormat="1">
      <c r="C1277" s="4"/>
      <c r="D1277" s="4"/>
      <c r="E1277" s="4"/>
      <c r="F1277" s="28"/>
      <c r="G1277" s="28"/>
      <c r="H1277" s="83"/>
      <c r="I1277" s="4"/>
      <c r="J1277" s="4"/>
      <c r="K1277" s="4"/>
      <c r="FZ1277" s="7">
        <v>5.8921443764173329</v>
      </c>
      <c r="GA1277" s="7">
        <v>7.434729853354213</v>
      </c>
      <c r="GB1277" s="7">
        <v>1.6385569445477759</v>
      </c>
      <c r="GC1277" s="7">
        <v>0.67486142542103389</v>
      </c>
      <c r="GD1277" s="7">
        <v>0.64116092543503411</v>
      </c>
      <c r="GE1277" s="7">
        <v>1.9555568222082487</v>
      </c>
      <c r="GF1277" s="7">
        <v>5.0405673524417107</v>
      </c>
      <c r="GG1277" s="7">
        <v>2.5027439088398373</v>
      </c>
      <c r="GH1277" s="7">
        <v>0.17282465026292085</v>
      </c>
      <c r="GI1277" s="7">
        <v>3.8621330033205119</v>
      </c>
    </row>
    <row r="1278" spans="1:191" s="7" customFormat="1">
      <c r="C1278" s="4"/>
      <c r="D1278" s="4"/>
      <c r="E1278" s="4"/>
      <c r="F1278" s="28"/>
      <c r="G1278" s="28"/>
      <c r="H1278" s="83"/>
      <c r="I1278" s="4"/>
      <c r="J1278" s="4"/>
      <c r="K1278" s="4"/>
      <c r="FZ1278" s="7">
        <v>7.9222990619062443</v>
      </c>
      <c r="GA1278" s="7">
        <v>19.52355443713002</v>
      </c>
      <c r="GB1278" s="7">
        <v>5.7737024751841197</v>
      </c>
      <c r="GC1278" s="7">
        <v>0.61116305782599722</v>
      </c>
      <c r="GD1278" s="7">
        <v>1.0236217746151426</v>
      </c>
      <c r="GE1278" s="7">
        <v>2.3089042584063826</v>
      </c>
      <c r="GF1278" s="7">
        <v>2.8638493714720612</v>
      </c>
      <c r="GG1278" s="7">
        <v>1.4924934770808866</v>
      </c>
      <c r="GH1278" s="7">
        <v>0.75426818593667067</v>
      </c>
      <c r="GI1278" s="7">
        <v>4.8612551591969941</v>
      </c>
    </row>
    <row r="1279" spans="1:191" s="7" customFormat="1">
      <c r="C1279" s="4"/>
      <c r="D1279" s="4"/>
      <c r="E1279" s="4"/>
      <c r="F1279" s="28"/>
      <c r="G1279" s="28"/>
      <c r="H1279" s="83"/>
      <c r="I1279" s="4"/>
      <c r="J1279" s="4"/>
      <c r="K1279" s="4"/>
      <c r="FZ1279" s="7">
        <v>1.7643144071772305</v>
      </c>
      <c r="GA1279" s="7">
        <v>4.9166384873997817</v>
      </c>
      <c r="GB1279" s="7">
        <v>1.1338085833473039</v>
      </c>
      <c r="GC1279" s="7">
        <v>0.49237216574081805</v>
      </c>
      <c r="GD1279" s="7">
        <v>0.6537739308242565</v>
      </c>
      <c r="GE1279" s="7">
        <v>1.6811668873847494</v>
      </c>
      <c r="GF1279" s="7">
        <v>1.4283614504211455</v>
      </c>
      <c r="GG1279" s="7">
        <v>0.1769257564900365</v>
      </c>
      <c r="GH1279" s="7">
        <v>0.40861888541082891</v>
      </c>
      <c r="GI1279" s="7">
        <v>2.7724893844540297</v>
      </c>
    </row>
    <row r="1280" spans="1:191" s="7" customFormat="1">
      <c r="C1280" s="4"/>
      <c r="D1280" s="4"/>
      <c r="E1280" s="4"/>
      <c r="F1280" s="28"/>
      <c r="G1280" s="28"/>
      <c r="H1280" s="83"/>
      <c r="I1280" s="4"/>
      <c r="J1280" s="4"/>
      <c r="K1280" s="4"/>
      <c r="FZ1280" s="7">
        <v>1.4248795701864641</v>
      </c>
      <c r="GA1280" s="7">
        <v>12.760732932443645</v>
      </c>
      <c r="GB1280" s="7">
        <v>5.4446669090049991</v>
      </c>
      <c r="GC1280" s="7">
        <v>0.60758445019087204</v>
      </c>
      <c r="GD1280" s="7">
        <v>0.81657757118732754</v>
      </c>
      <c r="GE1280" s="7">
        <v>1.8841006131336249</v>
      </c>
      <c r="GF1280" s="7">
        <v>3.4705791786229163</v>
      </c>
      <c r="GG1280" s="7">
        <v>2.2342051518878385</v>
      </c>
      <c r="GH1280" s="7">
        <v>0.58144353567374973</v>
      </c>
      <c r="GI1280" s="7">
        <v>4.1889043506027486</v>
      </c>
    </row>
    <row r="1281" spans="3:191" s="7" customFormat="1">
      <c r="C1281" s="4"/>
      <c r="D1281" s="4"/>
      <c r="E1281" s="4"/>
      <c r="F1281" s="28"/>
      <c r="G1281" s="28"/>
      <c r="H1281" s="83"/>
      <c r="I1281" s="4"/>
      <c r="J1281" s="4"/>
      <c r="K1281" s="4"/>
      <c r="FZ1281" s="7">
        <v>7.6405754438418345</v>
      </c>
      <c r="GA1281" s="7">
        <v>12.855365056508028</v>
      </c>
      <c r="GB1281" s="7">
        <v>3.4323349616024554</v>
      </c>
      <c r="GC1281" s="7">
        <v>0.49119845982522742</v>
      </c>
      <c r="GD1281" s="7">
        <v>0.96755481124252252</v>
      </c>
      <c r="GE1281" s="7">
        <v>2.7736672011185859</v>
      </c>
      <c r="GF1281" s="7">
        <v>3.389349521103874</v>
      </c>
      <c r="GG1281" s="7">
        <v>1.4924934770808866</v>
      </c>
      <c r="GH1281" s="7">
        <v>0.40861888541082891</v>
      </c>
      <c r="GI1281" s="7">
        <v>4.5525629506634422</v>
      </c>
    </row>
    <row r="1282" spans="3:191" s="7" customFormat="1">
      <c r="C1282" s="4"/>
      <c r="D1282" s="4"/>
      <c r="E1282" s="4"/>
      <c r="F1282" s="28"/>
      <c r="G1282" s="28"/>
      <c r="H1282" s="83"/>
      <c r="I1282" s="4"/>
      <c r="J1282" s="4"/>
      <c r="K1282" s="4"/>
      <c r="FZ1282" s="7">
        <v>6.7580378642143346</v>
      </c>
      <c r="GA1282" s="7">
        <v>12.980807279684001</v>
      </c>
      <c r="GB1282" s="7">
        <v>2.8577857416924917</v>
      </c>
      <c r="GC1282" s="7">
        <v>0.94152349295157167</v>
      </c>
      <c r="GD1282" s="7">
        <v>0.61484161320037012</v>
      </c>
      <c r="GE1282" s="7">
        <v>0.23391822941994994</v>
      </c>
      <c r="GF1282" s="7">
        <v>4.1038094669866547</v>
      </c>
      <c r="GG1282" s="7">
        <v>3.7480001609850739</v>
      </c>
      <c r="GH1282" s="7">
        <v>0.40861888541082891</v>
      </c>
      <c r="GI1282" s="7">
        <v>4.1851131176388536</v>
      </c>
    </row>
    <row r="1283" spans="3:191" s="7" customFormat="1">
      <c r="C1283" s="4"/>
      <c r="D1283" s="4"/>
      <c r="E1283" s="4"/>
      <c r="F1283" s="28"/>
      <c r="G1283" s="28"/>
      <c r="H1283" s="83"/>
      <c r="I1283" s="4"/>
      <c r="J1283" s="4"/>
      <c r="K1283" s="4"/>
      <c r="FZ1283" s="7">
        <v>6.1738679944817427</v>
      </c>
      <c r="GA1283" s="7">
        <v>5.6403923530821247</v>
      </c>
      <c r="GB1283" s="7">
        <v>0.86281617032963398</v>
      </c>
      <c r="GC1283" s="7">
        <v>1.0590235680418765</v>
      </c>
      <c r="GD1283" s="7">
        <v>1.4500575558933082</v>
      </c>
      <c r="GE1283" s="7">
        <v>2.5312881457913248</v>
      </c>
      <c r="GF1283" s="7">
        <v>3.2264505802839469</v>
      </c>
      <c r="GG1283" s="7">
        <v>1.5628049455265007</v>
      </c>
      <c r="GH1283" s="7">
        <v>0.17282465026292085</v>
      </c>
      <c r="GI1283" s="7">
        <v>4.445441183712024</v>
      </c>
    </row>
    <row r="1284" spans="3:191" s="7" customFormat="1">
      <c r="C1284" s="4"/>
      <c r="D1284" s="4"/>
      <c r="E1284" s="4"/>
      <c r="F1284" s="28"/>
      <c r="G1284" s="28"/>
      <c r="H1284" s="83"/>
      <c r="I1284" s="4"/>
      <c r="J1284" s="4"/>
      <c r="K1284" s="4"/>
      <c r="FZ1284" s="7">
        <v>8.2621142749358949</v>
      </c>
      <c r="GA1284" s="7">
        <v>9.1636149328703951</v>
      </c>
      <c r="GB1284" s="7">
        <v>2.8276400666905488</v>
      </c>
      <c r="GC1284" s="7">
        <v>0.85046553485045473</v>
      </c>
      <c r="GD1284" s="7">
        <v>0.82644989892774756</v>
      </c>
      <c r="GE1284" s="7">
        <v>1.4775835840657756</v>
      </c>
      <c r="GF1284" s="7">
        <v>4.3680635052567371</v>
      </c>
      <c r="GG1284" s="7">
        <v>3.232224179097424</v>
      </c>
      <c r="GH1284" s="7">
        <v>0.99006242108457876</v>
      </c>
      <c r="GI1284" s="7">
        <v>4.6206422813692756</v>
      </c>
    </row>
    <row r="1285" spans="3:191" s="7" customFormat="1">
      <c r="C1285" s="4"/>
      <c r="D1285" s="4"/>
      <c r="E1285" s="4"/>
      <c r="F1285" s="28"/>
      <c r="G1285" s="28"/>
      <c r="H1285" s="83"/>
      <c r="I1285" s="4"/>
      <c r="J1285" s="4"/>
      <c r="K1285" s="4"/>
      <c r="FZ1285" s="7">
        <v>3.3765981672180478</v>
      </c>
      <c r="GA1285" s="7">
        <v>2.2960879092874493</v>
      </c>
      <c r="GB1285" s="7">
        <v>0.1732914985261074</v>
      </c>
      <c r="GC1285" s="7">
        <v>0.55004632422070887</v>
      </c>
      <c r="GD1285" s="7">
        <v>0.53530780719560933</v>
      </c>
      <c r="GE1285" s="7">
        <v>1.0007141621030062</v>
      </c>
      <c r="GF1285" s="7">
        <v>3.9771528109868353</v>
      </c>
      <c r="GG1285" s="7">
        <v>3.0552984226073874</v>
      </c>
      <c r="GH1285" s="7">
        <v>0.23579423514790807</v>
      </c>
      <c r="GI1285" s="7">
        <v>2.5638756643151948</v>
      </c>
    </row>
    <row r="1286" spans="3:191" s="7" customFormat="1">
      <c r="C1286" s="4"/>
      <c r="D1286" s="4"/>
      <c r="E1286" s="4"/>
      <c r="F1286" s="28"/>
      <c r="G1286" s="28"/>
      <c r="H1286" s="83"/>
      <c r="I1286" s="4"/>
      <c r="J1286" s="4"/>
      <c r="K1286" s="4"/>
      <c r="FZ1286" s="7">
        <v>8.4650214285040928</v>
      </c>
      <c r="GA1286" s="7">
        <v>7.9364802623695745</v>
      </c>
      <c r="GB1286" s="7">
        <v>0.89892724793200229</v>
      </c>
      <c r="GC1286" s="7">
        <v>1.1531725361204517</v>
      </c>
      <c r="GD1286" s="7">
        <v>0.90982705237688921</v>
      </c>
      <c r="GE1286" s="7">
        <v>1.3206334085436231</v>
      </c>
      <c r="GF1286" s="7">
        <v>2.1412538343431597</v>
      </c>
      <c r="GG1286" s="7">
        <v>0.49447444987130124</v>
      </c>
      <c r="GH1286" s="7">
        <v>0</v>
      </c>
      <c r="GI1286" s="7">
        <v>2.7605789403034593</v>
      </c>
    </row>
    <row r="1287" spans="3:191" s="7" customFormat="1">
      <c r="C1287" s="4"/>
      <c r="D1287" s="4"/>
      <c r="E1287" s="4"/>
      <c r="F1287" s="28"/>
      <c r="G1287" s="28"/>
      <c r="H1287" s="83"/>
      <c r="I1287" s="4"/>
      <c r="J1287" s="4"/>
      <c r="K1287" s="4"/>
      <c r="FZ1287" s="7">
        <v>11.747302403439278</v>
      </c>
      <c r="GA1287" s="7">
        <v>6.5408180480193918</v>
      </c>
      <c r="GB1287" s="7">
        <v>6.9800858709491903E-2</v>
      </c>
      <c r="GC1287" s="7">
        <v>0.44312711809560773</v>
      </c>
      <c r="GD1287" s="7">
        <v>0.30859742550485347</v>
      </c>
      <c r="GE1287" s="7">
        <v>0.61793742470874036</v>
      </c>
      <c r="GF1287" s="7">
        <v>2.3360093731609419</v>
      </c>
      <c r="GG1287" s="7">
        <v>1.3155677205908503</v>
      </c>
      <c r="GH1287" s="7">
        <v>0.17282465026292085</v>
      </c>
      <c r="GI1287" s="7">
        <v>3.3737618922316148</v>
      </c>
    </row>
    <row r="1288" spans="3:191" s="7" customFormat="1">
      <c r="C1288" s="4"/>
      <c r="D1288" s="4"/>
      <c r="E1288" s="4"/>
      <c r="F1288" s="28"/>
      <c r="G1288" s="28"/>
      <c r="H1288" s="83"/>
      <c r="I1288" s="4"/>
      <c r="J1288" s="4"/>
      <c r="K1288" s="4"/>
      <c r="FZ1288" s="7">
        <v>8.3495989906513763</v>
      </c>
      <c r="GA1288" s="7">
        <v>10.505801234402956</v>
      </c>
      <c r="GB1288" s="7">
        <v>1.5524286807708469</v>
      </c>
      <c r="GC1288" s="7">
        <v>0.72346106456880721</v>
      </c>
      <c r="GD1288" s="7">
        <v>1.0123854491749567</v>
      </c>
      <c r="GE1288" s="7">
        <v>2.30900413399229</v>
      </c>
      <c r="GF1288" s="7">
        <v>4.1131141747875635</v>
      </c>
      <c r="GG1288" s="7">
        <v>2.1271151515623243</v>
      </c>
      <c r="GH1288" s="7">
        <v>0</v>
      </c>
      <c r="GI1288" s="7">
        <v>4.6357239148015248</v>
      </c>
    </row>
    <row r="1289" spans="3:191" s="7" customFormat="1">
      <c r="C1289" s="4"/>
      <c r="D1289" s="4"/>
      <c r="E1289" s="4"/>
      <c r="F1289" s="28"/>
      <c r="G1289" s="28"/>
      <c r="H1289" s="83"/>
      <c r="I1289" s="4"/>
      <c r="J1289" s="4"/>
      <c r="K1289" s="4"/>
      <c r="FZ1289" s="7">
        <v>8.0678753725869683</v>
      </c>
      <c r="GA1289" s="7">
        <v>9.53148011968071</v>
      </c>
      <c r="GB1289" s="7">
        <v>1.5536393290184694</v>
      </c>
      <c r="GC1289" s="7">
        <v>0.40002339064482673</v>
      </c>
      <c r="GD1289" s="7">
        <v>1.2375940039537627</v>
      </c>
      <c r="GE1289" s="7">
        <v>2.7878036793783423</v>
      </c>
      <c r="GF1289" s="7">
        <v>4.6848006197815319</v>
      </c>
      <c r="GG1289" s="7">
        <v>3.4426828721531746</v>
      </c>
      <c r="GH1289" s="7">
        <v>0.3456493005258417</v>
      </c>
      <c r="GI1289" s="7">
        <v>4.6512426149787158</v>
      </c>
    </row>
    <row r="1290" spans="3:191" s="7" customFormat="1">
      <c r="C1290" s="4"/>
      <c r="D1290" s="4"/>
      <c r="E1290" s="4"/>
      <c r="F1290" s="28"/>
      <c r="G1290" s="28"/>
      <c r="H1290" s="83"/>
      <c r="I1290" s="4"/>
      <c r="J1290" s="4"/>
      <c r="K1290" s="4"/>
      <c r="FZ1290" s="7">
        <v>8.2621142749358949</v>
      </c>
      <c r="GA1290" s="7">
        <v>16.074227277126731</v>
      </c>
      <c r="GB1290" s="7">
        <v>4.5032458436172211</v>
      </c>
      <c r="GC1290" s="7">
        <v>0.29809072022900857</v>
      </c>
      <c r="GD1290" s="7">
        <v>0.36332869977127952</v>
      </c>
      <c r="GE1290" s="7">
        <v>1.0213396366153831</v>
      </c>
      <c r="GF1290" s="7">
        <v>2.4217253169550736</v>
      </c>
      <c r="GG1290" s="7">
        <v>1.5628049455265007</v>
      </c>
      <c r="GH1290" s="7">
        <v>0.3456493005258417</v>
      </c>
      <c r="GI1290" s="7">
        <v>4.3574356760096506</v>
      </c>
    </row>
    <row r="1291" spans="3:191" s="7" customFormat="1">
      <c r="C1291" s="4"/>
      <c r="D1291" s="4"/>
      <c r="E1291" s="4"/>
      <c r="F1291" s="28"/>
      <c r="G1291" s="28"/>
      <c r="H1291" s="83"/>
      <c r="I1291" s="4"/>
      <c r="J1291" s="4"/>
      <c r="K1291" s="4"/>
      <c r="FZ1291" s="7">
        <v>4.5823068680447001</v>
      </c>
      <c r="GA1291" s="7">
        <v>9.7308177626416636</v>
      </c>
      <c r="GB1291" s="7">
        <v>1.7071471550096451</v>
      </c>
      <c r="GC1291" s="7">
        <v>0.6234646196453002</v>
      </c>
      <c r="GD1291" s="7">
        <v>0.53896112660349993</v>
      </c>
      <c r="GE1291" s="7">
        <v>1.321442097965055</v>
      </c>
      <c r="GF1291" s="7">
        <v>3.044326268213835</v>
      </c>
      <c r="GG1291" s="7">
        <v>1.4344134131846378</v>
      </c>
      <c r="GH1291" s="7">
        <v>0</v>
      </c>
      <c r="GI1291" s="7">
        <v>3.7111948495544569</v>
      </c>
    </row>
    <row r="1292" spans="3:191" s="7" customFormat="1">
      <c r="FZ1292" s="7">
        <v>9.5138601883432852</v>
      </c>
      <c r="GA1292" s="7">
        <v>15.632466670531434</v>
      </c>
      <c r="GB1292" s="7">
        <v>5.0853006129905287</v>
      </c>
      <c r="GC1292" s="7">
        <v>0.36049827082917113</v>
      </c>
      <c r="GD1292" s="7">
        <v>0.85576092262898951</v>
      </c>
      <c r="GE1292" s="7">
        <v>2.321321726661925</v>
      </c>
      <c r="GF1292" s="7">
        <v>4.1505746379838238</v>
      </c>
      <c r="GG1292" s="7">
        <v>3.1619127106518099</v>
      </c>
      <c r="GH1292" s="7">
        <v>0.70738270544372439</v>
      </c>
      <c r="GI1292" s="7">
        <v>5.091716981012147</v>
      </c>
    </row>
    <row r="1293" spans="3:191" s="7" customFormat="1">
      <c r="FZ1293" s="7">
        <v>8.465401804542978</v>
      </c>
      <c r="GA1293" s="7">
        <v>7.0360545674323074</v>
      </c>
      <c r="GB1293" s="7">
        <v>1.2791906485333049</v>
      </c>
      <c r="GC1293" s="7">
        <v>0.32290937650582668</v>
      </c>
      <c r="GD1293" s="7">
        <v>0.84471462522529361</v>
      </c>
      <c r="GE1293" s="7">
        <v>2.4010707048337436</v>
      </c>
      <c r="GF1293" s="7">
        <v>3.1201884120891012</v>
      </c>
      <c r="GG1293" s="7">
        <v>1.2361861246782531</v>
      </c>
      <c r="GH1293" s="7">
        <v>0.3456493005258417</v>
      </c>
      <c r="GI1293" s="7">
        <v>4.0153387972030412</v>
      </c>
    </row>
    <row r="1294" spans="3:191" s="7" customFormat="1">
      <c r="FZ1294" s="7">
        <v>5.4648444476722009</v>
      </c>
      <c r="GA1294" s="7">
        <v>10.758614790181531</v>
      </c>
      <c r="GB1294" s="7">
        <v>3.3926797778949065</v>
      </c>
      <c r="GC1294" s="7">
        <v>0.17173165844479815</v>
      </c>
      <c r="GD1294" s="7">
        <v>0.43191803441610838</v>
      </c>
      <c r="GE1294" s="7">
        <v>1.1621125126030822</v>
      </c>
      <c r="GF1294" s="7">
        <v>2.8122767211538902</v>
      </c>
      <c r="GG1294" s="7">
        <v>2.0572793953978019</v>
      </c>
      <c r="GH1294" s="7">
        <v>0</v>
      </c>
      <c r="GI1294" s="7">
        <v>4.273673419396057</v>
      </c>
    </row>
    <row r="1295" spans="3:191" s="7" customFormat="1">
      <c r="FZ1295" s="7">
        <v>4.806699643221636</v>
      </c>
      <c r="GA1295" s="7">
        <v>10.758614790181531</v>
      </c>
      <c r="GB1295" s="7">
        <v>3.4077086960770346</v>
      </c>
      <c r="GC1295" s="7">
        <v>0.36200462046225734</v>
      </c>
      <c r="GD1295" s="7">
        <v>0.57080325112594488</v>
      </c>
      <c r="GE1295" s="7">
        <v>1.3581970286986449</v>
      </c>
      <c r="GF1295" s="7">
        <v>5.945876434531348</v>
      </c>
      <c r="GG1295" s="7">
        <v>4.758250592744024</v>
      </c>
      <c r="GH1295" s="7">
        <v>0.17282465026292085</v>
      </c>
      <c r="GI1295" s="7">
        <v>4.1496845282351202</v>
      </c>
    </row>
    <row r="1296" spans="3:191" s="7" customFormat="1">
      <c r="FZ1296" s="7">
        <v>5.2917107908931271</v>
      </c>
      <c r="GA1296" s="7">
        <v>10.559277147220579</v>
      </c>
      <c r="GB1296" s="7">
        <v>3.2566221665811033</v>
      </c>
      <c r="GC1296" s="7">
        <v>0.20282766742577335</v>
      </c>
      <c r="GD1296" s="7">
        <v>0.47074852599623102</v>
      </c>
      <c r="GE1296" s="7">
        <v>1.3921072354403934</v>
      </c>
      <c r="GF1296" s="7">
        <v>0.98477043339622705</v>
      </c>
      <c r="GG1296" s="7">
        <v>0.353851512980073</v>
      </c>
      <c r="GH1296" s="7">
        <v>0.64441312055873701</v>
      </c>
      <c r="GI1296" s="7">
        <v>3.8879059031594827</v>
      </c>
    </row>
    <row r="1297" spans="3:191" s="7" customFormat="1">
      <c r="FZ1297" s="7">
        <v>5.5316065297839057</v>
      </c>
      <c r="GA1297" s="7">
        <v>8.061605288233503</v>
      </c>
      <c r="GB1297" s="7">
        <v>1.4466045830966729</v>
      </c>
      <c r="GC1297" s="7">
        <v>0.39030346281527212</v>
      </c>
      <c r="GD1297" s="7">
        <v>0.62866883920376204</v>
      </c>
      <c r="GE1297" s="7">
        <v>1.25187336090266</v>
      </c>
      <c r="GF1297" s="7">
        <v>2.8944178442126649</v>
      </c>
      <c r="GG1297" s="7">
        <v>2.0568036831167102</v>
      </c>
      <c r="GH1297" s="7">
        <v>0.40861888541082891</v>
      </c>
      <c r="GI1297" s="7">
        <v>3.8717231694328369</v>
      </c>
    </row>
    <row r="1298" spans="3:191" s="7" customFormat="1">
      <c r="FZ1298" s="7">
        <v>12.259870897209119</v>
      </c>
      <c r="GA1298" s="7">
        <v>15.977666043635718</v>
      </c>
      <c r="GB1298" s="7">
        <v>3.5822108428507642</v>
      </c>
      <c r="GC1298" s="7">
        <v>0.71841490766859384</v>
      </c>
      <c r="GD1298" s="7">
        <v>0.6150034639983406</v>
      </c>
      <c r="GE1298" s="7">
        <v>1.4809680891984485</v>
      </c>
      <c r="GF1298" s="7">
        <v>2.994311830629969</v>
      </c>
      <c r="GG1298" s="7">
        <v>1.4924934770808866</v>
      </c>
      <c r="GH1298" s="7">
        <v>0.40861888541082891</v>
      </c>
      <c r="GI1298" s="7">
        <v>4.3215947825548158</v>
      </c>
    </row>
    <row r="1299" spans="3:191" s="7" customFormat="1">
      <c r="FZ1299" s="7">
        <v>6.0863832787662604</v>
      </c>
      <c r="GA1299" s="7">
        <v>20.425909241493915</v>
      </c>
      <c r="GB1299" s="7">
        <v>8.0325736697317236</v>
      </c>
      <c r="GC1299" s="7">
        <v>0.94715543715829176</v>
      </c>
      <c r="GD1299" s="7">
        <v>0.67579189579932553</v>
      </c>
      <c r="GE1299" s="7">
        <v>0.88234821997217372</v>
      </c>
      <c r="GF1299" s="7">
        <v>3.6515859117697129</v>
      </c>
      <c r="GG1299" s="7">
        <v>2.4324324403942232</v>
      </c>
      <c r="GH1299" s="7">
        <v>0.40861888541082891</v>
      </c>
      <c r="GI1299" s="7">
        <v>5.3350965730654396</v>
      </c>
    </row>
    <row r="1300" spans="3:191" s="7" customFormat="1">
      <c r="FZ1300" s="7">
        <v>0.54272236659784878</v>
      </c>
      <c r="GA1300" s="7">
        <v>13.757719860871923</v>
      </c>
      <c r="GB1300" s="7">
        <v>5.6027444345155706</v>
      </c>
      <c r="GC1300" s="7">
        <v>0.85060156736018233</v>
      </c>
      <c r="GD1300" s="7">
        <v>1.7312961290745477</v>
      </c>
      <c r="GE1300" s="7">
        <v>3.373947910994576</v>
      </c>
      <c r="GF1300" s="7">
        <v>1.5853071424580538</v>
      </c>
      <c r="GG1300" s="7">
        <v>0.53077726947010961</v>
      </c>
      <c r="GH1300" s="7">
        <v>0.88020735570664521</v>
      </c>
      <c r="GI1300" s="7">
        <v>5.0452820455274034</v>
      </c>
    </row>
    <row r="1301" spans="3:191" s="7" customFormat="1">
      <c r="FZ1301" s="7">
        <v>10.098410434114763</v>
      </c>
      <c r="GA1301" s="7">
        <v>10.485381727435598</v>
      </c>
      <c r="GB1301" s="7">
        <v>2.650716623421574</v>
      </c>
      <c r="GC1301" s="7">
        <v>0.47903601932533901</v>
      </c>
      <c r="GD1301" s="7">
        <v>0.65164191186188891</v>
      </c>
      <c r="GE1301" s="7">
        <v>1.5490828497493518</v>
      </c>
      <c r="GF1301" s="7">
        <v>2.9806522275530156</v>
      </c>
      <c r="GG1301" s="7">
        <v>1.5628049455265007</v>
      </c>
      <c r="GH1301" s="7">
        <v>0.17282465026292085</v>
      </c>
      <c r="GI1301" s="7">
        <v>4.2645641593680912</v>
      </c>
    </row>
    <row r="1302" spans="3:19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  <c r="FZ1302" s="7">
        <v>6.2315792134081001</v>
      </c>
      <c r="GA1302" s="7">
        <v>8.0103756821545531</v>
      </c>
      <c r="GB1302" s="7">
        <v>1.3652310736725475</v>
      </c>
      <c r="GC1302" s="7">
        <v>0.55976625205026354</v>
      </c>
      <c r="GD1302" s="7">
        <v>1.1433114871973185</v>
      </c>
      <c r="GE1302" s="7">
        <v>2.4264615111157832</v>
      </c>
      <c r="GF1302" s="7">
        <v>5.8591989276577738</v>
      </c>
      <c r="GG1302" s="7">
        <v>4.3127860793019899</v>
      </c>
      <c r="GH1302" s="7">
        <v>0</v>
      </c>
      <c r="GI1302" s="7">
        <v>4.6449126415032387</v>
      </c>
    </row>
    <row r="1303" spans="3:19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  <c r="FZ1303" s="7">
        <v>3.3977034127879011</v>
      </c>
      <c r="GA1303" s="7">
        <v>4.1416550156384888</v>
      </c>
      <c r="GB1303" s="7">
        <v>1.1465040436718734</v>
      </c>
      <c r="GC1303" s="7">
        <v>0.61679500203271709</v>
      </c>
      <c r="GD1303" s="7">
        <v>0.48068663265056555</v>
      </c>
      <c r="GE1303" s="7">
        <v>0.98035837556209593</v>
      </c>
      <c r="GF1303" s="7">
        <v>1.8779890673480373</v>
      </c>
      <c r="GG1303" s="7">
        <v>0.67140020636133779</v>
      </c>
      <c r="GH1303" s="7">
        <v>0.58144353567374973</v>
      </c>
      <c r="GI1303" s="7">
        <v>2.1689103372083767</v>
      </c>
    </row>
    <row r="1304" spans="3:19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  <c r="FZ1304" s="7">
        <v>3.94042577938575</v>
      </c>
      <c r="GA1304" s="7">
        <v>1.1736587576831998</v>
      </c>
      <c r="GB1304" s="7">
        <v>0.24075889937804079</v>
      </c>
      <c r="GC1304" s="7">
        <v>0.40217514877535016</v>
      </c>
      <c r="GD1304" s="7">
        <v>0.43739144456484763</v>
      </c>
      <c r="GE1304" s="7">
        <v>1.1671148017765174</v>
      </c>
      <c r="GF1304" s="7">
        <v>4.5322962574903132</v>
      </c>
      <c r="GG1304" s="7">
        <v>3.0670541148756616</v>
      </c>
      <c r="GH1304" s="7">
        <v>0</v>
      </c>
      <c r="GI1304" s="7">
        <v>3.1654676993543909</v>
      </c>
    </row>
    <row r="1305" spans="3:19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  <c r="FZ1305" s="7">
        <v>5.2917107908931271</v>
      </c>
      <c r="GA1305" s="7">
        <v>4.8654088813208318</v>
      </c>
      <c r="GB1305" s="7">
        <v>0.89538314182682144</v>
      </c>
      <c r="GC1305" s="7">
        <v>0.47228690158427167</v>
      </c>
      <c r="GD1305" s="7">
        <v>0.96401933009229146</v>
      </c>
      <c r="GE1305" s="7">
        <v>2.329359920533201</v>
      </c>
      <c r="GF1305" s="7">
        <v>5.4822680214815893</v>
      </c>
      <c r="GG1305" s="7">
        <v>3.818311629430688</v>
      </c>
      <c r="GH1305" s="7">
        <v>0</v>
      </c>
      <c r="GI1305" s="7">
        <v>3.8631421072166461</v>
      </c>
    </row>
    <row r="1306" spans="3:19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  <c r="FZ1306" s="7">
        <v>7.5251530059891198</v>
      </c>
      <c r="GA1306" s="7">
        <v>4.7915134615358523</v>
      </c>
      <c r="GB1306" s="7">
        <v>0.27444868048516441</v>
      </c>
      <c r="GC1306" s="7">
        <v>0.13414276412145376</v>
      </c>
      <c r="GD1306" s="7">
        <v>0.47047361800243498</v>
      </c>
      <c r="GE1306" s="7">
        <v>1.2540154081408086</v>
      </c>
      <c r="GF1306" s="7">
        <v>2.8350214464678247</v>
      </c>
      <c r="GG1306" s="7">
        <v>2.1271151515623243</v>
      </c>
      <c r="GH1306" s="7">
        <v>0</v>
      </c>
      <c r="GI1306" s="7">
        <v>2.6891462848434067</v>
      </c>
    </row>
    <row r="1307" spans="3:19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  <c r="FZ1307" s="7">
        <v>5.1250292346425494</v>
      </c>
      <c r="GA1307" s="7">
        <v>16.179249993335343</v>
      </c>
      <c r="GB1307" s="7">
        <v>5.274919516584073</v>
      </c>
      <c r="GC1307" s="7">
        <v>0.42789235713861656</v>
      </c>
      <c r="GD1307" s="7">
        <v>0.39805907198425189</v>
      </c>
      <c r="GE1307" s="7">
        <v>1.1602401533364</v>
      </c>
      <c r="GF1307" s="7">
        <v>3.4876966916456755</v>
      </c>
      <c r="GG1307" s="7">
        <v>2.6093581968842599</v>
      </c>
      <c r="GH1307" s="7">
        <v>0.64441312055873701</v>
      </c>
      <c r="GI1307" s="7">
        <v>3.8085582433822656</v>
      </c>
    </row>
    <row r="1308" spans="3:19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  <c r="FZ1308" s="7">
        <v>9.5715714072696443</v>
      </c>
      <c r="GA1308" s="7">
        <v>4.4440677816928957</v>
      </c>
      <c r="GB1308" s="7">
        <v>0.41526104615177067</v>
      </c>
      <c r="GC1308" s="7">
        <v>0.57214731399805108</v>
      </c>
      <c r="GD1308" s="7">
        <v>0.64798859245399831</v>
      </c>
      <c r="GE1308" s="7">
        <v>1.6776497760984759</v>
      </c>
      <c r="GF1308" s="7">
        <v>5.4758662800334523</v>
      </c>
      <c r="GG1308" s="7">
        <v>3.6899200970888253</v>
      </c>
      <c r="GH1308" s="7">
        <v>0.3456493005258417</v>
      </c>
      <c r="GI1308" s="7">
        <v>4.3153505104259233</v>
      </c>
    </row>
    <row r="1309" spans="3:19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  <c r="FZ1309" s="7">
        <v>4.8644108621479933</v>
      </c>
      <c r="GA1309" s="7">
        <v>2.8941008381703091</v>
      </c>
      <c r="GB1309" s="7">
        <v>0.45689153323066067</v>
      </c>
      <c r="GC1309" s="7">
        <v>0.54032639639115421</v>
      </c>
      <c r="GD1309" s="7">
        <v>0.91037567837991262</v>
      </c>
      <c r="GE1309" s="7">
        <v>1.8953010622814483</v>
      </c>
      <c r="GF1309" s="7">
        <v>2.5401979274279887</v>
      </c>
      <c r="GG1309" s="7">
        <v>1.4924934770808866</v>
      </c>
      <c r="GH1309" s="7">
        <v>0.40861888541082891</v>
      </c>
      <c r="GI1309" s="7">
        <v>2.9517161125889508</v>
      </c>
    </row>
    <row r="1310" spans="3:19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  <c r="FZ1310" s="7">
        <v>5.7763415625257331</v>
      </c>
      <c r="GA1310" s="7">
        <v>17.153571108057591</v>
      </c>
      <c r="GB1310" s="7">
        <v>5.1527680138424623</v>
      </c>
      <c r="GC1310" s="7">
        <v>1.1983296001428272</v>
      </c>
      <c r="GD1310" s="7">
        <v>0.81879536794733898</v>
      </c>
      <c r="GE1310" s="7">
        <v>0.56578844507532322</v>
      </c>
      <c r="GF1310" s="7">
        <v>2.8259363242308426</v>
      </c>
      <c r="GG1310" s="7">
        <v>1.9869679269521878</v>
      </c>
      <c r="GH1310" s="7">
        <v>0.23579423514790807</v>
      </c>
      <c r="GI1310" s="7">
        <v>3.7542194300962359</v>
      </c>
    </row>
    <row r="1311" spans="3:19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  <c r="FZ1311" s="7">
        <v>4.4250565510183559</v>
      </c>
      <c r="GA1311" s="7">
        <v>12.507919376665072</v>
      </c>
      <c r="GB1311" s="7">
        <v>3.4311243133548333</v>
      </c>
      <c r="GC1311" s="7">
        <v>1.2685208530802332</v>
      </c>
      <c r="GD1311" s="7">
        <v>1.4284973216916086</v>
      </c>
      <c r="GE1311" s="7">
        <v>1.9680173470727431</v>
      </c>
      <c r="GF1311" s="7">
        <v>3.1887695234946096</v>
      </c>
      <c r="GG1311" s="7">
        <v>1.8798779266266734</v>
      </c>
      <c r="GH1311" s="7">
        <v>0</v>
      </c>
      <c r="GI1311" s="7">
        <v>4.5345027280942052</v>
      </c>
    </row>
    <row r="1312" spans="3:19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  <c r="FZ1312" s="7">
        <v>9.3686642537014464</v>
      </c>
      <c r="GA1312" s="7">
        <v>19.428922313065641</v>
      </c>
      <c r="GB1312" s="7">
        <v>7.6825437827700496</v>
      </c>
      <c r="GC1312" s="7">
        <v>1.0255602682921658</v>
      </c>
      <c r="GD1312" s="7">
        <v>0.67991015123750231</v>
      </c>
      <c r="GE1312" s="7">
        <v>0.32072793586204867</v>
      </c>
      <c r="GF1312" s="7">
        <v>2.1543335537559489</v>
      </c>
      <c r="GG1312" s="7">
        <v>1.5628049455265007</v>
      </c>
      <c r="GH1312" s="7">
        <v>0.17282465026292085</v>
      </c>
      <c r="GI1312" s="7">
        <v>4.8599780427799324</v>
      </c>
    </row>
    <row r="1313" spans="1:191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  <c r="FZ1313" s="7">
        <v>6.6011679232268747</v>
      </c>
      <c r="GA1313" s="7">
        <v>25.091980479853795</v>
      </c>
      <c r="GB1313" s="7">
        <v>8.6198183499662573</v>
      </c>
      <c r="GC1313" s="7">
        <v>0.74595123044488798</v>
      </c>
      <c r="GD1313" s="7">
        <v>0.96829798523122967</v>
      </c>
      <c r="GE1313" s="7">
        <v>1.6922092915921669</v>
      </c>
      <c r="GF1313" s="7">
        <v>3.5023465740267401</v>
      </c>
      <c r="GG1313" s="7">
        <v>2.4324324403942232</v>
      </c>
      <c r="GH1313" s="7">
        <v>0.40861888541082891</v>
      </c>
      <c r="GI1313" s="7">
        <v>6.2553739456212467</v>
      </c>
    </row>
    <row r="1314" spans="1:191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  <c r="FZ1314" s="7">
        <v>5.3490416337806002</v>
      </c>
      <c r="GA1314" s="7">
        <v>13.63034852826932</v>
      </c>
      <c r="GB1314" s="7">
        <v>3.1741258475470415</v>
      </c>
      <c r="GC1314" s="7">
        <v>0.63318454747485475</v>
      </c>
      <c r="GD1314" s="7">
        <v>1.539141570494809</v>
      </c>
      <c r="GE1314" s="7">
        <v>2.5355988337534838</v>
      </c>
      <c r="GF1314" s="7">
        <v>3.0011463067816759</v>
      </c>
      <c r="GG1314" s="7">
        <v>3.0335211783099472</v>
      </c>
      <c r="GH1314" s="7">
        <v>0.88020735570664521</v>
      </c>
      <c r="GI1314" s="7">
        <v>4.9228118847988407</v>
      </c>
    </row>
    <row r="1315" spans="1:191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  <c r="FZ1315" s="7">
        <v>3.1155994186846074</v>
      </c>
      <c r="GA1315" s="7">
        <v>8.0103756821545531</v>
      </c>
      <c r="GB1315" s="7">
        <v>1.3116697813928062</v>
      </c>
      <c r="GC1315" s="7">
        <v>0.86311866181769736</v>
      </c>
      <c r="GD1315" s="7">
        <v>0.64857632650965091</v>
      </c>
      <c r="GE1315" s="7">
        <v>0.49832902468338341</v>
      </c>
      <c r="GF1315" s="7">
        <v>3.601362830826738</v>
      </c>
      <c r="GG1315" s="7">
        <v>2.9269068902655246</v>
      </c>
      <c r="GH1315" s="7">
        <v>0.23579423514790807</v>
      </c>
      <c r="GI1315" s="7">
        <v>3.1268103712531889</v>
      </c>
    </row>
    <row r="1316" spans="1:191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  <c r="FZ1316" s="7">
        <v>1.3671683512601061</v>
      </c>
      <c r="GA1316" s="7">
        <v>11.806831324688758</v>
      </c>
      <c r="GB1316" s="7">
        <v>3.9961640245591905</v>
      </c>
      <c r="GC1316" s="7">
        <v>0.34884211750730515</v>
      </c>
      <c r="GD1316" s="7">
        <v>0.41662923245166017</v>
      </c>
      <c r="GE1316" s="7">
        <v>1.3816185402305901</v>
      </c>
      <c r="GF1316" s="7">
        <v>4.1991279645348376</v>
      </c>
      <c r="GG1316" s="7">
        <v>2.6311354411817005</v>
      </c>
      <c r="GH1316" s="7">
        <v>0.69129860105168339</v>
      </c>
      <c r="GI1316" s="7">
        <v>3.8069713154169431</v>
      </c>
    </row>
    <row r="1317" spans="1:191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  <c r="FZ1317" s="7">
        <v>13.068813918157533</v>
      </c>
      <c r="GA1317" s="7">
        <v>25.018085060068813</v>
      </c>
      <c r="GB1317" s="7">
        <v>7.9278723816674859</v>
      </c>
      <c r="GC1317" s="7">
        <v>0.5444143800139889</v>
      </c>
      <c r="GD1317" s="7">
        <v>0.37901755669243681</v>
      </c>
      <c r="GE1317" s="7">
        <v>0.93866536057078909</v>
      </c>
      <c r="GF1317" s="7">
        <v>4.2137778469159013</v>
      </c>
      <c r="GG1317" s="7">
        <v>2.8080611976717367</v>
      </c>
      <c r="GH1317" s="7">
        <v>0.58144353567374973</v>
      </c>
      <c r="GI1317" s="7">
        <v>5.8873786623548297</v>
      </c>
    </row>
    <row r="1318" spans="1:191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  <c r="FZ1318" s="7">
        <v>6.6588791421532321</v>
      </c>
      <c r="GA1318" s="7">
        <v>19.796787499875951</v>
      </c>
      <c r="GB1318" s="7">
        <v>6.2713626241742304</v>
      </c>
      <c r="GC1318" s="7">
        <v>7.6468605641562978E-2</v>
      </c>
      <c r="GD1318" s="7">
        <v>0.19898222559870249</v>
      </c>
      <c r="GE1318" s="7">
        <v>0.93238788293513586</v>
      </c>
      <c r="GF1318" s="7">
        <v>2.2545710722827899</v>
      </c>
      <c r="GG1318" s="7">
        <v>1.5410277012290603</v>
      </c>
      <c r="GH1318" s="7">
        <v>0.64441312055873701</v>
      </c>
      <c r="GI1318" s="7">
        <v>5.1788837385839548</v>
      </c>
    </row>
    <row r="1319" spans="1:191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  <c r="FZ1319" s="7">
        <v>3.6583217852824563</v>
      </c>
      <c r="GA1319" s="7">
        <v>3.6690843099316024</v>
      </c>
      <c r="GB1319" s="7">
        <v>0.32446586665972488</v>
      </c>
      <c r="GC1319" s="7">
        <v>0.65004276914421566</v>
      </c>
      <c r="GD1319" s="7">
        <v>0.66377449435708535</v>
      </c>
      <c r="GE1319" s="7">
        <v>1.8016960250604972</v>
      </c>
      <c r="GF1319" s="7">
        <v>4.5140769235057876</v>
      </c>
      <c r="GG1319" s="7">
        <v>2.4324324403942232</v>
      </c>
      <c r="GH1319" s="7">
        <v>0.23579423514790807</v>
      </c>
      <c r="GI1319" s="7">
        <v>2.9906079488557333</v>
      </c>
    </row>
    <row r="1320" spans="1:191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  <c r="FZ1320" s="7">
        <v>9.174425351352518</v>
      </c>
      <c r="GA1320" s="7">
        <v>11.533598261942824</v>
      </c>
      <c r="GB1320" s="7">
        <v>3.3950132357524647</v>
      </c>
      <c r="GC1320" s="7">
        <v>1.0354957287599327</v>
      </c>
      <c r="GD1320" s="7">
        <v>1.0804943609257591</v>
      </c>
      <c r="GE1320" s="7">
        <v>1.6298265971727643</v>
      </c>
      <c r="GF1320" s="7">
        <v>4.5579457092522579</v>
      </c>
      <c r="GG1320" s="7">
        <v>3.2439798713656982</v>
      </c>
      <c r="GH1320" s="7">
        <v>0.40861888541082891</v>
      </c>
      <c r="GI1320" s="7">
        <v>4.9941489843884828</v>
      </c>
    </row>
    <row r="1321" spans="1:191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  <c r="FZ1321" s="7">
        <v>5.3075941306458558</v>
      </c>
      <c r="GA1321" s="7">
        <v>4.717300844438828</v>
      </c>
      <c r="GB1321" s="7">
        <v>1.2919833250535968</v>
      </c>
      <c r="GC1321" s="7">
        <v>0.5570485855507874</v>
      </c>
      <c r="GD1321" s="7">
        <v>0.52986558785734905</v>
      </c>
      <c r="GE1321" s="7">
        <v>1.6736681001613385</v>
      </c>
      <c r="GF1321" s="7">
        <v>3.3124867090948422</v>
      </c>
      <c r="GG1321" s="7">
        <v>1.5628049455265007</v>
      </c>
      <c r="GH1321" s="7">
        <v>0.17282465026292085</v>
      </c>
      <c r="GI1321" s="7">
        <v>3.446095088134391</v>
      </c>
    </row>
    <row r="1322" spans="1:191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  <c r="FZ1322" s="7">
        <v>7.0401418583176287</v>
      </c>
      <c r="GA1322" s="7">
        <v>24.641776874229429</v>
      </c>
      <c r="GB1322" s="7">
        <v>8.2849052198243971</v>
      </c>
      <c r="GC1322" s="7">
        <v>0.64290447530440953</v>
      </c>
      <c r="GD1322" s="7">
        <v>1.1799969050756209</v>
      </c>
      <c r="GE1322" s="7">
        <v>2.0566994127815241</v>
      </c>
      <c r="GF1322" s="7">
        <v>2.4633351154189578</v>
      </c>
      <c r="GG1322" s="7">
        <v>1.7397307020165371</v>
      </c>
      <c r="GH1322" s="7">
        <v>0.40861888541082891</v>
      </c>
      <c r="GI1322" s="7">
        <v>6.0630090264273511</v>
      </c>
    </row>
    <row r="1323" spans="1:191">
      <c r="C1323" s="118"/>
      <c r="D1323" s="118"/>
      <c r="E1323" s="118"/>
      <c r="F1323" s="118"/>
      <c r="G1323" s="118"/>
      <c r="H1323" s="118"/>
      <c r="I1323" s="118"/>
      <c r="J1323" s="118"/>
      <c r="K1323" s="118"/>
      <c r="FZ1323" s="8">
        <v>5.3490416337806002</v>
      </c>
      <c r="GA1323" s="8">
        <v>17.153571108057591</v>
      </c>
      <c r="GB1323" s="8">
        <v>5.0480667257782246</v>
      </c>
      <c r="GC1323" s="8">
        <v>0.34299464066237317</v>
      </c>
      <c r="GD1323" s="8">
        <v>0.95911853150013771</v>
      </c>
      <c r="GE1323" s="8">
        <v>2.5950459042588521</v>
      </c>
      <c r="GF1323" s="8">
        <v>3.5918683209789588</v>
      </c>
      <c r="GG1323" s="8">
        <v>1.8100421704621514</v>
      </c>
      <c r="GH1323" s="8">
        <v>0.17282465026292085</v>
      </c>
      <c r="GI1323" s="8">
        <v>5.0130593413506466</v>
      </c>
    </row>
    <row r="1324" spans="1:191">
      <c r="C1324" s="118"/>
      <c r="D1324" s="118"/>
      <c r="E1324" s="118"/>
      <c r="F1324" s="118"/>
      <c r="G1324" s="118"/>
      <c r="H1324" s="118"/>
      <c r="I1324" s="118"/>
      <c r="J1324" s="118"/>
      <c r="K1324" s="118"/>
      <c r="FZ1324" s="8">
        <v>10.396017391931899</v>
      </c>
      <c r="GA1324" s="8">
        <v>11.311594805275842</v>
      </c>
      <c r="GB1324" s="8">
        <v>2.7867742347353772</v>
      </c>
      <c r="GC1324" s="8">
        <v>0.65976269697377032</v>
      </c>
      <c r="GD1324" s="8">
        <v>0.64980633425730017</v>
      </c>
      <c r="GE1324" s="8">
        <v>0.94486352054517697</v>
      </c>
      <c r="GF1324" s="8">
        <v>2.6836405145749991</v>
      </c>
      <c r="GG1324" s="8">
        <v>1.8100421704621514</v>
      </c>
      <c r="GH1324" s="8">
        <v>0.17282465026292085</v>
      </c>
      <c r="GI1324" s="8">
        <v>4.136388482104941</v>
      </c>
    </row>
    <row r="1325" spans="1:191">
      <c r="C1325" s="118"/>
      <c r="D1325" s="118"/>
      <c r="E1325" s="118"/>
      <c r="F1325" s="118"/>
      <c r="G1325" s="118"/>
      <c r="H1325" s="118"/>
      <c r="I1325" s="118"/>
      <c r="J1325" s="118"/>
      <c r="K1325" s="118"/>
      <c r="FZ1325" s="8">
        <v>5.2495025356806124</v>
      </c>
      <c r="GA1325" s="8">
        <v>9.9590179115990445</v>
      </c>
      <c r="GB1325" s="8">
        <v>1.5908732162307737</v>
      </c>
      <c r="GC1325" s="8">
        <v>0.2864345669071427</v>
      </c>
      <c r="GD1325" s="8">
        <v>0.61979792452674154</v>
      </c>
      <c r="GE1325" s="8">
        <v>1.8574673489570612</v>
      </c>
      <c r="GF1325" s="8">
        <v>1.9462385968779778</v>
      </c>
      <c r="GG1325" s="8">
        <v>0.74171167480695199</v>
      </c>
      <c r="GH1325" s="8">
        <v>0.3456493005258417</v>
      </c>
      <c r="GI1325" s="8">
        <v>3.5994566640835228</v>
      </c>
    </row>
    <row r="1326" spans="1:191">
      <c r="C1326" s="118"/>
      <c r="D1326" s="118"/>
      <c r="E1326" s="118"/>
      <c r="F1326" s="118"/>
      <c r="G1326" s="118"/>
      <c r="H1326" s="118"/>
      <c r="I1326" s="118"/>
      <c r="J1326" s="118"/>
      <c r="K1326" s="118"/>
      <c r="FZ1326" s="8">
        <v>8.8346101383228675</v>
      </c>
      <c r="GA1326" s="8">
        <v>16.199669500302704</v>
      </c>
      <c r="GB1326" s="8">
        <v>3.8962174908477563</v>
      </c>
      <c r="GC1326" s="8">
        <v>0.59283728689154813</v>
      </c>
      <c r="GD1326" s="8">
        <v>1.2251761079326042</v>
      </c>
      <c r="GE1326" s="8">
        <v>2.8125645842882232</v>
      </c>
      <c r="GF1326" s="8">
        <v>5.0665379972495703</v>
      </c>
      <c r="GG1326" s="8">
        <v>3.7262229166876337</v>
      </c>
      <c r="GH1326" s="8">
        <v>0.88020735570664521</v>
      </c>
      <c r="GI1326" s="8">
        <v>6.0818857916578262</v>
      </c>
    </row>
    <row r="1327" spans="1:191">
      <c r="C1327" s="118"/>
      <c r="D1327" s="118"/>
      <c r="E1327" s="118"/>
      <c r="F1327" s="118"/>
      <c r="G1327" s="118"/>
      <c r="H1327" s="118"/>
      <c r="I1327" s="118"/>
      <c r="J1327" s="118"/>
      <c r="K1327" s="118"/>
      <c r="FZ1327" s="8">
        <v>3.0160603205846201</v>
      </c>
      <c r="GA1327" s="8">
        <v>11.186152582099869</v>
      </c>
      <c r="GB1327" s="8">
        <v>3.4148847469250825</v>
      </c>
      <c r="GC1327" s="8">
        <v>1.4429701780245074</v>
      </c>
      <c r="GD1327" s="8">
        <v>1.1942278162700872</v>
      </c>
      <c r="GE1327" s="8">
        <v>1.5002602058941086</v>
      </c>
      <c r="GF1327" s="8">
        <v>3.9610583051614636</v>
      </c>
      <c r="GG1327" s="8">
        <v>2.3040409080523605</v>
      </c>
      <c r="GH1327" s="8">
        <v>0.23579423514790807</v>
      </c>
      <c r="GI1327" s="8">
        <v>4.1811607589552464</v>
      </c>
    </row>
    <row r="1328" spans="1:191">
      <c r="C1328" s="118"/>
      <c r="D1328" s="118"/>
      <c r="E1328" s="118"/>
      <c r="F1328" s="118"/>
      <c r="G1328" s="118"/>
      <c r="H1328" s="118"/>
      <c r="I1328" s="118"/>
      <c r="J1328" s="118"/>
      <c r="K1328" s="118"/>
      <c r="FZ1328" s="8">
        <v>0.97002229534298157</v>
      </c>
      <c r="GA1328" s="8">
        <v>0.79735057184381319</v>
      </c>
      <c r="GB1328" s="8">
        <v>0.59537044103970826</v>
      </c>
      <c r="GC1328" s="8">
        <v>0.51181202139992732</v>
      </c>
      <c r="GD1328" s="8">
        <v>0.46469764797153584</v>
      </c>
      <c r="GE1328" s="8">
        <v>0.58620240097073251</v>
      </c>
      <c r="GF1328" s="8">
        <v>6.8106040944863855</v>
      </c>
      <c r="GG1328" s="8">
        <v>6.2507440698249113</v>
      </c>
      <c r="GH1328" s="8">
        <v>0.75426818593667067</v>
      </c>
      <c r="GI1328" s="8">
        <v>2.751396900107649</v>
      </c>
    </row>
    <row r="1329" spans="3:191">
      <c r="C1329" s="118"/>
      <c r="D1329" s="118"/>
      <c r="E1329" s="118"/>
      <c r="F1329" s="118"/>
      <c r="G1329" s="118"/>
      <c r="H1329" s="118"/>
      <c r="I1329" s="118"/>
      <c r="J1329" s="118"/>
      <c r="K1329" s="118"/>
      <c r="FZ1329" s="8">
        <v>12.874575015808603</v>
      </c>
      <c r="GA1329" s="8">
        <v>9.4575846998957314</v>
      </c>
      <c r="GB1329" s="8">
        <v>0.91283335650419439</v>
      </c>
      <c r="GC1329" s="8">
        <v>0.78827351688850411</v>
      </c>
      <c r="GD1329" s="8">
        <v>1.0470869795149969</v>
      </c>
      <c r="GE1329" s="8">
        <v>1.7357750710480548</v>
      </c>
      <c r="GF1329" s="8">
        <v>2.0370822050098765</v>
      </c>
      <c r="GG1329" s="8">
        <v>1.1168647198033732</v>
      </c>
      <c r="GH1329" s="8">
        <v>0.40861888541082891</v>
      </c>
      <c r="GI1329" s="8">
        <v>4.3084030597787661</v>
      </c>
    </row>
    <row r="1330" spans="3:191">
      <c r="C1330" s="118"/>
      <c r="D1330" s="118"/>
      <c r="E1330" s="118"/>
      <c r="F1330" s="118"/>
      <c r="G1330" s="118"/>
      <c r="H1330" s="118"/>
      <c r="I1330" s="118"/>
      <c r="J1330" s="118"/>
      <c r="K1330" s="118"/>
      <c r="FZ1330" s="8">
        <v>4.4250565510183559</v>
      </c>
      <c r="GA1330" s="8">
        <v>21.326334936431184</v>
      </c>
      <c r="GB1330" s="8">
        <v>7.427878774819817</v>
      </c>
      <c r="GC1330" s="8">
        <v>0.46178553274755219</v>
      </c>
      <c r="GD1330" s="8">
        <v>0.52512120229612369</v>
      </c>
      <c r="GE1330" s="8">
        <v>1.454334825021885</v>
      </c>
      <c r="GF1330" s="8">
        <v>2.4765462258307922</v>
      </c>
      <c r="GG1330" s="8">
        <v>1.2937904762934096</v>
      </c>
      <c r="GH1330" s="8">
        <v>0.47158847029581613</v>
      </c>
      <c r="GI1330" s="8">
        <v>4.7723608481177235</v>
      </c>
    </row>
    <row r="1331" spans="3:191">
      <c r="C1331" s="118"/>
      <c r="D1331" s="118"/>
      <c r="E1331" s="118"/>
      <c r="F1331" s="118"/>
      <c r="G1331" s="118"/>
      <c r="H1331" s="118"/>
      <c r="I1331" s="118"/>
      <c r="J1331" s="118"/>
      <c r="K1331" s="118"/>
      <c r="FZ1331" s="8">
        <v>1.4248795701864641</v>
      </c>
      <c r="GA1331" s="8">
        <v>3.5436420867556286</v>
      </c>
      <c r="GB1331" s="8">
        <v>0.87793292714944848</v>
      </c>
      <c r="GC1331" s="8">
        <v>1.6378970320337538</v>
      </c>
      <c r="GD1331" s="8">
        <v>1.4324906633727967</v>
      </c>
      <c r="GE1331" s="8">
        <v>1.3569696835496674</v>
      </c>
      <c r="GF1331" s="8">
        <v>5.9822470269998114</v>
      </c>
      <c r="GG1331" s="8">
        <v>4.6181033681338892</v>
      </c>
      <c r="GH1331" s="8">
        <v>0.23579423514790807</v>
      </c>
      <c r="GI1331" s="8">
        <v>4.1143331644621455</v>
      </c>
    </row>
    <row r="1332" spans="3:191">
      <c r="C1332" s="118"/>
      <c r="D1332" s="118"/>
      <c r="E1332" s="118"/>
      <c r="F1332" s="118"/>
      <c r="G1332" s="118"/>
      <c r="H1332" s="118"/>
      <c r="I1332" s="118"/>
      <c r="J1332" s="118"/>
      <c r="K1332" s="118"/>
      <c r="FZ1332" s="8">
        <v>5.6892372228491359</v>
      </c>
      <c r="GA1332" s="8">
        <v>22.220246741766005</v>
      </c>
      <c r="GB1332" s="8">
        <v>8.7709927180998744</v>
      </c>
      <c r="GC1332" s="8">
        <v>0.61245387482087144</v>
      </c>
      <c r="GD1332" s="8">
        <v>0.60475041555052766</v>
      </c>
      <c r="GE1332" s="8">
        <v>0.86175547602749047</v>
      </c>
      <c r="GF1332" s="8">
        <v>1.7696904418107515</v>
      </c>
      <c r="GG1332" s="8">
        <v>0.93993896331333671</v>
      </c>
      <c r="GH1332" s="8">
        <v>0.3456493005258417</v>
      </c>
      <c r="GI1332" s="8">
        <v>5.2933822415200691</v>
      </c>
    </row>
    <row r="1333" spans="3:191">
      <c r="C1333" s="118"/>
      <c r="D1333" s="118"/>
      <c r="E1333" s="118"/>
      <c r="F1333" s="118"/>
      <c r="G1333" s="118"/>
      <c r="H1333" s="118"/>
      <c r="I1333" s="118"/>
      <c r="J1333" s="118"/>
      <c r="K1333" s="118"/>
      <c r="FZ1333" s="8">
        <v>5.8340527814520904</v>
      </c>
      <c r="GA1333" s="8">
        <v>19.324216794169068</v>
      </c>
      <c r="GB1333" s="8">
        <v>5.8458367917511698</v>
      </c>
      <c r="GC1333" s="8">
        <v>0.86043860626902036</v>
      </c>
      <c r="GD1333" s="8">
        <v>1.1652972882640344</v>
      </c>
      <c r="GE1333" s="8">
        <v>2.0167818215734878</v>
      </c>
      <c r="GF1333" s="8">
        <v>2.5311361522837794</v>
      </c>
      <c r="GG1333" s="8">
        <v>1.6113391696746744</v>
      </c>
      <c r="GH1333" s="8">
        <v>0.40861888541082891</v>
      </c>
      <c r="GI1333" s="8">
        <v>5.3174666551066325</v>
      </c>
    </row>
    <row r="1334" spans="3:191">
      <c r="C1334" s="118"/>
      <c r="D1334" s="118"/>
      <c r="E1334" s="118"/>
      <c r="F1334" s="118"/>
      <c r="G1334" s="118"/>
      <c r="H1334" s="118"/>
      <c r="I1334" s="118"/>
      <c r="J1334" s="118"/>
      <c r="K1334" s="118"/>
      <c r="FZ1334" s="8">
        <v>3.3765981672180478</v>
      </c>
      <c r="GA1334" s="8">
        <v>12.729922833332054</v>
      </c>
      <c r="GB1334" s="8">
        <v>3.6566692397173375</v>
      </c>
      <c r="GC1334" s="8">
        <v>0.74161010323304222</v>
      </c>
      <c r="GD1334" s="8">
        <v>0.99003772017708214</v>
      </c>
      <c r="GE1334" s="8">
        <v>1.4656322096531205</v>
      </c>
      <c r="GF1334" s="8">
        <v>2.1644079472678919</v>
      </c>
      <c r="GG1334" s="8">
        <v>1.1871761882489873</v>
      </c>
      <c r="GH1334" s="8">
        <v>0.3456493005258417</v>
      </c>
      <c r="GI1334" s="8">
        <v>4.3775108823641791</v>
      </c>
    </row>
    <row r="1335" spans="3:191">
      <c r="C1335" s="118"/>
      <c r="D1335" s="118"/>
      <c r="E1335" s="118"/>
      <c r="F1335" s="118"/>
      <c r="G1335" s="118"/>
      <c r="H1335" s="118"/>
      <c r="I1335" s="118"/>
      <c r="J1335" s="118"/>
      <c r="K1335" s="118"/>
      <c r="FZ1335" s="8">
        <v>6.2315792134081001</v>
      </c>
      <c r="GA1335" s="8">
        <v>5.6403923530821247</v>
      </c>
      <c r="GB1335" s="8">
        <v>0.88389832974987415</v>
      </c>
      <c r="GC1335" s="8">
        <v>0.22940581692468895</v>
      </c>
      <c r="GD1335" s="8">
        <v>0.3432872385679876</v>
      </c>
      <c r="GE1335" s="8">
        <v>1.5983285308385295</v>
      </c>
      <c r="GF1335" s="8">
        <v>2.1412538343431597</v>
      </c>
      <c r="GG1335" s="8">
        <v>0.67140020636133779</v>
      </c>
      <c r="GH1335" s="8">
        <v>0.40861888541082891</v>
      </c>
      <c r="GI1335" s="8">
        <v>2.0487102167451448</v>
      </c>
    </row>
    <row r="1336" spans="3:191">
      <c r="C1336" s="118"/>
      <c r="D1336" s="118"/>
      <c r="E1336" s="118"/>
      <c r="F1336" s="118"/>
      <c r="G1336" s="118"/>
      <c r="H1336" s="118"/>
      <c r="I1336" s="118"/>
      <c r="J1336" s="118"/>
      <c r="K1336" s="118"/>
      <c r="FZ1336" s="8">
        <v>4.910067698689847</v>
      </c>
      <c r="GA1336" s="8">
        <v>10.137936047592643</v>
      </c>
      <c r="GB1336" s="8">
        <v>2.7752894226584299</v>
      </c>
      <c r="GC1336" s="8">
        <v>1.1490845524976168</v>
      </c>
      <c r="GD1336" s="8">
        <v>1.578022362054311</v>
      </c>
      <c r="GE1336" s="8">
        <v>2.5481537890247896</v>
      </c>
      <c r="GF1336" s="8">
        <v>4.0275265386417871</v>
      </c>
      <c r="GG1336" s="8">
        <v>2.6796696653298739</v>
      </c>
      <c r="GH1336" s="8">
        <v>0.40861888541082891</v>
      </c>
      <c r="GI1336" s="8">
        <v>4.4179864956138832</v>
      </c>
    </row>
    <row r="1337" spans="3:191">
      <c r="C1337" s="118"/>
      <c r="D1337" s="118"/>
      <c r="E1337" s="118"/>
      <c r="F1337" s="118"/>
      <c r="G1337" s="118"/>
      <c r="H1337" s="118"/>
      <c r="I1337" s="118"/>
      <c r="J1337" s="118"/>
      <c r="K1337" s="118"/>
      <c r="FZ1337" s="8">
        <v>7.9381824016589722</v>
      </c>
      <c r="GA1337" s="8">
        <v>13.282902848426364</v>
      </c>
      <c r="GB1337" s="8">
        <v>3.1217752035149227</v>
      </c>
      <c r="GC1337" s="8">
        <v>0.99012313209934488</v>
      </c>
      <c r="GD1337" s="8">
        <v>0.90035720378826101</v>
      </c>
      <c r="GE1337" s="8">
        <v>1.380809850809158</v>
      </c>
      <c r="GF1337" s="8">
        <v>4.2211922067317724</v>
      </c>
      <c r="GG1337" s="8">
        <v>2.5027439088398373</v>
      </c>
      <c r="GH1337" s="8">
        <v>0</v>
      </c>
      <c r="GI1337" s="8">
        <v>4.7126905315761825</v>
      </c>
    </row>
    <row r="1338" spans="3:191">
      <c r="C1338" s="118"/>
      <c r="D1338" s="118"/>
      <c r="E1338" s="118"/>
      <c r="F1338" s="118"/>
      <c r="G1338" s="118"/>
      <c r="H1338" s="118"/>
      <c r="I1338" s="118"/>
      <c r="J1338" s="118"/>
      <c r="K1338" s="118"/>
      <c r="FZ1338" s="8">
        <v>3.9400454033468648</v>
      </c>
      <c r="GA1338" s="8">
        <v>14.877902705737501</v>
      </c>
      <c r="GB1338" s="8">
        <v>4.0358192082667399</v>
      </c>
      <c r="GC1338" s="8">
        <v>1.089474168525415</v>
      </c>
      <c r="GD1338" s="8">
        <v>0.91722003037269428</v>
      </c>
      <c r="GE1338" s="8">
        <v>1.2848835731028856</v>
      </c>
      <c r="GF1338" s="8">
        <v>5.981600279805237</v>
      </c>
      <c r="GG1338" s="8">
        <v>4.9133991049366212</v>
      </c>
      <c r="GH1338" s="8">
        <v>0.70738270544372439</v>
      </c>
      <c r="GI1338" s="8">
        <v>4.0816678444895125</v>
      </c>
    </row>
    <row r="1339" spans="3:191">
      <c r="FZ1339" s="8">
        <v>3.8827145604593918</v>
      </c>
      <c r="GA1339" s="8">
        <v>1.1736587576831998</v>
      </c>
      <c r="GB1339" s="8">
        <v>0.41162910140890341</v>
      </c>
      <c r="GC1339" s="8">
        <v>0.85132647598610389</v>
      </c>
      <c r="GD1339" s="8">
        <v>1.2998181834148306</v>
      </c>
      <c r="GE1339" s="8">
        <v>2.3129603711426219</v>
      </c>
      <c r="GF1339" s="8">
        <v>2.3996834138217613</v>
      </c>
      <c r="GG1339" s="8">
        <v>1.5410277012290603</v>
      </c>
      <c r="GH1339" s="8">
        <v>0.81723777082165783</v>
      </c>
      <c r="GI1339" s="8">
        <v>3.2457812795021743</v>
      </c>
    </row>
    <row r="1340" spans="3:191">
      <c r="FZ1340" s="8">
        <v>10.686789637254464</v>
      </c>
      <c r="GA1340" s="8">
        <v>12.234686313919138</v>
      </c>
      <c r="GB1340" s="8">
        <v>2.6043313819898808</v>
      </c>
      <c r="GC1340" s="8">
        <v>0.4930175742382551</v>
      </c>
      <c r="GD1340" s="8">
        <v>0.76629927614959104</v>
      </c>
      <c r="GE1340" s="8">
        <v>1.2888979796077165</v>
      </c>
      <c r="GF1340" s="8">
        <v>1.3159254398502038</v>
      </c>
      <c r="GG1340" s="8">
        <v>0.74171167480695199</v>
      </c>
      <c r="GH1340" s="8">
        <v>0.17282465026292085</v>
      </c>
      <c r="GI1340" s="8">
        <v>3.6182102858903615</v>
      </c>
    </row>
    <row r="1341" spans="3:191">
      <c r="FZ1341" s="8">
        <v>7.4953795091999957</v>
      </c>
      <c r="GA1341" s="8">
        <v>10.359939504259625</v>
      </c>
      <c r="GB1341" s="8">
        <v>3.1903654139767923</v>
      </c>
      <c r="GC1341" s="8">
        <v>0.40002339064482678</v>
      </c>
      <c r="GD1341" s="8">
        <v>0.30033702439776555</v>
      </c>
      <c r="GE1341" s="8">
        <v>1.0231689392731129</v>
      </c>
      <c r="GF1341" s="8">
        <v>3.7925712571046821</v>
      </c>
      <c r="GG1341" s="8">
        <v>2.4324324403942232</v>
      </c>
      <c r="GH1341" s="8">
        <v>0.23579423514790807</v>
      </c>
      <c r="GI1341" s="8">
        <v>3.0260260201524964</v>
      </c>
    </row>
    <row r="1342" spans="3:191">
      <c r="FZ1342" s="8">
        <v>0.54272236659784878</v>
      </c>
      <c r="GA1342" s="8">
        <v>13.003155896077988</v>
      </c>
      <c r="GB1342" s="8">
        <v>4.7115256101357605</v>
      </c>
      <c r="GC1342" s="8">
        <v>1.0171311574574855</v>
      </c>
      <c r="GD1342" s="8">
        <v>0.86584570148471118</v>
      </c>
      <c r="GE1342" s="8">
        <v>0.8823809505398672</v>
      </c>
      <c r="GF1342" s="8">
        <v>4.5031248003765389</v>
      </c>
      <c r="GG1342" s="8">
        <v>3.6899200970888253</v>
      </c>
      <c r="GH1342" s="8">
        <v>0.17282465026292085</v>
      </c>
      <c r="GI1342" s="8">
        <v>3.7726364468850591</v>
      </c>
    </row>
    <row r="1343" spans="3:191">
      <c r="FZ1343" s="8">
        <v>7.3954600350611237</v>
      </c>
      <c r="GA1343" s="8">
        <v>24.670639380225861</v>
      </c>
      <c r="GB1343" s="8">
        <v>7.9988838886245999</v>
      </c>
      <c r="GC1343" s="8">
        <v>0.84152704802806477</v>
      </c>
      <c r="GD1343" s="8">
        <v>0.98311543237127097</v>
      </c>
      <c r="GE1343" s="8">
        <v>2.1713460751657978</v>
      </c>
      <c r="GF1343" s="8">
        <v>5.0150743988668207</v>
      </c>
      <c r="GG1343" s="8">
        <v>2.749981133775488</v>
      </c>
      <c r="GH1343" s="8">
        <v>0</v>
      </c>
      <c r="GI1343" s="8">
        <v>6.4699657132968005</v>
      </c>
    </row>
    <row r="1344" spans="3:191">
      <c r="FZ1344" s="8">
        <v>0.88215720358861527</v>
      </c>
      <c r="GA1344" s="8">
        <v>9.2375103526553755</v>
      </c>
      <c r="GB1344" s="8">
        <v>3.2752830295060988</v>
      </c>
      <c r="GC1344" s="8">
        <v>0.34170382366749891</v>
      </c>
      <c r="GD1344" s="8">
        <v>0.70041935308554959</v>
      </c>
      <c r="GE1344" s="8">
        <v>2.4296909114105456</v>
      </c>
      <c r="GF1344" s="8">
        <v>3.5414053907299747</v>
      </c>
      <c r="GG1344" s="8">
        <v>1.4924934770808866</v>
      </c>
      <c r="GH1344" s="8">
        <v>0.40861888541082891</v>
      </c>
      <c r="GI1344" s="8">
        <v>3.5779143661195603</v>
      </c>
    </row>
    <row r="1345" spans="182:191">
      <c r="FZ1345" s="8">
        <v>4.222149397450158</v>
      </c>
      <c r="GA1345" s="8">
        <v>23.770213685288592</v>
      </c>
      <c r="GB1345" s="8">
        <v>8.7768702820626139</v>
      </c>
      <c r="GC1345" s="8">
        <v>0.74659663894232497</v>
      </c>
      <c r="GD1345" s="8">
        <v>1.0602783506205125</v>
      </c>
      <c r="GE1345" s="8">
        <v>2.3148478431548511</v>
      </c>
      <c r="GF1345" s="8">
        <v>4.6354552684558623</v>
      </c>
      <c r="GG1345" s="8">
        <v>2.8783726661173508</v>
      </c>
      <c r="GH1345" s="8">
        <v>0.3456493005258417</v>
      </c>
      <c r="GI1345" s="8">
        <v>6.1889462268036439</v>
      </c>
    </row>
    <row r="1346" spans="182:191">
      <c r="FZ1346" s="8">
        <v>7.6401950678029493</v>
      </c>
      <c r="GA1346" s="8">
        <v>8.0619224855455496</v>
      </c>
      <c r="GB1346" s="8">
        <v>0.36169975387202929</v>
      </c>
      <c r="GC1346" s="8">
        <v>0.65847187997889611</v>
      </c>
      <c r="GD1346" s="8">
        <v>1.5142792390144715</v>
      </c>
      <c r="GE1346" s="8">
        <v>2.4233315812090304</v>
      </c>
      <c r="GF1346" s="8">
        <v>6.5606787455514519</v>
      </c>
      <c r="GG1346" s="8">
        <v>6.2507440698249113</v>
      </c>
      <c r="GH1346" s="8">
        <v>0.40861888541082891</v>
      </c>
      <c r="GI1346" s="8">
        <v>4.9283616070464156</v>
      </c>
    </row>
    <row r="1347" spans="182:191">
      <c r="FZ1347" s="8">
        <v>7.0861790708983659</v>
      </c>
      <c r="GA1347" s="8">
        <v>8.2097133251155068</v>
      </c>
      <c r="GB1347" s="8">
        <v>1.4152482598471079</v>
      </c>
      <c r="GC1347" s="8">
        <v>1.0421653463725158</v>
      </c>
      <c r="GD1347" s="8">
        <v>0.93990844627827941</v>
      </c>
      <c r="GE1347" s="8">
        <v>0.65452868013860299</v>
      </c>
      <c r="GF1347" s="8">
        <v>2.6214275849470323</v>
      </c>
      <c r="GG1347" s="8">
        <v>2.2342051518878385</v>
      </c>
      <c r="GH1347" s="8">
        <v>0.58144353567374973</v>
      </c>
      <c r="GI1347" s="8">
        <v>4.244529692170036</v>
      </c>
    </row>
    <row r="1348" spans="182:191">
      <c r="FZ1348" s="8">
        <v>4.4668844301919846</v>
      </c>
      <c r="GA1348" s="8">
        <v>12.656027413547076</v>
      </c>
      <c r="GB1348" s="8">
        <v>3.1217752035149227</v>
      </c>
      <c r="GC1348" s="8">
        <v>0.277752312483451</v>
      </c>
      <c r="GD1348" s="8">
        <v>0.63946907048659418</v>
      </c>
      <c r="GE1348" s="8">
        <v>1.5972497482477328</v>
      </c>
      <c r="GF1348" s="8">
        <v>2.2545710722827899</v>
      </c>
      <c r="GG1348" s="8">
        <v>1.3641019447390237</v>
      </c>
      <c r="GH1348" s="8">
        <v>0.23579423514790807</v>
      </c>
      <c r="GI1348" s="8">
        <v>3.749245046981577</v>
      </c>
    </row>
    <row r="1349" spans="182:191">
      <c r="FZ1349" s="8">
        <v>7.4376682902736375</v>
      </c>
      <c r="GA1349" s="8">
        <v>8.3886314611091013</v>
      </c>
      <c r="GB1349" s="8">
        <v>2.7717453165532491</v>
      </c>
      <c r="GC1349" s="8">
        <v>0.9311581566245799</v>
      </c>
      <c r="GD1349" s="8">
        <v>0.86272310495022597</v>
      </c>
      <c r="GE1349" s="8">
        <v>1.2277577430828386</v>
      </c>
      <c r="GF1349" s="8">
        <v>2.5846242577750003</v>
      </c>
      <c r="GG1349" s="8">
        <v>1.669419233570923</v>
      </c>
      <c r="GH1349" s="8">
        <v>0.47158847029581613</v>
      </c>
      <c r="GI1349" s="8">
        <v>3.9182441729449544</v>
      </c>
    </row>
    <row r="1350" spans="182:191">
      <c r="FZ1350" s="8">
        <v>2.718453362767483</v>
      </c>
      <c r="GA1350" s="8">
        <v>21.947013679020074</v>
      </c>
      <c r="GB1350" s="8">
        <v>8.1162806370134071</v>
      </c>
      <c r="GC1350" s="8">
        <v>1.4107600843188719</v>
      </c>
      <c r="GD1350" s="8">
        <v>1.7509789923113059</v>
      </c>
      <c r="GE1350" s="8">
        <v>2.1659742224349885</v>
      </c>
      <c r="GF1350" s="8">
        <v>3.9918026933678989</v>
      </c>
      <c r="GG1350" s="8">
        <v>2.8783726661173508</v>
      </c>
      <c r="GH1350" s="8">
        <v>0.17282465026292085</v>
      </c>
      <c r="GI1350" s="8">
        <v>5.8010471321438342</v>
      </c>
    </row>
    <row r="1351" spans="182:191">
      <c r="FZ1351" s="8">
        <v>7.4259942839280173</v>
      </c>
      <c r="GA1351" s="8">
        <v>10.852929716933868</v>
      </c>
      <c r="GB1351" s="8">
        <v>2.8990867301560854</v>
      </c>
      <c r="GC1351" s="8">
        <v>0.79020974238081554</v>
      </c>
      <c r="GD1351" s="8">
        <v>0.99074033501595105</v>
      </c>
      <c r="GE1351" s="8">
        <v>2.0352799563953634</v>
      </c>
      <c r="GF1351" s="8">
        <v>3.7649308579048615</v>
      </c>
      <c r="GG1351" s="8">
        <v>2.0572793953978019</v>
      </c>
      <c r="GH1351" s="8">
        <v>0.51847395078876257</v>
      </c>
      <c r="GI1351" s="8">
        <v>4.1127918499099394</v>
      </c>
    </row>
    <row r="1352" spans="182:191">
      <c r="FZ1352" s="8">
        <v>0.48501114767149078</v>
      </c>
      <c r="GA1352" s="8">
        <v>2.5693209720333821</v>
      </c>
      <c r="GB1352" s="8">
        <v>0.91283335650419439</v>
      </c>
      <c r="GC1352" s="8">
        <v>0.67920255263287954</v>
      </c>
      <c r="GD1352" s="8">
        <v>0.61969609848297769</v>
      </c>
      <c r="GE1352" s="8">
        <v>1.1713411320962144</v>
      </c>
      <c r="GF1352" s="8">
        <v>3.262495618603749</v>
      </c>
      <c r="GG1352" s="8">
        <v>2.0568036831167102</v>
      </c>
      <c r="GH1352" s="8">
        <v>0.23579423514790807</v>
      </c>
      <c r="GI1352" s="8">
        <v>2.6965615141609685</v>
      </c>
    </row>
    <row r="1353" spans="182:191">
      <c r="FZ1353" s="8">
        <v>2.1916143359223637</v>
      </c>
      <c r="GA1353" s="8">
        <v>23.770213685288592</v>
      </c>
      <c r="GB1353" s="8">
        <v>8.446526851440149</v>
      </c>
      <c r="GC1353" s="8">
        <v>0.89701183742663315</v>
      </c>
      <c r="GD1353" s="8">
        <v>1.0921092832162074</v>
      </c>
      <c r="GE1353" s="8">
        <v>1.8934287030147658</v>
      </c>
      <c r="GF1353" s="8">
        <v>3.2338649400998176</v>
      </c>
      <c r="GG1353" s="8">
        <v>1.6113391696746744</v>
      </c>
      <c r="GH1353" s="8">
        <v>0.40861888541082891</v>
      </c>
      <c r="GI1353" s="8">
        <v>6.2742335613820881</v>
      </c>
    </row>
    <row r="1354" spans="182:191">
      <c r="FZ1354" s="8">
        <v>3.9981369983121078</v>
      </c>
      <c r="GA1354" s="8">
        <v>7.2662023095048536</v>
      </c>
      <c r="GB1354" s="8">
        <v>2.8879314166944345</v>
      </c>
      <c r="GC1354" s="8">
        <v>0.31125322318396076</v>
      </c>
      <c r="GD1354" s="8">
        <v>0.32024596280086348</v>
      </c>
      <c r="GE1354" s="8">
        <v>1.5278602044325105</v>
      </c>
      <c r="GF1354" s="8">
        <v>1.9240851520870101</v>
      </c>
      <c r="GG1354" s="8">
        <v>0.1769257564900365</v>
      </c>
      <c r="GH1354" s="8">
        <v>0.40861888541082891</v>
      </c>
      <c r="GI1354" s="8">
        <v>2.8492412321865475</v>
      </c>
    </row>
    <row r="1355" spans="182:191">
      <c r="FZ1355" s="8">
        <v>6.6584987661143487</v>
      </c>
      <c r="GA1355" s="8">
        <v>25.237842209997126</v>
      </c>
      <c r="GB1355" s="8">
        <v>6.8260403329115764</v>
      </c>
      <c r="GC1355" s="8">
        <v>0.85124697585761933</v>
      </c>
      <c r="GD1355" s="8">
        <v>1.1760911007527459</v>
      </c>
      <c r="GE1355" s="8">
        <v>2.0617017019549597</v>
      </c>
      <c r="GF1355" s="8">
        <v>4.1693515165688897</v>
      </c>
      <c r="GG1355" s="8">
        <v>2.9849869541617733</v>
      </c>
      <c r="GH1355" s="8">
        <v>0.64441312055873701</v>
      </c>
      <c r="GI1355" s="8">
        <v>6.4505625530714763</v>
      </c>
    </row>
    <row r="1356" spans="182:191">
      <c r="FZ1356" s="8">
        <v>11.320002474694146</v>
      </c>
      <c r="GA1356" s="8">
        <v>14.604669642991567</v>
      </c>
      <c r="GB1356" s="8">
        <v>3.1031143405899275</v>
      </c>
      <c r="GC1356" s="8">
        <v>0.59645659428715958</v>
      </c>
      <c r="GD1356" s="8">
        <v>0.82639386084337407</v>
      </c>
      <c r="GE1356" s="8">
        <v>1.3172484982130512</v>
      </c>
      <c r="GF1356" s="8">
        <v>3.6059606587594821</v>
      </c>
      <c r="GG1356" s="8">
        <v>2.6215896014336257</v>
      </c>
      <c r="GH1356" s="8">
        <v>0.17282465026292085</v>
      </c>
      <c r="GI1356" s="8">
        <v>5.0726799160259297</v>
      </c>
    </row>
    <row r="1357" spans="182:191">
      <c r="FZ1357" s="8">
        <v>3.2193478501917032</v>
      </c>
      <c r="GA1357" s="8">
        <v>4.717300844438828</v>
      </c>
      <c r="GB1357" s="8">
        <v>0.96285054267875492</v>
      </c>
      <c r="GC1357" s="8">
        <v>0.91527798717015163</v>
      </c>
      <c r="GD1357" s="8">
        <v>1.1392196415077867</v>
      </c>
      <c r="GE1357" s="8">
        <v>1.9588620096796561</v>
      </c>
      <c r="GF1357" s="8">
        <v>2.4349364273669076</v>
      </c>
      <c r="GG1357" s="8">
        <v>1.1168647198033732</v>
      </c>
      <c r="GH1357" s="8">
        <v>0.58144353567374973</v>
      </c>
      <c r="GI1357" s="8">
        <v>2.9602568936900502</v>
      </c>
    </row>
    <row r="1358" spans="182:191">
      <c r="FZ1358" s="8">
        <v>5.3494220098194845</v>
      </c>
      <c r="GA1358" s="8">
        <v>21.947013679020074</v>
      </c>
      <c r="GB1358" s="8">
        <v>8.2221925733252679</v>
      </c>
      <c r="GC1358" s="8">
        <v>0.45769754912471755</v>
      </c>
      <c r="GD1358" s="8">
        <v>0.48459243697344045</v>
      </c>
      <c r="GE1358" s="8">
        <v>1.4103356822908033</v>
      </c>
      <c r="GF1358" s="8">
        <v>3.3391264401608982</v>
      </c>
      <c r="GG1358" s="8">
        <v>1.8100421704621514</v>
      </c>
      <c r="GH1358" s="8">
        <v>0.51847395078876257</v>
      </c>
      <c r="GI1358" s="8">
        <v>4.5090941588488471</v>
      </c>
    </row>
    <row r="1359" spans="182:191">
      <c r="FZ1359" s="8">
        <v>3.1736910136498504</v>
      </c>
      <c r="GA1359" s="8">
        <v>4.7399666581448576</v>
      </c>
      <c r="GB1359" s="8">
        <v>1.5734230015534008</v>
      </c>
      <c r="GC1359" s="8">
        <v>0.68685022246039551</v>
      </c>
      <c r="GD1359" s="8">
        <v>0.7484901175429719</v>
      </c>
      <c r="GE1359" s="8">
        <v>1.5571103123814696</v>
      </c>
      <c r="GF1359" s="8">
        <v>6.2805274479563025</v>
      </c>
      <c r="GG1359" s="8">
        <v>5.1121021057240972</v>
      </c>
      <c r="GH1359" s="8">
        <v>0.64441312055873701</v>
      </c>
      <c r="GI1359" s="8">
        <v>3.8292749395697157</v>
      </c>
    </row>
    <row r="1360" spans="182:191">
      <c r="FZ1360" s="8">
        <v>5.3373676274349791</v>
      </c>
      <c r="GA1360" s="8">
        <v>21.725010222353092</v>
      </c>
      <c r="GB1360" s="8">
        <v>7.6476433534153037</v>
      </c>
      <c r="GC1360" s="8">
        <v>0.37430618228156037</v>
      </c>
      <c r="GD1360" s="8">
        <v>0.26515985222553345</v>
      </c>
      <c r="GE1360" s="8">
        <v>0.52882159052686695</v>
      </c>
      <c r="GF1360" s="8">
        <v>1.6245781002717803</v>
      </c>
      <c r="GG1360" s="8">
        <v>1.1168647198033732</v>
      </c>
      <c r="GH1360" s="8">
        <v>0.23579423514790807</v>
      </c>
      <c r="GI1360" s="8">
        <v>4.4979108898157563</v>
      </c>
    </row>
    <row r="1361" spans="182:191">
      <c r="FZ1361" s="8">
        <v>2.8338758006201989</v>
      </c>
      <c r="GA1361" s="8">
        <v>7.434729853354213</v>
      </c>
      <c r="GB1361" s="8">
        <v>1.5849956522680344</v>
      </c>
      <c r="GC1361" s="8">
        <v>0.52024113223460777</v>
      </c>
      <c r="GD1361" s="8">
        <v>0.70125793432390005</v>
      </c>
      <c r="GE1361" s="8">
        <v>1.6134856223345837</v>
      </c>
      <c r="GF1361" s="8">
        <v>3.3513482792977722</v>
      </c>
      <c r="GG1361" s="8">
        <v>1.8798779266266734</v>
      </c>
      <c r="GH1361" s="8">
        <v>0.3456493005258417</v>
      </c>
      <c r="GI1361" s="8">
        <v>3.6649344442033884</v>
      </c>
    </row>
    <row r="1362" spans="182:191">
      <c r="FZ1362" s="8">
        <v>8.6894142036810287</v>
      </c>
      <c r="GA1362" s="8">
        <v>8.9642772899094414</v>
      </c>
      <c r="GB1362" s="8">
        <v>2.6729215924517504</v>
      </c>
      <c r="GC1362" s="8">
        <v>1.5643427040994351</v>
      </c>
      <c r="GD1362" s="8">
        <v>1.7103259778660473</v>
      </c>
      <c r="GE1362" s="8">
        <v>2.0444934631429494</v>
      </c>
      <c r="GF1362" s="8">
        <v>2.1968444289299116</v>
      </c>
      <c r="GG1362" s="8">
        <v>1.1168647198033732</v>
      </c>
      <c r="GH1362" s="8">
        <v>0.40861888541082891</v>
      </c>
      <c r="GI1362" s="8">
        <v>4.3281448469713126</v>
      </c>
    </row>
    <row r="1363" spans="182:191">
      <c r="FZ1363" s="8">
        <v>4.5245956491183428</v>
      </c>
      <c r="GA1363" s="8">
        <v>10.286044084474646</v>
      </c>
      <c r="GB1363" s="8">
        <v>2.5507700897101397</v>
      </c>
      <c r="GC1363" s="8">
        <v>0.62561637777582357</v>
      </c>
      <c r="GD1363" s="8">
        <v>0.5736914988164723</v>
      </c>
      <c r="GE1363" s="8">
        <v>1.6749687274103617</v>
      </c>
      <c r="GF1363" s="8">
        <v>2.1470505849391235</v>
      </c>
      <c r="GG1363" s="8">
        <v>0</v>
      </c>
      <c r="GH1363" s="8">
        <v>0</v>
      </c>
      <c r="GI1363" s="8">
        <v>2.4186798202551589</v>
      </c>
    </row>
    <row r="1364" spans="182:191">
      <c r="FZ1364" s="8">
        <v>4.7648717640480074</v>
      </c>
      <c r="GA1364" s="8">
        <v>10.411169110338575</v>
      </c>
      <c r="GB1364" s="8">
        <v>3.4636912848520209</v>
      </c>
      <c r="GC1364" s="8">
        <v>0.71937308094597252</v>
      </c>
      <c r="GD1364" s="8">
        <v>0.6647520171897503</v>
      </c>
      <c r="GE1364" s="8">
        <v>1.001989350565224</v>
      </c>
      <c r="GF1364" s="8">
        <v>3.5143364227117315</v>
      </c>
      <c r="GG1364" s="8">
        <v>2.6796696653298739</v>
      </c>
      <c r="GH1364" s="8">
        <v>0.40861888541082891</v>
      </c>
      <c r="GI1364" s="8">
        <v>3.7106322625020063</v>
      </c>
    </row>
    <row r="1365" spans="182:191">
      <c r="FZ1365" s="8">
        <v>4.5823068680447001</v>
      </c>
      <c r="GA1365" s="8">
        <v>4.7915134615358523</v>
      </c>
      <c r="GB1365" s="8">
        <v>0.30934910983991032</v>
      </c>
      <c r="GC1365" s="8">
        <v>0.15358261978056303</v>
      </c>
      <c r="GD1365" s="8">
        <v>0.40662866891883154</v>
      </c>
      <c r="GE1365" s="8">
        <v>2.2047316135122617</v>
      </c>
      <c r="GF1365" s="8">
        <v>4.6486663788676967</v>
      </c>
      <c r="GG1365" s="8">
        <v>2.6093581968842599</v>
      </c>
      <c r="GH1365" s="8">
        <v>0.64441312055873701</v>
      </c>
      <c r="GI1365" s="8">
        <v>3.3905793358888472</v>
      </c>
    </row>
    <row r="1366" spans="182:191">
      <c r="FZ1366" s="8">
        <v>6.1161567755553836</v>
      </c>
      <c r="GA1366" s="8">
        <v>3.6690843099316024</v>
      </c>
      <c r="GB1366" s="8">
        <v>0.23721479327285994</v>
      </c>
      <c r="GC1366" s="8">
        <v>1.4134777508183478</v>
      </c>
      <c r="GD1366" s="8">
        <v>1.4369520378429717</v>
      </c>
      <c r="GE1366" s="8">
        <v>1.0416954231562934</v>
      </c>
      <c r="GF1366" s="8">
        <v>7.1826106105520164</v>
      </c>
      <c r="GG1366" s="8">
        <v>6.744742807415121</v>
      </c>
      <c r="GH1366" s="8">
        <v>0.64441312055873701</v>
      </c>
      <c r="GI1366" s="8">
        <v>4.3209233282532216</v>
      </c>
    </row>
    <row r="1367" spans="182:191">
      <c r="FZ1367" s="8">
        <v>8.2621142749358949</v>
      </c>
      <c r="GA1367" s="8">
        <v>11.334260618981871</v>
      </c>
      <c r="GB1367" s="8">
        <v>3.1542543363744242</v>
      </c>
      <c r="GC1367" s="8">
        <v>0.80810563745603936</v>
      </c>
      <c r="GD1367" s="8">
        <v>1.1250037775548514</v>
      </c>
      <c r="GE1367" s="8">
        <v>1.8716189399623637</v>
      </c>
      <c r="GF1367" s="8">
        <v>6.2343198215596738</v>
      </c>
      <c r="GG1367" s="8">
        <v>4.8866421250858876</v>
      </c>
      <c r="GH1367" s="8">
        <v>0</v>
      </c>
      <c r="GI1367" s="8">
        <v>5.8372911634464302</v>
      </c>
    </row>
    <row r="1368" spans="182:191">
      <c r="FZ1368" s="8">
        <v>4.7071605451216492</v>
      </c>
      <c r="GA1368" s="8">
        <v>2.1479798724054464</v>
      </c>
      <c r="GB1368" s="8">
        <v>0.24075889937804079</v>
      </c>
      <c r="GC1368" s="8">
        <v>0.65567471335093575</v>
      </c>
      <c r="GD1368" s="8">
        <v>0.88006634649948057</v>
      </c>
      <c r="GE1368" s="8">
        <v>1.8793352813639621</v>
      </c>
      <c r="GF1368" s="8">
        <v>4.2582041772629129</v>
      </c>
      <c r="GG1368" s="8">
        <v>2.8080611976717367</v>
      </c>
      <c r="GH1368" s="8">
        <v>0.75426818593667067</v>
      </c>
      <c r="GI1368" s="8">
        <v>3.3109514422677635</v>
      </c>
    </row>
    <row r="1369" spans="182:191">
      <c r="FZ1369" s="8">
        <v>5.1250292346425494</v>
      </c>
      <c r="GA1369" s="8">
        <v>7.75950971949114</v>
      </c>
      <c r="GB1369" s="8">
        <v>1.1489253401671182</v>
      </c>
      <c r="GC1369" s="8">
        <v>0.63752567468670063</v>
      </c>
      <c r="GD1369" s="8">
        <v>0.8660981863996956</v>
      </c>
      <c r="GE1369" s="8">
        <v>1.6832507652683995</v>
      </c>
      <c r="GF1369" s="8">
        <v>5.1509043716685046</v>
      </c>
      <c r="GG1369" s="8">
        <v>4.0437716100688981</v>
      </c>
      <c r="GH1369" s="8">
        <v>0.47158847029581613</v>
      </c>
      <c r="GI1369" s="8">
        <v>3.4480769051648119</v>
      </c>
    </row>
    <row r="1370" spans="182:191">
      <c r="FZ1370" s="8">
        <v>3.0582685757971344</v>
      </c>
      <c r="GA1370" s="8">
        <v>5.1386419440667641</v>
      </c>
      <c r="GB1370" s="8">
        <v>1.6361356480525311</v>
      </c>
      <c r="GC1370" s="8">
        <v>0.70836233612154353</v>
      </c>
      <c r="GD1370" s="8">
        <v>0.6009070681061468</v>
      </c>
      <c r="GE1370" s="8">
        <v>0.77413708016395999</v>
      </c>
      <c r="GF1370" s="8">
        <v>3.0926590011717714</v>
      </c>
      <c r="GG1370" s="8">
        <v>2.7862839533742965</v>
      </c>
      <c r="GH1370" s="8">
        <v>1.0530320059695661</v>
      </c>
      <c r="GI1370" s="8">
        <v>3.5215446295073436</v>
      </c>
    </row>
    <row r="1371" spans="182:191">
      <c r="FZ1371" s="8">
        <v>6.5710140503988672</v>
      </c>
      <c r="GA1371" s="8">
        <v>12.707257019626024</v>
      </c>
      <c r="GB1371" s="8">
        <v>3.3054287045080413</v>
      </c>
      <c r="GC1371" s="8">
        <v>0.23977115325168066</v>
      </c>
      <c r="GD1371" s="8">
        <v>0.40382862322103036</v>
      </c>
      <c r="GE1371" s="8">
        <v>1.4877785327228474</v>
      </c>
      <c r="GF1371" s="8">
        <v>1.8056125416140945</v>
      </c>
      <c r="GG1371" s="8">
        <v>0.42416298142568709</v>
      </c>
      <c r="GH1371" s="8">
        <v>0.40861888541082891</v>
      </c>
      <c r="GI1371" s="8">
        <v>3.4280856152224857</v>
      </c>
    </row>
    <row r="1372" spans="182:191">
      <c r="FZ1372" s="8">
        <v>8.2621142749358949</v>
      </c>
      <c r="GA1372" s="8">
        <v>8.9642772899094414</v>
      </c>
      <c r="GB1372" s="8">
        <v>2.6903718071291234</v>
      </c>
      <c r="GC1372" s="8">
        <v>1.1553619052017738</v>
      </c>
      <c r="GD1372" s="8">
        <v>1.327246203819807</v>
      </c>
      <c r="GE1372" s="8">
        <v>2.1210694547990632</v>
      </c>
      <c r="GF1372" s="8">
        <v>4.1767658763847608</v>
      </c>
      <c r="GG1372" s="8">
        <v>2.8565954218199106</v>
      </c>
      <c r="GH1372" s="8">
        <v>0.47158847029581613</v>
      </c>
      <c r="GI1372" s="8">
        <v>4.5920689555819223</v>
      </c>
    </row>
    <row r="1373" spans="182:191">
      <c r="FZ1373" s="8">
        <v>7.1555642961703434</v>
      </c>
      <c r="GA1373" s="8">
        <v>9.7308177626416636</v>
      </c>
      <c r="GB1373" s="8">
        <v>1.8617777906107573</v>
      </c>
      <c r="GC1373" s="8">
        <v>0.90147007571776239</v>
      </c>
      <c r="GD1373" s="8">
        <v>1.0605532586143085</v>
      </c>
      <c r="GE1373" s="8">
        <v>2.3445959244926211</v>
      </c>
      <c r="GF1373" s="8">
        <v>5.1905987149593393</v>
      </c>
      <c r="GG1373" s="8">
        <v>3.0670541148756616</v>
      </c>
      <c r="GH1373" s="8">
        <v>0.3456493005258417</v>
      </c>
      <c r="GI1373" s="8">
        <v>5.1581265802008422</v>
      </c>
    </row>
    <row r="1374" spans="182:191">
      <c r="FZ1374" s="8">
        <v>6.1738679944817427</v>
      </c>
      <c r="GA1374" s="8">
        <v>11.334260618981871</v>
      </c>
      <c r="GB1374" s="8">
        <v>3.2962773502886522</v>
      </c>
      <c r="GC1374" s="8">
        <v>0.21254759525532804</v>
      </c>
      <c r="GD1374" s="8">
        <v>0.42157435185128156</v>
      </c>
      <c r="GE1374" s="8">
        <v>1.2549239731481479</v>
      </c>
      <c r="GF1374" s="8">
        <v>1.3190621567500951</v>
      </c>
      <c r="GG1374" s="8">
        <v>0.67140020636133779</v>
      </c>
      <c r="GH1374" s="8">
        <v>0.58144353567374973</v>
      </c>
      <c r="GI1374" s="8">
        <v>4.3015088196053428</v>
      </c>
    </row>
    <row r="1375" spans="182:191">
      <c r="FZ1375" s="8">
        <v>5.6888568468102516</v>
      </c>
      <c r="GA1375" s="8">
        <v>9.1636149328703951</v>
      </c>
      <c r="GB1375" s="8">
        <v>2.807768555517931</v>
      </c>
      <c r="GC1375" s="8">
        <v>0.29245877602228859</v>
      </c>
      <c r="GD1375" s="8">
        <v>0.19956059131499593</v>
      </c>
      <c r="GE1375" s="8">
        <v>1.565497106687578</v>
      </c>
      <c r="GF1375" s="8">
        <v>4.518203919709789</v>
      </c>
      <c r="GG1375" s="8">
        <v>2.2555066839041871</v>
      </c>
      <c r="GH1375" s="8">
        <v>0.17282465026292085</v>
      </c>
      <c r="GI1375" s="8">
        <v>2.6233142562115792</v>
      </c>
    </row>
    <row r="1376" spans="182:191">
      <c r="FZ1376" s="8">
        <v>5.7711218926357992E-2</v>
      </c>
      <c r="GA1376" s="8">
        <v>22.020909098805053</v>
      </c>
      <c r="GB1376" s="8">
        <v>8.8954776786990433</v>
      </c>
      <c r="GC1376" s="8">
        <v>0.50539863618604264</v>
      </c>
      <c r="GD1376" s="8">
        <v>0.71351367920913567</v>
      </c>
      <c r="GE1376" s="8">
        <v>1.8861457248883609</v>
      </c>
      <c r="GF1376" s="8">
        <v>2.7115015073678972</v>
      </c>
      <c r="GG1376" s="8">
        <v>1.7179534577190969</v>
      </c>
      <c r="GH1376" s="8">
        <v>1.0530320059695661</v>
      </c>
      <c r="GI1376" s="8">
        <v>4.5207901395472678</v>
      </c>
    </row>
    <row r="1377" spans="182:191">
      <c r="FZ1377" s="8">
        <v>3.8827145604593918</v>
      </c>
      <c r="GA1377" s="8">
        <v>13.977477010800234</v>
      </c>
      <c r="GB1377" s="8">
        <v>4.5881634591465277</v>
      </c>
      <c r="GC1377" s="8">
        <v>0.52996106006416244</v>
      </c>
      <c r="GD1377" s="8">
        <v>0.29365174257240345</v>
      </c>
      <c r="GE1377" s="8">
        <v>0.81009843422166472</v>
      </c>
      <c r="GF1377" s="8">
        <v>4.2848439083289689</v>
      </c>
      <c r="GG1377" s="8">
        <v>3.0552984226073874</v>
      </c>
      <c r="GH1377" s="8">
        <v>0.23579423514790807</v>
      </c>
      <c r="GI1377" s="8">
        <v>3.9971901123127518</v>
      </c>
    </row>
    <row r="1378" spans="182:191">
      <c r="FZ1378" s="8">
        <v>0.54272236659784878</v>
      </c>
      <c r="GA1378" s="8">
        <v>8.263189237933128</v>
      </c>
      <c r="GB1378" s="8">
        <v>3.2903119476882265</v>
      </c>
      <c r="GC1378" s="8">
        <v>0.42161500443445943</v>
      </c>
      <c r="GD1378" s="8">
        <v>1.2166598998751117</v>
      </c>
      <c r="GE1378" s="8">
        <v>2.7869368206024117</v>
      </c>
      <c r="GF1378" s="8">
        <v>3.9093741131856365</v>
      </c>
      <c r="GG1378" s="8">
        <v>2.5027439088398373</v>
      </c>
      <c r="GH1378" s="8">
        <v>0.3456493005258417</v>
      </c>
      <c r="GI1378" s="8">
        <v>4.7066713312507718</v>
      </c>
    </row>
    <row r="1379" spans="182:191">
      <c r="FZ1379" s="8">
        <v>7.9226794379451286</v>
      </c>
      <c r="GA1379" s="8">
        <v>17.669227134437865</v>
      </c>
      <c r="GB1379" s="8">
        <v>5.1242681435965647</v>
      </c>
      <c r="GC1379" s="8">
        <v>0.59800055487104498</v>
      </c>
      <c r="GD1379" s="8">
        <v>1.0596999849042192</v>
      </c>
      <c r="GE1379" s="8">
        <v>2.3456595943378717</v>
      </c>
      <c r="GF1379" s="8">
        <v>4.4235545084198025</v>
      </c>
      <c r="GG1379" s="8">
        <v>2.9269068902655246</v>
      </c>
      <c r="GH1379" s="8">
        <v>0.23579423514790807</v>
      </c>
      <c r="GI1379" s="8">
        <v>5.9576536965106657</v>
      </c>
    </row>
    <row r="1380" spans="182:191">
      <c r="FZ1380" s="8">
        <v>3.4554146317142589</v>
      </c>
      <c r="GA1380" s="8">
        <v>26.11977750739366</v>
      </c>
      <c r="GB1380" s="8">
        <v>10.37636247980863</v>
      </c>
      <c r="GC1380" s="8">
        <v>0.1965503147216163</v>
      </c>
      <c r="GD1380" s="8">
        <v>0.69141444845641242</v>
      </c>
      <c r="GE1380" s="8">
        <v>2.2316194529147446</v>
      </c>
      <c r="GF1380" s="8">
        <v>1.5881236743411811</v>
      </c>
      <c r="GG1380" s="8">
        <v>0.1769257564900365</v>
      </c>
      <c r="GH1380" s="8">
        <v>0.23579423514790807</v>
      </c>
      <c r="GI1380" s="8">
        <v>5.0947775235221417</v>
      </c>
    </row>
    <row r="1381" spans="182:191">
      <c r="FZ1381" s="8">
        <v>9.5142405643821721</v>
      </c>
      <c r="GA1381" s="8">
        <v>21.841990962811455</v>
      </c>
      <c r="GB1381" s="8">
        <v>7.4168291192512896</v>
      </c>
      <c r="GC1381" s="8">
        <v>0.22635550670771731</v>
      </c>
      <c r="GD1381" s="8">
        <v>0.35203633624672009</v>
      </c>
      <c r="GE1381" s="8">
        <v>1.0703156297330947</v>
      </c>
      <c r="GF1381" s="8">
        <v>2.5077614457659694</v>
      </c>
      <c r="GG1381" s="8">
        <v>1.7397307020165371</v>
      </c>
      <c r="GH1381" s="8">
        <v>0.40861888541082891</v>
      </c>
      <c r="GI1381" s="8">
        <v>5.7335029297927171</v>
      </c>
    </row>
    <row r="1382" spans="182:191">
      <c r="FZ1382" s="8">
        <v>3.3977034127879011</v>
      </c>
      <c r="GA1382" s="8">
        <v>9.4368479956163291</v>
      </c>
      <c r="GB1382" s="8">
        <v>3.4450304219270254</v>
      </c>
      <c r="GC1382" s="8">
        <v>0.86032149518973711</v>
      </c>
      <c r="GD1382" s="8">
        <v>0.81304704980480369</v>
      </c>
      <c r="GE1382" s="8">
        <v>1.1988825560822187</v>
      </c>
      <c r="GF1382" s="8">
        <v>3.4432703612986639</v>
      </c>
      <c r="GG1382" s="8">
        <v>2.4324324403942232</v>
      </c>
      <c r="GH1382" s="8">
        <v>0.40861888541082891</v>
      </c>
      <c r="GI1382" s="8">
        <v>3.0208005071207893</v>
      </c>
    </row>
    <row r="1383" spans="182:191">
      <c r="FZ1383" s="8">
        <v>11.017556223025963</v>
      </c>
      <c r="GA1383" s="8">
        <v>9.5911527247887314</v>
      </c>
      <c r="GB1383" s="8">
        <v>2.6729215924517504</v>
      </c>
      <c r="GC1383" s="8">
        <v>0.63623485769182653</v>
      </c>
      <c r="GD1383" s="8">
        <v>0.40909895059382706</v>
      </c>
      <c r="GE1383" s="8">
        <v>0.85988311676080831</v>
      </c>
      <c r="GF1383" s="8">
        <v>8.6516807827269684</v>
      </c>
      <c r="GG1383" s="8">
        <v>7.1906830331382476</v>
      </c>
      <c r="GH1383" s="8">
        <v>0.23579423514790807</v>
      </c>
      <c r="GI1383" s="8">
        <v>4.6330198761323427</v>
      </c>
    </row>
    <row r="1384" spans="182:191">
      <c r="FZ1384" s="8">
        <v>5.3373676274349791</v>
      </c>
      <c r="GA1384" s="8">
        <v>6.814051110765325</v>
      </c>
      <c r="GB1384" s="8">
        <v>0.84545379428994738</v>
      </c>
      <c r="GC1384" s="8">
        <v>0.72715678328321576</v>
      </c>
      <c r="GD1384" s="8">
        <v>0.90445303614762618</v>
      </c>
      <c r="GE1384" s="8">
        <v>1.2979563815173911</v>
      </c>
      <c r="GF1384" s="8">
        <v>3.0926590011717714</v>
      </c>
      <c r="GG1384" s="8">
        <v>2.2555066839041871</v>
      </c>
      <c r="GH1384" s="8">
        <v>0.17282465026292085</v>
      </c>
      <c r="GI1384" s="8">
        <v>3.3126887400436775</v>
      </c>
    </row>
    <row r="1385" spans="182:191">
      <c r="FZ1385" s="8">
        <v>12.57212876414042</v>
      </c>
      <c r="GA1385" s="8">
        <v>8.9846967968768006</v>
      </c>
      <c r="GB1385" s="8">
        <v>1.5036221428439089</v>
      </c>
      <c r="GC1385" s="8">
        <v>0.63817108318413773</v>
      </c>
      <c r="GD1385" s="8">
        <v>0.42984302663598795</v>
      </c>
      <c r="GE1385" s="8">
        <v>0.84139968948658006</v>
      </c>
      <c r="GF1385" s="8">
        <v>4.3988302325267963</v>
      </c>
      <c r="GG1385" s="8">
        <v>3.1256098910530015</v>
      </c>
      <c r="GH1385" s="8">
        <v>0.17282465026292085</v>
      </c>
      <c r="GI1385" s="8">
        <v>3.7740107423610558</v>
      </c>
    </row>
    <row r="1386" spans="182:191">
      <c r="FZ1386" s="8">
        <v>7.0861790708983659</v>
      </c>
      <c r="GA1386" s="8">
        <v>11.533598261942824</v>
      </c>
      <c r="GB1386" s="8">
        <v>3.2403826001513529</v>
      </c>
      <c r="GC1386" s="8">
        <v>1.5529993155575104</v>
      </c>
      <c r="GD1386" s="8">
        <v>1.3548964240988308</v>
      </c>
      <c r="GE1386" s="8">
        <v>1.1365580310173156</v>
      </c>
      <c r="GF1386" s="8">
        <v>2.3580736153578767</v>
      </c>
      <c r="GG1386" s="8">
        <v>1.1871761882489873</v>
      </c>
      <c r="GH1386" s="8">
        <v>0.17282465026292085</v>
      </c>
      <c r="GI1386" s="8">
        <v>4.2093785079243373</v>
      </c>
    </row>
    <row r="1387" spans="182:191">
      <c r="FZ1387" s="8">
        <v>1.8521794989315969</v>
      </c>
      <c r="GA1387" s="8">
        <v>20.824584527415823</v>
      </c>
      <c r="GB1387" s="8">
        <v>8.2162271707248422</v>
      </c>
      <c r="GC1387" s="8">
        <v>0.6958452416640285</v>
      </c>
      <c r="GD1387" s="8">
        <v>0.61415447729603634</v>
      </c>
      <c r="GE1387" s="8">
        <v>1.6942608441060218</v>
      </c>
      <c r="GF1387" s="8">
        <v>6.3146456342442532</v>
      </c>
      <c r="GG1387" s="8">
        <v>3.9856915461726499</v>
      </c>
      <c r="GH1387" s="8">
        <v>0.23579423514790807</v>
      </c>
      <c r="GI1387" s="8">
        <v>5.6318380013805349</v>
      </c>
    </row>
    <row r="1388" spans="182:191">
      <c r="FZ1388" s="8">
        <v>5.2917107908931271</v>
      </c>
      <c r="GA1388" s="8">
        <v>5.4634218102036911</v>
      </c>
      <c r="GB1388" s="8">
        <v>1.5304087665740793</v>
      </c>
      <c r="GC1388" s="8">
        <v>0.52251000144441462</v>
      </c>
      <c r="GD1388" s="8">
        <v>0.77117189750322501</v>
      </c>
      <c r="GE1388" s="8">
        <v>2.4388462488036322</v>
      </c>
      <c r="GF1388" s="8">
        <v>6.9429569016293318</v>
      </c>
      <c r="GG1388" s="8">
        <v>4.9351763492340606</v>
      </c>
      <c r="GH1388" s="8">
        <v>0.58144353567374973</v>
      </c>
      <c r="GI1388" s="8">
        <v>4.4844452823320404</v>
      </c>
    </row>
    <row r="1389" spans="182:191">
      <c r="FZ1389" s="8">
        <v>4.5823068680447001</v>
      </c>
      <c r="GA1389" s="8">
        <v>20.164652686686267</v>
      </c>
      <c r="GB1389" s="8">
        <v>5.2067644626306251</v>
      </c>
      <c r="GC1389" s="8">
        <v>0.46321238225215411</v>
      </c>
      <c r="GD1389" s="8">
        <v>0.56612065780880094</v>
      </c>
      <c r="GE1389" s="8">
        <v>1.1386419089009649</v>
      </c>
      <c r="GF1389" s="8">
        <v>2.4263231448878173</v>
      </c>
      <c r="GG1389" s="8">
        <v>1.4344134131846378</v>
      </c>
      <c r="GH1389" s="8">
        <v>0</v>
      </c>
      <c r="GI1389" s="8">
        <v>3.9995303453201578</v>
      </c>
    </row>
    <row r="1390" spans="182:191">
      <c r="FZ1390" s="8">
        <v>3.9981369983121078</v>
      </c>
      <c r="GA1390" s="8">
        <v>1.1736587576831998</v>
      </c>
      <c r="GB1390" s="8">
        <v>0.41283974965652581</v>
      </c>
      <c r="GC1390" s="8">
        <v>0.81029500653736186</v>
      </c>
      <c r="GD1390" s="8">
        <v>0.73901549582171455</v>
      </c>
      <c r="GE1390" s="8">
        <v>1.2856922625243175</v>
      </c>
      <c r="GF1390" s="8">
        <v>5.5060912206645174</v>
      </c>
      <c r="GG1390" s="8">
        <v>4.2424746108563749</v>
      </c>
      <c r="GH1390" s="8">
        <v>0.40861888541082891</v>
      </c>
      <c r="GI1390" s="8">
        <v>3.5764146275520847</v>
      </c>
    </row>
    <row r="1391" spans="182:191">
      <c r="FZ1391" s="8">
        <v>5.7469484417754941</v>
      </c>
      <c r="GA1391" s="8">
        <v>0.1993376429609533</v>
      </c>
      <c r="GB1391" s="8">
        <v>0.34182824269941148</v>
      </c>
      <c r="GC1391" s="8">
        <v>0.37172454829181201</v>
      </c>
      <c r="GD1391" s="8">
        <v>1.0850706161791506</v>
      </c>
      <c r="GE1391" s="8">
        <v>2.5101085570834352</v>
      </c>
      <c r="GF1391" s="8">
        <v>4.9613656997825215</v>
      </c>
      <c r="GG1391" s="8">
        <v>3.6899200970888253</v>
      </c>
      <c r="GH1391" s="8">
        <v>0.17282465026292085</v>
      </c>
      <c r="GI1391" s="8">
        <v>4.5469800815690435</v>
      </c>
    </row>
    <row r="1392" spans="182:191">
      <c r="FZ1392" s="8">
        <v>5.3072137546069706</v>
      </c>
      <c r="GA1392" s="8">
        <v>13.282902848426364</v>
      </c>
      <c r="GB1392" s="8">
        <v>3.2078156286541653</v>
      </c>
      <c r="GC1392" s="8">
        <v>0.94715543715829176</v>
      </c>
      <c r="GD1392" s="8">
        <v>0.79717988212406188</v>
      </c>
      <c r="GE1392" s="8">
        <v>0.77413708016395999</v>
      </c>
      <c r="GF1392" s="8">
        <v>4.0992339781175335</v>
      </c>
      <c r="GG1392" s="8">
        <v>3.7262229166876337</v>
      </c>
      <c r="GH1392" s="8">
        <v>0.70738270544372439</v>
      </c>
      <c r="GI1392" s="8">
        <v>3.8986466092114949</v>
      </c>
    </row>
    <row r="1393" spans="182:191">
      <c r="FZ1393" s="8">
        <v>3.94042577938575</v>
      </c>
      <c r="GA1393" s="8">
        <v>14.931378618555122</v>
      </c>
      <c r="GB1393" s="8">
        <v>5.7749131234317419</v>
      </c>
      <c r="GC1393" s="8">
        <v>0.19181692260134459</v>
      </c>
      <c r="GD1393" s="8">
        <v>0.29558436515892172</v>
      </c>
      <c r="GE1393" s="8">
        <v>0.90092254716859421</v>
      </c>
      <c r="GF1393" s="8">
        <v>3.5140162376949675</v>
      </c>
      <c r="GG1393" s="8">
        <v>2.9269068902655246</v>
      </c>
      <c r="GH1393" s="8">
        <v>0.58144353567374973</v>
      </c>
      <c r="GI1393" s="8">
        <v>3.8444041890270526</v>
      </c>
    </row>
    <row r="1394" spans="182:191">
      <c r="FZ1394" s="8">
        <v>2.8338758006201989</v>
      </c>
      <c r="GA1394" s="8">
        <v>15.299243805365437</v>
      </c>
      <c r="GB1394" s="8">
        <v>4.6766251807810146</v>
      </c>
      <c r="GC1394" s="8">
        <v>1.0380773627496811</v>
      </c>
      <c r="GD1394" s="8">
        <v>0.83261286917590338</v>
      </c>
      <c r="GE1394" s="8">
        <v>0.45844416404304011</v>
      </c>
      <c r="GF1394" s="8">
        <v>4.2118874989308619</v>
      </c>
      <c r="GG1394" s="8">
        <v>4.1236289182625878</v>
      </c>
      <c r="GH1394" s="8">
        <v>0.40861888541082891</v>
      </c>
      <c r="GI1394" s="8">
        <v>4.5833746626128136</v>
      </c>
    </row>
    <row r="1395" spans="182:191">
      <c r="FZ1395" s="8">
        <v>0.11542243785271598</v>
      </c>
      <c r="GA1395" s="8">
        <v>6.4912188377435598</v>
      </c>
      <c r="GB1395" s="8">
        <v>2.9030481735142484</v>
      </c>
      <c r="GC1395" s="8">
        <v>0.26200817553875044</v>
      </c>
      <c r="GD1395" s="8">
        <v>0.94606115034673832</v>
      </c>
      <c r="GE1395" s="8">
        <v>2.7807968299825219</v>
      </c>
      <c r="GF1395" s="8">
        <v>3.1358389626039296</v>
      </c>
      <c r="GG1395" s="8">
        <v>1.5410277012290603</v>
      </c>
      <c r="GH1395" s="8">
        <v>0.64441312055873701</v>
      </c>
      <c r="GI1395" s="8">
        <v>3.4010442957051761</v>
      </c>
    </row>
    <row r="1396" spans="182:191">
      <c r="FZ1396" s="8">
        <v>12.824078885415705</v>
      </c>
      <c r="GA1396" s="8">
        <v>3.520976273049599</v>
      </c>
      <c r="GB1396" s="8">
        <v>0.38951197101641355</v>
      </c>
      <c r="GC1396" s="8">
        <v>0.2322029835526494</v>
      </c>
      <c r="GD1396" s="8">
        <v>0.51532880287081162</v>
      </c>
      <c r="GE1396" s="8">
        <v>1.3921072354403934</v>
      </c>
      <c r="GF1396" s="8">
        <v>4.3624987451126556</v>
      </c>
      <c r="GG1396" s="8">
        <v>3.5492971601975971</v>
      </c>
      <c r="GH1396" s="8">
        <v>0.47158847029581613</v>
      </c>
      <c r="GI1396" s="8">
        <v>3.9782417285971059</v>
      </c>
    </row>
    <row r="1397" spans="182:191">
      <c r="FZ1397" s="8">
        <v>9.6711105053696294</v>
      </c>
      <c r="GA1397" s="8">
        <v>9.53148011968071</v>
      </c>
      <c r="GB1397" s="8">
        <v>1.6944516946850756</v>
      </c>
      <c r="GC1397" s="8">
        <v>0.61937663602246562</v>
      </c>
      <c r="GD1397" s="8">
        <v>0.71740000999843745</v>
      </c>
      <c r="GE1397" s="8">
        <v>1.1397055787462154</v>
      </c>
      <c r="GF1397" s="8">
        <v>1.7547203744129232</v>
      </c>
      <c r="GG1397" s="8">
        <v>1.3641019447390237</v>
      </c>
      <c r="GH1397" s="8">
        <v>0.58144353567374973</v>
      </c>
      <c r="GI1397" s="8">
        <v>4.1361619635800047</v>
      </c>
    </row>
    <row r="1398" spans="182:191">
      <c r="FZ1398" s="8">
        <v>8.2500598925513877</v>
      </c>
      <c r="GA1398" s="8">
        <v>19.176108757287064</v>
      </c>
      <c r="GB1398" s="8">
        <v>5.6353114060127574</v>
      </c>
      <c r="GC1398" s="8">
        <v>0.33478106246590467</v>
      </c>
      <c r="GD1398" s="8">
        <v>0.87218600939457758</v>
      </c>
      <c r="GE1398" s="8">
        <v>2.7001422269058586</v>
      </c>
      <c r="GF1398" s="8">
        <v>4.7759921211257126</v>
      </c>
      <c r="GG1398" s="8">
        <v>2.6796696653298739</v>
      </c>
      <c r="GH1398" s="8">
        <v>0.40861888541082891</v>
      </c>
      <c r="GI1398" s="8">
        <v>5.1428892526947099</v>
      </c>
    </row>
    <row r="1399" spans="182:191">
      <c r="FZ1399" s="8">
        <v>6.9409831362565262</v>
      </c>
      <c r="GA1399" s="8">
        <v>10.454254431011961</v>
      </c>
      <c r="GB1399" s="8">
        <v>2.5571706488189876</v>
      </c>
      <c r="GC1399" s="8">
        <v>0.18618497839462456</v>
      </c>
      <c r="GD1399" s="8">
        <v>0.36984784379088587</v>
      </c>
      <c r="GE1399" s="8">
        <v>1.0518322024588664</v>
      </c>
      <c r="GF1399" s="8">
        <v>0.72150566640110481</v>
      </c>
      <c r="GG1399" s="8">
        <v>0.1769257564900365</v>
      </c>
      <c r="GH1399" s="8">
        <v>0.75426818593667067</v>
      </c>
      <c r="GI1399" s="8">
        <v>3.9480511522203523</v>
      </c>
    </row>
    <row r="1400" spans="182:191">
      <c r="FZ1400" s="8">
        <v>2.7761645816938412</v>
      </c>
      <c r="GA1400" s="8">
        <v>8.1892938181481494</v>
      </c>
      <c r="GB1400" s="8">
        <v>2.9124698435821692</v>
      </c>
      <c r="GC1400" s="8">
        <v>1.2747982057843901</v>
      </c>
      <c r="GD1400" s="8">
        <v>1.1478297975922045</v>
      </c>
      <c r="GE1400" s="8">
        <v>1.4694919165179392</v>
      </c>
      <c r="GF1400" s="8">
        <v>7.24549262643818</v>
      </c>
      <c r="GG1400" s="8">
        <v>5.8751153125473978</v>
      </c>
      <c r="GH1400" s="8">
        <v>0.23579423514790807</v>
      </c>
      <c r="GI1400" s="8">
        <v>5.2519316326586205</v>
      </c>
    </row>
    <row r="1401" spans="182:191">
      <c r="FZ1401" s="8">
        <v>9.3192409099554716</v>
      </c>
      <c r="GA1401" s="8">
        <v>14.730111866167544</v>
      </c>
      <c r="GB1401" s="8">
        <v>2.7229387786263111</v>
      </c>
      <c r="GC1401" s="8">
        <v>0.40475678276509852</v>
      </c>
      <c r="GD1401" s="8">
        <v>0.84108850995804885</v>
      </c>
      <c r="GE1401" s="8">
        <v>1.6163634820920174</v>
      </c>
      <c r="GF1401" s="8">
        <v>2.4899748464850138</v>
      </c>
      <c r="GG1401" s="8">
        <v>1.9869679269521878</v>
      </c>
      <c r="GH1401" s="8">
        <v>0.40861888541082891</v>
      </c>
      <c r="GI1401" s="8">
        <v>4.6938565337801981</v>
      </c>
    </row>
    <row r="1402" spans="182:191">
      <c r="FZ1402" s="8">
        <v>3.1733106376109657</v>
      </c>
      <c r="GA1402" s="8">
        <v>3.6690843099316024</v>
      </c>
      <c r="GB1402" s="8">
        <v>0.32446586665972488</v>
      </c>
      <c r="GC1402" s="8">
        <v>0.31968233401864121</v>
      </c>
      <c r="GD1402" s="8">
        <v>0.41202723208403691</v>
      </c>
      <c r="GE1402" s="8">
        <v>0.72724496492989776</v>
      </c>
      <c r="GF1402" s="8">
        <v>3.0748724018908158</v>
      </c>
      <c r="GG1402" s="8">
        <v>2.5027439088398373</v>
      </c>
      <c r="GH1402" s="8">
        <v>0.17282465026292085</v>
      </c>
      <c r="GI1402" s="8">
        <v>2.4158551311271044</v>
      </c>
    </row>
    <row r="1403" spans="182:191">
      <c r="FZ1403" s="8">
        <v>2.1916143359223637</v>
      </c>
      <c r="GA1403" s="8">
        <v>7.8418481383051937</v>
      </c>
      <c r="GB1403" s="8">
        <v>2.5995766276370778</v>
      </c>
      <c r="GC1403" s="8">
        <v>0.41590356009925511</v>
      </c>
      <c r="GD1403" s="8">
        <v>0.46951851824858165</v>
      </c>
      <c r="GE1403" s="8">
        <v>1.3704180910827666</v>
      </c>
      <c r="GF1403" s="8">
        <v>3.2118006979028824</v>
      </c>
      <c r="GG1403" s="8">
        <v>1.7397307020165371</v>
      </c>
      <c r="GH1403" s="8">
        <v>0.58144353567374973</v>
      </c>
      <c r="GI1403" s="8">
        <v>2.9879278705516477</v>
      </c>
    </row>
    <row r="1404" spans="182:191">
      <c r="FZ1404" s="8">
        <v>1.482590789112822</v>
      </c>
      <c r="GA1404" s="8">
        <v>5.9136254158280579</v>
      </c>
      <c r="GB1404" s="8">
        <v>1.534978466093474</v>
      </c>
      <c r="GC1404" s="8">
        <v>0.82500147007619928</v>
      </c>
      <c r="GD1404" s="8">
        <v>0.53545846606682979</v>
      </c>
      <c r="GE1404" s="8">
        <v>1.2952426022615839</v>
      </c>
      <c r="GF1404" s="8">
        <v>2.5848448513680782</v>
      </c>
      <c r="GG1404" s="8">
        <v>0.84832596285137418</v>
      </c>
      <c r="GH1404" s="8">
        <v>0.64441312055873701</v>
      </c>
      <c r="GI1404" s="8">
        <v>3.2601774977533919</v>
      </c>
    </row>
    <row r="1405" spans="182:191">
      <c r="FZ1405" s="8">
        <v>3.94042577938575</v>
      </c>
      <c r="GA1405" s="8">
        <v>9.0381727096944218</v>
      </c>
      <c r="GB1405" s="8">
        <v>3.312516916718403</v>
      </c>
      <c r="GC1405" s="8">
        <v>0.89791038951308133</v>
      </c>
      <c r="GD1405" s="8">
        <v>1.1861598753237765</v>
      </c>
      <c r="GE1405" s="8">
        <v>2.0066597498185619</v>
      </c>
      <c r="GF1405" s="8">
        <v>4.4274832500943511</v>
      </c>
      <c r="GG1405" s="8">
        <v>3.4209056278557344</v>
      </c>
      <c r="GH1405" s="8">
        <v>0.64441312055873701</v>
      </c>
      <c r="GI1405" s="8">
        <v>4.29554349094232</v>
      </c>
    </row>
    <row r="1406" spans="182:191">
      <c r="FZ1406" s="8">
        <v>3.1159797947234926</v>
      </c>
      <c r="GA1406" s="8">
        <v>13.957057503832875</v>
      </c>
      <c r="GB1406" s="8">
        <v>5.6864514017972549</v>
      </c>
      <c r="GC1406" s="8">
        <v>0.39439144643810675</v>
      </c>
      <c r="GD1406" s="8">
        <v>0.7984911556493659</v>
      </c>
      <c r="GE1406" s="8">
        <v>1.9145931789771082</v>
      </c>
      <c r="GF1406" s="8">
        <v>1.4937944480679588</v>
      </c>
      <c r="GG1406" s="8">
        <v>0.24723722493565062</v>
      </c>
      <c r="GH1406" s="8">
        <v>0.3456493005258417</v>
      </c>
      <c r="GI1406" s="8">
        <v>3.8189341996718138</v>
      </c>
    </row>
    <row r="1407" spans="182:191">
      <c r="FZ1407" s="8">
        <v>10.301317587682959</v>
      </c>
      <c r="GA1407" s="8">
        <v>23.015966917806701</v>
      </c>
      <c r="GB1407" s="8">
        <v>6.1388491189656076</v>
      </c>
      <c r="GC1407" s="8">
        <v>0.2931041845197257</v>
      </c>
      <c r="GD1407" s="8">
        <v>0.55415929445093437</v>
      </c>
      <c r="GE1407" s="8">
        <v>1.9015203705626027</v>
      </c>
      <c r="GF1407" s="8">
        <v>2.0930206928089103</v>
      </c>
      <c r="GG1407" s="8">
        <v>0.42416298142568709</v>
      </c>
      <c r="GH1407" s="8">
        <v>0.23579423514790807</v>
      </c>
      <c r="GI1407" s="8">
        <v>5.2878428445496377</v>
      </c>
    </row>
    <row r="1408" spans="182:191">
      <c r="FZ1408" s="8">
        <v>2.718453362767483</v>
      </c>
      <c r="GA1408" s="8">
        <v>13.683824441086943</v>
      </c>
      <c r="GB1408" s="8">
        <v>5.0690610465607779</v>
      </c>
      <c r="GC1408" s="8">
        <v>1.2208197660189082</v>
      </c>
      <c r="GD1408" s="8">
        <v>1.0179676215825313</v>
      </c>
      <c r="GE1408" s="8">
        <v>1.5116186999823384</v>
      </c>
      <c r="GF1408" s="8">
        <v>3.6848479778769843</v>
      </c>
      <c r="GG1408" s="8">
        <v>1.8100421704621514</v>
      </c>
      <c r="GH1408" s="8">
        <v>0</v>
      </c>
      <c r="GI1408" s="8">
        <v>4.7087033699182053</v>
      </c>
    </row>
    <row r="1409" spans="182:191">
      <c r="FZ1409" s="8">
        <v>6.8531180445021604</v>
      </c>
      <c r="GA1409" s="8">
        <v>6.8879465305503036</v>
      </c>
      <c r="GB1409" s="8">
        <v>1.4838384703089775</v>
      </c>
      <c r="GC1409" s="8">
        <v>0.50080127657549844</v>
      </c>
      <c r="GD1409" s="8">
        <v>0.65257753808216901</v>
      </c>
      <c r="GE1409" s="8">
        <v>1.4398080400958875</v>
      </c>
      <c r="GF1409" s="8">
        <v>3.1887695234946096</v>
      </c>
      <c r="GG1409" s="8">
        <v>2.0568036831167102</v>
      </c>
      <c r="GH1409" s="8">
        <v>0.23579423514790807</v>
      </c>
      <c r="GI1409" s="8">
        <v>3.5551508644632976</v>
      </c>
    </row>
    <row r="1410" spans="182:191">
      <c r="FZ1410" s="8">
        <v>14.962821296262756</v>
      </c>
      <c r="GA1410" s="8">
        <v>21.044658874656179</v>
      </c>
      <c r="GB1410" s="8">
        <v>5.7178077250468196</v>
      </c>
      <c r="GC1410" s="8">
        <v>0.78127125555842558</v>
      </c>
      <c r="GD1410" s="8">
        <v>1.0647718889990401</v>
      </c>
      <c r="GE1410" s="8">
        <v>1.594134931086526</v>
      </c>
      <c r="GF1410" s="8">
        <v>3.5143364227117315</v>
      </c>
      <c r="GG1410" s="8">
        <v>3.0335211783099472</v>
      </c>
      <c r="GH1410" s="8">
        <v>1.0530320059695661</v>
      </c>
      <c r="GI1410" s="8">
        <v>5.6371120694707191</v>
      </c>
    </row>
    <row r="1411" spans="182:191">
      <c r="FZ1411" s="8">
        <v>7.1438902898247232</v>
      </c>
      <c r="GA1411" s="8">
        <v>11.334260618981871</v>
      </c>
      <c r="GB1411" s="8">
        <v>3.2764058391160349</v>
      </c>
      <c r="GC1411" s="8">
        <v>0.75133003106259688</v>
      </c>
      <c r="GD1411" s="8">
        <v>1.181476308908759</v>
      </c>
      <c r="GE1411" s="8">
        <v>2.2016016836055083</v>
      </c>
      <c r="GF1411" s="8">
        <v>5.8218380558852019</v>
      </c>
      <c r="GG1411" s="8">
        <v>4.559547591956548</v>
      </c>
      <c r="GH1411" s="8">
        <v>0.58144353567374973</v>
      </c>
      <c r="GI1411" s="8">
        <v>5.3861291859335303</v>
      </c>
    </row>
    <row r="1412" spans="182:191">
      <c r="FZ1412" s="8">
        <v>2.2794794276767298</v>
      </c>
      <c r="GA1412" s="8">
        <v>6.6681893806219925</v>
      </c>
      <c r="GB1412" s="8">
        <v>2.7078220218064963</v>
      </c>
      <c r="GC1412" s="8">
        <v>0.61937663602246551</v>
      </c>
      <c r="GD1412" s="8">
        <v>0.53628533002827439</v>
      </c>
      <c r="GE1412" s="8">
        <v>0.83431352242949519</v>
      </c>
      <c r="GF1412" s="8">
        <v>2.2665609209677822</v>
      </c>
      <c r="GG1412" s="8">
        <v>1.788264926164711</v>
      </c>
      <c r="GH1412" s="8">
        <v>0.64441312055873701</v>
      </c>
      <c r="GI1412" s="8">
        <v>3.1765115468678129</v>
      </c>
    </row>
    <row r="1413" spans="182:191">
      <c r="FZ1413" s="8">
        <v>9.1740449753136328</v>
      </c>
      <c r="GA1413" s="8">
        <v>14.604669642991567</v>
      </c>
      <c r="GB1413" s="8">
        <v>3.2252658433315382</v>
      </c>
      <c r="GC1413" s="8">
        <v>0.83816397303115164</v>
      </c>
      <c r="GD1413" s="8">
        <v>0.83853949807802297</v>
      </c>
      <c r="GE1413" s="8">
        <v>2.2895109157472717</v>
      </c>
      <c r="GF1413" s="8">
        <v>4.642391937038763</v>
      </c>
      <c r="GG1413" s="8">
        <v>2.1638936834422244</v>
      </c>
      <c r="GH1413" s="8">
        <v>0.64441312055873701</v>
      </c>
      <c r="GI1413" s="8">
        <v>4.3479034116385211</v>
      </c>
    </row>
    <row r="1414" spans="182:191">
      <c r="FZ1414" s="8">
        <v>3.1736910136498504</v>
      </c>
      <c r="GA1414" s="8">
        <v>7.1099499872172878</v>
      </c>
      <c r="GB1414" s="8">
        <v>2.038516179046324</v>
      </c>
      <c r="GC1414" s="8">
        <v>1.1775989274888436</v>
      </c>
      <c r="GD1414" s="8">
        <v>1.4881854326345618</v>
      </c>
      <c r="GE1414" s="8">
        <v>1.7002802160311359</v>
      </c>
      <c r="GF1414" s="8">
        <v>2.4847302713576962</v>
      </c>
      <c r="GG1414" s="8">
        <v>2.0568036831167102</v>
      </c>
      <c r="GH1414" s="8">
        <v>0.58144353567374973</v>
      </c>
      <c r="GI1414" s="8">
        <v>4.2102086089499329</v>
      </c>
    </row>
    <row r="1415" spans="182:191">
      <c r="FZ1415" s="8">
        <v>5.6892372228491359</v>
      </c>
      <c r="GA1415" s="8">
        <v>4.7399666581448576</v>
      </c>
      <c r="GB1415" s="8">
        <v>1.4873825764141584</v>
      </c>
      <c r="GC1415" s="8">
        <v>1.6720433512317006</v>
      </c>
      <c r="GD1415" s="8">
        <v>1.3126875211046138</v>
      </c>
      <c r="GE1415" s="8">
        <v>1.282799695219236</v>
      </c>
      <c r="GF1415" s="8">
        <v>4.5487723924503936</v>
      </c>
      <c r="GG1415" s="8">
        <v>2.9967426464300475</v>
      </c>
      <c r="GH1415" s="8">
        <v>0.58144353567374973</v>
      </c>
      <c r="GI1415" s="8">
        <v>4.056514550429684</v>
      </c>
    </row>
    <row r="1416" spans="182:191">
      <c r="FZ1416" s="8">
        <v>3.5428993474297403</v>
      </c>
      <c r="GA1416" s="8">
        <v>11.334260618981871</v>
      </c>
      <c r="GB1416" s="8">
        <v>3.3299671313957759</v>
      </c>
      <c r="GC1416" s="8">
        <v>0.57688070611832265</v>
      </c>
      <c r="GD1416" s="8">
        <v>0.52662944800219402</v>
      </c>
      <c r="GE1416" s="8">
        <v>1.3860085458540146</v>
      </c>
      <c r="GF1416" s="8">
        <v>2.7531113058317813</v>
      </c>
      <c r="GG1416" s="8">
        <v>1.1871761882489873</v>
      </c>
      <c r="GH1416" s="8">
        <v>0</v>
      </c>
      <c r="GI1416" s="8">
        <v>3.199387374205191</v>
      </c>
    </row>
    <row r="1417" spans="182:191">
      <c r="FZ1417" s="8">
        <v>8.4646410524652076</v>
      </c>
      <c r="GA1417" s="8">
        <v>11.406226929340225</v>
      </c>
      <c r="GB1417" s="8">
        <v>0.9152546529994392</v>
      </c>
      <c r="GC1417" s="8">
        <v>0.40755394939305911</v>
      </c>
      <c r="GD1417" s="8">
        <v>0.84908869554307975</v>
      </c>
      <c r="GE1417" s="8">
        <v>1.7156156903785651</v>
      </c>
      <c r="GF1417" s="8">
        <v>5.0467327423352213</v>
      </c>
      <c r="GG1417" s="8">
        <v>4.3123103670208973</v>
      </c>
      <c r="GH1417" s="8">
        <v>0.58144353567374973</v>
      </c>
      <c r="GI1417" s="8">
        <v>4.1621284214818344</v>
      </c>
    </row>
    <row r="1418" spans="182:191">
      <c r="FZ1418" s="8">
        <v>7.9683362744869815</v>
      </c>
      <c r="GA1418" s="8">
        <v>12.707257019626024</v>
      </c>
      <c r="GB1418" s="8">
        <v>3.4426091254317805</v>
      </c>
      <c r="GC1418" s="8">
        <v>0.67012803330076209</v>
      </c>
      <c r="GD1418" s="8">
        <v>0.66957288746679611</v>
      </c>
      <c r="GE1418" s="8">
        <v>1.0703156297330947</v>
      </c>
      <c r="GF1418" s="8">
        <v>3.0608916057679476</v>
      </c>
      <c r="GG1418" s="8">
        <v>2.0572793953978019</v>
      </c>
      <c r="GH1418" s="8">
        <v>0.69129860105168339</v>
      </c>
      <c r="GI1418" s="8">
        <v>3.8430362004189318</v>
      </c>
    </row>
    <row r="1419" spans="182:191">
      <c r="FZ1419" s="8">
        <v>7.0560251980703566</v>
      </c>
      <c r="GA1419" s="8">
        <v>4.244730138731942</v>
      </c>
      <c r="GB1419" s="8">
        <v>6.9800858709491903E-2</v>
      </c>
      <c r="GC1419" s="8">
        <v>0.38273529311624077</v>
      </c>
      <c r="GD1419" s="8">
        <v>0.60745982713131497</v>
      </c>
      <c r="GE1419" s="8">
        <v>1.3151646203294018</v>
      </c>
      <c r="GF1419" s="8">
        <v>1.524561175338017</v>
      </c>
      <c r="GG1419" s="8">
        <v>0.67140020636133779</v>
      </c>
      <c r="GH1419" s="8">
        <v>0.40861888541082891</v>
      </c>
      <c r="GI1419" s="8">
        <v>2.5863824664019077</v>
      </c>
    </row>
    <row r="1420" spans="182:191">
      <c r="FZ1420" s="8">
        <v>2.9583491016582619</v>
      </c>
      <c r="GA1420" s="8">
        <v>5.2929466732391681</v>
      </c>
      <c r="GB1420" s="8">
        <v>0.72563574940589493</v>
      </c>
      <c r="GC1420" s="8">
        <v>0.70273039191482367</v>
      </c>
      <c r="GD1420" s="8">
        <v>0.95700562170667025</v>
      </c>
      <c r="GE1420" s="8">
        <v>1.6207681952630897</v>
      </c>
      <c r="GF1420" s="8">
        <v>3.3975335666307771</v>
      </c>
      <c r="GG1420" s="8">
        <v>2.4324324403942232</v>
      </c>
      <c r="GH1420" s="8">
        <v>0.40861888541082891</v>
      </c>
      <c r="GI1420" s="8">
        <v>3.0336398034380903</v>
      </c>
    </row>
    <row r="1421" spans="182:191">
      <c r="FZ1421" s="8">
        <v>5.8344331574909756</v>
      </c>
      <c r="GA1421" s="8">
        <v>10.559277147220579</v>
      </c>
      <c r="GB1421" s="8">
        <v>3.1182310974097422</v>
      </c>
      <c r="GC1421" s="8">
        <v>0.87068683151672865</v>
      </c>
      <c r="GD1421" s="8">
        <v>1.5682678646423462</v>
      </c>
      <c r="GE1421" s="8">
        <v>2.7551690662967094</v>
      </c>
      <c r="GF1421" s="8">
        <v>3.0666883563639109</v>
      </c>
      <c r="GG1421" s="8">
        <v>1.5628049455265007</v>
      </c>
      <c r="GH1421" s="8">
        <v>0</v>
      </c>
      <c r="GI1421" s="8">
        <v>5.1398825406751083</v>
      </c>
    </row>
    <row r="1422" spans="182:191">
      <c r="FZ1422" s="8">
        <v>2.7644905753482205</v>
      </c>
      <c r="GA1422" s="8">
        <v>7.0668646665438999</v>
      </c>
      <c r="GB1422" s="8">
        <v>2.7717453165532491</v>
      </c>
      <c r="GC1422" s="8">
        <v>0.4792891629143502</v>
      </c>
      <c r="GD1422" s="8">
        <v>0.51932280918641283</v>
      </c>
      <c r="GE1422" s="8">
        <v>0.96415563724083686</v>
      </c>
      <c r="GF1422" s="8">
        <v>3.0972568291045146</v>
      </c>
      <c r="GG1422" s="8">
        <v>2.3040409080523605</v>
      </c>
      <c r="GH1422" s="8">
        <v>0.58144353567374973</v>
      </c>
      <c r="GI1422" s="8">
        <v>3.6049843713767373</v>
      </c>
    </row>
    <row r="1423" spans="182:191">
      <c r="FZ1423" s="8">
        <v>2.7761645816938412</v>
      </c>
      <c r="GA1423" s="8">
        <v>2.6947631952093558</v>
      </c>
      <c r="GB1423" s="8">
        <v>0.28835478905735645</v>
      </c>
      <c r="GC1423" s="8">
        <v>0.55847543505538932</v>
      </c>
      <c r="GD1423" s="8">
        <v>1.269804992622438</v>
      </c>
      <c r="GE1423" s="8">
        <v>2.5111869344763336</v>
      </c>
      <c r="GF1423" s="8">
        <v>2.7307268786180821</v>
      </c>
      <c r="GG1423" s="8">
        <v>1.9166564585065737</v>
      </c>
      <c r="GH1423" s="8">
        <v>0.64441312055873701</v>
      </c>
      <c r="GI1423" s="8">
        <v>3.2458480297855261</v>
      </c>
    </row>
    <row r="1424" spans="182:191">
      <c r="FZ1424" s="8">
        <v>7.0564055741092417</v>
      </c>
      <c r="GA1424" s="8">
        <v>5.9136254158280579</v>
      </c>
      <c r="GB1424" s="8">
        <v>1.5373997625887188</v>
      </c>
      <c r="GC1424" s="8">
        <v>0.34708262428520775</v>
      </c>
      <c r="GD1424" s="8">
        <v>0.35763399551803493</v>
      </c>
      <c r="GE1424" s="8">
        <v>1.1253575818694921</v>
      </c>
      <c r="GF1424" s="8">
        <v>2.5401979274279887</v>
      </c>
      <c r="GG1424" s="8">
        <v>1.669419233570923</v>
      </c>
      <c r="GH1424" s="8">
        <v>0.64441312055873701</v>
      </c>
      <c r="GI1424" s="8">
        <v>3.0655401008065652</v>
      </c>
    </row>
    <row r="1425" spans="182:191">
      <c r="FZ1425" s="8">
        <v>3.0582685757971344</v>
      </c>
      <c r="GA1425" s="8">
        <v>10.633172567005557</v>
      </c>
      <c r="GB1425" s="8">
        <v>3.8950068426001332</v>
      </c>
      <c r="GC1425" s="8">
        <v>1.5990173207155352</v>
      </c>
      <c r="GD1425" s="8">
        <v>1.1462724579460368</v>
      </c>
      <c r="GE1425" s="8">
        <v>0.88153953055074186</v>
      </c>
      <c r="GF1425" s="8">
        <v>3.3016436379010168</v>
      </c>
      <c r="GG1425" s="8">
        <v>1.8100421704621514</v>
      </c>
      <c r="GH1425" s="8">
        <v>0.17282465026292085</v>
      </c>
      <c r="GI1425" s="8">
        <v>4.6211256487018968</v>
      </c>
    </row>
    <row r="1426" spans="182:191">
      <c r="FZ1426" s="8">
        <v>4.5245956491183428</v>
      </c>
      <c r="GA1426" s="8">
        <v>12.656027413547076</v>
      </c>
      <c r="GB1426" s="8">
        <v>3.3486279943207715</v>
      </c>
      <c r="GC1426" s="8">
        <v>1.5170338819465359</v>
      </c>
      <c r="GD1426" s="8">
        <v>1.2694688177347164</v>
      </c>
      <c r="GE1426" s="8">
        <v>1.5003183752486073</v>
      </c>
      <c r="GF1426" s="8">
        <v>3.9148506787648358</v>
      </c>
      <c r="GG1426" s="8">
        <v>2.6093581968842599</v>
      </c>
      <c r="GH1426" s="8">
        <v>0.47158847029581613</v>
      </c>
      <c r="GI1426" s="8">
        <v>3.5413317740513612</v>
      </c>
    </row>
    <row r="1427" spans="182:191">
      <c r="FZ1427" s="8">
        <v>6.716209985040706</v>
      </c>
      <c r="GA1427" s="8">
        <v>14.604669642991567</v>
      </c>
      <c r="GB1427" s="8">
        <v>3.2776164873636571</v>
      </c>
      <c r="GC1427" s="8">
        <v>0.71180491124694123</v>
      </c>
      <c r="GD1427" s="8">
        <v>0.53374109921008261</v>
      </c>
      <c r="GE1427" s="8">
        <v>0.84643470922770903</v>
      </c>
      <c r="GF1427" s="8">
        <v>2.3095202888068629</v>
      </c>
      <c r="GG1427" s="8">
        <v>1.5410277012290603</v>
      </c>
      <c r="GH1427" s="8">
        <v>0.47158847029581613</v>
      </c>
      <c r="GI1427" s="8">
        <v>3.456099081149123</v>
      </c>
    </row>
    <row r="1428" spans="182:191">
      <c r="FZ1428" s="8">
        <v>3.2611757293653318</v>
      </c>
      <c r="GA1428" s="8">
        <v>13.683824441086943</v>
      </c>
      <c r="GB1428" s="8">
        <v>5.1202010423452746</v>
      </c>
      <c r="GC1428" s="8">
        <v>0.32940226184819588</v>
      </c>
      <c r="GD1428" s="8">
        <v>1.0934411170076208</v>
      </c>
      <c r="GE1428" s="8">
        <v>2.7186687107890393</v>
      </c>
      <c r="GF1428" s="8">
        <v>5.876316440680533</v>
      </c>
      <c r="GG1428" s="8">
        <v>4.6879391242984099</v>
      </c>
      <c r="GH1428" s="8">
        <v>0.58144353567374973</v>
      </c>
      <c r="GI1428" s="8">
        <v>5.0737589484561312</v>
      </c>
    </row>
    <row r="1429" spans="182:191">
      <c r="FZ1429" s="8">
        <v>7.3377488161347646</v>
      </c>
      <c r="GA1429" s="8">
        <v>30.76318293204751</v>
      </c>
      <c r="GB1429" s="8">
        <v>10.838008767392095</v>
      </c>
      <c r="GC1429" s="8">
        <v>1.3852960195446167</v>
      </c>
      <c r="GD1429" s="8">
        <v>0.89452519567298872</v>
      </c>
      <c r="GE1429" s="8">
        <v>0.87338969364840635</v>
      </c>
      <c r="GF1429" s="8">
        <v>3.9355653515865732</v>
      </c>
      <c r="GG1429" s="8">
        <v>2.5512781329880112</v>
      </c>
      <c r="GH1429" s="8">
        <v>0.23579423514790807</v>
      </c>
      <c r="GI1429" s="8">
        <v>6.6452578575572652</v>
      </c>
    </row>
    <row r="1430" spans="182:191">
      <c r="FZ1430" s="8">
        <v>3.9400454033468648</v>
      </c>
      <c r="GA1430" s="8">
        <v>12.308581733704118</v>
      </c>
      <c r="GB1430" s="8">
        <v>3.3636569125028997</v>
      </c>
      <c r="GC1430" s="8">
        <v>0.42789235713861656</v>
      </c>
      <c r="GD1430" s="8">
        <v>0.77312694316855513</v>
      </c>
      <c r="GE1430" s="8">
        <v>1.8433739273062573</v>
      </c>
      <c r="GF1430" s="8">
        <v>3.2611460492285524</v>
      </c>
      <c r="GG1430" s="8">
        <v>2.1271151515623243</v>
      </c>
      <c r="GH1430" s="8">
        <v>0.3456493005258417</v>
      </c>
      <c r="GI1430" s="8">
        <v>4.3667271720474679</v>
      </c>
    </row>
    <row r="1431" spans="182:191">
      <c r="FZ1431" s="8">
        <v>0.88215720358861527</v>
      </c>
      <c r="GA1431" s="8">
        <v>3.5436420867556286</v>
      </c>
      <c r="GB1431" s="8">
        <v>0.98384486346130873</v>
      </c>
      <c r="GC1431" s="8">
        <v>1.0531760911969448</v>
      </c>
      <c r="GD1431" s="8">
        <v>0.90785387064053258</v>
      </c>
      <c r="GE1431" s="8">
        <v>1.4765780835750242</v>
      </c>
      <c r="GF1431" s="8">
        <v>5.9325984605891033</v>
      </c>
      <c r="GG1431" s="8">
        <v>4.1839188346790337</v>
      </c>
      <c r="GH1431" s="8">
        <v>0.40861888541082891</v>
      </c>
      <c r="GI1431" s="8">
        <v>2.8969049583484412</v>
      </c>
    </row>
    <row r="1432" spans="182:191">
      <c r="FZ1432" s="8">
        <v>13.011102699231174</v>
      </c>
      <c r="GA1432" s="8">
        <v>23.046777016918291</v>
      </c>
      <c r="GB1432" s="8">
        <v>7.6488540016629267</v>
      </c>
      <c r="GC1432" s="8">
        <v>1.9823185222007291</v>
      </c>
      <c r="GD1432" s="8">
        <v>1.6759826058703313</v>
      </c>
      <c r="GE1432" s="8">
        <v>1.0703156297330947</v>
      </c>
      <c r="GF1432" s="8">
        <v>5.8040514566042463</v>
      </c>
      <c r="GG1432" s="8">
        <v>4.9837105733822344</v>
      </c>
      <c r="GH1432" s="8">
        <v>0.64441312055873701</v>
      </c>
      <c r="GI1432" s="8">
        <v>6.7361185418903382</v>
      </c>
    </row>
    <row r="1433" spans="182:191">
      <c r="FZ1433" s="8">
        <v>7.5828642249154772</v>
      </c>
      <c r="GA1433" s="8">
        <v>12.656027413547076</v>
      </c>
      <c r="GB1433" s="8">
        <v>3.2764058391160349</v>
      </c>
      <c r="GC1433" s="8">
        <v>0.55004632422070887</v>
      </c>
      <c r="GD1433" s="8">
        <v>0.34330966164679932</v>
      </c>
      <c r="GE1433" s="8">
        <v>0.8487408369674837</v>
      </c>
      <c r="GF1433" s="8">
        <v>3.8824141971028165</v>
      </c>
      <c r="GG1433" s="8">
        <v>2.8565954218199106</v>
      </c>
      <c r="GH1433" s="8">
        <v>0.99006242108457876</v>
      </c>
      <c r="GI1433" s="8">
        <v>4.691404492195633</v>
      </c>
    </row>
    <row r="1434" spans="182:191">
      <c r="FZ1434" s="8">
        <v>6.2613527101972233</v>
      </c>
      <c r="GA1434" s="8">
        <v>17.153571108057591</v>
      </c>
      <c r="GB1434" s="8">
        <v>5.0630956439603523</v>
      </c>
      <c r="GC1434" s="8">
        <v>0.59678923800465522</v>
      </c>
      <c r="GD1434" s="8">
        <v>0.80653667351686442</v>
      </c>
      <c r="GE1434" s="8">
        <v>1.9883882463592</v>
      </c>
      <c r="GF1434" s="8">
        <v>4.2050753618427779</v>
      </c>
      <c r="GG1434" s="8">
        <v>2.4324324403942232</v>
      </c>
      <c r="GH1434" s="8">
        <v>0.40861888541082891</v>
      </c>
      <c r="GI1434" s="8">
        <v>5.3827477667504118</v>
      </c>
    </row>
    <row r="1435" spans="182:191">
      <c r="FZ1435" s="8">
        <v>5.7047401865629794</v>
      </c>
      <c r="GA1435" s="8">
        <v>5.2929466732391681</v>
      </c>
      <c r="GB1435" s="8">
        <v>0.74187531583564548</v>
      </c>
      <c r="GC1435" s="8">
        <v>0.37735649249853204</v>
      </c>
      <c r="GD1435" s="8">
        <v>0.44988020083149455</v>
      </c>
      <c r="GE1435" s="8">
        <v>1.4655994790854268</v>
      </c>
      <c r="GF1435" s="8">
        <v>7.2428743490845084</v>
      </c>
      <c r="GG1435" s="8">
        <v>5.7349680879372613</v>
      </c>
      <c r="GH1435" s="8">
        <v>0.81723777082165783</v>
      </c>
      <c r="GI1435" s="8">
        <v>3.7631109154191362</v>
      </c>
    </row>
    <row r="1436" spans="182:191">
      <c r="FZ1436" s="8">
        <v>6.2613527101972233</v>
      </c>
      <c r="GA1436" s="8">
        <v>8.1358179053305282</v>
      </c>
      <c r="GB1436" s="8">
        <v>0.87914357539707089</v>
      </c>
      <c r="GC1436" s="8">
        <v>0.22506468971284316</v>
      </c>
      <c r="GD1436" s="8">
        <v>0.50618151304807246</v>
      </c>
      <c r="GE1436" s="8">
        <v>1.1100217023241639</v>
      </c>
      <c r="GF1436" s="8">
        <v>1.7102940440659116</v>
      </c>
      <c r="GG1436" s="8">
        <v>1.3641019447390237</v>
      </c>
      <c r="GH1436" s="8">
        <v>0.23579423514790807</v>
      </c>
      <c r="GI1436" s="8">
        <v>3.5253014164978689</v>
      </c>
    </row>
    <row r="1437" spans="182:191">
      <c r="FZ1437" s="8">
        <v>3.8827145604593918</v>
      </c>
      <c r="GA1437" s="8">
        <v>11.806831324688758</v>
      </c>
      <c r="GB1437" s="8">
        <v>4.134555093730552</v>
      </c>
      <c r="GC1437" s="8">
        <v>0.66819180780845078</v>
      </c>
      <c r="GD1437" s="8">
        <v>0.72202014643708745</v>
      </c>
      <c r="GE1437" s="8">
        <v>1.6737262695158375</v>
      </c>
      <c r="GF1437" s="8">
        <v>3.8334123778866833</v>
      </c>
      <c r="GG1437" s="8">
        <v>2.4809666645423967</v>
      </c>
      <c r="GH1437" s="8">
        <v>0.64441312055873701</v>
      </c>
      <c r="GI1437" s="8">
        <v>5.320959766681967</v>
      </c>
    </row>
    <row r="1438" spans="182:191">
      <c r="FZ1438" s="8">
        <v>3.6006105663560986</v>
      </c>
      <c r="GA1438" s="8">
        <v>11.533598261942824</v>
      </c>
      <c r="GB1438" s="8">
        <v>3.2042715225489844</v>
      </c>
      <c r="GC1438" s="8">
        <v>0.93679010083129999</v>
      </c>
      <c r="GD1438" s="8">
        <v>0.96899418127597814</v>
      </c>
      <c r="GE1438" s="8">
        <v>1.4252959627175379</v>
      </c>
      <c r="GF1438" s="8">
        <v>3.6250968274156343</v>
      </c>
      <c r="GG1438" s="8">
        <v>2.4809666645423967</v>
      </c>
      <c r="GH1438" s="8">
        <v>0.64441312055873701</v>
      </c>
      <c r="GI1438" s="8">
        <v>4.1094457410079821</v>
      </c>
    </row>
    <row r="1439" spans="182:191">
      <c r="FZ1439" s="8">
        <v>5.009606796789833</v>
      </c>
      <c r="GA1439" s="8">
        <v>5.3895263904187116</v>
      </c>
      <c r="GB1439" s="8">
        <v>0.66517129974920031</v>
      </c>
      <c r="GC1439" s="8">
        <v>0.2542244732015071</v>
      </c>
      <c r="GD1439" s="8">
        <v>0.11714548176398415</v>
      </c>
      <c r="GE1439" s="8">
        <v>0.93555054340958244</v>
      </c>
      <c r="GF1439" s="8">
        <v>6.398679873412453</v>
      </c>
      <c r="GG1439" s="8">
        <v>5.1121021057240972</v>
      </c>
      <c r="GH1439" s="8">
        <v>0.99006242108457876</v>
      </c>
      <c r="GI1439" s="8">
        <v>3.2180919931013907</v>
      </c>
    </row>
    <row r="1440" spans="182:191">
      <c r="FZ1440" s="8">
        <v>6.0286720598399031</v>
      </c>
      <c r="GA1440" s="8">
        <v>8.0842711019395352</v>
      </c>
      <c r="GB1440" s="8">
        <v>2.0896561748308202</v>
      </c>
      <c r="GC1440" s="8">
        <v>0.39245522094579544</v>
      </c>
      <c r="GD1440" s="8">
        <v>0.77580273974378067</v>
      </c>
      <c r="GE1440" s="8">
        <v>1.497188445341854</v>
      </c>
      <c r="GF1440" s="8">
        <v>0.42715398711915992</v>
      </c>
      <c r="GG1440" s="8">
        <v>0.1769257564900365</v>
      </c>
      <c r="GH1440" s="8">
        <v>0.58144353567374973</v>
      </c>
      <c r="GI1440" s="8">
        <v>4.1699411588744049</v>
      </c>
    </row>
    <row r="1441" spans="182:191">
      <c r="FZ1441" s="8">
        <v>8.6894142036810287</v>
      </c>
      <c r="GA1441" s="8">
        <v>11.334260618981871</v>
      </c>
      <c r="GB1441" s="8">
        <v>3.2252658433315382</v>
      </c>
      <c r="GC1441" s="8">
        <v>0.24041656174911782</v>
      </c>
      <c r="GD1441" s="8">
        <v>0.38211773014811035</v>
      </c>
      <c r="GE1441" s="8">
        <v>1.4786619614586738</v>
      </c>
      <c r="GF1441" s="8">
        <v>6.8122961879419694</v>
      </c>
      <c r="GG1441" s="8">
        <v>5.4291750868242694</v>
      </c>
      <c r="GH1441" s="8">
        <v>0.47158847029581613</v>
      </c>
      <c r="GI1441" s="8">
        <v>5.347318876240891</v>
      </c>
    </row>
    <row r="1442" spans="182:191">
      <c r="FZ1442" s="8">
        <v>0</v>
      </c>
      <c r="GA1442" s="8">
        <v>0</v>
      </c>
      <c r="GB1442" s="8">
        <v>8.6040425139242482E-2</v>
      </c>
      <c r="GC1442" s="8">
        <v>0.78956433388337832</v>
      </c>
      <c r="GD1442" s="8">
        <v>1.2851185666032443</v>
      </c>
      <c r="GE1442" s="8">
        <v>2.0596505546390036</v>
      </c>
      <c r="GF1442" s="8">
        <v>2.9534940569407402</v>
      </c>
      <c r="GG1442" s="8">
        <v>1.8798779266266734</v>
      </c>
      <c r="GH1442" s="8">
        <v>0</v>
      </c>
      <c r="GI1442" s="8">
        <v>2.7714389609729837</v>
      </c>
    </row>
    <row r="1443" spans="182:191">
      <c r="FZ1443" s="8">
        <v>8.9500325761755821</v>
      </c>
      <c r="GA1443" s="8">
        <v>14.029023814191227</v>
      </c>
      <c r="GB1443" s="8">
        <v>3.5659712764210134</v>
      </c>
      <c r="GC1443" s="8">
        <v>0.41254048510234187</v>
      </c>
      <c r="GD1443" s="8">
        <v>0.32292175937608902</v>
      </c>
      <c r="GE1443" s="8">
        <v>1.0763234193972817</v>
      </c>
      <c r="GF1443" s="8">
        <v>3.8649477828386249</v>
      </c>
      <c r="GG1443" s="8">
        <v>2.5027439088398373</v>
      </c>
      <c r="GH1443" s="8">
        <v>0.3456493005258417</v>
      </c>
      <c r="GI1443" s="8">
        <v>4.5930973531496688</v>
      </c>
    </row>
    <row r="1444" spans="182:191">
      <c r="FZ1444" s="8">
        <v>6.1734876184428575</v>
      </c>
      <c r="GA1444" s="8">
        <v>23.067196523885649</v>
      </c>
      <c r="GB1444" s="8">
        <v>6.4434434744527147</v>
      </c>
      <c r="GC1444" s="8">
        <v>0.26329899253362465</v>
      </c>
      <c r="GD1444" s="8">
        <v>0.26842483395362082</v>
      </c>
      <c r="GE1444" s="8">
        <v>1.5849860344525577</v>
      </c>
      <c r="GF1444" s="8">
        <v>2.3013362432799593</v>
      </c>
      <c r="GG1444" s="8">
        <v>0.24723722493565062</v>
      </c>
      <c r="GH1444" s="8">
        <v>0</v>
      </c>
      <c r="GI1444" s="8">
        <v>3.9436625994065602</v>
      </c>
    </row>
    <row r="1445" spans="182:191">
      <c r="FZ1445" s="8">
        <v>5.6888568468102516</v>
      </c>
      <c r="GA1445" s="8">
        <v>3.4697466669706492</v>
      </c>
      <c r="GB1445" s="8">
        <v>0.34424953919465628</v>
      </c>
      <c r="GC1445" s="8">
        <v>0.50338291056524698</v>
      </c>
      <c r="GD1445" s="8">
        <v>0.78606582935908687</v>
      </c>
      <c r="GE1445" s="8">
        <v>1.8473452772021361</v>
      </c>
      <c r="GF1445" s="8">
        <v>5.5651674333925936</v>
      </c>
      <c r="GG1445" s="8">
        <v>4.4194003673464124</v>
      </c>
      <c r="GH1445" s="8">
        <v>0.81723777082165783</v>
      </c>
      <c r="GI1445" s="8">
        <v>4.4329560951924227</v>
      </c>
    </row>
    <row r="1446" spans="182:191">
      <c r="FZ1446" s="8">
        <v>3.2193478501917032</v>
      </c>
      <c r="GA1446" s="8">
        <v>4.717300844438828</v>
      </c>
      <c r="GB1446" s="8">
        <v>0.87681011753951243</v>
      </c>
      <c r="GC1446" s="8">
        <v>0.55219808235123224</v>
      </c>
      <c r="GD1446" s="8">
        <v>0.8573762928616091</v>
      </c>
      <c r="GE1446" s="8">
        <v>1.5091398197545096</v>
      </c>
      <c r="GF1446" s="8">
        <v>3.5559462211756161</v>
      </c>
      <c r="GG1446" s="8">
        <v>2.8565954218199106</v>
      </c>
      <c r="GH1446" s="8">
        <v>0.47158847029581613</v>
      </c>
      <c r="GI1446" s="8">
        <v>4.212009629349315</v>
      </c>
    </row>
    <row r="1447" spans="182:191">
      <c r="FZ1447" s="8">
        <v>3.1159797947234926</v>
      </c>
      <c r="GA1447" s="8">
        <v>4.7399666581448576</v>
      </c>
      <c r="GB1447" s="8">
        <v>1.3826812883499204</v>
      </c>
      <c r="GC1447" s="8">
        <v>0.47150546057710685</v>
      </c>
      <c r="GD1447" s="8">
        <v>0.50633217191929292</v>
      </c>
      <c r="GE1447" s="8">
        <v>0.68941125160551087</v>
      </c>
      <c r="GF1447" s="8">
        <v>2.7392311091617509</v>
      </c>
      <c r="GG1447" s="8">
        <v>2.4324324403942232</v>
      </c>
      <c r="GH1447" s="8">
        <v>0.23579423514790807</v>
      </c>
      <c r="GI1447" s="8">
        <v>3.64807880450482</v>
      </c>
    </row>
    <row r="1448" spans="182:191">
      <c r="FZ1448" s="8">
        <v>2.7761645816938412</v>
      </c>
      <c r="GA1448" s="8">
        <v>10.359939504259625</v>
      </c>
      <c r="GB1448" s="8">
        <v>3.2613769209339063</v>
      </c>
      <c r="GC1448" s="8">
        <v>0.89304096488308182</v>
      </c>
      <c r="GD1448" s="8">
        <v>0.83202035405841657</v>
      </c>
      <c r="GE1448" s="8">
        <v>1.7075451711374949</v>
      </c>
      <c r="GF1448" s="8">
        <v>3.7159290386887291</v>
      </c>
      <c r="GG1448" s="8">
        <v>1.6816506381202889</v>
      </c>
      <c r="GH1448" s="8">
        <v>0.3456493005258417</v>
      </c>
      <c r="GI1448" s="8">
        <v>3.2393636882909704</v>
      </c>
    </row>
    <row r="1449" spans="182:191">
      <c r="FZ1449" s="8">
        <v>4.5129216427727226</v>
      </c>
      <c r="GA1449" s="8">
        <v>9.3629525758313488</v>
      </c>
      <c r="GB1449" s="8">
        <v>2.8216746640901231</v>
      </c>
      <c r="GC1449" s="8">
        <v>0.19052610560647032</v>
      </c>
      <c r="GD1449" s="8">
        <v>0.68462039644300998</v>
      </c>
      <c r="GE1449" s="8">
        <v>2.0660275026626653</v>
      </c>
      <c r="GF1449" s="8">
        <v>2.5031859568968482</v>
      </c>
      <c r="GG1449" s="8">
        <v>1.1871761882489873</v>
      </c>
      <c r="GH1449" s="8">
        <v>0</v>
      </c>
      <c r="GI1449" s="8">
        <v>3.0107219283143398</v>
      </c>
    </row>
    <row r="1450" spans="182:191">
      <c r="FZ1450" s="8">
        <v>5.8710413667746728</v>
      </c>
      <c r="GA1450" s="8">
        <v>6.4666054309223693</v>
      </c>
      <c r="GB1450" s="8">
        <v>1.0325635627505605</v>
      </c>
      <c r="GC1450" s="8">
        <v>0.56981882359731373</v>
      </c>
      <c r="GD1450" s="8">
        <v>0.55038172592046819</v>
      </c>
      <c r="GE1450" s="8">
        <v>2.0008311534015482</v>
      </c>
      <c r="GF1450" s="8">
        <v>6.6254511094226558</v>
      </c>
      <c r="GG1450" s="8">
        <v>4.0655488543663392</v>
      </c>
      <c r="GH1450" s="8">
        <v>0.3456493005258417</v>
      </c>
      <c r="GI1450" s="8">
        <v>3.6872453321067908</v>
      </c>
    </row>
    <row r="1451" spans="182:191">
      <c r="FZ1451" s="8">
        <v>12.186656714568917</v>
      </c>
      <c r="GA1451" s="8">
        <v>17.595331714652886</v>
      </c>
      <c r="GB1451" s="8">
        <v>4.4997017375120398</v>
      </c>
      <c r="GC1451" s="8">
        <v>0.6767380297224147</v>
      </c>
      <c r="GD1451" s="8">
        <v>0.51362809700396361</v>
      </c>
      <c r="GE1451" s="8">
        <v>1.3775042581398518</v>
      </c>
      <c r="GF1451" s="8">
        <v>4.3514981677026245</v>
      </c>
      <c r="GG1451" s="8">
        <v>2.4324324403942232</v>
      </c>
      <c r="GH1451" s="8">
        <v>0.40861888541082891</v>
      </c>
      <c r="GI1451" s="8">
        <v>4.7786287818987523</v>
      </c>
    </row>
    <row r="1452" spans="182:191">
      <c r="FZ1452" s="8">
        <v>3.3977034127879011</v>
      </c>
      <c r="GA1452" s="8">
        <v>17.102024304666596</v>
      </c>
      <c r="GB1452" s="8">
        <v>6.1201882560406116</v>
      </c>
      <c r="GC1452" s="8">
        <v>0.17237706694223526</v>
      </c>
      <c r="GD1452" s="8">
        <v>0.25080335444594515</v>
      </c>
      <c r="GE1452" s="8">
        <v>0.77413708016395999</v>
      </c>
      <c r="GF1452" s="8">
        <v>2.3626491042269979</v>
      </c>
      <c r="GG1452" s="8">
        <v>1.7397307020165371</v>
      </c>
      <c r="GH1452" s="8">
        <v>0.40861888541082891</v>
      </c>
      <c r="GI1452" s="8">
        <v>5.2881692191140939</v>
      </c>
    </row>
    <row r="1453" spans="182:191">
      <c r="FZ1453" s="8">
        <v>4.4250565510183559</v>
      </c>
      <c r="GA1453" s="8">
        <v>10.337273690553594</v>
      </c>
      <c r="GB1453" s="8">
        <v>2.8403355270151183</v>
      </c>
      <c r="GC1453" s="8">
        <v>0.95415769848837029</v>
      </c>
      <c r="GD1453" s="8">
        <v>1.0115297433405797</v>
      </c>
      <c r="GE1453" s="8">
        <v>1.5795754155928352</v>
      </c>
      <c r="GF1453" s="8">
        <v>4.5767225878373239</v>
      </c>
      <c r="GG1453" s="8">
        <v>3.2439798713656982</v>
      </c>
      <c r="GH1453" s="8">
        <v>0.58144353567374973</v>
      </c>
      <c r="GI1453" s="8">
        <v>4.2927598939885936</v>
      </c>
    </row>
    <row r="1454" spans="182:191">
      <c r="FZ1454" s="8">
        <v>7.0560251980703566</v>
      </c>
      <c r="GA1454" s="8">
        <v>4.8427430676148031</v>
      </c>
      <c r="GB1454" s="8">
        <v>0.42562304861878192</v>
      </c>
      <c r="GC1454" s="8">
        <v>0.52982502755443472</v>
      </c>
      <c r="GD1454" s="8">
        <v>0.82580134572588726</v>
      </c>
      <c r="GE1454" s="8">
        <v>1.4011652321521697</v>
      </c>
      <c r="GF1454" s="8">
        <v>2.9521444875655432</v>
      </c>
      <c r="GG1454" s="8">
        <v>2.1271151515623243</v>
      </c>
      <c r="GH1454" s="8">
        <v>0.17282465026292085</v>
      </c>
      <c r="GI1454" s="8">
        <v>3.6271959086581669</v>
      </c>
    </row>
    <row r="1455" spans="182:191">
      <c r="FZ1455" s="8">
        <v>4.806699643221636</v>
      </c>
      <c r="GA1455" s="8">
        <v>16.05380777015937</v>
      </c>
      <c r="GB1455" s="8">
        <v>5.5678440051608247</v>
      </c>
      <c r="GC1455" s="8">
        <v>0.87911594235140922</v>
      </c>
      <c r="GD1455" s="8">
        <v>0.86486817865204624</v>
      </c>
      <c r="GE1455" s="8">
        <v>1.3532098522707561</v>
      </c>
      <c r="GF1455" s="8">
        <v>4.9750253028594749</v>
      </c>
      <c r="GG1455" s="8">
        <v>3.4426828721531746</v>
      </c>
      <c r="GH1455" s="8">
        <v>0.17282465026292085</v>
      </c>
      <c r="GI1455" s="8">
        <v>4.783774396306292</v>
      </c>
    </row>
    <row r="1456" spans="182:191">
      <c r="FZ1456" s="8">
        <v>3.840506305246878</v>
      </c>
      <c r="GA1456" s="8">
        <v>9.9898280107106388</v>
      </c>
      <c r="GB1456" s="8">
        <v>2.8054350976603728</v>
      </c>
      <c r="GC1456" s="8">
        <v>0.67012803330076209</v>
      </c>
      <c r="GD1456" s="8">
        <v>0.68354104756658107</v>
      </c>
      <c r="GE1456" s="8">
        <v>0.98350592329099595</v>
      </c>
      <c r="GF1456" s="8">
        <v>3.0112207002936189</v>
      </c>
      <c r="GG1456" s="8">
        <v>2.1271151515623243</v>
      </c>
      <c r="GH1456" s="8">
        <v>0</v>
      </c>
      <c r="GI1456" s="8">
        <v>3.3255047742409105</v>
      </c>
    </row>
    <row r="1457" spans="182:191">
      <c r="FZ1457" s="8">
        <v>8.5528865202584594</v>
      </c>
      <c r="GA1457" s="8">
        <v>12.855365056508028</v>
      </c>
      <c r="GB1457" s="8">
        <v>3.3101834588608448</v>
      </c>
      <c r="GC1457" s="8">
        <v>1.0374319542522439</v>
      </c>
      <c r="GD1457" s="8">
        <v>1.0882370938988943</v>
      </c>
      <c r="GE1457" s="8">
        <v>1.4969920394704335</v>
      </c>
      <c r="GF1457" s="8">
        <v>4.8843913461158355</v>
      </c>
      <c r="GG1457" s="8">
        <v>3.5710744044950373</v>
      </c>
      <c r="GH1457" s="8">
        <v>0.17282465026292085</v>
      </c>
      <c r="GI1457" s="8">
        <v>5.175570761215841</v>
      </c>
    </row>
    <row r="1458" spans="182:191">
      <c r="FZ1458" s="8">
        <v>10.777660484135183</v>
      </c>
      <c r="GA1458" s="8">
        <v>9.3629525758313488</v>
      </c>
      <c r="GB1458" s="8">
        <v>2.7530844536282535</v>
      </c>
      <c r="GC1458" s="8">
        <v>0.6450562334349329</v>
      </c>
      <c r="GD1458" s="8">
        <v>0.96635200763551898</v>
      </c>
      <c r="GE1458" s="8">
        <v>1.755067187743715</v>
      </c>
      <c r="GF1458" s="8">
        <v>3.996400521300643</v>
      </c>
      <c r="GG1458" s="8">
        <v>3.1038326467555613</v>
      </c>
      <c r="GH1458" s="8">
        <v>0.64441312055873701</v>
      </c>
      <c r="GI1458" s="8">
        <v>5.6971484983744158</v>
      </c>
    </row>
    <row r="1459" spans="182:191">
      <c r="FZ1459" s="8">
        <v>7.3381291921736516</v>
      </c>
      <c r="GA1459" s="8">
        <v>4.9166384873997817</v>
      </c>
      <c r="GB1459" s="8">
        <v>1.2186383602389239</v>
      </c>
      <c r="GC1459" s="8">
        <v>0.3870764203280867</v>
      </c>
      <c r="GD1459" s="8">
        <v>0.79093845071272095</v>
      </c>
      <c r="GE1459" s="8">
        <v>1.5573648876073893</v>
      </c>
      <c r="GF1459" s="8">
        <v>2.4256540586296205</v>
      </c>
      <c r="GG1459" s="8">
        <v>2.0568036831167102</v>
      </c>
      <c r="GH1459" s="8">
        <v>0.40861888541082891</v>
      </c>
      <c r="GI1459" s="8">
        <v>3.4007658384486614</v>
      </c>
    </row>
    <row r="1460" spans="182:191">
      <c r="FZ1460" s="8">
        <v>13.893259902819789</v>
      </c>
      <c r="GA1460" s="8">
        <v>23.622422845718631</v>
      </c>
      <c r="GB1460" s="8">
        <v>7.5313694146364325</v>
      </c>
      <c r="GC1460" s="8">
        <v>0.33761584004466422</v>
      </c>
      <c r="GD1460" s="8">
        <v>0.60520363430390789</v>
      </c>
      <c r="GE1460" s="8">
        <v>1.4879749385942684</v>
      </c>
      <c r="GF1460" s="8">
        <v>4.81983856780856</v>
      </c>
      <c r="GG1460" s="8">
        <v>3.9952373859207246</v>
      </c>
      <c r="GH1460" s="8">
        <v>0.23579423514790807</v>
      </c>
      <c r="GI1460" s="8">
        <v>6.6793233963472378</v>
      </c>
    </row>
    <row r="1461" spans="182:191">
      <c r="FZ1461" s="8">
        <v>4.5981902077974297</v>
      </c>
      <c r="GA1461" s="8">
        <v>9.5827097257596598</v>
      </c>
      <c r="GB1461" s="8">
        <v>1.7559536929365835</v>
      </c>
      <c r="GC1461" s="8">
        <v>0.60001628049184075</v>
      </c>
      <c r="GD1461" s="8">
        <v>0.86123433277772876</v>
      </c>
      <c r="GE1461" s="8">
        <v>2.0159878396997031</v>
      </c>
      <c r="GF1461" s="8">
        <v>3.9002007963837713</v>
      </c>
      <c r="GG1461" s="8">
        <v>2.4324324403942232</v>
      </c>
      <c r="GH1461" s="8">
        <v>0.23579423514790807</v>
      </c>
      <c r="GI1461" s="8">
        <v>4.2260984993405639</v>
      </c>
    </row>
    <row r="1462" spans="182:191">
      <c r="FZ1462" s="8">
        <v>8.2044030560095376</v>
      </c>
      <c r="GA1462" s="8">
        <v>9.1636149328703951</v>
      </c>
      <c r="GB1462" s="8">
        <v>2.7229387786263111</v>
      </c>
      <c r="GC1462" s="8">
        <v>0.65825634734068417</v>
      </c>
      <c r="GD1462" s="8">
        <v>0.9771424901596053</v>
      </c>
      <c r="GE1462" s="8">
        <v>2.245712874565549</v>
      </c>
      <c r="GF1462" s="8">
        <v>6.3801012493568416</v>
      </c>
      <c r="GG1462" s="8">
        <v>4.6181033681338892</v>
      </c>
      <c r="GH1462" s="8">
        <v>0.23579423514790807</v>
      </c>
      <c r="GI1462" s="8">
        <v>5.1435779153389634</v>
      </c>
    </row>
    <row r="1463" spans="182:191">
      <c r="FZ1463" s="8">
        <v>1.3094571323337481</v>
      </c>
      <c r="GA1463" s="8">
        <v>23.949131821282187</v>
      </c>
      <c r="GB1463" s="8">
        <v>9.8553745521784073</v>
      </c>
      <c r="GC1463" s="8">
        <v>0.79163659188541735</v>
      </c>
      <c r="GD1463" s="8">
        <v>0.77833481366285762</v>
      </c>
      <c r="GE1463" s="8">
        <v>0.72724496492989776</v>
      </c>
      <c r="GF1463" s="8">
        <v>0.42715398711915992</v>
      </c>
      <c r="GG1463" s="8">
        <v>0.53077726947010961</v>
      </c>
      <c r="GH1463" s="8">
        <v>1.2258566562324869</v>
      </c>
      <c r="GI1463" s="8">
        <v>5.0065653027771342</v>
      </c>
    </row>
    <row r="1464" spans="182:191">
      <c r="FZ1464" s="8">
        <v>6.2315792134081001</v>
      </c>
      <c r="GA1464" s="8">
        <v>11.334260618981871</v>
      </c>
      <c r="GB1464" s="8">
        <v>3.2216338985886708</v>
      </c>
      <c r="GC1464" s="8">
        <v>0.15164639428825175</v>
      </c>
      <c r="GD1464" s="8">
        <v>0.77709453973551146</v>
      </c>
      <c r="GE1464" s="8">
        <v>2.5000863609144175</v>
      </c>
      <c r="GF1464" s="8">
        <v>3.8855509140027076</v>
      </c>
      <c r="GG1464" s="8">
        <v>2.4324324403942232</v>
      </c>
      <c r="GH1464" s="8">
        <v>0.23579423514790807</v>
      </c>
      <c r="GI1464" s="8">
        <v>4.6577715355378668</v>
      </c>
    </row>
    <row r="1465" spans="182:191">
      <c r="FZ1465" s="8">
        <v>12.331852649210756</v>
      </c>
      <c r="GA1465" s="8">
        <v>23.215304560767652</v>
      </c>
      <c r="GB1465" s="8">
        <v>6.4307480141281452</v>
      </c>
      <c r="GC1465" s="8">
        <v>0.64581875301165337</v>
      </c>
      <c r="GD1465" s="8">
        <v>0.8106367928840148</v>
      </c>
      <c r="GE1465" s="8">
        <v>1.8178194457204904</v>
      </c>
      <c r="GF1465" s="8">
        <v>4.8060897621375744</v>
      </c>
      <c r="GG1465" s="8">
        <v>3.5492971601975971</v>
      </c>
      <c r="GH1465" s="8">
        <v>0.47158847029581613</v>
      </c>
      <c r="GI1465" s="8">
        <v>6.4117463485719419</v>
      </c>
    </row>
    <row r="1466" spans="182:191">
      <c r="FZ1466" s="8">
        <v>3.9400454033468648</v>
      </c>
      <c r="GA1466" s="8">
        <v>16.031141956453343</v>
      </c>
      <c r="GB1466" s="8">
        <v>5.096873263705163</v>
      </c>
      <c r="GC1466" s="8">
        <v>1.1343780889587793</v>
      </c>
      <c r="GD1466" s="8">
        <v>1.3355196596663474</v>
      </c>
      <c r="GE1466" s="8">
        <v>1.5663238191290556</v>
      </c>
      <c r="GF1466" s="8">
        <v>3.5289863050927961</v>
      </c>
      <c r="GG1466" s="8">
        <v>2.5027439088398373</v>
      </c>
      <c r="GH1466" s="8">
        <v>0.17282465026292085</v>
      </c>
      <c r="GI1466" s="8">
        <v>5.0986361366674666</v>
      </c>
    </row>
    <row r="1467" spans="182:191">
      <c r="FZ1467" s="8">
        <v>5.9197017225156827</v>
      </c>
      <c r="GA1467" s="8">
        <v>6.2384052819649849</v>
      </c>
      <c r="GB1467" s="8">
        <v>1.0303179435306884</v>
      </c>
      <c r="GC1467" s="8">
        <v>0.37559699927643453</v>
      </c>
      <c r="GD1467" s="8">
        <v>0.77468283171751362</v>
      </c>
      <c r="GE1467" s="8">
        <v>2.0464804055431869</v>
      </c>
      <c r="GF1467" s="8">
        <v>3.841124583655696</v>
      </c>
      <c r="GG1467" s="8">
        <v>2.4324324403942232</v>
      </c>
      <c r="GH1467" s="8">
        <v>0.40861888541082891</v>
      </c>
      <c r="GI1467" s="8">
        <v>3.1009827901461673</v>
      </c>
    </row>
    <row r="1468" spans="182:191">
      <c r="FZ1468" s="8">
        <v>6.5133028314725081</v>
      </c>
      <c r="GA1468" s="8">
        <v>12.707257019626024</v>
      </c>
      <c r="GB1468" s="8">
        <v>3.3914691296472839</v>
      </c>
      <c r="GC1468" s="8">
        <v>0.58828062704149031</v>
      </c>
      <c r="GD1468" s="8">
        <v>0.37634176011721127</v>
      </c>
      <c r="GE1468" s="8">
        <v>1.3083692895505492</v>
      </c>
      <c r="GF1468" s="8">
        <v>4.0015558938339275</v>
      </c>
      <c r="GG1468" s="8">
        <v>2.1638936834422244</v>
      </c>
      <c r="GH1468" s="8">
        <v>0.81723777082165783</v>
      </c>
      <c r="GI1468" s="8">
        <v>3.7837509407812959</v>
      </c>
    </row>
    <row r="1469" spans="182:191">
      <c r="FZ1469" s="8">
        <v>9.7288217242959867</v>
      </c>
      <c r="GA1469" s="8">
        <v>20.71987900851925</v>
      </c>
      <c r="GB1469" s="8">
        <v>6.1388491189656076</v>
      </c>
      <c r="GC1469" s="8">
        <v>0.46127615675984279</v>
      </c>
      <c r="GD1469" s="8">
        <v>0.46274260230620579</v>
      </c>
      <c r="GE1469" s="8">
        <v>1.0867151791236731</v>
      </c>
      <c r="GF1469" s="8">
        <v>4.5977742116665254</v>
      </c>
      <c r="GG1469" s="8">
        <v>3.1954456472175239</v>
      </c>
      <c r="GH1469" s="8">
        <v>0.17282465026292085</v>
      </c>
      <c r="GI1469" s="8">
        <v>6.0303622234046834</v>
      </c>
    </row>
    <row r="1470" spans="182:191">
      <c r="FZ1470" s="8">
        <v>10.010925718399282</v>
      </c>
      <c r="GA1470" s="8">
        <v>16.452483056081277</v>
      </c>
      <c r="GB1470" s="8">
        <v>5.8586200907134263</v>
      </c>
      <c r="GC1470" s="8">
        <v>0.23672084303470908</v>
      </c>
      <c r="GD1470" s="8">
        <v>0.39463369055540309</v>
      </c>
      <c r="GE1470" s="8">
        <v>1.3796315978303524</v>
      </c>
      <c r="GF1470" s="8">
        <v>4.92600114457972</v>
      </c>
      <c r="GG1470" s="8">
        <v>3.7480001609850739</v>
      </c>
      <c r="GH1470" s="8">
        <v>0.40861888541082891</v>
      </c>
      <c r="GI1470" s="8">
        <v>6.2469110167673172</v>
      </c>
    </row>
    <row r="1471" spans="182:191">
      <c r="FZ1471" s="8">
        <v>9.8163064400114681</v>
      </c>
      <c r="GA1471" s="8">
        <v>13.379482565605908</v>
      </c>
      <c r="GB1471" s="8">
        <v>3.0053281650832417</v>
      </c>
      <c r="GC1471" s="8">
        <v>0.95124342078112634</v>
      </c>
      <c r="GD1471" s="8">
        <v>1.3062379255857559</v>
      </c>
      <c r="GE1471" s="8">
        <v>2.1239620221041444</v>
      </c>
      <c r="GF1471" s="8">
        <v>5.6015326567291606</v>
      </c>
      <c r="GG1471" s="8">
        <v>4.3123103670208973</v>
      </c>
      <c r="GH1471" s="8">
        <v>0.23579423514790807</v>
      </c>
      <c r="GI1471" s="8">
        <v>5.3594527259278184</v>
      </c>
    </row>
    <row r="1472" spans="182:191">
      <c r="FZ1472" s="8">
        <v>3.2034645104389741</v>
      </c>
      <c r="GA1472" s="8">
        <v>8.3886314611091013</v>
      </c>
      <c r="GB1472" s="8">
        <v>2.8391248787674961</v>
      </c>
      <c r="GC1472" s="8">
        <v>0.65542156976192456</v>
      </c>
      <c r="GD1472" s="8">
        <v>0.7786909874343082</v>
      </c>
      <c r="GE1472" s="8">
        <v>2.1223119126935872</v>
      </c>
      <c r="GF1472" s="8">
        <v>2.685530862560038</v>
      </c>
      <c r="GG1472" s="8">
        <v>0.67140020636133779</v>
      </c>
      <c r="GH1472" s="8">
        <v>0.23579423514790807</v>
      </c>
      <c r="GI1472" s="8">
        <v>3.3198263805494257</v>
      </c>
    </row>
    <row r="1473" spans="182:191">
      <c r="FZ1473" s="8">
        <v>11.602106468797439</v>
      </c>
      <c r="GA1473" s="8">
        <v>21.525672579392136</v>
      </c>
      <c r="GB1473" s="8">
        <v>7.5290359567788734</v>
      </c>
      <c r="GC1473" s="8">
        <v>1.1893911133204376</v>
      </c>
      <c r="GD1473" s="8">
        <v>1.1700402227280509</v>
      </c>
      <c r="GE1473" s="8">
        <v>1.176205934253886</v>
      </c>
      <c r="GF1473" s="8">
        <v>5.1474187535271803</v>
      </c>
      <c r="GG1473" s="8">
        <v>4.3123103670208973</v>
      </c>
      <c r="GH1473" s="8">
        <v>0.40861888541082891</v>
      </c>
      <c r="GI1473" s="8">
        <v>6.1817125781984181</v>
      </c>
    </row>
    <row r="1474" spans="182:191">
      <c r="FZ1474" s="8">
        <v>6.5136832075113933</v>
      </c>
      <c r="GA1474" s="8">
        <v>6.8675270235829462</v>
      </c>
      <c r="GB1474" s="8">
        <v>2.807768555517931</v>
      </c>
      <c r="GC1474" s="8">
        <v>0.62152839415298899</v>
      </c>
      <c r="GD1474" s="8">
        <v>0.97591890120607661</v>
      </c>
      <c r="GE1474" s="8">
        <v>2.2366544726558737</v>
      </c>
      <c r="GF1474" s="8">
        <v>3.869113884096949</v>
      </c>
      <c r="GG1474" s="8">
        <v>2.4324324403942232</v>
      </c>
      <c r="GH1474" s="8">
        <v>0.40861888541082891</v>
      </c>
      <c r="GI1474" s="8">
        <v>3.742019519548359</v>
      </c>
    </row>
    <row r="1475" spans="182:191">
      <c r="FZ1475" s="8">
        <v>2.3488646529487083</v>
      </c>
      <c r="GA1475" s="8">
        <v>2.6947631952093558</v>
      </c>
      <c r="GB1475" s="8">
        <v>0.30701565198235187</v>
      </c>
      <c r="GC1475" s="8">
        <v>1.2477106802977653</v>
      </c>
      <c r="GD1475" s="8">
        <v>1.2517527174401939</v>
      </c>
      <c r="GE1475" s="8">
        <v>1.0068128516893855</v>
      </c>
      <c r="GF1475" s="8">
        <v>3.4105136946198806</v>
      </c>
      <c r="GG1475" s="8">
        <v>3.1038326467555613</v>
      </c>
      <c r="GH1475" s="8">
        <v>0.64441312055873701</v>
      </c>
      <c r="GI1475" s="8">
        <v>2.8016075115138013</v>
      </c>
    </row>
    <row r="1476" spans="182:191">
      <c r="FZ1476" s="8">
        <v>4.3677257081308829</v>
      </c>
      <c r="GA1476" s="8">
        <v>7.0668646665438999</v>
      </c>
      <c r="GB1476" s="8">
        <v>2.8764466046174872</v>
      </c>
      <c r="GC1476" s="8">
        <v>0.44797762129516294</v>
      </c>
      <c r="GD1476" s="8">
        <v>0.67344984991673873</v>
      </c>
      <c r="GE1476" s="8">
        <v>2.1496896613758638</v>
      </c>
      <c r="GF1476" s="8">
        <v>4.8927949772066661</v>
      </c>
      <c r="GG1476" s="8">
        <v>2.9269068902655246</v>
      </c>
      <c r="GH1476" s="8">
        <v>0.23579423514790807</v>
      </c>
      <c r="GI1476" s="8">
        <v>3.314619943719046</v>
      </c>
    </row>
    <row r="1477" spans="182:191">
      <c r="FZ1477" s="8">
        <v>12.049368279068577</v>
      </c>
      <c r="GA1477" s="8">
        <v>28.98113913702575</v>
      </c>
      <c r="GB1477" s="8">
        <v>6.428414556270587</v>
      </c>
      <c r="GC1477" s="8">
        <v>0.34041300667262475</v>
      </c>
      <c r="GD1477" s="8">
        <v>0.80588413364517097</v>
      </c>
      <c r="GE1477" s="8">
        <v>2.1802791627027598</v>
      </c>
      <c r="GF1477" s="8">
        <v>2.78599628015892</v>
      </c>
      <c r="GG1477" s="8">
        <v>1.4924934770808866</v>
      </c>
      <c r="GH1477" s="8">
        <v>0.23579423514790807</v>
      </c>
      <c r="GI1477" s="8">
        <v>6.1208703442185177</v>
      </c>
    </row>
    <row r="1478" spans="182:191">
      <c r="FZ1478" s="8">
        <v>5.3494220098194845</v>
      </c>
      <c r="GA1478" s="8">
        <v>8.3886314611091013</v>
      </c>
      <c r="GB1478" s="8">
        <v>2.7518738053806313</v>
      </c>
      <c r="GC1478" s="8">
        <v>1.1330872719639051</v>
      </c>
      <c r="GD1478" s="8">
        <v>1.9926414757286326</v>
      </c>
      <c r="GE1478" s="8">
        <v>2.684791234614984</v>
      </c>
      <c r="GF1478" s="8">
        <v>7.8395411595822244</v>
      </c>
      <c r="GG1478" s="8">
        <v>7.3190745654801113</v>
      </c>
      <c r="GH1478" s="8">
        <v>0.23579423514790807</v>
      </c>
      <c r="GI1478" s="8">
        <v>6.528632890176973</v>
      </c>
    </row>
    <row r="1479" spans="182:191">
      <c r="FZ1479" s="8">
        <v>5.3950788463613382</v>
      </c>
      <c r="GA1479" s="8">
        <v>6.6147134678043713</v>
      </c>
      <c r="GB1479" s="8">
        <v>0.7779863934380139</v>
      </c>
      <c r="GC1479" s="8">
        <v>0.44578825221384055</v>
      </c>
      <c r="GD1479" s="8">
        <v>0.36833717388973264</v>
      </c>
      <c r="GE1479" s="8">
        <v>0.99653567509654939</v>
      </c>
      <c r="GF1479" s="8">
        <v>5.9085209318906706</v>
      </c>
      <c r="GG1479" s="8">
        <v>4.4411776116438517</v>
      </c>
      <c r="GH1479" s="8">
        <v>0</v>
      </c>
      <c r="GI1479" s="8">
        <v>2.8401918557063817</v>
      </c>
    </row>
    <row r="1480" spans="182:191">
      <c r="FZ1480" s="8">
        <v>9.5142405643821721</v>
      </c>
      <c r="GA1480" s="8">
        <v>20.625246884454871</v>
      </c>
      <c r="GB1480" s="8">
        <v>8.0302402118741654</v>
      </c>
      <c r="GC1480" s="8">
        <v>0.70466661740713499</v>
      </c>
      <c r="GD1480" s="8">
        <v>0.94281859169746274</v>
      </c>
      <c r="GE1480" s="8">
        <v>2.2149653282982467</v>
      </c>
      <c r="GF1480" s="8">
        <v>5.738140767724464</v>
      </c>
      <c r="GG1480" s="8">
        <v>3.6196086286432112</v>
      </c>
      <c r="GH1480" s="8">
        <v>0.23579423514790807</v>
      </c>
      <c r="GI1480" s="8">
        <v>6.8643201533356697</v>
      </c>
    </row>
    <row r="1481" spans="182:191">
      <c r="FZ1481" s="8">
        <v>5.6888568468102516</v>
      </c>
      <c r="GA1481" s="8">
        <v>11.334260618981871</v>
      </c>
      <c r="GB1481" s="8">
        <v>3.2589556244386619</v>
      </c>
      <c r="GC1481" s="8">
        <v>0.41343903718879016</v>
      </c>
      <c r="GD1481" s="8">
        <v>0.58835894379050135</v>
      </c>
      <c r="GE1481" s="8">
        <v>1.109213012902732</v>
      </c>
      <c r="GF1481" s="8">
        <v>2.1717999680201401</v>
      </c>
      <c r="GG1481" s="8">
        <v>1.9166564585065737</v>
      </c>
      <c r="GH1481" s="8">
        <v>0.47158847029581613</v>
      </c>
      <c r="GI1481" s="8">
        <v>4.0025120231979452</v>
      </c>
    </row>
    <row r="1482" spans="182:191">
      <c r="FZ1482" s="8">
        <v>2.2794794276767298</v>
      </c>
      <c r="GA1482" s="8">
        <v>9.4368479956163291</v>
      </c>
      <c r="GB1482" s="8">
        <v>3.4113406408199016</v>
      </c>
      <c r="GC1482" s="8">
        <v>0.59800055487104498</v>
      </c>
      <c r="GD1482" s="8">
        <v>0.81692401225474609</v>
      </c>
      <c r="GE1482" s="8">
        <v>1.6113431698985363</v>
      </c>
      <c r="GF1482" s="8">
        <v>2.222803676878967</v>
      </c>
      <c r="GG1482" s="8">
        <v>1.3428004127226756</v>
      </c>
      <c r="GH1482" s="8">
        <v>0.81723777082165783</v>
      </c>
      <c r="GI1482" s="8">
        <v>3.860884766466695</v>
      </c>
    </row>
    <row r="1483" spans="182:191">
      <c r="FZ1483" s="8">
        <v>14.175363896923082</v>
      </c>
      <c r="GA1483" s="8">
        <v>6.814051110765325</v>
      </c>
      <c r="GB1483" s="8">
        <v>0.80813206843995666</v>
      </c>
      <c r="GC1483" s="8">
        <v>0.84088163953062767</v>
      </c>
      <c r="GD1483" s="8">
        <v>0.82078978277793868</v>
      </c>
      <c r="GE1483" s="8">
        <v>1.2612014507838012</v>
      </c>
      <c r="GF1483" s="8">
        <v>3.5688371465706861</v>
      </c>
      <c r="GG1483" s="8">
        <v>2.3040409080523605</v>
      </c>
      <c r="GH1483" s="8">
        <v>0.40861888541082891</v>
      </c>
      <c r="GI1483" s="8">
        <v>3.9740536857908064</v>
      </c>
    </row>
    <row r="1484" spans="182:191">
      <c r="FZ1484" s="8">
        <v>10.823317320677031</v>
      </c>
      <c r="GA1484" s="8">
        <v>11.112257162314888</v>
      </c>
      <c r="GB1484" s="8">
        <v>2.6705881345941922</v>
      </c>
      <c r="GC1484" s="8">
        <v>1.4966954742009784</v>
      </c>
      <c r="GD1484" s="8">
        <v>1.7017094109167132</v>
      </c>
      <c r="GE1484" s="8">
        <v>2.368213841895987</v>
      </c>
      <c r="GF1484" s="8">
        <v>4.2820497155094639</v>
      </c>
      <c r="GG1484" s="8">
        <v>2.5512781329880112</v>
      </c>
      <c r="GH1484" s="8">
        <v>0.58144353567374973</v>
      </c>
      <c r="GI1484" s="8">
        <v>5.776586468478853</v>
      </c>
    </row>
    <row r="1485" spans="182:191">
      <c r="FZ1485" s="8">
        <v>5.6888568468102516</v>
      </c>
      <c r="GA1485" s="8">
        <v>8.9642772899094414</v>
      </c>
      <c r="GB1485" s="8">
        <v>2.8113126616231119</v>
      </c>
      <c r="GC1485" s="8">
        <v>0.58186724182760563</v>
      </c>
      <c r="GD1485" s="8">
        <v>0.64918498519608581</v>
      </c>
      <c r="GE1485" s="8">
        <v>0.8834446203851174</v>
      </c>
      <c r="GF1485" s="8">
        <v>1.4603686951309782</v>
      </c>
      <c r="GG1485" s="8">
        <v>1.1871761882489873</v>
      </c>
      <c r="GH1485" s="8">
        <v>0</v>
      </c>
      <c r="GI1485" s="8">
        <v>3.0362401950056856</v>
      </c>
    </row>
    <row r="1486" spans="182:191">
      <c r="FZ1486" s="8">
        <v>7.3377488161347646</v>
      </c>
      <c r="GA1486" s="8">
        <v>21.546092086359494</v>
      </c>
      <c r="GB1486" s="8">
        <v>6.4656484434828911</v>
      </c>
      <c r="GC1486" s="8">
        <v>0.67511456901004518</v>
      </c>
      <c r="GD1486" s="8">
        <v>0.96842223435380526</v>
      </c>
      <c r="GE1486" s="8">
        <v>2.400262015412312</v>
      </c>
      <c r="GF1486" s="8">
        <v>2.3939957151612203</v>
      </c>
      <c r="GG1486" s="8">
        <v>0.49447444987130124</v>
      </c>
      <c r="GH1486" s="8">
        <v>0</v>
      </c>
      <c r="GI1486" s="8">
        <v>5.4085227550989856</v>
      </c>
    </row>
    <row r="1487" spans="182:191">
      <c r="FZ1487" s="8">
        <v>4.7648717640480074</v>
      </c>
      <c r="GA1487" s="8">
        <v>9.2579298596227346</v>
      </c>
      <c r="GB1487" s="8">
        <v>2.0361827211887653</v>
      </c>
      <c r="GC1487" s="8">
        <v>0.1049829806327898</v>
      </c>
      <c r="GD1487" s="8">
        <v>0.46684914046747672</v>
      </c>
      <c r="GE1487" s="8">
        <v>1.841501568039575</v>
      </c>
      <c r="GF1487" s="8">
        <v>7.2188528953721249</v>
      </c>
      <c r="GG1487" s="8">
        <v>5.6278780876117471</v>
      </c>
      <c r="GH1487" s="8">
        <v>0.58144353567374973</v>
      </c>
      <c r="GI1487" s="8">
        <v>4.603172263534681</v>
      </c>
    </row>
    <row r="1488" spans="182:191">
      <c r="FZ1488" s="8">
        <v>3.1733106376109657</v>
      </c>
      <c r="GA1488" s="8">
        <v>19.398112213954047</v>
      </c>
      <c r="GB1488" s="8">
        <v>6.3109299692440928</v>
      </c>
      <c r="GC1488" s="8">
        <v>0.28402966518760814</v>
      </c>
      <c r="GD1488" s="8">
        <v>0.5984367864311515</v>
      </c>
      <c r="GE1488" s="8">
        <v>1.6296150785557972</v>
      </c>
      <c r="GF1488" s="8">
        <v>3.6191494301076936</v>
      </c>
      <c r="GG1488" s="8">
        <v>3.0335211783099472</v>
      </c>
      <c r="GH1488" s="8">
        <v>0.70738270544372439</v>
      </c>
      <c r="GI1488" s="8">
        <v>5.020478082258431</v>
      </c>
    </row>
    <row r="1489" spans="182:191">
      <c r="FZ1489" s="8">
        <v>2.7343367025202121</v>
      </c>
      <c r="GA1489" s="8">
        <v>10.809844396260482</v>
      </c>
      <c r="GB1489" s="8">
        <v>3.6996954298772584</v>
      </c>
      <c r="GC1489" s="8">
        <v>0.30282411234928031</v>
      </c>
      <c r="GD1489" s="8">
        <v>0.39973920965578597</v>
      </c>
      <c r="GE1489" s="8">
        <v>1.1193497922053051</v>
      </c>
      <c r="GF1489" s="8">
        <v>2.1081482664229432</v>
      </c>
      <c r="GG1489" s="8">
        <v>1.3641019447390237</v>
      </c>
      <c r="GH1489" s="8">
        <v>0.23579423514790807</v>
      </c>
      <c r="GI1489" s="8">
        <v>3.285104280556352</v>
      </c>
    </row>
    <row r="1490" spans="182:191">
      <c r="FZ1490" s="8">
        <v>0.48501114767149078</v>
      </c>
      <c r="GA1490" s="8">
        <v>2.3699833290724288</v>
      </c>
      <c r="GB1490" s="8">
        <v>0.72563574940589493</v>
      </c>
      <c r="GC1490" s="8">
        <v>0.30088788685696899</v>
      </c>
      <c r="GD1490" s="8">
        <v>0.21282613657591193</v>
      </c>
      <c r="GE1490" s="8">
        <v>1.0856515092784229</v>
      </c>
      <c r="GF1490" s="8">
        <v>5.5459420621424087</v>
      </c>
      <c r="GG1490" s="8">
        <v>3.6899200970888253</v>
      </c>
      <c r="GH1490" s="8">
        <v>0.17282465026292085</v>
      </c>
      <c r="GI1490" s="8">
        <v>3.0702994786548463</v>
      </c>
    </row>
    <row r="1491" spans="182:191">
      <c r="FZ1491" s="8">
        <v>10.553648084997132</v>
      </c>
      <c r="GA1491" s="8">
        <v>19.377692706986693</v>
      </c>
      <c r="GB1491" s="8">
        <v>7.5313694146364325</v>
      </c>
      <c r="GC1491" s="8">
        <v>0.72909300877552707</v>
      </c>
      <c r="GD1491" s="8">
        <v>0.75198799701780783</v>
      </c>
      <c r="GE1491" s="8">
        <v>1.1498423580487886</v>
      </c>
      <c r="GF1491" s="8">
        <v>4.1436603084645451</v>
      </c>
      <c r="GG1491" s="8">
        <v>3.3723714037075605</v>
      </c>
      <c r="GH1491" s="8">
        <v>0.40861888541082891</v>
      </c>
      <c r="GI1491" s="8">
        <v>5.4365300787409989</v>
      </c>
    </row>
    <row r="1492" spans="182:191">
      <c r="FZ1492" s="8">
        <v>4.2798606163765163</v>
      </c>
      <c r="GA1492" s="8">
        <v>2.3473175153663997</v>
      </c>
      <c r="GB1492" s="8">
        <v>0.32446586665972488</v>
      </c>
      <c r="GC1492" s="8">
        <v>0.4570521406272805</v>
      </c>
      <c r="GD1492" s="8">
        <v>0.8715310373985965</v>
      </c>
      <c r="GE1492" s="8">
        <v>1.7686212027466541</v>
      </c>
      <c r="GF1492" s="8">
        <v>2.208834277614903</v>
      </c>
      <c r="GG1492" s="8">
        <v>1.5410277012290603</v>
      </c>
      <c r="GH1492" s="8">
        <v>0.64441312055873701</v>
      </c>
      <c r="GI1492" s="8">
        <v>3.4147755549964312</v>
      </c>
    </row>
    <row r="1493" spans="182:191">
      <c r="FZ1493" s="8">
        <v>3.5010714682561108</v>
      </c>
      <c r="GA1493" s="8">
        <v>8.8161692530274394</v>
      </c>
      <c r="GB1493" s="8">
        <v>2.8089792037655537</v>
      </c>
      <c r="GC1493" s="8">
        <v>0.69494668957758032</v>
      </c>
      <c r="GD1493" s="8">
        <v>0.93381368706832557</v>
      </c>
      <c r="GE1493" s="8">
        <v>1.6390401039203502</v>
      </c>
      <c r="GF1493" s="8">
        <v>3.5289863050927961</v>
      </c>
      <c r="GG1493" s="8">
        <v>3.0335211783099472</v>
      </c>
      <c r="GH1493" s="8">
        <v>0.88020735570664521</v>
      </c>
      <c r="GI1493" s="8">
        <v>4.9838329513890152</v>
      </c>
    </row>
    <row r="1494" spans="182:191">
      <c r="FZ1494" s="8">
        <v>6.2311988373692149</v>
      </c>
      <c r="GA1494" s="8">
        <v>24.021098131640539</v>
      </c>
      <c r="GB1494" s="8">
        <v>7.7361050750497915</v>
      </c>
      <c r="GC1494" s="8">
        <v>0.98668055697394741</v>
      </c>
      <c r="GD1494" s="8">
        <v>1.5942598449784917</v>
      </c>
      <c r="GE1494" s="8">
        <v>3.069831043140073</v>
      </c>
      <c r="GF1494" s="8">
        <v>3.6334781194428434</v>
      </c>
      <c r="GG1494" s="8">
        <v>1.8100421704621514</v>
      </c>
      <c r="GH1494" s="8">
        <v>0.3456493005258417</v>
      </c>
      <c r="GI1494" s="8">
        <v>6.5374953016008144</v>
      </c>
    </row>
    <row r="1495" spans="182:191">
      <c r="FZ1495" s="8">
        <v>4.806699643221636</v>
      </c>
      <c r="GA1495" s="8">
        <v>10.359939504259625</v>
      </c>
      <c r="GB1495" s="8">
        <v>3.0519743448054308</v>
      </c>
      <c r="GC1495" s="8">
        <v>0.49646014936365274</v>
      </c>
      <c r="GD1495" s="8">
        <v>0.5866640000125658</v>
      </c>
      <c r="GE1495" s="8">
        <v>1.1639999846153111</v>
      </c>
      <c r="GF1495" s="8">
        <v>1.4077583192570629</v>
      </c>
      <c r="GG1495" s="8">
        <v>0.42416298142568709</v>
      </c>
      <c r="GH1495" s="8">
        <v>0.40861888541082891</v>
      </c>
      <c r="GI1495" s="8">
        <v>3.209298888137889</v>
      </c>
    </row>
    <row r="1496" spans="182:191">
      <c r="FZ1496" s="8">
        <v>5.2498829117194976</v>
      </c>
      <c r="GA1496" s="8">
        <v>15.905699733277368</v>
      </c>
      <c r="GB1496" s="8">
        <v>5.7562522605067468</v>
      </c>
      <c r="GC1496" s="8">
        <v>0.75696197526931686</v>
      </c>
      <c r="GD1496" s="8">
        <v>1.5473878222007036</v>
      </c>
      <c r="GE1496" s="8">
        <v>2.9361873908184108</v>
      </c>
      <c r="GF1496" s="8">
        <v>2.7083647904680057</v>
      </c>
      <c r="GG1496" s="8">
        <v>1.4344134131846378</v>
      </c>
      <c r="GH1496" s="8">
        <v>0</v>
      </c>
      <c r="GI1496" s="8">
        <v>5.0001802517290281</v>
      </c>
    </row>
    <row r="1497" spans="182:191">
      <c r="FZ1497" s="8">
        <v>5.7465680657366089</v>
      </c>
      <c r="GA1497" s="8">
        <v>13.704243948054298</v>
      </c>
      <c r="GB1497" s="8">
        <v>3.9882233185874236</v>
      </c>
      <c r="GC1497" s="8">
        <v>0.7005786337843003</v>
      </c>
      <c r="GD1497" s="8">
        <v>0.63171991871933852</v>
      </c>
      <c r="GE1497" s="8">
        <v>1.3042338591530445</v>
      </c>
      <c r="GF1497" s="8">
        <v>2.8758392201570535</v>
      </c>
      <c r="GG1497" s="8">
        <v>1.9166564585065737</v>
      </c>
      <c r="GH1497" s="8">
        <v>0.64441312055873701</v>
      </c>
      <c r="GI1497" s="8">
        <v>3.7493015333390511</v>
      </c>
    </row>
    <row r="1498" spans="182:191">
      <c r="FZ1498" s="8">
        <v>8.319825493862254</v>
      </c>
      <c r="GA1498" s="8">
        <v>8.6083886110374124</v>
      </c>
      <c r="GB1498" s="8">
        <v>1.8095149852163248</v>
      </c>
      <c r="GC1498" s="8">
        <v>0.91373402658626635</v>
      </c>
      <c r="GD1498" s="8">
        <v>0.60515688930135747</v>
      </c>
      <c r="GE1498" s="8">
        <v>0.51986306420309958</v>
      </c>
      <c r="GF1498" s="8">
        <v>4.0845840957364699</v>
      </c>
      <c r="GG1498" s="8">
        <v>3.5492971601975971</v>
      </c>
      <c r="GH1498" s="8">
        <v>0.81723777082165783</v>
      </c>
      <c r="GI1498" s="8">
        <v>3.7407492858920213</v>
      </c>
    </row>
    <row r="1499" spans="182:191">
      <c r="FZ1499" s="8">
        <v>4.8527368558023731</v>
      </c>
      <c r="GA1499" s="8">
        <v>0.97432111472224658</v>
      </c>
      <c r="GB1499" s="8">
        <v>0.29423235302009582</v>
      </c>
      <c r="GC1499" s="8">
        <v>0.45077478792312342</v>
      </c>
      <c r="GD1499" s="8">
        <v>0.47232255061621597</v>
      </c>
      <c r="GE1499" s="8">
        <v>1.0703156297330947</v>
      </c>
      <c r="GF1499" s="8">
        <v>4.5209113996574946</v>
      </c>
      <c r="GG1499" s="8">
        <v>3.7965343851332478</v>
      </c>
      <c r="GH1499" s="8">
        <v>0.47158847029581613</v>
      </c>
      <c r="GI1499" s="8">
        <v>2.4948547291145982</v>
      </c>
    </row>
    <row r="1500" spans="182:191">
      <c r="FZ1500" s="8">
        <v>3.2891134515025664</v>
      </c>
      <c r="GA1500" s="8">
        <v>8.263189237933128</v>
      </c>
      <c r="GB1500" s="8">
        <v>3.3264230252905955</v>
      </c>
      <c r="GC1500" s="8">
        <v>0.67984796113031676</v>
      </c>
      <c r="GD1500" s="8">
        <v>0.71727576087586198</v>
      </c>
      <c r="GE1500" s="8">
        <v>0.93141511301207758</v>
      </c>
      <c r="GF1500" s="8">
        <v>5.1775217636709367</v>
      </c>
      <c r="GG1500" s="8">
        <v>4.9719548811139624</v>
      </c>
      <c r="GH1500" s="8">
        <v>0.70738270544372439</v>
      </c>
      <c r="GI1500" s="8">
        <v>3.6012915752778598</v>
      </c>
    </row>
    <row r="1501" spans="182:191">
      <c r="FZ1501" s="8">
        <v>1.3671683512601061</v>
      </c>
      <c r="GA1501" s="8">
        <v>8.6822840308223945</v>
      </c>
      <c r="GB1501" s="8">
        <v>2.4292387983103598</v>
      </c>
      <c r="GC1501" s="8">
        <v>0.78676716725541784</v>
      </c>
      <c r="GD1501" s="8">
        <v>0.75512872962331956</v>
      </c>
      <c r="GE1501" s="8">
        <v>1.1008081955765781</v>
      </c>
      <c r="GF1501" s="8">
        <v>2.367246932159742</v>
      </c>
      <c r="GG1501" s="8">
        <v>1.6113391696746744</v>
      </c>
      <c r="GH1501" s="8">
        <v>0.58144353567374973</v>
      </c>
      <c r="GI1501" s="8">
        <v>3.0393840735374504</v>
      </c>
    </row>
    <row r="1502" spans="182:191">
      <c r="FZ1502" s="8">
        <v>7.0861790708983659</v>
      </c>
      <c r="GA1502" s="8">
        <v>17.426804170803521</v>
      </c>
      <c r="GB1502" s="8">
        <v>5.8748596571431762</v>
      </c>
      <c r="GC1502" s="8">
        <v>0.44040945159613165</v>
      </c>
      <c r="GD1502" s="8">
        <v>0.82664634575835827</v>
      </c>
      <c r="GE1502" s="8">
        <v>1.65543924811303</v>
      </c>
      <c r="GF1502" s="8">
        <v>4.3313727277715115</v>
      </c>
      <c r="GG1502" s="8">
        <v>3.6196086286432112</v>
      </c>
      <c r="GH1502" s="8">
        <v>0.40861888541082891</v>
      </c>
      <c r="GI1502" s="8">
        <v>6.116081495911831</v>
      </c>
    </row>
    <row r="1503" spans="182:191">
      <c r="FZ1503" s="8">
        <v>0.97002229534298157</v>
      </c>
      <c r="GA1503" s="8">
        <v>11.587074174760446</v>
      </c>
      <c r="GB1503" s="8">
        <v>5.2712875718412064</v>
      </c>
      <c r="GC1503" s="8">
        <v>0.57726988221706144</v>
      </c>
      <c r="GD1503" s="8">
        <v>0.29365174257240345</v>
      </c>
      <c r="GE1503" s="8">
        <v>0.55464616528199862</v>
      </c>
      <c r="GF1503" s="8">
        <v>3.8055513850937857</v>
      </c>
      <c r="GG1503" s="8">
        <v>3.1038326467555613</v>
      </c>
      <c r="GH1503" s="8">
        <v>0.47158847029581613</v>
      </c>
      <c r="GI1503" s="8">
        <v>2.7427854216978025</v>
      </c>
    </row>
    <row r="1504" spans="182:191">
      <c r="FZ1504" s="8">
        <v>6.0743288963817541</v>
      </c>
      <c r="GA1504" s="8">
        <v>5.2929466732391681</v>
      </c>
      <c r="GB1504" s="8">
        <v>0.88147703325462945</v>
      </c>
      <c r="GC1504" s="8">
        <v>1.0132587064728629</v>
      </c>
      <c r="GD1504" s="8">
        <v>0.81114804222384707</v>
      </c>
      <c r="GE1504" s="8">
        <v>0.95590632995049274</v>
      </c>
      <c r="GF1504" s="8">
        <v>2.3095202888068629</v>
      </c>
      <c r="GG1504" s="8">
        <v>1.3641019447390237</v>
      </c>
      <c r="GH1504" s="8">
        <v>0.58144353567374973</v>
      </c>
      <c r="GI1504" s="8">
        <v>3.0499720161542569</v>
      </c>
    </row>
    <row r="1505" spans="182:191">
      <c r="FZ1505" s="8">
        <v>1.4248795701864641</v>
      </c>
      <c r="GA1505" s="8">
        <v>3.5436420867556286</v>
      </c>
      <c r="GB1505" s="8">
        <v>1.0175346445684323</v>
      </c>
      <c r="GC1505" s="8">
        <v>1.0021119291387064</v>
      </c>
      <c r="GD1505" s="8">
        <v>1.0079052658056213</v>
      </c>
      <c r="GE1505" s="8">
        <v>1.613649297638311</v>
      </c>
      <c r="GF1505" s="8">
        <v>6.0671655768873904</v>
      </c>
      <c r="GG1505" s="8">
        <v>4.8648648807884465</v>
      </c>
      <c r="GH1505" s="8">
        <v>0.47158847029581613</v>
      </c>
      <c r="GI1505" s="8">
        <v>3.5981491625016764</v>
      </c>
    </row>
    <row r="1506" spans="182:191">
      <c r="FZ1506" s="8">
        <v>8.747125422607386</v>
      </c>
      <c r="GA1506" s="8">
        <v>5.8397299960430775</v>
      </c>
      <c r="GB1506" s="8">
        <v>0.86169336071969793</v>
      </c>
      <c r="GC1506" s="8">
        <v>0.72346106456880721</v>
      </c>
      <c r="GD1506" s="8">
        <v>1.1131058441733526</v>
      </c>
      <c r="GE1506" s="8">
        <v>1.7831332801250039</v>
      </c>
      <c r="GF1506" s="8">
        <v>5.7033654454122864</v>
      </c>
      <c r="GG1506" s="8">
        <v>4.6298590604021621</v>
      </c>
      <c r="GH1506" s="8">
        <v>0.17282465026292085</v>
      </c>
      <c r="GI1506" s="8">
        <v>4.3280005223166036</v>
      </c>
    </row>
    <row r="1507" spans="182:191">
      <c r="FZ1507" s="8">
        <v>9.9532144994729244</v>
      </c>
      <c r="GA1507" s="8">
        <v>18.423791099231799</v>
      </c>
      <c r="GB1507" s="8">
        <v>6.1388491189656076</v>
      </c>
      <c r="GC1507" s="8">
        <v>0.51181202139992732</v>
      </c>
      <c r="GD1507" s="8">
        <v>0.63288746958849362</v>
      </c>
      <c r="GE1507" s="8">
        <v>1.8137051636297523</v>
      </c>
      <c r="GF1507" s="8">
        <v>3.5798784722939674</v>
      </c>
      <c r="GG1507" s="8">
        <v>1.5628049455265007</v>
      </c>
      <c r="GH1507" s="8">
        <v>0.17282465026292085</v>
      </c>
      <c r="GI1507" s="8">
        <v>5.7072208234295454</v>
      </c>
    </row>
    <row r="1508" spans="182:191">
      <c r="FZ1508" s="8">
        <v>5.3494220098194845</v>
      </c>
      <c r="GA1508" s="8">
        <v>16.253145413120322</v>
      </c>
      <c r="GB1508" s="8">
        <v>5.7724918269364967</v>
      </c>
      <c r="GC1508" s="8">
        <v>0.29959706986209483</v>
      </c>
      <c r="GD1508" s="8">
        <v>0.6015872598662042</v>
      </c>
      <c r="GE1508" s="8">
        <v>0.97492231791556794</v>
      </c>
      <c r="GF1508" s="8">
        <v>2.7291567156498076</v>
      </c>
      <c r="GG1508" s="8">
        <v>2.8080611976717367</v>
      </c>
      <c r="GH1508" s="8">
        <v>0.23579423514790807</v>
      </c>
      <c r="GI1508" s="8">
        <v>4.641180143753755</v>
      </c>
    </row>
    <row r="1509" spans="182:191">
      <c r="FZ1509" s="8">
        <v>5.3494220098194845</v>
      </c>
      <c r="GA1509" s="8">
        <v>2.4954255522484026</v>
      </c>
      <c r="GB1509" s="8">
        <v>0.27444868048516441</v>
      </c>
      <c r="GC1509" s="8">
        <v>0.62281921114786321</v>
      </c>
      <c r="GD1509" s="8">
        <v>0.6546272045343462</v>
      </c>
      <c r="GE1509" s="8">
        <v>0.75773753077338135</v>
      </c>
      <c r="GF1509" s="8">
        <v>3.3737995700418812</v>
      </c>
      <c r="GG1509" s="8">
        <v>3.232224179097424</v>
      </c>
      <c r="GH1509" s="8">
        <v>0.47158847029581613</v>
      </c>
      <c r="GI1509" s="8">
        <v>3.11874607709056</v>
      </c>
    </row>
    <row r="1510" spans="182:191">
      <c r="FZ1510" s="8">
        <v>7.1555642961703434</v>
      </c>
      <c r="GA1510" s="8">
        <v>9.7308177626416636</v>
      </c>
      <c r="GB1510" s="8">
        <v>1.5326450082359155</v>
      </c>
      <c r="GC1510" s="8">
        <v>0.72346106456880721</v>
      </c>
      <c r="GD1510" s="8">
        <v>1.0066635407810662</v>
      </c>
      <c r="GE1510" s="8">
        <v>1.8391954402998008</v>
      </c>
      <c r="GF1510" s="8">
        <v>3.9093741131856365</v>
      </c>
      <c r="GG1510" s="8">
        <v>2.6796696653298739</v>
      </c>
      <c r="GH1510" s="8">
        <v>0.40861888541082891</v>
      </c>
      <c r="GI1510" s="8">
        <v>3.703771387442643</v>
      </c>
    </row>
    <row r="1511" spans="182:191">
      <c r="FZ1511" s="8">
        <v>6.5589596680143618</v>
      </c>
      <c r="GA1511" s="8">
        <v>11.88724063407618</v>
      </c>
      <c r="GB1511" s="8">
        <v>2.7078220218064963</v>
      </c>
      <c r="GC1511" s="8">
        <v>0.46806288545170932</v>
      </c>
      <c r="GD1511" s="8">
        <v>0.67080289521444558</v>
      </c>
      <c r="GE1511" s="8">
        <v>1.4085063796330732</v>
      </c>
      <c r="GF1511" s="8">
        <v>3.0702969130216942</v>
      </c>
      <c r="GG1511" s="8">
        <v>2.4809666645423967</v>
      </c>
      <c r="GH1511" s="8">
        <v>0.81723777082165783</v>
      </c>
      <c r="GI1511" s="8">
        <v>3.2275859448931676</v>
      </c>
    </row>
    <row r="1512" spans="182:191">
      <c r="FZ1512" s="8">
        <v>11.602106468797439</v>
      </c>
      <c r="GA1512" s="8">
        <v>18.401125285525772</v>
      </c>
      <c r="GB1512" s="8">
        <v>5.7888192320039344</v>
      </c>
      <c r="GC1512" s="8">
        <v>0.72281565607137011</v>
      </c>
      <c r="GD1512" s="8">
        <v>0.70792773721472679</v>
      </c>
      <c r="GE1512" s="8">
        <v>0.88110576207764946</v>
      </c>
      <c r="GF1512" s="8">
        <v>3.6828011317048905</v>
      </c>
      <c r="GG1512" s="8">
        <v>3.0552984226073874</v>
      </c>
      <c r="GH1512" s="8">
        <v>0.58144353567374973</v>
      </c>
      <c r="GI1512" s="8">
        <v>6.0582870214496971</v>
      </c>
    </row>
    <row r="1513" spans="182:191">
      <c r="FZ1513" s="8">
        <v>5.4527900652876955</v>
      </c>
      <c r="GA1513" s="8">
        <v>14.678565062776546</v>
      </c>
      <c r="GB1513" s="8">
        <v>3.7264700984268293</v>
      </c>
      <c r="GC1513" s="8">
        <v>0.54105130501707577</v>
      </c>
      <c r="GD1513" s="8">
        <v>0.81135754379391023</v>
      </c>
      <c r="GE1513" s="8">
        <v>1.5245334634564376</v>
      </c>
      <c r="GF1513" s="8">
        <v>3.6191494301076936</v>
      </c>
      <c r="GG1513" s="8">
        <v>2.5027439088398373</v>
      </c>
      <c r="GH1513" s="8">
        <v>0.3456493005258417</v>
      </c>
      <c r="GI1513" s="8">
        <v>4.4705463009792048</v>
      </c>
    </row>
    <row r="1514" spans="182:191">
      <c r="FZ1514" s="8">
        <v>4.7071605451216492</v>
      </c>
      <c r="GA1514" s="8">
        <v>10.012493824416669</v>
      </c>
      <c r="GB1514" s="8">
        <v>3.1903654139767923</v>
      </c>
      <c r="GC1514" s="8">
        <v>0.48556651561850728</v>
      </c>
      <c r="GD1514" s="8">
        <v>0.83149441224684539</v>
      </c>
      <c r="GE1514" s="8">
        <v>1.3517558757592645</v>
      </c>
      <c r="GF1514" s="8">
        <v>1.9868591240669011</v>
      </c>
      <c r="GG1514" s="8">
        <v>1.6113391696746744</v>
      </c>
      <c r="GH1514" s="8">
        <v>0.23579423514790807</v>
      </c>
      <c r="GI1514" s="8">
        <v>3.7874734734708668</v>
      </c>
    </row>
    <row r="1515" spans="182:191">
      <c r="FZ1515" s="8">
        <v>8.2621142749358949</v>
      </c>
      <c r="GA1515" s="8">
        <v>8.2097133251155068</v>
      </c>
      <c r="GB1515" s="8">
        <v>1.6944516946850756</v>
      </c>
      <c r="GC1515" s="8">
        <v>0.66733086667280173</v>
      </c>
      <c r="GD1515" s="8">
        <v>0.34645039425231111</v>
      </c>
      <c r="GE1515" s="8">
        <v>0.43000274551551287</v>
      </c>
      <c r="GF1515" s="8">
        <v>2.6902292899456182</v>
      </c>
      <c r="GG1515" s="8">
        <v>2.0568036831167102</v>
      </c>
      <c r="GH1515" s="8">
        <v>0.23579423514790807</v>
      </c>
      <c r="GI1515" s="8">
        <v>3.4649945560555722</v>
      </c>
    </row>
    <row r="1516" spans="182:191">
      <c r="FZ1516" s="8">
        <v>3.9860826159276019</v>
      </c>
      <c r="GA1516" s="8">
        <v>8.8161692530274394</v>
      </c>
      <c r="GB1516" s="8">
        <v>2.650716623421574</v>
      </c>
      <c r="GC1516" s="8">
        <v>1.1777349599985716</v>
      </c>
      <c r="GD1516" s="8">
        <v>1.4367107448547376</v>
      </c>
      <c r="GE1516" s="8">
        <v>1.6510492424896055</v>
      </c>
      <c r="GF1516" s="8">
        <v>2.9667943699466073</v>
      </c>
      <c r="GG1516" s="8">
        <v>2.1271151515623243</v>
      </c>
      <c r="GH1516" s="8">
        <v>0.51847395078876257</v>
      </c>
      <c r="GI1516" s="8">
        <v>3.6899221874767645</v>
      </c>
    </row>
    <row r="1517" spans="182:191">
      <c r="FZ1517" s="8">
        <v>5.6470289676366221</v>
      </c>
      <c r="GA1517" s="8">
        <v>7.6629300023115965</v>
      </c>
      <c r="GB1517" s="8">
        <v>1.2954302149630554</v>
      </c>
      <c r="GC1517" s="8">
        <v>1.1339858240503533</v>
      </c>
      <c r="GD1517" s="8">
        <v>0.98521043110591555</v>
      </c>
      <c r="GE1517" s="8">
        <v>0.86909662350839412</v>
      </c>
      <c r="GF1517" s="8">
        <v>1.8878428672669025</v>
      </c>
      <c r="GG1517" s="8">
        <v>1.2937904762934096</v>
      </c>
      <c r="GH1517" s="8">
        <v>1.1628870713474995</v>
      </c>
      <c r="GI1517" s="8">
        <v>3.1143123658429932</v>
      </c>
    </row>
    <row r="1518" spans="182:191">
      <c r="FZ1518" s="8">
        <v>2.4733379539867713</v>
      </c>
      <c r="GA1518" s="8">
        <v>14.772879989528885</v>
      </c>
      <c r="GB1518" s="8">
        <v>3.1630761919785164</v>
      </c>
      <c r="GC1518" s="8">
        <v>0.3799381264882804</v>
      </c>
      <c r="GD1518" s="8">
        <v>0.79483783624147519</v>
      </c>
      <c r="GE1518" s="8">
        <v>1.8381752322614013</v>
      </c>
      <c r="GF1518" s="8">
        <v>5.3637954110086739</v>
      </c>
      <c r="GG1518" s="8">
        <v>4.0655488543663392</v>
      </c>
      <c r="GH1518" s="8">
        <v>0</v>
      </c>
      <c r="GI1518" s="8">
        <v>4.8940426266841168</v>
      </c>
    </row>
    <row r="1519" spans="182:191">
      <c r="FZ1519" s="8">
        <v>7.5828642249154772</v>
      </c>
      <c r="GA1519" s="8">
        <v>4.9908511044968051</v>
      </c>
      <c r="GB1519" s="8">
        <v>0.42674585822871791</v>
      </c>
      <c r="GC1519" s="8">
        <v>0.56041166054770053</v>
      </c>
      <c r="GD1519" s="8">
        <v>1.1180221217000417</v>
      </c>
      <c r="GE1519" s="8">
        <v>2.8550666938988614</v>
      </c>
      <c r="GF1519" s="8">
        <v>3.6243048026409781</v>
      </c>
      <c r="GG1519" s="8">
        <v>2.0935822149966103</v>
      </c>
      <c r="GH1519" s="8">
        <v>0.70738270544372439</v>
      </c>
      <c r="GI1519" s="8">
        <v>4.2442608442489043</v>
      </c>
    </row>
    <row r="1520" spans="182:191">
      <c r="FZ1520" s="8">
        <v>5.2917107908931271</v>
      </c>
      <c r="GA1520" s="8">
        <v>14.082499727008848</v>
      </c>
      <c r="GB1520" s="8">
        <v>5.1492239077372819</v>
      </c>
      <c r="GC1520" s="8">
        <v>0.54505978851142589</v>
      </c>
      <c r="GD1520" s="8">
        <v>0.99086458413852652</v>
      </c>
      <c r="GE1520" s="8">
        <v>2.4581965348537911</v>
      </c>
      <c r="GF1520" s="8">
        <v>6.2083491767518151</v>
      </c>
      <c r="GG1520" s="8">
        <v>4.3708661431982385</v>
      </c>
      <c r="GH1520" s="8">
        <v>0.40861888541082891</v>
      </c>
      <c r="GI1520" s="8">
        <v>5.6969399790538882</v>
      </c>
    </row>
    <row r="1521" spans="182:191">
      <c r="FZ1521" s="8">
        <v>4.3677257081308829</v>
      </c>
      <c r="GA1521" s="8">
        <v>12.00616896764971</v>
      </c>
      <c r="GB1521" s="8">
        <v>4.2194727092598585</v>
      </c>
      <c r="GC1521" s="8">
        <v>0.53189728555647375</v>
      </c>
      <c r="GD1521" s="8">
        <v>0.5333634673321852</v>
      </c>
      <c r="GE1521" s="8">
        <v>1.747620807285938</v>
      </c>
      <c r="GF1521" s="8">
        <v>5.2091885596219232</v>
      </c>
      <c r="GG1521" s="8">
        <v>3.4794614040330742</v>
      </c>
      <c r="GH1521" s="8">
        <v>0.47158847029581613</v>
      </c>
      <c r="GI1521" s="8">
        <v>3.7125483424602903</v>
      </c>
    </row>
    <row r="1522" spans="182:191">
      <c r="FZ1522" s="8">
        <v>4.5245956491183428</v>
      </c>
      <c r="GA1522" s="8">
        <v>4.7915134615358523</v>
      </c>
      <c r="GB1522" s="8">
        <v>0.32558867626966093</v>
      </c>
      <c r="GC1522" s="8">
        <v>0.79390546109522409</v>
      </c>
      <c r="GD1522" s="8">
        <v>0.94950895485439879</v>
      </c>
      <c r="GE1522" s="8">
        <v>1.623883012424296</v>
      </c>
      <c r="GF1522" s="8">
        <v>2.1377682162018363</v>
      </c>
      <c r="GG1522" s="8">
        <v>0.93993896331333671</v>
      </c>
      <c r="GH1522" s="8">
        <v>0.17282465026292085</v>
      </c>
      <c r="GI1522" s="8">
        <v>2.6754896329476727</v>
      </c>
    </row>
    <row r="1523" spans="182:191">
      <c r="FZ1523" s="8">
        <v>5.7711218926357992E-2</v>
      </c>
      <c r="GA1523" s="8">
        <v>10.633172567005557</v>
      </c>
      <c r="GB1523" s="8">
        <v>3.9136677055251292</v>
      </c>
      <c r="GC1523" s="8">
        <v>1.3345446222663202</v>
      </c>
      <c r="GD1523" s="8">
        <v>1.3792237456979781</v>
      </c>
      <c r="GE1523" s="8">
        <v>1.5816592934764846</v>
      </c>
      <c r="GF1523" s="8">
        <v>2.4366953843529018</v>
      </c>
      <c r="GG1523" s="8">
        <v>1.4924934770808866</v>
      </c>
      <c r="GH1523" s="8">
        <v>0.40861888541082891</v>
      </c>
      <c r="GI1523" s="8">
        <v>3.5542211789750806</v>
      </c>
    </row>
    <row r="1524" spans="182:191">
      <c r="FZ1524" s="8">
        <v>9.9110062442604097</v>
      </c>
      <c r="GA1524" s="8">
        <v>5.4183888964151414</v>
      </c>
      <c r="GB1524" s="8">
        <v>0.27323803223754195</v>
      </c>
      <c r="GC1524" s="8">
        <v>0.69864240829198898</v>
      </c>
      <c r="GD1524" s="8">
        <v>0.67969770012220043</v>
      </c>
      <c r="GE1524" s="8">
        <v>1.4431343758740616</v>
      </c>
      <c r="GF1524" s="8">
        <v>6.3129639296183218</v>
      </c>
      <c r="GG1524" s="8">
        <v>4.5110133678083741</v>
      </c>
      <c r="GH1524" s="8">
        <v>0</v>
      </c>
      <c r="GI1524" s="8">
        <v>3.5758098625865813</v>
      </c>
    </row>
    <row r="1525" spans="182:191">
      <c r="FZ1525" s="8">
        <v>3.3977034127879011</v>
      </c>
      <c r="GA1525" s="8">
        <v>9.2375103526553755</v>
      </c>
      <c r="GB1525" s="8">
        <v>3.3601128063977188</v>
      </c>
      <c r="GC1525" s="8">
        <v>0.43696687647073412</v>
      </c>
      <c r="GD1525" s="8">
        <v>1.2327731336767169</v>
      </c>
      <c r="GE1525" s="8">
        <v>3.0513476158658448</v>
      </c>
      <c r="GF1525" s="8">
        <v>4.2183756748486454</v>
      </c>
      <c r="GG1525" s="8">
        <v>2.6796696653298739</v>
      </c>
      <c r="GH1525" s="8">
        <v>0.58144353567374973</v>
      </c>
      <c r="GI1525" s="8">
        <v>4.6816289952010832</v>
      </c>
    </row>
    <row r="1526" spans="182:191">
      <c r="FZ1526" s="8">
        <v>3.1155994186846074</v>
      </c>
      <c r="GA1526" s="8">
        <v>17.227466527842569</v>
      </c>
      <c r="GB1526" s="8">
        <v>5.5655105473032656</v>
      </c>
      <c r="GC1526" s="8">
        <v>0.84088163953062778</v>
      </c>
      <c r="GD1526" s="8">
        <v>0.78223419919161197</v>
      </c>
      <c r="GE1526" s="8">
        <v>0.91807261662610573</v>
      </c>
      <c r="GF1526" s="8">
        <v>3.6150224339036914</v>
      </c>
      <c r="GG1526" s="8">
        <v>2.6796696653298739</v>
      </c>
      <c r="GH1526" s="8">
        <v>0.40861888541082891</v>
      </c>
      <c r="GI1526" s="8">
        <v>4.3830312824202791</v>
      </c>
    </row>
    <row r="1527" spans="182:191">
      <c r="FZ1527" s="8">
        <v>6.1161567755553836</v>
      </c>
      <c r="GA1527" s="8">
        <v>22.721997150781366</v>
      </c>
      <c r="GB1527" s="8">
        <v>8.1011638801935923</v>
      </c>
      <c r="GC1527" s="8">
        <v>0.96594988431996387</v>
      </c>
      <c r="GD1527" s="8">
        <v>1.0012018479092328</v>
      </c>
      <c r="GE1527" s="8">
        <v>2.1161464832868928</v>
      </c>
      <c r="GF1527" s="8">
        <v>2.1429235887351208</v>
      </c>
      <c r="GG1527" s="8">
        <v>0.1769257564900365</v>
      </c>
      <c r="GH1527" s="8">
        <v>0.23579423514790807</v>
      </c>
      <c r="GI1527" s="8">
        <v>5.1398749030814184</v>
      </c>
    </row>
    <row r="1528" spans="182:191">
      <c r="FZ1528" s="8">
        <v>5.2498829117194976</v>
      </c>
      <c r="GA1528" s="8">
        <v>4.717300844438828</v>
      </c>
      <c r="GB1528" s="8">
        <v>1.208364196409599</v>
      </c>
      <c r="GC1528" s="8">
        <v>0.81094041503479897</v>
      </c>
      <c r="GD1528" s="8">
        <v>1.4794534595518558</v>
      </c>
      <c r="GE1528" s="8">
        <v>3.1997313273059129</v>
      </c>
      <c r="GF1528" s="8">
        <v>6.0591098390088414</v>
      </c>
      <c r="GG1528" s="8">
        <v>4.193940386708201</v>
      </c>
      <c r="GH1528" s="8">
        <v>0</v>
      </c>
      <c r="GI1528" s="8">
        <v>4.8858379506246701</v>
      </c>
    </row>
    <row r="1529" spans="182:191">
      <c r="FZ1529" s="8">
        <v>5.6311456278838934</v>
      </c>
      <c r="GA1529" s="8">
        <v>14.658145555809188</v>
      </c>
      <c r="GB1529" s="8">
        <v>5.0329499689584098</v>
      </c>
      <c r="GC1529" s="8">
        <v>0.48394305490613754</v>
      </c>
      <c r="GD1529" s="8">
        <v>0.567098180641466</v>
      </c>
      <c r="GE1529" s="8">
        <v>1.2336014522453993</v>
      </c>
      <c r="GF1529" s="8">
        <v>3.0395301857516359</v>
      </c>
      <c r="GG1529" s="8">
        <v>1.8798779266266734</v>
      </c>
      <c r="GH1529" s="8">
        <v>0</v>
      </c>
      <c r="GI1529" s="8">
        <v>3.6837985331101537</v>
      </c>
    </row>
    <row r="1530" spans="182:191">
      <c r="FZ1530" s="8">
        <v>4.4831481459835985</v>
      </c>
      <c r="GA1530" s="8">
        <v>3.3443044437946754</v>
      </c>
      <c r="GB1530" s="8">
        <v>0.70697488648089957</v>
      </c>
      <c r="GC1530" s="8">
        <v>0.70771692762410643</v>
      </c>
      <c r="GD1530" s="8">
        <v>1.2457861940226485</v>
      </c>
      <c r="GE1530" s="8">
        <v>3.0883399092011063</v>
      </c>
      <c r="GF1530" s="8">
        <v>5.0891206789927237</v>
      </c>
      <c r="GG1530" s="8">
        <v>3.0335211783099472</v>
      </c>
      <c r="GH1530" s="8">
        <v>0.88020735570664521</v>
      </c>
      <c r="GI1530" s="8">
        <v>4.0303867514946798</v>
      </c>
    </row>
    <row r="1531" spans="182:191">
      <c r="FZ1531" s="8">
        <v>8.3495989906513763</v>
      </c>
      <c r="GA1531" s="8">
        <v>16.199669500302704</v>
      </c>
      <c r="GB1531" s="8">
        <v>4.0171583453417439</v>
      </c>
      <c r="GC1531" s="8">
        <v>1.4220239727323118</v>
      </c>
      <c r="GD1531" s="8">
        <v>1.1831633827953649</v>
      </c>
      <c r="GE1531" s="8">
        <v>1.1284081941149799</v>
      </c>
      <c r="GF1531" s="8">
        <v>1.6134138360320396</v>
      </c>
      <c r="GG1531" s="8">
        <v>0.67140020636133779</v>
      </c>
      <c r="GH1531" s="8">
        <v>0.40861888541082891</v>
      </c>
      <c r="GI1531" s="8">
        <v>3.9323065661522145</v>
      </c>
    </row>
    <row r="1532" spans="182:191">
      <c r="FZ1532" s="8">
        <v>9.9988713360147763</v>
      </c>
      <c r="GA1532" s="8">
        <v>10.337273690553594</v>
      </c>
      <c r="GB1532" s="8">
        <v>2.7542951018758761</v>
      </c>
      <c r="GC1532" s="8">
        <v>0.79292740888029156</v>
      </c>
      <c r="GD1532" s="8">
        <v>0.61286843146401349</v>
      </c>
      <c r="GE1532" s="8">
        <v>1.0374842055821429</v>
      </c>
      <c r="GF1532" s="8">
        <v>2.9852500554857593</v>
      </c>
      <c r="GG1532" s="8">
        <v>1.4344134131846378</v>
      </c>
      <c r="GH1532" s="8">
        <v>0.17282465026292085</v>
      </c>
      <c r="GI1532" s="8">
        <v>3.1018344079382221</v>
      </c>
    </row>
    <row r="1533" spans="182:191">
      <c r="FZ1533" s="8">
        <v>11.747682779478165</v>
      </c>
      <c r="GA1533" s="8">
        <v>14.857483198770142</v>
      </c>
      <c r="GB1533" s="8">
        <v>5.2363871424864596</v>
      </c>
      <c r="GC1533" s="8">
        <v>0.97205359356359411</v>
      </c>
      <c r="GD1533" s="8">
        <v>0.64398738088148011</v>
      </c>
      <c r="GE1533" s="8">
        <v>1.2898858622763212</v>
      </c>
      <c r="GF1533" s="8">
        <v>4.2284500683605888</v>
      </c>
      <c r="GG1533" s="8">
        <v>2.1271151515623243</v>
      </c>
      <c r="GH1533" s="8">
        <v>0.3456493005258417</v>
      </c>
      <c r="GI1533" s="8">
        <v>5.5221446367420475</v>
      </c>
    </row>
    <row r="1534" spans="182:191">
      <c r="FZ1534" s="8">
        <v>7.5828642249154772</v>
      </c>
      <c r="GA1534" s="8">
        <v>22.335298372797745</v>
      </c>
      <c r="GB1534" s="8">
        <v>5.8336643265727091</v>
      </c>
      <c r="GC1534" s="8">
        <v>0.90113743200026697</v>
      </c>
      <c r="GD1534" s="8">
        <v>1.4007806578642572</v>
      </c>
      <c r="GE1534" s="8">
        <v>2.3987498695463216</v>
      </c>
      <c r="GF1534" s="8">
        <v>5.8172402279524569</v>
      </c>
      <c r="GG1534" s="8">
        <v>4.8648648807884465</v>
      </c>
      <c r="GH1534" s="8">
        <v>0.47158847029581613</v>
      </c>
      <c r="GI1534" s="8">
        <v>7.4631320053014489</v>
      </c>
    </row>
    <row r="1535" spans="182:191">
      <c r="FZ1535" s="8">
        <v>3.746186877036823</v>
      </c>
      <c r="GA1535" s="8">
        <v>13.683824441086943</v>
      </c>
      <c r="GB1535" s="8">
        <v>5.0491895353881606</v>
      </c>
      <c r="GC1535" s="8">
        <v>0.51116661290249021</v>
      </c>
      <c r="GD1535" s="8">
        <v>1.6696026724868849</v>
      </c>
      <c r="GE1535" s="8">
        <v>3.3504621945469113</v>
      </c>
      <c r="GF1535" s="8">
        <v>1.098756757594054</v>
      </c>
      <c r="GG1535" s="8">
        <v>0.24723722493565062</v>
      </c>
      <c r="GH1535" s="8">
        <v>0.17282465026292085</v>
      </c>
      <c r="GI1535" s="8">
        <v>5.9271370728700283</v>
      </c>
    </row>
    <row r="1536" spans="182:191">
      <c r="FZ1536" s="8">
        <v>8.6679285820722889</v>
      </c>
      <c r="GA1536" s="8">
        <v>10.232568171657025</v>
      </c>
      <c r="GB1536" s="8">
        <v>0.69194596829877142</v>
      </c>
      <c r="GC1536" s="8">
        <v>0.26803238465389639</v>
      </c>
      <c r="GD1536" s="8">
        <v>0.54188940809370978</v>
      </c>
      <c r="GE1536" s="8">
        <v>1.1285051295983921</v>
      </c>
      <c r="GF1536" s="8">
        <v>5.2191315621348213</v>
      </c>
      <c r="GG1536" s="8">
        <v>4.4411776116438517</v>
      </c>
      <c r="GH1536" s="8">
        <v>0.3456493005258417</v>
      </c>
      <c r="GI1536" s="8">
        <v>4.3098715991335492</v>
      </c>
    </row>
    <row r="1537" spans="182:191">
      <c r="FZ1537" s="8">
        <v>3.0578881997582497</v>
      </c>
      <c r="GA1537" s="8">
        <v>14.857483198770142</v>
      </c>
      <c r="GB1537" s="8">
        <v>5.1503467173472171</v>
      </c>
      <c r="GC1537" s="8">
        <v>0.96594988431996387</v>
      </c>
      <c r="GD1537" s="8">
        <v>1.2351151795593038</v>
      </c>
      <c r="GE1537" s="8">
        <v>1.9301836337483564</v>
      </c>
      <c r="GF1537" s="8">
        <v>6.2168534072954822</v>
      </c>
      <c r="GG1537" s="8">
        <v>5.2404936380659599</v>
      </c>
      <c r="GH1537" s="8">
        <v>0.64441312055873701</v>
      </c>
      <c r="GI1537" s="8">
        <v>5.3307829176691977</v>
      </c>
    </row>
    <row r="1538" spans="182:191">
      <c r="FZ1538" s="8">
        <v>6.0286720598399031</v>
      </c>
      <c r="GA1538" s="8">
        <v>9.2375103526553755</v>
      </c>
      <c r="GB1538" s="8">
        <v>3.2915225959358496</v>
      </c>
      <c r="GC1538" s="8">
        <v>0.67984796113031676</v>
      </c>
      <c r="GD1538" s="8">
        <v>0.54698850839997215</v>
      </c>
      <c r="GE1538" s="8">
        <v>0.68395757613683617</v>
      </c>
      <c r="GF1538" s="8">
        <v>4.4988471574605597</v>
      </c>
      <c r="GG1538" s="8">
        <v>4.1018516739651467</v>
      </c>
      <c r="GH1538" s="8">
        <v>0.88020735570664521</v>
      </c>
      <c r="GI1538" s="8">
        <v>4.4703836636780521</v>
      </c>
    </row>
    <row r="1539" spans="182:191">
      <c r="FZ1539" s="8">
        <v>3.882334184420507</v>
      </c>
      <c r="GA1539" s="8">
        <v>12.906594662586977</v>
      </c>
      <c r="GB1539" s="8">
        <v>3.54497695563846</v>
      </c>
      <c r="GC1539" s="8">
        <v>0.60337935548875388</v>
      </c>
      <c r="GD1539" s="8">
        <v>0.95810739366191089</v>
      </c>
      <c r="GE1539" s="8">
        <v>2.1744936228946972</v>
      </c>
      <c r="GF1539" s="8">
        <v>5.1417310548666393</v>
      </c>
      <c r="GG1539" s="8">
        <v>3.7965343851332478</v>
      </c>
      <c r="GH1539" s="8">
        <v>0.81723777082165783</v>
      </c>
      <c r="GI1539" s="8">
        <v>4.4239094814008126</v>
      </c>
    </row>
    <row r="1540" spans="182:191">
      <c r="FZ1540" s="8">
        <v>15.244925290366051</v>
      </c>
      <c r="GA1540" s="8">
        <v>4.7915134615358523</v>
      </c>
      <c r="GB1540" s="8">
        <v>0.37914996854940219</v>
      </c>
      <c r="GC1540" s="8">
        <v>0.79150055937568964</v>
      </c>
      <c r="GD1540" s="8">
        <v>1.1432160799476754</v>
      </c>
      <c r="GE1540" s="8">
        <v>2.8709328722027951</v>
      </c>
      <c r="GF1540" s="8">
        <v>4.6825639715625691</v>
      </c>
      <c r="GG1540" s="8">
        <v>2.4809666645423967</v>
      </c>
      <c r="GH1540" s="8">
        <v>0.64441312055873701</v>
      </c>
      <c r="GI1540" s="8">
        <v>4.4954927597654732</v>
      </c>
    </row>
    <row r="1541" spans="182:191">
      <c r="FZ1541" s="8">
        <v>8.0101641536606092</v>
      </c>
      <c r="GA1541" s="8">
        <v>10.286044084474646</v>
      </c>
      <c r="GB1541" s="8">
        <v>2.517080308603016</v>
      </c>
      <c r="GC1541" s="8">
        <v>0.8838493344716809</v>
      </c>
      <c r="GD1541" s="8">
        <v>1.1288901083441532</v>
      </c>
      <c r="GE1541" s="8">
        <v>1.5091979891090084</v>
      </c>
      <c r="GF1541" s="8">
        <v>4.4348752708465984</v>
      </c>
      <c r="GG1541" s="8">
        <v>3.4426828721531746</v>
      </c>
      <c r="GH1541" s="8">
        <v>0</v>
      </c>
      <c r="GI1541" s="8">
        <v>4.9292982583038549</v>
      </c>
    </row>
    <row r="1542" spans="182:191">
      <c r="FZ1542" s="8">
        <v>2.4065758718750665</v>
      </c>
      <c r="GA1542" s="8">
        <v>13.883162084047894</v>
      </c>
      <c r="GB1542" s="8">
        <v>5.0480667257782246</v>
      </c>
      <c r="GC1542" s="8">
        <v>0.84152704802806477</v>
      </c>
      <c r="GD1542" s="8">
        <v>1.0956407776966053</v>
      </c>
      <c r="GE1542" s="8">
        <v>1.4062002518932983</v>
      </c>
      <c r="GF1542" s="8">
        <v>4.1451214194973982</v>
      </c>
      <c r="GG1542" s="8">
        <v>3.3142913398113123</v>
      </c>
      <c r="GH1542" s="8">
        <v>0</v>
      </c>
      <c r="GI1542" s="8">
        <v>4.4930485946855532</v>
      </c>
    </row>
    <row r="1543" spans="182:191">
      <c r="FZ1543" s="8">
        <v>3.3188869482916896</v>
      </c>
      <c r="GA1543" s="8">
        <v>8.1892938181481494</v>
      </c>
      <c r="GB1543" s="8">
        <v>2.7752894226584299</v>
      </c>
      <c r="GC1543" s="8">
        <v>0.62411002814273742</v>
      </c>
      <c r="GD1543" s="8">
        <v>0.8641522088039848</v>
      </c>
      <c r="GE1543" s="8">
        <v>2.0942785508799915</v>
      </c>
      <c r="GF1543" s="8">
        <v>5.4661511765925948</v>
      </c>
      <c r="GG1543" s="8">
        <v>3.5710744044950373</v>
      </c>
      <c r="GH1543" s="8">
        <v>0.3456493005258417</v>
      </c>
      <c r="GI1543" s="8">
        <v>3.8985490321995853</v>
      </c>
    </row>
    <row r="1544" spans="182:191">
      <c r="FZ1544" s="8">
        <v>10.098030058075878</v>
      </c>
      <c r="GA1544" s="8">
        <v>30.837395549144535</v>
      </c>
      <c r="GB1544" s="8">
        <v>9.7506732641141696</v>
      </c>
      <c r="GC1544" s="8">
        <v>0.30346952084671741</v>
      </c>
      <c r="GD1544" s="8">
        <v>0.55303938642466721</v>
      </c>
      <c r="GE1544" s="8">
        <v>1.4898624106064973</v>
      </c>
      <c r="GF1544" s="8">
        <v>4.6984602228584853</v>
      </c>
      <c r="GG1544" s="8">
        <v>3.5492971601975971</v>
      </c>
      <c r="GH1544" s="8">
        <v>0.64441312055873701</v>
      </c>
      <c r="GI1544" s="8">
        <v>6.3455333837880827</v>
      </c>
    </row>
    <row r="1545" spans="182:191">
      <c r="FZ1545" s="8">
        <v>6.9983139791439992</v>
      </c>
      <c r="GA1545" s="8">
        <v>8.9846967968768006</v>
      </c>
      <c r="GB1545" s="8">
        <v>1.6083234309081469</v>
      </c>
      <c r="GC1545" s="8">
        <v>1.1992281522292754</v>
      </c>
      <c r="GD1545" s="8">
        <v>1.0906570755945104</v>
      </c>
      <c r="GE1545" s="8">
        <v>1.7227022626335491</v>
      </c>
      <c r="GF1545" s="8">
        <v>6.5671669214692354</v>
      </c>
      <c r="GG1545" s="8">
        <v>4.9837105733822344</v>
      </c>
      <c r="GH1545" s="8">
        <v>0.47158847029581613</v>
      </c>
      <c r="GI1545" s="8">
        <v>4.3338867018065468</v>
      </c>
    </row>
    <row r="1546" spans="182:191">
      <c r="FZ1546" s="8">
        <v>1.3094571323337481</v>
      </c>
      <c r="GA1546" s="8">
        <v>7.0668646665438999</v>
      </c>
      <c r="GB1546" s="8">
        <v>2.7530844536282535</v>
      </c>
      <c r="GC1546" s="8">
        <v>0.18747579538949877</v>
      </c>
      <c r="GD1546" s="8">
        <v>0.27324570423066658</v>
      </c>
      <c r="GE1546" s="8">
        <v>1.1446496985651522</v>
      </c>
      <c r="GF1546" s="8">
        <v>4.4995162437187552</v>
      </c>
      <c r="GG1546" s="8">
        <v>3.3025356475430381</v>
      </c>
      <c r="GH1546" s="8">
        <v>0.23579423514790807</v>
      </c>
      <c r="GI1546" s="8">
        <v>3.0732726432588287</v>
      </c>
    </row>
    <row r="1547" spans="182:191">
      <c r="FZ1547" s="8">
        <v>2.6309686470520015</v>
      </c>
      <c r="GA1547" s="8">
        <v>5.6938682658997468</v>
      </c>
      <c r="GB1547" s="8">
        <v>2.6043313819898808</v>
      </c>
      <c r="GC1547" s="8">
        <v>0.8765343083616608</v>
      </c>
      <c r="GD1547" s="8">
        <v>0.84363032470666677</v>
      </c>
      <c r="GE1547" s="8">
        <v>1.405945676667379</v>
      </c>
      <c r="GF1547" s="8">
        <v>2.78599628015892</v>
      </c>
      <c r="GG1547" s="8">
        <v>1.3155677205908503</v>
      </c>
      <c r="GH1547" s="8">
        <v>0</v>
      </c>
      <c r="GI1547" s="8">
        <v>2.7284860274171736</v>
      </c>
    </row>
    <row r="1548" spans="182:191">
      <c r="FZ1548" s="8">
        <v>5.2913304148542419</v>
      </c>
      <c r="GA1548" s="8">
        <v>17.153571108057591</v>
      </c>
      <c r="GB1548" s="8">
        <v>5.203908009626959</v>
      </c>
      <c r="GC1548" s="8">
        <v>0.88701675576793604</v>
      </c>
      <c r="GD1548" s="8">
        <v>0.84715606502735685</v>
      </c>
      <c r="GE1548" s="8">
        <v>1.0599820393612018</v>
      </c>
      <c r="GF1548" s="8">
        <v>5.8364655992026417</v>
      </c>
      <c r="GG1548" s="8">
        <v>5.4174193945559974</v>
      </c>
      <c r="GH1548" s="8">
        <v>0.88020735570664521</v>
      </c>
      <c r="GI1548" s="8">
        <v>4.9561313807381895</v>
      </c>
    </row>
    <row r="1549" spans="182:191">
      <c r="FZ1549" s="8">
        <v>10.893082921987897</v>
      </c>
      <c r="GA1549" s="8">
        <v>3.6690843099316024</v>
      </c>
      <c r="GB1549" s="8">
        <v>0.47788585401321448</v>
      </c>
      <c r="GC1549" s="8">
        <v>0.44170026859100586</v>
      </c>
      <c r="GD1549" s="8">
        <v>0.7260024354757828</v>
      </c>
      <c r="GE1549" s="8">
        <v>1.9944538001799872</v>
      </c>
      <c r="GF1549" s="8">
        <v>2.8638493714720612</v>
      </c>
      <c r="GG1549" s="8">
        <v>1.8463449900609596</v>
      </c>
      <c r="GH1549" s="8">
        <v>1.0530320059695661</v>
      </c>
      <c r="GI1549" s="8">
        <v>3.0204073186744873</v>
      </c>
    </row>
    <row r="1550" spans="182:191">
      <c r="FZ1550" s="8">
        <v>12.244367933495276</v>
      </c>
      <c r="GA1550" s="8">
        <v>12.656027413547076</v>
      </c>
      <c r="GB1550" s="8">
        <v>3.0868747741601767</v>
      </c>
      <c r="GC1550" s="8">
        <v>0.86440947881257157</v>
      </c>
      <c r="GD1550" s="8">
        <v>1.1014573068773426</v>
      </c>
      <c r="GE1550" s="8">
        <v>2.0619132205719271</v>
      </c>
      <c r="GF1550" s="8">
        <v>3.7435694378885498</v>
      </c>
      <c r="GG1550" s="8">
        <v>2.0568036831167102</v>
      </c>
      <c r="GH1550" s="8">
        <v>0.23579423514790807</v>
      </c>
      <c r="GI1550" s="8">
        <v>4.6521396951392067</v>
      </c>
    </row>
    <row r="1551" spans="182:191">
      <c r="FZ1551" s="8">
        <v>12.484263672386053</v>
      </c>
      <c r="GA1551" s="8">
        <v>13.681578134348269</v>
      </c>
      <c r="GB1551" s="8">
        <v>3.2891891380782905</v>
      </c>
      <c r="GC1551" s="8">
        <v>0.16739053123295233</v>
      </c>
      <c r="GD1551" s="8">
        <v>0.50618151304807246</v>
      </c>
      <c r="GE1551" s="8">
        <v>1.6676603104971515</v>
      </c>
      <c r="GF1551" s="8">
        <v>2.9618753489679497</v>
      </c>
      <c r="GG1551" s="8">
        <v>1.7397307020165371</v>
      </c>
      <c r="GH1551" s="8">
        <v>0.23579423514790807</v>
      </c>
      <c r="GI1551" s="8">
        <v>4.3913328961767419</v>
      </c>
    </row>
    <row r="1552" spans="182:191">
      <c r="FZ1552" s="8">
        <v>6.6588791421532321</v>
      </c>
      <c r="GA1552" s="8">
        <v>8.4090509680764605</v>
      </c>
      <c r="GB1552" s="8">
        <v>1.5849956522680344</v>
      </c>
      <c r="GC1552" s="8">
        <v>0.79648709508497262</v>
      </c>
      <c r="GD1552" s="8">
        <v>1.3812188251629907</v>
      </c>
      <c r="GE1552" s="8">
        <v>2.4243190586797358</v>
      </c>
      <c r="GF1552" s="8">
        <v>2.3552570834747497</v>
      </c>
      <c r="GG1552" s="8">
        <v>1.1871761882489873</v>
      </c>
      <c r="GH1552" s="8">
        <v>0.17282465026292085</v>
      </c>
      <c r="GI1552" s="8">
        <v>3.9917571328260761</v>
      </c>
    </row>
    <row r="1553" spans="182:191">
      <c r="FZ1553" s="8">
        <v>9.3890065112663361</v>
      </c>
      <c r="GA1553" s="8">
        <v>12.781469636723049</v>
      </c>
      <c r="GB1553" s="8">
        <v>2.8240081219476814</v>
      </c>
      <c r="GC1553" s="8">
        <v>0.51816887423256885</v>
      </c>
      <c r="GD1553" s="8">
        <v>0.60843734996398013</v>
      </c>
      <c r="GE1553" s="8">
        <v>1.2058898106759375</v>
      </c>
      <c r="GF1553" s="8">
        <v>2.1721201530369045</v>
      </c>
      <c r="GG1553" s="8">
        <v>1.4924934770808866</v>
      </c>
      <c r="GH1553" s="8">
        <v>0.23579423514790807</v>
      </c>
      <c r="GI1553" s="8">
        <v>3.8272267904617916</v>
      </c>
    </row>
    <row r="1554" spans="182:191">
      <c r="FZ1554" s="8">
        <v>8.4069298335388485</v>
      </c>
      <c r="GA1554" s="8">
        <v>14.730111866167544</v>
      </c>
      <c r="GB1554" s="8">
        <v>2.6705881345941922</v>
      </c>
      <c r="GC1554" s="8">
        <v>0.88948127867840099</v>
      </c>
      <c r="GD1554" s="8">
        <v>0.9862561649767827</v>
      </c>
      <c r="GE1554" s="8">
        <v>1.2593139787715726</v>
      </c>
      <c r="GF1554" s="8">
        <v>2.6836405145749991</v>
      </c>
      <c r="GG1554" s="8">
        <v>1.8100421704621514</v>
      </c>
      <c r="GH1554" s="8">
        <v>0</v>
      </c>
      <c r="GI1554" s="8">
        <v>3.8697754194176412</v>
      </c>
    </row>
    <row r="1555" spans="182:191">
      <c r="FZ1555" s="8">
        <v>5.1043066010387736</v>
      </c>
      <c r="GA1555" s="8">
        <v>8.061605288233503</v>
      </c>
      <c r="GB1555" s="8">
        <v>1.6909075885798948</v>
      </c>
      <c r="GC1555" s="8">
        <v>1.2356653508771605</v>
      </c>
      <c r="GD1555" s="8">
        <v>1.4509396714763301</v>
      </c>
      <c r="GE1555" s="8">
        <v>1.9413840828961795</v>
      </c>
      <c r="GF1555" s="8">
        <v>1.845552585686018</v>
      </c>
      <c r="GG1555" s="8">
        <v>0.74171167480695199</v>
      </c>
      <c r="GH1555" s="8">
        <v>0.69129860105168339</v>
      </c>
      <c r="GI1555" s="8">
        <v>4.2156729897364258</v>
      </c>
    </row>
    <row r="1556" spans="182:191">
      <c r="FZ1556" s="8">
        <v>12.584183146524925</v>
      </c>
      <c r="GA1556" s="8">
        <v>10.359939504259625</v>
      </c>
      <c r="GB1556" s="8">
        <v>3.3275458349005311</v>
      </c>
      <c r="GC1556" s="8">
        <v>0.99726142593915112</v>
      </c>
      <c r="GD1556" s="8">
        <v>0.84777742201777584</v>
      </c>
      <c r="GE1556" s="8">
        <v>0.72724496492989776</v>
      </c>
      <c r="GF1556" s="8">
        <v>3.1563107027689674</v>
      </c>
      <c r="GG1556" s="8">
        <v>2.6311354411817005</v>
      </c>
      <c r="GH1556" s="8">
        <v>0.17282465026292085</v>
      </c>
      <c r="GI1556" s="8">
        <v>4.6894780984834501</v>
      </c>
    </row>
    <row r="1557" spans="182:191">
      <c r="FZ1557" s="8">
        <v>9.0288490406717941</v>
      </c>
      <c r="GA1557" s="8">
        <v>12.308581733704118</v>
      </c>
      <c r="GB1557" s="8">
        <v>3.4870190634921325</v>
      </c>
      <c r="GC1557" s="8">
        <v>1.4304530835669924</v>
      </c>
      <c r="GD1557" s="8">
        <v>1.2659397474494012</v>
      </c>
      <c r="GE1557" s="8">
        <v>1.5542815447942078</v>
      </c>
      <c r="GF1557" s="8">
        <v>5.5248680992495842</v>
      </c>
      <c r="GG1557" s="8">
        <v>4.4194003673464124</v>
      </c>
      <c r="GH1557" s="8">
        <v>0.64441312055873701</v>
      </c>
      <c r="GI1557" s="8">
        <v>5.4319497590259846</v>
      </c>
    </row>
    <row r="1558" spans="182:191">
      <c r="FZ1558" s="8">
        <v>6.1738679944817427</v>
      </c>
      <c r="GA1558" s="8">
        <v>11.732935904903778</v>
      </c>
      <c r="GB1558" s="8">
        <v>3.4985917142067668</v>
      </c>
      <c r="GC1558" s="8">
        <v>0.37624240777387163</v>
      </c>
      <c r="GD1558" s="8">
        <v>0.32389928220875408</v>
      </c>
      <c r="GE1558" s="8">
        <v>0.51053497432195838</v>
      </c>
      <c r="GF1558" s="8">
        <v>6.4158865890292454</v>
      </c>
      <c r="GG1558" s="8">
        <v>5.8265810883992248</v>
      </c>
      <c r="GH1558" s="8">
        <v>0</v>
      </c>
      <c r="GI1558" s="8">
        <v>4.409355944902086</v>
      </c>
    </row>
    <row r="1559" spans="182:191">
      <c r="FZ1559" s="8">
        <v>9.6590561229851239</v>
      </c>
      <c r="GA1559" s="8">
        <v>11.480122349125203</v>
      </c>
      <c r="GB1559" s="8">
        <v>1.3977980451697349</v>
      </c>
      <c r="GC1559" s="8">
        <v>0.36892738166385158</v>
      </c>
      <c r="GD1559" s="8">
        <v>0.65368329670724279</v>
      </c>
      <c r="GE1559" s="8">
        <v>2.1088053358059891</v>
      </c>
      <c r="GF1559" s="8">
        <v>7.3202079928222812</v>
      </c>
      <c r="GG1559" s="8">
        <v>5.3593393306597479</v>
      </c>
      <c r="GH1559" s="8">
        <v>0.64441312055873701</v>
      </c>
      <c r="GI1559" s="8">
        <v>5.2006813154147222</v>
      </c>
    </row>
    <row r="1560" spans="182:191">
      <c r="FZ1560" s="8">
        <v>3.7164133802476993</v>
      </c>
      <c r="GA1560" s="8">
        <v>10.433834924044604</v>
      </c>
      <c r="GB1560" s="8">
        <v>3.8997615969529367</v>
      </c>
      <c r="GC1560" s="8">
        <v>0.71593050582057494</v>
      </c>
      <c r="GD1560" s="8">
        <v>0.7155774871333016</v>
      </c>
      <c r="GE1560" s="8">
        <v>1.3428762618988634</v>
      </c>
      <c r="GF1560" s="8">
        <v>2.8314128898100419</v>
      </c>
      <c r="GG1560" s="8">
        <v>1.7397307020165371</v>
      </c>
      <c r="GH1560" s="8">
        <v>0.23579423514790807</v>
      </c>
      <c r="GI1560" s="8">
        <v>3.6799626918362724</v>
      </c>
    </row>
    <row r="1561" spans="182:191">
      <c r="FZ1561" s="8">
        <v>11.125763572345218</v>
      </c>
      <c r="GA1561" s="8">
        <v>8.0619224855455496</v>
      </c>
      <c r="GB1561" s="8">
        <v>0.27444868048516441</v>
      </c>
      <c r="GC1561" s="8">
        <v>0.55542512483841766</v>
      </c>
      <c r="GD1561" s="8">
        <v>0.7880390110954435</v>
      </c>
      <c r="GE1561" s="8">
        <v>0.94881975769550875</v>
      </c>
      <c r="GF1561" s="8">
        <v>1.3422162696748272</v>
      </c>
      <c r="GG1561" s="8">
        <v>1.1871761882489873</v>
      </c>
      <c r="GH1561" s="8">
        <v>0</v>
      </c>
      <c r="GI1561" s="8">
        <v>3.4570285686920084</v>
      </c>
    </row>
    <row r="1562" spans="182:191">
      <c r="FZ1562" s="8">
        <v>6.0863832787662604</v>
      </c>
      <c r="GA1562" s="8">
        <v>23.949131821282187</v>
      </c>
      <c r="GB1562" s="8">
        <v>9.9077251962105279</v>
      </c>
      <c r="GC1562" s="8">
        <v>0.72001848944340952</v>
      </c>
      <c r="GD1562" s="8">
        <v>0.6387600368536045</v>
      </c>
      <c r="GE1562" s="8">
        <v>1.4113666215683602</v>
      </c>
      <c r="GF1562" s="8">
        <v>4.6588299749736723</v>
      </c>
      <c r="GG1562" s="8">
        <v>2.9269068902655246</v>
      </c>
      <c r="GH1562" s="8">
        <v>0.40861888541082891</v>
      </c>
      <c r="GI1562" s="8">
        <v>6.0509595665975855</v>
      </c>
    </row>
    <row r="1563" spans="182:191">
      <c r="FZ1563" s="8">
        <v>4.8225829829743656</v>
      </c>
      <c r="GA1563" s="8">
        <v>10.211831467377623</v>
      </c>
      <c r="GB1563" s="8">
        <v>3.4274923686119658</v>
      </c>
      <c r="GC1563" s="8">
        <v>1.0665917377409078</v>
      </c>
      <c r="GD1563" s="8">
        <v>1.4946115935996078</v>
      </c>
      <c r="GE1563" s="8">
        <v>1.9148477542030284</v>
      </c>
      <c r="GF1563" s="8">
        <v>1.7326561322159884</v>
      </c>
      <c r="GG1563" s="8">
        <v>1.4924934770808866</v>
      </c>
      <c r="GH1563" s="8">
        <v>0.23579423514790807</v>
      </c>
      <c r="GI1563" s="8">
        <v>3.9088811306408293</v>
      </c>
    </row>
    <row r="1564" spans="182:191">
      <c r="FZ1564" s="8">
        <v>10.15612165304112</v>
      </c>
      <c r="GA1564" s="8">
        <v>12.855365056508028</v>
      </c>
      <c r="GB1564" s="8">
        <v>3.1531315267644882</v>
      </c>
      <c r="GC1564" s="8">
        <v>0.60273394699131666</v>
      </c>
      <c r="GD1564" s="8">
        <v>0.47951908178141039</v>
      </c>
      <c r="GE1564" s="8">
        <v>1.703588933987163</v>
      </c>
      <c r="GF1564" s="8">
        <v>3.4162098457630075</v>
      </c>
      <c r="GG1564" s="8">
        <v>0.91863743129698849</v>
      </c>
      <c r="GH1564" s="8">
        <v>0.23579423514790807</v>
      </c>
      <c r="GI1564" s="8">
        <v>4.1598726820024208</v>
      </c>
    </row>
    <row r="1565" spans="182:191">
      <c r="FZ1565" s="8">
        <v>9.3196212859943586</v>
      </c>
      <c r="GA1565" s="8">
        <v>11.858378128079753</v>
      </c>
      <c r="GB1565" s="8">
        <v>3.09733399282291</v>
      </c>
      <c r="GC1565" s="8">
        <v>0.55640317705335041</v>
      </c>
      <c r="GD1565" s="8">
        <v>0.51618207658090109</v>
      </c>
      <c r="GE1565" s="8">
        <v>1.0703156297330947</v>
      </c>
      <c r="GF1565" s="8">
        <v>3.3374566857689372</v>
      </c>
      <c r="GG1565" s="8">
        <v>2.3045166203334526</v>
      </c>
      <c r="GH1565" s="8">
        <v>0.17282465026292085</v>
      </c>
      <c r="GI1565" s="8">
        <v>3.3272107006530991</v>
      </c>
    </row>
    <row r="1566" spans="182:191">
      <c r="FZ1566" s="8">
        <v>9.9110062442604097</v>
      </c>
      <c r="GA1566" s="8">
        <v>8.38638515437043</v>
      </c>
      <c r="GB1566" s="8">
        <v>1.4431576931872141</v>
      </c>
      <c r="GC1566" s="8">
        <v>1.0126132979754259</v>
      </c>
      <c r="GD1566" s="8">
        <v>0.62201572128675275</v>
      </c>
      <c r="GE1566" s="8">
        <v>1.2921277851003772</v>
      </c>
      <c r="GF1566" s="8">
        <v>3.5680451217960298</v>
      </c>
      <c r="GG1566" s="8">
        <v>1.9166564585065737</v>
      </c>
      <c r="GH1566" s="8">
        <v>0.64441312055873701</v>
      </c>
      <c r="GI1566" s="8">
        <v>4.5665269550342114</v>
      </c>
    </row>
    <row r="1567" spans="182:191">
      <c r="FZ1567" s="8">
        <v>8.8923213572492248</v>
      </c>
      <c r="GA1567" s="8">
        <v>19.324216794169068</v>
      </c>
      <c r="GB1567" s="8">
        <v>5.7597963666119272</v>
      </c>
      <c r="GC1567" s="8">
        <v>0.29030701789176522</v>
      </c>
      <c r="GD1567" s="8">
        <v>0.36814957004832533</v>
      </c>
      <c r="GE1567" s="8">
        <v>1.0518322024588664</v>
      </c>
      <c r="GF1567" s="8">
        <v>1.7280806433468672</v>
      </c>
      <c r="GG1567" s="8">
        <v>0.93993896331333671</v>
      </c>
      <c r="GH1567" s="8">
        <v>0.17282465026292085</v>
      </c>
      <c r="GI1567" s="8">
        <v>4.1096372756185797</v>
      </c>
    </row>
    <row r="1568" spans="182:191">
      <c r="FZ1568" s="8">
        <v>4.9221220810743525</v>
      </c>
      <c r="GA1568" s="8">
        <v>17.469889491476913</v>
      </c>
      <c r="GB1568" s="8">
        <v>4.9869998840351393</v>
      </c>
      <c r="GC1568" s="8">
        <v>0.6958452416640285</v>
      </c>
      <c r="GD1568" s="8">
        <v>1.0289636190068479</v>
      </c>
      <c r="GE1568" s="8">
        <v>2.1700454479167748</v>
      </c>
      <c r="GF1568" s="8">
        <v>3.9862369251946674</v>
      </c>
      <c r="GG1568" s="8">
        <v>2.6093581968842599</v>
      </c>
      <c r="GH1568" s="8">
        <v>0.81723777082165783</v>
      </c>
      <c r="GI1568" s="8">
        <v>5.2366077144382865</v>
      </c>
    </row>
    <row r="1569" spans="182:191">
      <c r="FZ1569" s="8">
        <v>9.6594364990240109</v>
      </c>
      <c r="GA1569" s="8">
        <v>17.227466527842569</v>
      </c>
      <c r="GB1569" s="8">
        <v>5.6864514017972549</v>
      </c>
      <c r="GC1569" s="8">
        <v>0.26867779315133344</v>
      </c>
      <c r="GD1569" s="8">
        <v>0.73194321377909566</v>
      </c>
      <c r="GE1569" s="8">
        <v>2.0733686501435691</v>
      </c>
      <c r="GF1569" s="8">
        <v>5.5456218771256447</v>
      </c>
      <c r="GG1569" s="8">
        <v>4.114083078514513</v>
      </c>
      <c r="GH1569" s="8">
        <v>0.40861888541082891</v>
      </c>
      <c r="GI1569" s="8">
        <v>5.9335602688944746</v>
      </c>
    </row>
    <row r="1570" spans="182:191">
      <c r="FZ1570" s="8">
        <v>5.2917107908931271</v>
      </c>
      <c r="GA1570" s="8">
        <v>7.2353922103932602</v>
      </c>
      <c r="GB1570" s="8">
        <v>1.4675989038792268</v>
      </c>
      <c r="GC1570" s="8">
        <v>0.28338425669017103</v>
      </c>
      <c r="GD1570" s="8">
        <v>0.67939062822005147</v>
      </c>
      <c r="GE1570" s="8">
        <v>1.3479960444803532</v>
      </c>
      <c r="GF1570" s="8">
        <v>2.4256540586296205</v>
      </c>
      <c r="GG1570" s="8">
        <v>2.0568036831167102</v>
      </c>
      <c r="GH1570" s="8">
        <v>0.40861888541082891</v>
      </c>
      <c r="GI1570" s="8">
        <v>3.9881253723407379</v>
      </c>
    </row>
    <row r="1571" spans="182:191">
      <c r="FZ1571" s="8">
        <v>8.6894142036810287</v>
      </c>
      <c r="GA1571" s="8">
        <v>14.658145555809188</v>
      </c>
      <c r="GB1571" s="8">
        <v>4.8596584704323025</v>
      </c>
      <c r="GC1571" s="8">
        <v>0.78457779817409556</v>
      </c>
      <c r="GD1571" s="8">
        <v>0.80726171143454528</v>
      </c>
      <c r="GE1571" s="8">
        <v>1.2651249573664396</v>
      </c>
      <c r="GF1571" s="8">
        <v>4.0095892926488546</v>
      </c>
      <c r="GG1571" s="8">
        <v>2.9849869541617733</v>
      </c>
      <c r="GH1571" s="8">
        <v>0.64441312055873701</v>
      </c>
      <c r="GI1571" s="8">
        <v>5.1782569289346334</v>
      </c>
    </row>
    <row r="1572" spans="182:191">
      <c r="FZ1572" s="8">
        <v>5.3494220098194845</v>
      </c>
      <c r="GA1572" s="8">
        <v>10.559277147220579</v>
      </c>
      <c r="GB1572" s="8">
        <v>3.2740723812584762</v>
      </c>
      <c r="GC1572" s="8">
        <v>0.9656967407309528</v>
      </c>
      <c r="GD1572" s="8">
        <v>1.1757207855093068</v>
      </c>
      <c r="GE1572" s="8">
        <v>1.8994942568355531</v>
      </c>
      <c r="GF1572" s="8">
        <v>4.0686655053769298</v>
      </c>
      <c r="GG1572" s="8">
        <v>2.6311354411817005</v>
      </c>
      <c r="GH1572" s="8">
        <v>0</v>
      </c>
      <c r="GI1572" s="8">
        <v>3.9469106069273936</v>
      </c>
    </row>
    <row r="1573" spans="182:191">
      <c r="FZ1573" s="8">
        <v>1.7643144071772305</v>
      </c>
      <c r="GA1573" s="8">
        <v>12.382477153489098</v>
      </c>
      <c r="GB1573" s="8">
        <v>3.7938496606410768</v>
      </c>
      <c r="GC1573" s="8">
        <v>1.4060266921986002</v>
      </c>
      <c r="GD1573" s="8">
        <v>1.3742128473844419</v>
      </c>
      <c r="GE1573" s="8">
        <v>1.3542735221160067</v>
      </c>
      <c r="GF1573" s="8">
        <v>5.0194292941428635</v>
      </c>
      <c r="GG1573" s="8">
        <v>4.1236289182625878</v>
      </c>
      <c r="GH1573" s="8">
        <v>0.23579423514790807</v>
      </c>
      <c r="GI1573" s="8">
        <v>4.8826273593464133</v>
      </c>
    </row>
    <row r="1574" spans="182:191">
      <c r="FZ1574" s="8">
        <v>8.6019294879655472</v>
      </c>
      <c r="GA1574" s="8">
        <v>1.3729964006441531</v>
      </c>
      <c r="GB1574" s="8">
        <v>0.34070543308947543</v>
      </c>
      <c r="GC1574" s="8">
        <v>0.90135296463847892</v>
      </c>
      <c r="GD1574" s="8">
        <v>1.1580228212858106</v>
      </c>
      <c r="GE1574" s="8">
        <v>1.3561458813826885</v>
      </c>
      <c r="GF1574" s="8">
        <v>4.4394507597157196</v>
      </c>
      <c r="GG1574" s="8">
        <v>3.9952373859207246</v>
      </c>
      <c r="GH1574" s="8">
        <v>0.23579423514790807</v>
      </c>
      <c r="GI1574" s="8">
        <v>3.6000301124407561</v>
      </c>
    </row>
    <row r="1575" spans="182:191">
      <c r="FZ1575" s="8">
        <v>8.7467450465685008</v>
      </c>
      <c r="GA1575" s="8">
        <v>26.391081460712968</v>
      </c>
      <c r="GB1575" s="8">
        <v>8.2535488965748325</v>
      </c>
      <c r="GC1575" s="8">
        <v>1.0108538047533284</v>
      </c>
      <c r="GD1575" s="8">
        <v>1.5557791083756991</v>
      </c>
      <c r="GE1575" s="8">
        <v>2.1208906667497889</v>
      </c>
      <c r="GF1575" s="8">
        <v>1.5372315071400091</v>
      </c>
      <c r="GG1575" s="8">
        <v>1.1168647198033732</v>
      </c>
      <c r="GH1575" s="8">
        <v>0.40861888541082891</v>
      </c>
      <c r="GI1575" s="8">
        <v>6.6959592382108619</v>
      </c>
    </row>
    <row r="1576" spans="182:191">
      <c r="FZ1576" s="8">
        <v>11.465198409335983</v>
      </c>
      <c r="GA1576" s="8">
        <v>15.128787152089448</v>
      </c>
      <c r="GB1576" s="8">
        <v>2.9553109789086811</v>
      </c>
      <c r="GC1576" s="8">
        <v>1.0306263041299331</v>
      </c>
      <c r="GD1576" s="8">
        <v>0.9730506444700735</v>
      </c>
      <c r="GE1576" s="8">
        <v>0.66781300717007608</v>
      </c>
      <c r="GF1576" s="8">
        <v>1.6778575624038921</v>
      </c>
      <c r="GG1576" s="8">
        <v>1.4344134131846378</v>
      </c>
      <c r="GH1576" s="8">
        <v>0.17282465026292085</v>
      </c>
      <c r="GI1576" s="8">
        <v>3.760784779151316</v>
      </c>
    </row>
    <row r="1577" spans="182:191">
      <c r="FZ1577" s="8">
        <v>4.9518955778634757</v>
      </c>
      <c r="GA1577" s="8">
        <v>10.68471937039655</v>
      </c>
      <c r="GB1577" s="8">
        <v>2.8228853123377453</v>
      </c>
      <c r="GC1577" s="8">
        <v>1.1825854631981265</v>
      </c>
      <c r="GD1577" s="8">
        <v>1.0341096972570689</v>
      </c>
      <c r="GE1577" s="8">
        <v>1.1305562769143482</v>
      </c>
      <c r="GF1577" s="8">
        <v>3.3618320604205123</v>
      </c>
      <c r="GG1577" s="8">
        <v>2.4809666645423967</v>
      </c>
      <c r="GH1577" s="8">
        <v>0.47158847029581613</v>
      </c>
      <c r="GI1577" s="8">
        <v>3.6017580242665375</v>
      </c>
    </row>
    <row r="1578" spans="182:191">
      <c r="FZ1578" s="8">
        <v>11.465198409335983</v>
      </c>
      <c r="GA1578" s="8">
        <v>30.658477413150941</v>
      </c>
      <c r="GB1578" s="8">
        <v>8.4976668472246466</v>
      </c>
      <c r="GC1578" s="8">
        <v>0.39646370444014578</v>
      </c>
      <c r="GD1578" s="8">
        <v>0.72222088027548326</v>
      </c>
      <c r="GE1578" s="8">
        <v>1.641027046320588</v>
      </c>
      <c r="GF1578" s="8">
        <v>2.8021131250479137</v>
      </c>
      <c r="GG1578" s="8">
        <v>1.5628049455265007</v>
      </c>
      <c r="GH1578" s="8">
        <v>0.17282465026292085</v>
      </c>
      <c r="GI1578" s="8">
        <v>5.8697006285945053</v>
      </c>
    </row>
    <row r="1579" spans="182:191">
      <c r="FZ1579" s="8">
        <v>6.3190639291235815</v>
      </c>
      <c r="GA1579" s="8">
        <v>21.893537766202449</v>
      </c>
      <c r="GB1579" s="8">
        <v>6.2213454379996698</v>
      </c>
      <c r="GC1579" s="8">
        <v>0.76732731159630851</v>
      </c>
      <c r="GD1579" s="8">
        <v>0.77299627525185888</v>
      </c>
      <c r="GE1579" s="8">
        <v>1.1936838610373628</v>
      </c>
      <c r="GF1579" s="8">
        <v>6.1944913191454063</v>
      </c>
      <c r="GG1579" s="8">
        <v>4.758250592744024</v>
      </c>
      <c r="GH1579" s="8">
        <v>0.17282465026292085</v>
      </c>
      <c r="GI1579" s="8">
        <v>6.0838592631723802</v>
      </c>
    </row>
    <row r="1580" spans="182:191">
      <c r="FZ1580" s="8">
        <v>9.7288217242959867</v>
      </c>
      <c r="GA1580" s="8">
        <v>20.919216651480202</v>
      </c>
      <c r="GB1580" s="8">
        <v>6.3434969407412805</v>
      </c>
      <c r="GC1580" s="8">
        <v>0.65632012184837285</v>
      </c>
      <c r="GD1580" s="8">
        <v>0.48068663265056555</v>
      </c>
      <c r="GE1580" s="8">
        <v>1.0946100356021902</v>
      </c>
      <c r="GF1580" s="8">
        <v>4.0925110436234817</v>
      </c>
      <c r="GG1580" s="8">
        <v>2.3743523764979746</v>
      </c>
      <c r="GH1580" s="8">
        <v>0</v>
      </c>
      <c r="GI1580" s="8">
        <v>4.7543527612175271</v>
      </c>
    </row>
    <row r="1581" spans="182:191">
      <c r="FZ1581" s="8">
        <v>5.6315260039227786</v>
      </c>
      <c r="GA1581" s="8">
        <v>4.7399666581448576</v>
      </c>
      <c r="GB1581" s="8">
        <v>1.3477808589951745</v>
      </c>
      <c r="GC1581" s="8">
        <v>0.50080127657549844</v>
      </c>
      <c r="GD1581" s="8">
        <v>0.54613523468988268</v>
      </c>
      <c r="GE1581" s="8">
        <v>1.1936838610373628</v>
      </c>
      <c r="GF1581" s="8">
        <v>5.1879163421996441</v>
      </c>
      <c r="GG1581" s="8">
        <v>3.9952373859207246</v>
      </c>
      <c r="GH1581" s="8">
        <v>0.23579423514790807</v>
      </c>
      <c r="GI1581" s="8">
        <v>3.356233195101205</v>
      </c>
    </row>
    <row r="1582" spans="182:191">
      <c r="FZ1582" s="8">
        <v>5.6315260039227786</v>
      </c>
      <c r="GA1582" s="8">
        <v>10.633172567005557</v>
      </c>
      <c r="GB1582" s="8">
        <v>4.0021294271596162</v>
      </c>
      <c r="GC1582" s="8">
        <v>0.8256468785736365</v>
      </c>
      <c r="GD1582" s="8">
        <v>0.76525354227872389</v>
      </c>
      <c r="GE1582" s="8">
        <v>1.05917334993977</v>
      </c>
      <c r="GF1582" s="8">
        <v>2.1227981488040077</v>
      </c>
      <c r="GG1582" s="8">
        <v>1.3641019447390237</v>
      </c>
      <c r="GH1582" s="8">
        <v>0.23579423514790807</v>
      </c>
      <c r="GI1582" s="8">
        <v>3.787423717866921</v>
      </c>
    </row>
    <row r="1583" spans="182:191">
      <c r="FZ1583" s="8">
        <v>6.1161567755553836</v>
      </c>
      <c r="GA1583" s="8">
        <v>29.831947137998654</v>
      </c>
      <c r="GB1583" s="8">
        <v>9.8117579251126976</v>
      </c>
      <c r="GC1583" s="8">
        <v>0.81309217316532234</v>
      </c>
      <c r="GD1583" s="8">
        <v>0.96260328097798498</v>
      </c>
      <c r="GE1583" s="8">
        <v>1.3172484982130512</v>
      </c>
      <c r="GF1583" s="8">
        <v>4.3359705557042556</v>
      </c>
      <c r="GG1583" s="8">
        <v>3.6681428527913851</v>
      </c>
      <c r="GH1583" s="8">
        <v>0.81723777082165783</v>
      </c>
      <c r="GI1583" s="8">
        <v>6.3441814232351383</v>
      </c>
    </row>
    <row r="1584" spans="182:191">
      <c r="FZ1584" s="8">
        <v>5.6315260039227786</v>
      </c>
      <c r="GA1584" s="8">
        <v>11.786411817721399</v>
      </c>
      <c r="GB1584" s="8">
        <v>5.4097664796502531</v>
      </c>
      <c r="GC1584" s="8">
        <v>0.4090979099769444</v>
      </c>
      <c r="GD1584" s="8">
        <v>0.37276970648697511</v>
      </c>
      <c r="GE1584" s="8">
        <v>1.4765780835750242</v>
      </c>
      <c r="GF1584" s="8">
        <v>3.2708769106309585</v>
      </c>
      <c r="GG1584" s="8">
        <v>2.270507971486647</v>
      </c>
      <c r="GH1584" s="8">
        <v>1.1160015908545531</v>
      </c>
      <c r="GI1584" s="8">
        <v>4.8433808333977693</v>
      </c>
    </row>
    <row r="1585" spans="182:191">
      <c r="FZ1585" s="8">
        <v>1.3671683512601061</v>
      </c>
      <c r="GA1585" s="8">
        <v>1.1736587576831998</v>
      </c>
      <c r="GB1585" s="8">
        <v>0.23954825113041844</v>
      </c>
      <c r="GC1585" s="8">
        <v>1.0035387786433083</v>
      </c>
      <c r="GD1585" s="8">
        <v>1.334639181815612</v>
      </c>
      <c r="GE1585" s="8">
        <v>2.0741773395650007</v>
      </c>
      <c r="GF1585" s="8">
        <v>5.977002451872492</v>
      </c>
      <c r="GG1585" s="8">
        <v>4.6879391242984099</v>
      </c>
      <c r="GH1585" s="8">
        <v>0.58144353567374973</v>
      </c>
      <c r="GI1585" s="8">
        <v>3.2964682295795606</v>
      </c>
    </row>
    <row r="1586" spans="182:191">
      <c r="FZ1586" s="8">
        <v>2.6309686470520015</v>
      </c>
      <c r="GA1586" s="8">
        <v>2.7686586149943353</v>
      </c>
      <c r="GB1586" s="8">
        <v>0.99896162028112334</v>
      </c>
      <c r="GC1586" s="8">
        <v>0.65133358613908987</v>
      </c>
      <c r="GD1586" s="8">
        <v>1.319196398944523</v>
      </c>
      <c r="GE1586" s="8">
        <v>2.7551690662967103</v>
      </c>
      <c r="GF1586" s="8">
        <v>5.5192799920127298</v>
      </c>
      <c r="GG1586" s="8">
        <v>4.1236289182625878</v>
      </c>
      <c r="GH1586" s="8">
        <v>0.40861888541082891</v>
      </c>
      <c r="GI1586" s="8">
        <v>4.3172638569069957</v>
      </c>
    </row>
    <row r="1587" spans="182:191">
      <c r="FZ1587" s="8">
        <v>9.0375172918910636</v>
      </c>
      <c r="GA1587" s="8">
        <v>8.2612601285065033</v>
      </c>
      <c r="GB1587" s="8">
        <v>0.39426672536921675</v>
      </c>
      <c r="GC1587" s="8">
        <v>0.31189863168139786</v>
      </c>
      <c r="GD1587" s="8">
        <v>0.72010942157922497</v>
      </c>
      <c r="GE1587" s="8">
        <v>1.94427705539916</v>
      </c>
      <c r="GF1587" s="8">
        <v>4.6393840101304091</v>
      </c>
      <c r="GG1587" s="8">
        <v>3.5492971601975971</v>
      </c>
      <c r="GH1587" s="8">
        <v>0.47158847029581613</v>
      </c>
      <c r="GI1587" s="8">
        <v>4.1450253221648596</v>
      </c>
    </row>
    <row r="1588" spans="182:191">
      <c r="FZ1588" s="8">
        <v>8.4076905856166189</v>
      </c>
      <c r="GA1588" s="8">
        <v>7.9899561751871957</v>
      </c>
      <c r="GB1588" s="8">
        <v>2.5844598708172635</v>
      </c>
      <c r="GC1588" s="8">
        <v>0.7701244782242691</v>
      </c>
      <c r="GD1588" s="8">
        <v>1.4823753222479452</v>
      </c>
      <c r="GE1588" s="8">
        <v>2.5836335312961625</v>
      </c>
      <c r="GF1588" s="8">
        <v>4.6627363775845971</v>
      </c>
      <c r="GG1588" s="8">
        <v>3.7480001609850739</v>
      </c>
      <c r="GH1588" s="8">
        <v>0.40861888541082891</v>
      </c>
      <c r="GI1588" s="8">
        <v>6.273035668850059</v>
      </c>
    </row>
    <row r="1589" spans="182:191">
      <c r="FZ1589" s="8">
        <v>7.1137364169967157</v>
      </c>
      <c r="GA1589" s="8">
        <v>6.814051110765325</v>
      </c>
      <c r="GB1589" s="8">
        <v>0.89417249357919903</v>
      </c>
      <c r="GC1589" s="8">
        <v>0.80082822229681827</v>
      </c>
      <c r="GD1589" s="8">
        <v>0.92042388475562942</v>
      </c>
      <c r="GE1589" s="8">
        <v>1.2864949163845296</v>
      </c>
      <c r="GF1589" s="8">
        <v>7.5073854849944839</v>
      </c>
      <c r="GG1589" s="8">
        <v>6.6263728271024238</v>
      </c>
      <c r="GH1589" s="8">
        <v>0.40861888541082891</v>
      </c>
      <c r="GI1589" s="8">
        <v>4.7832724122085404</v>
      </c>
    </row>
    <row r="1590" spans="182:191">
      <c r="FZ1590" s="8">
        <v>3.1039254123389872</v>
      </c>
      <c r="GA1590" s="8">
        <v>10.012493824416669</v>
      </c>
      <c r="GB1590" s="8">
        <v>3.1380147699446734</v>
      </c>
      <c r="GC1590" s="8">
        <v>0.58200327433733312</v>
      </c>
      <c r="GD1590" s="8">
        <v>0.58184312973551999</v>
      </c>
      <c r="GE1590" s="8">
        <v>0.84246335933183047</v>
      </c>
      <c r="GF1590" s="8">
        <v>3.4506623820509121</v>
      </c>
      <c r="GG1590" s="8">
        <v>2.8080611976717367</v>
      </c>
      <c r="GH1590" s="8">
        <v>0.23579423514790807</v>
      </c>
      <c r="GI1590" s="8">
        <v>4.5725275530084755</v>
      </c>
    </row>
    <row r="1591" spans="182:191">
      <c r="FZ1591" s="8">
        <v>1.8521794989315969</v>
      </c>
      <c r="GA1591" s="8">
        <v>0.97432111472224658</v>
      </c>
      <c r="GB1591" s="8">
        <v>0.29544300126771816</v>
      </c>
      <c r="GC1591" s="8">
        <v>0.39937798214738968</v>
      </c>
      <c r="GD1591" s="8">
        <v>0.62162872106949596</v>
      </c>
      <c r="GE1591" s="8">
        <v>2.3160903010493756</v>
      </c>
      <c r="GF1591" s="8">
        <v>5.6108150254664473</v>
      </c>
      <c r="GG1591" s="8">
        <v>3.3723714037075605</v>
      </c>
      <c r="GH1591" s="8">
        <v>0.23579423514790807</v>
      </c>
      <c r="GI1591" s="8">
        <v>2.6772651804434262</v>
      </c>
    </row>
    <row r="1592" spans="182:191">
      <c r="FZ1592" s="8">
        <v>6.2613527101972233</v>
      </c>
      <c r="GA1592" s="8">
        <v>17.153571108057591</v>
      </c>
      <c r="GB1592" s="8">
        <v>5.185247146701963</v>
      </c>
      <c r="GC1592" s="8">
        <v>0.63817108318413773</v>
      </c>
      <c r="GD1592" s="8">
        <v>0.7851443446107953</v>
      </c>
      <c r="GE1592" s="8">
        <v>0.91393718622860098</v>
      </c>
      <c r="GF1592" s="8">
        <v>3.1378773562934388</v>
      </c>
      <c r="GG1592" s="8">
        <v>3.1736684029200841</v>
      </c>
      <c r="GH1592" s="8">
        <v>0.47158847029581613</v>
      </c>
      <c r="GI1592" s="8">
        <v>4.3259986229029064</v>
      </c>
    </row>
    <row r="1593" spans="182:191">
      <c r="FZ1593" s="8">
        <v>7.4256139078891312</v>
      </c>
      <c r="GA1593" s="8">
        <v>20.372433328676291</v>
      </c>
      <c r="GB1593" s="8">
        <v>6.2573686769643508</v>
      </c>
      <c r="GC1593" s="8">
        <v>0.75975914189727733</v>
      </c>
      <c r="GD1593" s="8">
        <v>0.95700562170667025</v>
      </c>
      <c r="GE1593" s="8">
        <v>2.4837661291851045</v>
      </c>
      <c r="GF1593" s="8">
        <v>5.1220056533198619</v>
      </c>
      <c r="GG1593" s="8">
        <v>2.6311354411817005</v>
      </c>
      <c r="GH1593" s="8">
        <v>0.3456493005258417</v>
      </c>
      <c r="GI1593" s="8">
        <v>5.7310375715946362</v>
      </c>
    </row>
    <row r="1594" spans="182:191">
      <c r="FZ1594" s="8">
        <v>3.2611757293653318</v>
      </c>
      <c r="GA1594" s="8">
        <v>11.776021225577164</v>
      </c>
      <c r="GB1594" s="8">
        <v>2.5932817264213561</v>
      </c>
      <c r="GC1594" s="8">
        <v>0.27495514585549058</v>
      </c>
      <c r="GD1594" s="8">
        <v>0.69915718142954741</v>
      </c>
      <c r="GE1594" s="8">
        <v>2.0720934616813516</v>
      </c>
      <c r="GF1594" s="8">
        <v>6.9013247641018243</v>
      </c>
      <c r="GG1594" s="8">
        <v>5.262270882363401</v>
      </c>
      <c r="GH1594" s="8">
        <v>0.3456493005258417</v>
      </c>
      <c r="GI1594" s="8">
        <v>4.7158425606967755</v>
      </c>
    </row>
    <row r="1595" spans="182:191">
      <c r="FZ1595" s="8">
        <v>8.5223522713915649</v>
      </c>
      <c r="GA1595" s="8">
        <v>11.406226929340225</v>
      </c>
      <c r="GB1595" s="8">
        <v>0.70585207687096352</v>
      </c>
      <c r="GC1595" s="8">
        <v>0.39718861306606734</v>
      </c>
      <c r="GD1595" s="8">
        <v>0.80311129208801579</v>
      </c>
      <c r="GE1595" s="8">
        <v>1.7624083352246183</v>
      </c>
      <c r="GF1595" s="8">
        <v>3.0265396689328794</v>
      </c>
      <c r="GG1595" s="8">
        <v>2.0355021511003617</v>
      </c>
      <c r="GH1595" s="8">
        <v>0.64441312055873701</v>
      </c>
      <c r="GI1595" s="8">
        <v>4.0873007410897548</v>
      </c>
    </row>
    <row r="1596" spans="182:191">
      <c r="FZ1596" s="8">
        <v>5.7465680657366089</v>
      </c>
      <c r="GA1596" s="8">
        <v>10.380359011226984</v>
      </c>
      <c r="GB1596" s="8">
        <v>1.8838855434452118</v>
      </c>
      <c r="GC1596" s="8">
        <v>0.39439144643810675</v>
      </c>
      <c r="GD1596" s="8">
        <v>0.49138648898684284</v>
      </c>
      <c r="GE1596" s="8">
        <v>1.1899240297584515</v>
      </c>
      <c r="GF1596" s="8">
        <v>6.4564065167653322</v>
      </c>
      <c r="GG1596" s="8">
        <v>5.3593393306597479</v>
      </c>
      <c r="GH1596" s="8">
        <v>0.47158847029581613</v>
      </c>
      <c r="GI1596" s="8">
        <v>3.8432989039266054</v>
      </c>
    </row>
    <row r="1597" spans="182:191">
      <c r="FZ1597" s="8">
        <v>10.300937211644076</v>
      </c>
      <c r="GA1597" s="8">
        <v>35.304129144543452</v>
      </c>
      <c r="GB1597" s="8">
        <v>10.37636247980863</v>
      </c>
      <c r="GC1597" s="8">
        <v>0.19525949772674212</v>
      </c>
      <c r="GD1597" s="8">
        <v>0.40762432782252306</v>
      </c>
      <c r="GE1597" s="8">
        <v>1.0885875383903554</v>
      </c>
      <c r="GF1597" s="8">
        <v>3.2877857802946084</v>
      </c>
      <c r="GG1597" s="8">
        <v>2.5512781329880112</v>
      </c>
      <c r="GH1597" s="8">
        <v>0.40861888541082891</v>
      </c>
      <c r="GI1597" s="8">
        <v>6.7916145624115343</v>
      </c>
    </row>
    <row r="1598" spans="182:191">
      <c r="FZ1598" s="8">
        <v>7.3799570713472793</v>
      </c>
      <c r="GA1598" s="8">
        <v>2.2960879092874493</v>
      </c>
      <c r="GB1598" s="8">
        <v>0.22443149431060391</v>
      </c>
      <c r="GC1598" s="8">
        <v>0.52931565156672533</v>
      </c>
      <c r="GD1598" s="8">
        <v>0.53118955175743254</v>
      </c>
      <c r="GE1598" s="8">
        <v>0.73399723909979819</v>
      </c>
      <c r="GF1598" s="8">
        <v>2.0138190401497216</v>
      </c>
      <c r="GG1598" s="8">
        <v>1.4344134131846378</v>
      </c>
      <c r="GH1598" s="8">
        <v>0</v>
      </c>
      <c r="GI1598" s="8">
        <v>2.5629676300350352</v>
      </c>
    </row>
    <row r="1599" spans="182:191">
      <c r="FZ1599" s="8">
        <v>5.1921716927931403</v>
      </c>
      <c r="GA1599" s="8">
        <v>16.105037376238322</v>
      </c>
      <c r="GB1599" s="8">
        <v>5.8050587984336843</v>
      </c>
      <c r="GC1599" s="8">
        <v>1.7787094137677906</v>
      </c>
      <c r="GD1599" s="8">
        <v>1.7888641249671164</v>
      </c>
      <c r="GE1599" s="8">
        <v>1.5451589379688144</v>
      </c>
      <c r="GF1599" s="8">
        <v>3.1517352138998467</v>
      </c>
      <c r="GG1599" s="8">
        <v>2.7862839533742965</v>
      </c>
      <c r="GH1599" s="8">
        <v>0.70738270544372439</v>
      </c>
      <c r="GI1599" s="8">
        <v>5.5557877120150101</v>
      </c>
    </row>
    <row r="1600" spans="182:191">
      <c r="FZ1600" s="8">
        <v>4.3677257081308829</v>
      </c>
      <c r="GA1600" s="8">
        <v>1.1736587576831998</v>
      </c>
      <c r="GB1600" s="8">
        <v>0.23954825113041844</v>
      </c>
      <c r="GC1600" s="8">
        <v>1.4963032092925523</v>
      </c>
      <c r="GD1600" s="8">
        <v>1.0835332674875073</v>
      </c>
      <c r="GE1600" s="8">
        <v>0.82217177770663863</v>
      </c>
      <c r="GF1600" s="8">
        <v>6.2325159080442818</v>
      </c>
      <c r="GG1600" s="8">
        <v>4.6298590604021621</v>
      </c>
      <c r="GH1600" s="8">
        <v>0.3456493005258417</v>
      </c>
      <c r="GI1600" s="8">
        <v>2.8610826221278183</v>
      </c>
    </row>
    <row r="1601" spans="182:191">
      <c r="FZ1601" s="8">
        <v>6.6588791421532321</v>
      </c>
      <c r="GA1601" s="8">
        <v>3.2704090240096959</v>
      </c>
      <c r="GB1601" s="8">
        <v>0.26175322016059466</v>
      </c>
      <c r="GC1601" s="8">
        <v>0.29374959301716275</v>
      </c>
      <c r="GD1601" s="8">
        <v>0.26842483395362082</v>
      </c>
      <c r="GE1601" s="8">
        <v>1.1959899887771372</v>
      </c>
      <c r="GF1601" s="8">
        <v>3.7550884548447998</v>
      </c>
      <c r="GG1601" s="8">
        <v>2.6093581968842599</v>
      </c>
      <c r="GH1601" s="8">
        <v>0.81723777082165783</v>
      </c>
      <c r="GI1601" s="8">
        <v>2.6165431166186748</v>
      </c>
    </row>
    <row r="1602" spans="182:191">
      <c r="FZ1602" s="8">
        <v>7.3954600350611237</v>
      </c>
      <c r="GA1602" s="8">
        <v>11.112257162314888</v>
      </c>
      <c r="GB1602" s="8">
        <v>2.7217281303786889</v>
      </c>
      <c r="GC1602" s="8">
        <v>0.77206070371658042</v>
      </c>
      <c r="GD1602" s="8">
        <v>0.87534916507890093</v>
      </c>
      <c r="GE1602" s="8">
        <v>1.3164398087916196</v>
      </c>
      <c r="GF1602" s="8">
        <v>4.1489048835918627</v>
      </c>
      <c r="GG1602" s="8">
        <v>3.1256098910530015</v>
      </c>
      <c r="GH1602" s="8">
        <v>0.3456493005258417</v>
      </c>
      <c r="GI1602" s="8">
        <v>4.0349019342492918</v>
      </c>
    </row>
    <row r="1603" spans="182:191">
      <c r="FZ1603" s="8">
        <v>1.3671683512601061</v>
      </c>
      <c r="GA1603" s="8">
        <v>1.3729964006441531</v>
      </c>
      <c r="GB1603" s="8">
        <v>0.32325521841210242</v>
      </c>
      <c r="GC1603" s="8">
        <v>0.56385423567309811</v>
      </c>
      <c r="GD1603" s="8">
        <v>0.85431204497191748</v>
      </c>
      <c r="GE1603" s="8">
        <v>1.3670913501066935</v>
      </c>
      <c r="GF1603" s="8">
        <v>2.6311530772175424</v>
      </c>
      <c r="GG1603" s="8">
        <v>1.8798779266266734</v>
      </c>
      <c r="GH1603" s="8">
        <v>0.17282465026292085</v>
      </c>
      <c r="GI1603" s="8">
        <v>2.3865223836059117</v>
      </c>
    </row>
    <row r="1604" spans="182:191">
      <c r="FZ1604" s="8">
        <v>7.0560251980703566</v>
      </c>
      <c r="GA1604" s="8">
        <v>14.877902705737501</v>
      </c>
      <c r="GB1604" s="8">
        <v>4.0707196376214858</v>
      </c>
      <c r="GC1604" s="8">
        <v>0.66668545817536451</v>
      </c>
      <c r="GD1604" s="8">
        <v>0.58398820343734026</v>
      </c>
      <c r="GE1604" s="8">
        <v>0.71470512240413819</v>
      </c>
      <c r="GF1604" s="8">
        <v>2.3302126225649786</v>
      </c>
      <c r="GG1604" s="8">
        <v>1.8100421704621514</v>
      </c>
      <c r="GH1604" s="8">
        <v>0.17282465026292085</v>
      </c>
      <c r="GI1604" s="8">
        <v>4.1939412234866857</v>
      </c>
    </row>
    <row r="1605" spans="182:191">
      <c r="FZ1605" s="8">
        <v>8.7467450465685008</v>
      </c>
      <c r="GA1605" s="8">
        <v>33.102356162008348</v>
      </c>
      <c r="GB1605" s="8">
        <v>9.9663885607138099</v>
      </c>
      <c r="GC1605" s="8">
        <v>1.1175962786082156</v>
      </c>
      <c r="GD1605" s="8">
        <v>1.0082517068730397</v>
      </c>
      <c r="GE1605" s="8">
        <v>1.1386419089009649</v>
      </c>
      <c r="GF1605" s="8">
        <v>4.1629080187783529</v>
      </c>
      <c r="GG1605" s="8">
        <v>3.2439798713656982</v>
      </c>
      <c r="GH1605" s="8">
        <v>0.23579423514790807</v>
      </c>
      <c r="GI1605" s="8">
        <v>6.6512045341910273</v>
      </c>
    </row>
    <row r="1606" spans="182:191">
      <c r="FZ1606" s="8">
        <v>4.7648717640480074</v>
      </c>
      <c r="GA1606" s="8">
        <v>12.382477153489098</v>
      </c>
      <c r="GB1606" s="8">
        <v>3.9172118116303096</v>
      </c>
      <c r="GC1606" s="8">
        <v>0.63881649168157495</v>
      </c>
      <c r="GD1606" s="8">
        <v>0.51749629965144361</v>
      </c>
      <c r="GE1606" s="8">
        <v>1.2449659818948489</v>
      </c>
      <c r="GF1606" s="8">
        <v>4.847699560601459</v>
      </c>
      <c r="GG1606" s="8">
        <v>3.1954456472175239</v>
      </c>
      <c r="GH1606" s="8">
        <v>0.17282465026292085</v>
      </c>
      <c r="GI1606" s="8">
        <v>4.1961267327462002</v>
      </c>
    </row>
    <row r="1607" spans="182:191">
      <c r="FZ1607" s="8">
        <v>5.4071332287458427</v>
      </c>
      <c r="GA1607" s="8">
        <v>12.929260476293006</v>
      </c>
      <c r="GB1607" s="8">
        <v>4.0707196376214858</v>
      </c>
      <c r="GC1607" s="8">
        <v>0.42315896501834482</v>
      </c>
      <c r="GD1607" s="8">
        <v>0.92459632339468201</v>
      </c>
      <c r="GE1607" s="8">
        <v>2.067091172507916</v>
      </c>
      <c r="GF1607" s="8">
        <v>2.6612784264249223</v>
      </c>
      <c r="GG1607" s="8">
        <v>2.0355021511003617</v>
      </c>
      <c r="GH1607" s="8">
        <v>0.64441312055873701</v>
      </c>
      <c r="GI1607" s="8">
        <v>4.5354023683821927</v>
      </c>
    </row>
    <row r="1608" spans="182:191">
      <c r="FZ1608" s="8">
        <v>2.6886798659783597</v>
      </c>
      <c r="GA1608" s="8">
        <v>0.1993376429609533</v>
      </c>
      <c r="GB1608" s="8">
        <v>0.29068824691491496</v>
      </c>
      <c r="GC1608" s="8">
        <v>0.68483449683959963</v>
      </c>
      <c r="GD1608" s="8">
        <v>0.69581093392380566</v>
      </c>
      <c r="GE1608" s="8">
        <v>1.2664001458286576</v>
      </c>
      <c r="GF1608" s="8">
        <v>6.2759296200235584</v>
      </c>
      <c r="GG1608" s="8">
        <v>5.0635678815759242</v>
      </c>
      <c r="GH1608" s="8">
        <v>0.58144353567374973</v>
      </c>
      <c r="GI1608" s="8">
        <v>3.2836538999304423</v>
      </c>
    </row>
    <row r="1609" spans="182:191">
      <c r="FZ1609" s="8">
        <v>3.1039254123389872</v>
      </c>
      <c r="GA1609" s="8">
        <v>2.1479798724054464</v>
      </c>
      <c r="GB1609" s="8">
        <v>0.2569984658077914</v>
      </c>
      <c r="GC1609" s="8">
        <v>1.2414333275936082</v>
      </c>
      <c r="GD1609" s="8">
        <v>0.91429174888248443</v>
      </c>
      <c r="GE1609" s="8">
        <v>1.3195697386983727</v>
      </c>
      <c r="GF1609" s="8">
        <v>4.7123180804648932</v>
      </c>
      <c r="GG1609" s="8">
        <v>2.6311354411817005</v>
      </c>
      <c r="GH1609" s="8">
        <v>0</v>
      </c>
      <c r="GI1609" s="8">
        <v>2.9829301350910717</v>
      </c>
    </row>
    <row r="1610" spans="182:191">
      <c r="FZ1610" s="8">
        <v>5.8340527814520904</v>
      </c>
      <c r="GA1610" s="8">
        <v>15.04643024958686</v>
      </c>
      <c r="GB1610" s="8">
        <v>2.7653625766998409</v>
      </c>
      <c r="GC1610" s="8">
        <v>1.3837896699115304</v>
      </c>
      <c r="GD1610" s="8">
        <v>1.5993877871576865</v>
      </c>
      <c r="GE1610" s="8">
        <v>2.2785111629509083</v>
      </c>
      <c r="GF1610" s="8">
        <v>5.0605905999416292</v>
      </c>
      <c r="GG1610" s="8">
        <v>4.1018516739651467</v>
      </c>
      <c r="GH1610" s="8">
        <v>0.70738270544372439</v>
      </c>
      <c r="GI1610" s="8">
        <v>4.7884387460531599</v>
      </c>
    </row>
    <row r="1611" spans="182:191">
      <c r="FZ1611" s="8">
        <v>3.5131258506406171</v>
      </c>
      <c r="GA1611" s="8">
        <v>3.5436420867556286</v>
      </c>
      <c r="GB1611" s="8">
        <v>0.86169336071969793</v>
      </c>
      <c r="GC1611" s="8">
        <v>0.97269900206103133</v>
      </c>
      <c r="GD1611" s="8">
        <v>1.1185792543220918</v>
      </c>
      <c r="GE1611" s="8">
        <v>1.6684689999185836</v>
      </c>
      <c r="GF1611" s="8">
        <v>2.5818077258918732</v>
      </c>
      <c r="GG1611" s="8">
        <v>1.8463449900609596</v>
      </c>
      <c r="GH1611" s="8">
        <v>1.2258566562324869</v>
      </c>
      <c r="GI1611" s="8">
        <v>3.2600127458354118</v>
      </c>
    </row>
    <row r="1612" spans="182:191">
      <c r="FZ1612" s="8">
        <v>11.320002474694146</v>
      </c>
      <c r="GA1612" s="8">
        <v>17.928554579818883</v>
      </c>
      <c r="GB1612" s="8">
        <v>4.9619384620012958</v>
      </c>
      <c r="GC1612" s="8">
        <v>0.1633025476101177</v>
      </c>
      <c r="GD1612" s="8">
        <v>0.59597985976534829</v>
      </c>
      <c r="GE1612" s="8">
        <v>2.2109939784023682</v>
      </c>
      <c r="GF1612" s="8">
        <v>2.3321029705500176</v>
      </c>
      <c r="GG1612" s="8">
        <v>0.67140020636133779</v>
      </c>
      <c r="GH1612" s="8">
        <v>0.40861888541082891</v>
      </c>
      <c r="GI1612" s="8">
        <v>5.5390116254649246</v>
      </c>
    </row>
    <row r="1613" spans="182:191">
      <c r="FZ1613" s="8">
        <v>6.5136832075113933</v>
      </c>
      <c r="GA1613" s="8">
        <v>3.5436420867556286</v>
      </c>
      <c r="GB1613" s="8">
        <v>0.81055336493520136</v>
      </c>
      <c r="GC1613" s="8">
        <v>0.55069173271814598</v>
      </c>
      <c r="GD1613" s="8">
        <v>0.84801177086173374</v>
      </c>
      <c r="GE1613" s="8">
        <v>1.1753968396345553</v>
      </c>
      <c r="GF1613" s="8">
        <v>3.9632949533804274</v>
      </c>
      <c r="GG1613" s="8">
        <v>3.9734601416232844</v>
      </c>
      <c r="GH1613" s="8">
        <v>0.88020735570664521</v>
      </c>
      <c r="GI1613" s="8">
        <v>3.8216506201530374</v>
      </c>
    </row>
    <row r="1614" spans="182:191">
      <c r="FZ1614" s="8">
        <v>6.1738679944817427</v>
      </c>
      <c r="GA1614" s="8">
        <v>16.273564920087683</v>
      </c>
      <c r="GB1614" s="8">
        <v>4.5707132444691547</v>
      </c>
      <c r="GC1614" s="8">
        <v>0.33262930433538135</v>
      </c>
      <c r="GD1614" s="8">
        <v>0.58909040050230277</v>
      </c>
      <c r="GE1614" s="8">
        <v>1.5964410588263007</v>
      </c>
      <c r="GF1614" s="8">
        <v>4.7292269501285435</v>
      </c>
      <c r="GG1614" s="8">
        <v>3.4426828721531746</v>
      </c>
      <c r="GH1614" s="8">
        <v>0.17282465026292085</v>
      </c>
      <c r="GI1614" s="8">
        <v>5.1368874789186387</v>
      </c>
    </row>
    <row r="1615" spans="182:191">
      <c r="FZ1615" s="8">
        <v>9.2317561942399919</v>
      </c>
      <c r="GA1615" s="8">
        <v>20.298537908891312</v>
      </c>
      <c r="GB1615" s="8">
        <v>5.6737559414726846</v>
      </c>
      <c r="GC1615" s="8">
        <v>0.87080394259601213</v>
      </c>
      <c r="GD1615" s="8">
        <v>1.3144792095947391</v>
      </c>
      <c r="GE1615" s="8">
        <v>3.0696346372686518</v>
      </c>
      <c r="GF1615" s="8">
        <v>6.5310103414917773</v>
      </c>
      <c r="GG1615" s="8">
        <v>4.1236289182625878</v>
      </c>
      <c r="GH1615" s="8">
        <v>0.40861888541082891</v>
      </c>
      <c r="GI1615" s="8">
        <v>6.854255522703232</v>
      </c>
    </row>
    <row r="1616" spans="182:191">
      <c r="FZ1616" s="8">
        <v>8.5442182690391899</v>
      </c>
      <c r="GA1616" s="8">
        <v>1.7716716865660598</v>
      </c>
      <c r="GB1616" s="8">
        <v>0.56168065993258476</v>
      </c>
      <c r="GC1616" s="8">
        <v>0.63318454747485475</v>
      </c>
      <c r="GD1616" s="8">
        <v>0.79096087379153257</v>
      </c>
      <c r="GE1616" s="8">
        <v>1.2214802654471855</v>
      </c>
      <c r="GF1616" s="8">
        <v>3.9891426596718271</v>
      </c>
      <c r="GG1616" s="8">
        <v>3.1256098910530015</v>
      </c>
      <c r="GH1616" s="8">
        <v>0.17282465026292085</v>
      </c>
      <c r="GI1616" s="8">
        <v>3.8800903412495864</v>
      </c>
    </row>
    <row r="1617" spans="182:191">
      <c r="FZ1617" s="8">
        <v>1.3094571323337481</v>
      </c>
      <c r="GA1617" s="8">
        <v>13.77813936783928</v>
      </c>
      <c r="GB1617" s="8">
        <v>4.3474045597684867</v>
      </c>
      <c r="GC1617" s="8">
        <v>0.59774741128203379</v>
      </c>
      <c r="GD1617" s="8">
        <v>0.81242570074358911</v>
      </c>
      <c r="GE1617" s="8">
        <v>1.5318746109373411</v>
      </c>
      <c r="GF1617" s="8">
        <v>2.3727234977389409</v>
      </c>
      <c r="GG1617" s="8">
        <v>1.1871761882489873</v>
      </c>
      <c r="GH1617" s="8">
        <v>0.51847395078876257</v>
      </c>
      <c r="GI1617" s="8">
        <v>3.6493931954968475</v>
      </c>
    </row>
    <row r="1618" spans="182:191">
      <c r="FZ1618" s="8">
        <v>2.718453362767483</v>
      </c>
      <c r="GA1618" s="8">
        <v>8.3886314611091013</v>
      </c>
      <c r="GB1618" s="8">
        <v>2.8240959605853684</v>
      </c>
      <c r="GC1618" s="8">
        <v>0.75197543956003399</v>
      </c>
      <c r="GD1618" s="8">
        <v>0.70792773721472679</v>
      </c>
      <c r="GE1618" s="8">
        <v>1.144707867919651</v>
      </c>
      <c r="GF1618" s="8">
        <v>5.1833185142669009</v>
      </c>
      <c r="GG1618" s="8">
        <v>3.9467031617725512</v>
      </c>
      <c r="GH1618" s="8">
        <v>0</v>
      </c>
      <c r="GI1618" s="8">
        <v>3.3386147074755383</v>
      </c>
    </row>
    <row r="1619" spans="182:191">
      <c r="FZ1619" s="8">
        <v>4.806699643221636</v>
      </c>
      <c r="GA1619" s="8">
        <v>12.929260476293006</v>
      </c>
      <c r="GB1619" s="8">
        <v>3.9461468383846299</v>
      </c>
      <c r="GC1619" s="8">
        <v>0.79584168658753551</v>
      </c>
      <c r="GD1619" s="8">
        <v>0.58099812970304909</v>
      </c>
      <c r="GE1619" s="8">
        <v>0.4380883775021297</v>
      </c>
      <c r="GF1619" s="8">
        <v>4.8558836061283621</v>
      </c>
      <c r="GG1619" s="8">
        <v>4.3123103670208973</v>
      </c>
      <c r="GH1619" s="8">
        <v>0.58144353567374973</v>
      </c>
      <c r="GI1619" s="8">
        <v>4.6836669114326179</v>
      </c>
    </row>
    <row r="1620" spans="182:191">
      <c r="FZ1620" s="8">
        <v>3.6884756581104652</v>
      </c>
      <c r="GA1620" s="8">
        <v>4.6660712383598781</v>
      </c>
      <c r="GB1620" s="8">
        <v>0.98738896956648969</v>
      </c>
      <c r="GC1620" s="8">
        <v>0.37649555136288282</v>
      </c>
      <c r="GD1620" s="8">
        <v>0.15930673398610873</v>
      </c>
      <c r="GE1620" s="8">
        <v>1.2520521489519341</v>
      </c>
      <c r="GF1620" s="8">
        <v>3.2442371795649017</v>
      </c>
      <c r="GG1620" s="8">
        <v>1.8463449900609596</v>
      </c>
      <c r="GH1620" s="8">
        <v>0.70738270544372439</v>
      </c>
      <c r="GI1620" s="8">
        <v>2.9078077710677226</v>
      </c>
    </row>
    <row r="1621" spans="182:191">
      <c r="FZ1621" s="8">
        <v>9.3686642537014464</v>
      </c>
      <c r="GA1621" s="8">
        <v>6.8879465305503036</v>
      </c>
      <c r="GB1621" s="8">
        <v>1.6920303981898308</v>
      </c>
      <c r="GC1621" s="8">
        <v>1.0158403404626113</v>
      </c>
      <c r="GD1621" s="8">
        <v>1.0209684011187286</v>
      </c>
      <c r="GE1621" s="8">
        <v>1.8259111132683274</v>
      </c>
      <c r="GF1621" s="8">
        <v>4.2183756748486454</v>
      </c>
      <c r="GG1621" s="8">
        <v>2.5027439088398373</v>
      </c>
      <c r="GH1621" s="8">
        <v>0.17282465026292085</v>
      </c>
      <c r="GI1621" s="8">
        <v>4.4639758526030375</v>
      </c>
    </row>
    <row r="1622" spans="182:191">
      <c r="FZ1622" s="8">
        <v>2.1916143359223637</v>
      </c>
      <c r="GA1622" s="8">
        <v>4.5179632014778752</v>
      </c>
      <c r="GB1622" s="8">
        <v>0.96639464878393588</v>
      </c>
      <c r="GC1622" s="8">
        <v>0.65976269697377032</v>
      </c>
      <c r="GD1622" s="8">
        <v>0.73696582936953747</v>
      </c>
      <c r="GE1622" s="8">
        <v>2.2016810012667736</v>
      </c>
      <c r="GF1622" s="8">
        <v>7.8511623689696695</v>
      </c>
      <c r="GG1622" s="8">
        <v>5.262270882363401</v>
      </c>
      <c r="GH1622" s="8">
        <v>0.17282465026292085</v>
      </c>
      <c r="GI1622" s="8">
        <v>3.4567516381689178</v>
      </c>
    </row>
    <row r="1623" spans="182:191">
      <c r="FZ1623" s="8">
        <v>5.162017819965131</v>
      </c>
      <c r="GA1623" s="8">
        <v>3.1223009871276921</v>
      </c>
      <c r="GB1623" s="8">
        <v>0.29068824691491496</v>
      </c>
      <c r="GC1623" s="8">
        <v>0.37839416590439512</v>
      </c>
      <c r="GD1623" s="8">
        <v>0.20832782506475492</v>
      </c>
      <c r="GE1623" s="8">
        <v>0.64762130113079197</v>
      </c>
      <c r="GF1623" s="8">
        <v>3.6635757604547052</v>
      </c>
      <c r="GG1623" s="8">
        <v>2.8565954218199106</v>
      </c>
      <c r="GH1623" s="8">
        <v>0.47158847029581613</v>
      </c>
      <c r="GI1623" s="8">
        <v>1.7151271454827022</v>
      </c>
    </row>
    <row r="1624" spans="182:191">
      <c r="FZ1624" s="8">
        <v>2.1339031169960054</v>
      </c>
      <c r="GA1624" s="8">
        <v>15.905699733277368</v>
      </c>
      <c r="GB1624" s="8">
        <v>5.632890109517513</v>
      </c>
      <c r="GC1624" s="8">
        <v>0.51343548211229695</v>
      </c>
      <c r="GD1624" s="8">
        <v>1.1323934255860313</v>
      </c>
      <c r="GE1624" s="8">
        <v>2.4079199144870564</v>
      </c>
      <c r="GF1624" s="8">
        <v>5.2071640525134519</v>
      </c>
      <c r="GG1624" s="8">
        <v>4.0437716100688981</v>
      </c>
      <c r="GH1624" s="8">
        <v>0.64441312055873701</v>
      </c>
      <c r="GI1624" s="8">
        <v>5.4888841489583564</v>
      </c>
    </row>
    <row r="1625" spans="182:191">
      <c r="FZ1625" s="8">
        <v>4.9104480747287322</v>
      </c>
      <c r="GA1625" s="8">
        <v>15.130716261516074</v>
      </c>
      <c r="GB1625" s="8">
        <v>5.8935205200681722</v>
      </c>
      <c r="GC1625" s="8">
        <v>0.86388118139441783</v>
      </c>
      <c r="GD1625" s="8">
        <v>0.76839427488423562</v>
      </c>
      <c r="GE1625" s="8">
        <v>1.1899240297584515</v>
      </c>
      <c r="GF1625" s="8">
        <v>6.909851333709117</v>
      </c>
      <c r="GG1625" s="8">
        <v>5.6278780876117471</v>
      </c>
      <c r="GH1625" s="8">
        <v>0.23579423514790807</v>
      </c>
      <c r="GI1625" s="8">
        <v>4.9654839617572089</v>
      </c>
    </row>
    <row r="1626" spans="182:191">
      <c r="FZ1626" s="8">
        <v>12.389563868137113</v>
      </c>
      <c r="GA1626" s="8">
        <v>12.781469636723049</v>
      </c>
      <c r="GB1626" s="8">
        <v>2.5833370612073274</v>
      </c>
      <c r="GC1626" s="8">
        <v>0.58738207495504213</v>
      </c>
      <c r="GD1626" s="8">
        <v>0.64116092543503411</v>
      </c>
      <c r="GE1626" s="8">
        <v>1.4194522535549772</v>
      </c>
      <c r="GF1626" s="8">
        <v>4.9067757733295343</v>
      </c>
      <c r="GG1626" s="8">
        <v>3.5492971601975971</v>
      </c>
      <c r="GH1626" s="8">
        <v>0.99006242108457876</v>
      </c>
      <c r="GI1626" s="8">
        <v>5.220712823825016</v>
      </c>
    </row>
    <row r="1627" spans="182:191">
      <c r="FZ1627" s="8">
        <v>3.4554146317142589</v>
      </c>
      <c r="GA1627" s="8">
        <v>1.1736587576831998</v>
      </c>
      <c r="GB1627" s="8">
        <v>0.32558867626966093</v>
      </c>
      <c r="GC1627" s="8">
        <v>0.76040455039471444</v>
      </c>
      <c r="GD1627" s="8">
        <v>0.77177268629833029</v>
      </c>
      <c r="GE1627" s="8">
        <v>1.3725601383209149</v>
      </c>
      <c r="GF1627" s="8">
        <v>3.1524043001580431</v>
      </c>
      <c r="GG1627" s="8">
        <v>1.8100421704621514</v>
      </c>
      <c r="GH1627" s="8">
        <v>0.51847395078876257</v>
      </c>
      <c r="GI1627" s="8">
        <v>2.1870554150678521</v>
      </c>
    </row>
    <row r="1628" spans="182:191">
      <c r="FZ1628" s="8">
        <v>2.7463910849047179</v>
      </c>
      <c r="GA1628" s="8">
        <v>11.387736531799494</v>
      </c>
      <c r="GB1628" s="8">
        <v>5.1912125493023886</v>
      </c>
      <c r="GC1628" s="8">
        <v>0.56892027151086544</v>
      </c>
      <c r="GD1628" s="8">
        <v>0.68697121005726403</v>
      </c>
      <c r="GE1628" s="8">
        <v>1.6483681938014914</v>
      </c>
      <c r="GF1628" s="8">
        <v>5.6494222661538727</v>
      </c>
      <c r="GG1628" s="8">
        <v>4.193940386708201</v>
      </c>
      <c r="GH1628" s="8">
        <v>0</v>
      </c>
      <c r="GI1628" s="8">
        <v>4.7715433876594817</v>
      </c>
    </row>
    <row r="1629" spans="182:191">
      <c r="FZ1629" s="8">
        <v>2.1339031169960054</v>
      </c>
      <c r="GA1629" s="8">
        <v>8.0411857812661474</v>
      </c>
      <c r="GB1629" s="8">
        <v>2.981147892681725</v>
      </c>
      <c r="GC1629" s="8">
        <v>0.85351584506742628</v>
      </c>
      <c r="GD1629" s="8">
        <v>1.0933104490909242</v>
      </c>
      <c r="GE1629" s="8">
        <v>2.2905207067180622</v>
      </c>
      <c r="GF1629" s="8">
        <v>4.3260052141277345</v>
      </c>
      <c r="GG1629" s="8">
        <v>2.6796696653298739</v>
      </c>
      <c r="GH1629" s="8">
        <v>0.40861888541082891</v>
      </c>
      <c r="GI1629" s="8">
        <v>4.105873057259398</v>
      </c>
    </row>
    <row r="1630" spans="182:191">
      <c r="FZ1630" s="8">
        <v>5.8340527814520904</v>
      </c>
      <c r="GA1630" s="8">
        <v>13.829686171230275</v>
      </c>
      <c r="GB1630" s="8">
        <v>3.2740723812584762</v>
      </c>
      <c r="GC1630" s="8">
        <v>0.67421601692359678</v>
      </c>
      <c r="GD1630" s="8">
        <v>0.79244027762467073</v>
      </c>
      <c r="GE1630" s="8">
        <v>1.2437235240003246</v>
      </c>
      <c r="GF1630" s="8">
        <v>3.4328981218335795</v>
      </c>
      <c r="GG1630" s="8">
        <v>2.3743523764979746</v>
      </c>
      <c r="GH1630" s="8">
        <v>0.17282465026292085</v>
      </c>
      <c r="GI1630" s="8">
        <v>3.7006666893060403</v>
      </c>
    </row>
    <row r="1631" spans="182:191">
      <c r="FZ1631" s="8">
        <v>6.7580378642143346</v>
      </c>
      <c r="GA1631" s="8">
        <v>14.952115322834526</v>
      </c>
      <c r="GB1631" s="8">
        <v>3.4671475523195152</v>
      </c>
      <c r="GC1631" s="8">
        <v>0.46892382658735854</v>
      </c>
      <c r="GD1631" s="8">
        <v>0.45325861224558917</v>
      </c>
      <c r="GE1631" s="8">
        <v>1.6369127642298495</v>
      </c>
      <c r="GF1631" s="8">
        <v>5.5207634421092058</v>
      </c>
      <c r="GG1631" s="8">
        <v>3.561528564746963</v>
      </c>
      <c r="GH1631" s="8">
        <v>0.17282465026292085</v>
      </c>
      <c r="GI1631" s="8">
        <v>3.8927063511841387</v>
      </c>
    </row>
    <row r="1632" spans="182:191">
      <c r="FZ1632" s="8">
        <v>5.1043066010387736</v>
      </c>
      <c r="GA1632" s="8">
        <v>16.880020847999614</v>
      </c>
      <c r="GB1632" s="8">
        <v>5.8098135527864878</v>
      </c>
      <c r="GC1632" s="8">
        <v>0.39030346281527212</v>
      </c>
      <c r="GD1632" s="8">
        <v>0.3689263590425943</v>
      </c>
      <c r="GE1632" s="8">
        <v>1.0049404924227034</v>
      </c>
      <c r="GF1632" s="8">
        <v>2.9979203872877518</v>
      </c>
      <c r="GG1632" s="8">
        <v>2.410655196096783</v>
      </c>
      <c r="GH1632" s="8">
        <v>0.70738270544372439</v>
      </c>
      <c r="GI1632" s="8">
        <v>4.4101409776833007</v>
      </c>
    </row>
    <row r="1633" spans="182:191">
      <c r="FZ1633" s="8">
        <v>12.671287486201521</v>
      </c>
      <c r="GA1633" s="8">
        <v>10.431905814617979</v>
      </c>
      <c r="GB1633" s="8">
        <v>0.82679293136495202</v>
      </c>
      <c r="GC1633" s="8">
        <v>0.961608757108118</v>
      </c>
      <c r="GD1633" s="8">
        <v>0.71632066112200876</v>
      </c>
      <c r="GE1633" s="8">
        <v>0.94986580971861234</v>
      </c>
      <c r="GF1633" s="8">
        <v>2.3905100970198965</v>
      </c>
      <c r="GG1633" s="8">
        <v>1.1168647198033732</v>
      </c>
      <c r="GH1633" s="8">
        <v>0.92709283619959149</v>
      </c>
      <c r="GI1633" s="8">
        <v>4.1792687322277633</v>
      </c>
    </row>
    <row r="1634" spans="182:191">
      <c r="FZ1634" s="8">
        <v>3.3977034127879011</v>
      </c>
      <c r="GA1634" s="8">
        <v>8.2836087449004872</v>
      </c>
      <c r="GB1634" s="8">
        <v>2.261824863746992</v>
      </c>
      <c r="GC1634" s="8">
        <v>0.74290092022791654</v>
      </c>
      <c r="GD1634" s="8">
        <v>1.0162287966193373</v>
      </c>
      <c r="GE1634" s="8">
        <v>1.2967139236228669</v>
      </c>
      <c r="GF1634" s="8">
        <v>1.4012924824029027</v>
      </c>
      <c r="GG1634" s="8">
        <v>1.3641019447390237</v>
      </c>
      <c r="GH1634" s="8">
        <v>0.23579423514790807</v>
      </c>
      <c r="GI1634" s="8">
        <v>3.4406636380740561</v>
      </c>
    </row>
    <row r="1635" spans="182:191">
      <c r="FZ1635" s="8">
        <v>2.1916143359223637</v>
      </c>
      <c r="GA1635" s="8">
        <v>1.9486422294444932</v>
      </c>
      <c r="GB1635" s="8">
        <v>0.20819192788085333</v>
      </c>
      <c r="GC1635" s="8">
        <v>0.24450454537195243</v>
      </c>
      <c r="GD1635" s="8">
        <v>0.8164269123161072</v>
      </c>
      <c r="GE1635" s="8">
        <v>2.7080223758367286</v>
      </c>
      <c r="GF1635" s="8">
        <v>3.3449231907568624</v>
      </c>
      <c r="GG1635" s="8">
        <v>1.3155677205908503</v>
      </c>
      <c r="GH1635" s="8">
        <v>0.3456493005258417</v>
      </c>
      <c r="GI1635" s="8">
        <v>2.9257420474696598</v>
      </c>
    </row>
    <row r="1636" spans="182:191">
      <c r="FZ1636" s="8">
        <v>6.6588791421532321</v>
      </c>
      <c r="GA1636" s="8">
        <v>10.579696654187938</v>
      </c>
      <c r="GB1636" s="8">
        <v>2.019943154759015</v>
      </c>
      <c r="GC1636" s="8">
        <v>0.36049827082917113</v>
      </c>
      <c r="GD1636" s="8">
        <v>0.862307262860037</v>
      </c>
      <c r="GE1636" s="8">
        <v>1.5529748819839646</v>
      </c>
      <c r="GF1636" s="8">
        <v>2.0536475425639891</v>
      </c>
      <c r="GG1636" s="8">
        <v>1.5628049455265007</v>
      </c>
      <c r="GH1636" s="8">
        <v>0.17282465026292085</v>
      </c>
      <c r="GI1636" s="8">
        <v>4.3699074186361102</v>
      </c>
    </row>
    <row r="1637" spans="182:191">
      <c r="FZ1637" s="8">
        <v>0.48501114767149078</v>
      </c>
      <c r="GA1637" s="8">
        <v>16.327040832905304</v>
      </c>
      <c r="GB1637" s="8">
        <v>6.3783973700960264</v>
      </c>
      <c r="GC1637" s="8">
        <v>0.50629718827249082</v>
      </c>
      <c r="GD1637" s="8">
        <v>0.59493412589448125</v>
      </c>
      <c r="GE1637" s="8">
        <v>1.8697526162569016</v>
      </c>
      <c r="GF1637" s="8">
        <v>3.3449231907568624</v>
      </c>
      <c r="GG1637" s="8">
        <v>1.8463449900609596</v>
      </c>
      <c r="GH1637" s="8">
        <v>0.88020735570664521</v>
      </c>
      <c r="GI1637" s="8">
        <v>4.3287060338721384</v>
      </c>
    </row>
    <row r="1638" spans="182:191">
      <c r="FZ1638" s="8">
        <v>5.3494220098194845</v>
      </c>
      <c r="GA1638" s="8">
        <v>8.3886314611091013</v>
      </c>
      <c r="GB1638" s="8">
        <v>2.8216746640901231</v>
      </c>
      <c r="GC1638" s="8">
        <v>0.83751856453371443</v>
      </c>
      <c r="GD1638" s="8">
        <v>0.92981724862843684</v>
      </c>
      <c r="GE1638" s="8">
        <v>1.8921535145525483</v>
      </c>
      <c r="GF1638" s="8">
        <v>4.9798213853216735</v>
      </c>
      <c r="GG1638" s="8">
        <v>3.351069871691212</v>
      </c>
      <c r="GH1638" s="8">
        <v>0.64441312055873701</v>
      </c>
      <c r="GI1638" s="8">
        <v>4.0290256064604657</v>
      </c>
    </row>
    <row r="1639" spans="182:191">
      <c r="FZ1639" s="8">
        <v>10.350740931428932</v>
      </c>
      <c r="GA1639" s="8">
        <v>19.650925769732623</v>
      </c>
      <c r="GB1639" s="8">
        <v>8.2733325691097637</v>
      </c>
      <c r="GC1639" s="8">
        <v>1.7065819353380736</v>
      </c>
      <c r="GD1639" s="8">
        <v>1.6365126291579677</v>
      </c>
      <c r="GE1639" s="8">
        <v>1.3670913501066935</v>
      </c>
      <c r="GF1639" s="8">
        <v>3.6377280541633059</v>
      </c>
      <c r="GG1639" s="8">
        <v>2.9967426464300475</v>
      </c>
      <c r="GH1639" s="8">
        <v>0.40861888541082891</v>
      </c>
      <c r="GI1639" s="8">
        <v>6.4358256927447091</v>
      </c>
    </row>
    <row r="1640" spans="182:191">
      <c r="FZ1640" s="8">
        <v>7.6560784075556789</v>
      </c>
      <c r="GA1640" s="8">
        <v>24.995419246362783</v>
      </c>
      <c r="GB1640" s="8">
        <v>7.76737355966167</v>
      </c>
      <c r="GC1640" s="8">
        <v>0.47365721870763028</v>
      </c>
      <c r="GD1640" s="8">
        <v>0.50873306050072253</v>
      </c>
      <c r="GE1640" s="8">
        <v>1.7268954571876538</v>
      </c>
      <c r="GF1640" s="8">
        <v>6.3590496255276427</v>
      </c>
      <c r="GG1640" s="8">
        <v>4.6666375922820631</v>
      </c>
      <c r="GH1640" s="8">
        <v>0.81723777082165783</v>
      </c>
      <c r="GI1640" s="8">
        <v>5.2987885449101331</v>
      </c>
    </row>
    <row r="1641" spans="182:191">
      <c r="FZ1641" s="8">
        <v>2.6886798659783597</v>
      </c>
      <c r="GA1641" s="8">
        <v>4.7399666581448576</v>
      </c>
      <c r="GB1641" s="8">
        <v>1.5758442980486458</v>
      </c>
      <c r="GC1641" s="8">
        <v>1.4274027733500207</v>
      </c>
      <c r="GD1641" s="8">
        <v>1.3749154622233111</v>
      </c>
      <c r="GE1641" s="8">
        <v>1.4530923671273606</v>
      </c>
      <c r="GF1641" s="8">
        <v>3.237771342710742</v>
      </c>
      <c r="GG1641" s="8">
        <v>2.2555066839041871</v>
      </c>
      <c r="GH1641" s="8">
        <v>0.17282465026292085</v>
      </c>
      <c r="GI1641" s="8">
        <v>3.0459542258925714</v>
      </c>
    </row>
    <row r="1642" spans="182:191">
      <c r="FZ1642" s="8">
        <v>0.54272236659784878</v>
      </c>
      <c r="GA1642" s="8">
        <v>11.587074174760446</v>
      </c>
      <c r="GB1642" s="8">
        <v>5.203908009626959</v>
      </c>
      <c r="GC1642" s="8">
        <v>1.2198417138039757</v>
      </c>
      <c r="GD1642" s="8">
        <v>1.4051499471202096</v>
      </c>
      <c r="GE1642" s="8">
        <v>2.2316194529147446</v>
      </c>
      <c r="GF1642" s="8">
        <v>5.3238553669367512</v>
      </c>
      <c r="GG1642" s="8">
        <v>3.7480001609850739</v>
      </c>
      <c r="GH1642" s="8">
        <v>0.40861888541082891</v>
      </c>
      <c r="GI1642" s="8">
        <v>4.2921880545099427</v>
      </c>
    </row>
    <row r="1643" spans="182:191">
      <c r="FZ1643" s="8">
        <v>6.455971988585036</v>
      </c>
      <c r="GA1643" s="8">
        <v>25.365213542599729</v>
      </c>
      <c r="GB1643" s="8">
        <v>9.465272144256204</v>
      </c>
      <c r="GC1643" s="8">
        <v>0.54097180488859131</v>
      </c>
      <c r="GD1643" s="8">
        <v>1.0314887567108533</v>
      </c>
      <c r="GE1643" s="8">
        <v>2.446720362173282</v>
      </c>
      <c r="GF1643" s="8">
        <v>1.4283614504211455</v>
      </c>
      <c r="GG1643" s="8">
        <v>0.1769257564900365</v>
      </c>
      <c r="GH1643" s="8">
        <v>0.23579423514790807</v>
      </c>
      <c r="GI1643" s="8">
        <v>6.3523010907639073</v>
      </c>
    </row>
    <row r="1644" spans="182:191">
      <c r="FZ1644" s="8">
        <v>7.0978530772439861</v>
      </c>
      <c r="GA1644" s="8">
        <v>17.395994071691934</v>
      </c>
      <c r="GB1644" s="8">
        <v>4.4358662814029737</v>
      </c>
      <c r="GC1644" s="8">
        <v>0.58049692470424696</v>
      </c>
      <c r="GD1644" s="8">
        <v>0.72850234548650694</v>
      </c>
      <c r="GE1644" s="8">
        <v>1.3735656388116666</v>
      </c>
      <c r="GF1644" s="8">
        <v>4.6215974108494544</v>
      </c>
      <c r="GG1644" s="8">
        <v>3.7965343851332478</v>
      </c>
      <c r="GH1644" s="8">
        <v>0.81723777082165783</v>
      </c>
      <c r="GI1644" s="8">
        <v>5.5802633409511557</v>
      </c>
    </row>
    <row r="1645" spans="182:191">
      <c r="FZ1645" s="8">
        <v>7.4376682902736375</v>
      </c>
      <c r="GA1645" s="8">
        <v>7.2353922103932602</v>
      </c>
      <c r="GB1645" s="8">
        <v>1.5698788954482199</v>
      </c>
      <c r="GC1645" s="8">
        <v>0.92836098999661953</v>
      </c>
      <c r="GD1645" s="8">
        <v>1.1611454178202958</v>
      </c>
      <c r="GE1645" s="8">
        <v>2.461089507356772</v>
      </c>
      <c r="GF1645" s="8">
        <v>3.7249908138329388</v>
      </c>
      <c r="GG1645" s="8">
        <v>1.5628049455265007</v>
      </c>
      <c r="GH1645" s="8">
        <v>0.3456493005258417</v>
      </c>
      <c r="GI1645" s="8">
        <v>4.4281467116734134</v>
      </c>
    </row>
    <row r="1646" spans="182:191">
      <c r="FZ1646" s="8">
        <v>11.038278856629736</v>
      </c>
      <c r="GA1646" s="8">
        <v>5.7658345762580989</v>
      </c>
      <c r="GB1646" s="8">
        <v>0.32800997276490573</v>
      </c>
      <c r="GC1646" s="8">
        <v>0.91312622903962826</v>
      </c>
      <c r="GD1646" s="8">
        <v>0.82481740409910143</v>
      </c>
      <c r="GE1646" s="8">
        <v>1.7104963129949742</v>
      </c>
      <c r="GF1646" s="8">
        <v>6.0101080197927104</v>
      </c>
      <c r="GG1646" s="8">
        <v>3.9952373859207246</v>
      </c>
      <c r="GH1646" s="8">
        <v>0.40861888541082891</v>
      </c>
      <c r="GI1646" s="8">
        <v>4.1726096167279838</v>
      </c>
    </row>
    <row r="1647" spans="182:191">
      <c r="FZ1647" s="8">
        <v>2.7761645816938412</v>
      </c>
      <c r="GA1647" s="8">
        <v>12.729922833332054</v>
      </c>
      <c r="GB1647" s="8">
        <v>3.8985509487053145</v>
      </c>
      <c r="GC1647" s="8">
        <v>1.4473113052363531</v>
      </c>
      <c r="GD1647" s="8">
        <v>0.98753005390969073</v>
      </c>
      <c r="GE1647" s="8">
        <v>0.56578844507532322</v>
      </c>
      <c r="GF1647" s="8">
        <v>2.2728061642288644</v>
      </c>
      <c r="GG1647" s="8">
        <v>1.669419233570923</v>
      </c>
      <c r="GH1647" s="8">
        <v>0.64441312055873701</v>
      </c>
      <c r="GI1647" s="8">
        <v>2.9756886647821008</v>
      </c>
    </row>
    <row r="1648" spans="182:191">
      <c r="FZ1648" s="8">
        <v>6.9409831362565262</v>
      </c>
      <c r="GA1648" s="8">
        <v>1.3729964006441531</v>
      </c>
      <c r="GB1648" s="8">
        <v>0.23721479327285994</v>
      </c>
      <c r="GC1648" s="8">
        <v>0.56385423567309811</v>
      </c>
      <c r="GD1648" s="8">
        <v>0.88126110150928161</v>
      </c>
      <c r="GE1648" s="8">
        <v>1.531604922965875</v>
      </c>
      <c r="GF1648" s="8">
        <v>3.2981580197596925</v>
      </c>
      <c r="GG1648" s="8">
        <v>2.4324324403942232</v>
      </c>
      <c r="GH1648" s="8">
        <v>0.40861888541082891</v>
      </c>
      <c r="GI1648" s="8">
        <v>4.2476754231704765</v>
      </c>
    </row>
    <row r="1649" spans="182:191">
      <c r="FZ1649" s="8">
        <v>10.893082921987897</v>
      </c>
      <c r="GA1649" s="8">
        <v>18.842885892121064</v>
      </c>
      <c r="GB1649" s="8">
        <v>5.2428755402329941</v>
      </c>
      <c r="GC1649" s="8">
        <v>0.68049336962775386</v>
      </c>
      <c r="GD1649" s="8">
        <v>1.1790193822429558</v>
      </c>
      <c r="GE1649" s="8">
        <v>2.0292574591835288</v>
      </c>
      <c r="GF1649" s="8">
        <v>1.3190621567500951</v>
      </c>
      <c r="GG1649" s="8">
        <v>0.67140020636133779</v>
      </c>
      <c r="GH1649" s="8">
        <v>0.40861888541082891</v>
      </c>
      <c r="GI1649" s="8">
        <v>5.676093604598849</v>
      </c>
    </row>
    <row r="1650" spans="182:191">
      <c r="FZ1650" s="8">
        <v>9.4187800080554602</v>
      </c>
      <c r="GA1650" s="8">
        <v>14.878219903049544</v>
      </c>
      <c r="GB1650" s="8">
        <v>2.4472794498935242</v>
      </c>
      <c r="GC1650" s="8">
        <v>0.41254048510234187</v>
      </c>
      <c r="GD1650" s="8">
        <v>0.67542303165309514</v>
      </c>
      <c r="GE1650" s="8">
        <v>1.1999462259274691</v>
      </c>
      <c r="GF1650" s="8">
        <v>4.6079378077725011</v>
      </c>
      <c r="GG1650" s="8">
        <v>3.6899200970888253</v>
      </c>
      <c r="GH1650" s="8">
        <v>0</v>
      </c>
      <c r="GI1650" s="8">
        <v>4.8337342927622764</v>
      </c>
    </row>
    <row r="1651" spans="182:191">
      <c r="FZ1651" s="8">
        <v>6.1734876184428575</v>
      </c>
      <c r="GA1651" s="8">
        <v>7.138830976902252</v>
      </c>
      <c r="GB1651" s="8">
        <v>0.5303243366830197</v>
      </c>
      <c r="GC1651" s="8">
        <v>0.33761584004466422</v>
      </c>
      <c r="GD1651" s="8">
        <v>0.5738970057874978</v>
      </c>
      <c r="GE1651" s="8">
        <v>1.7050275247807529</v>
      </c>
      <c r="GF1651" s="8">
        <v>4.386840383841804</v>
      </c>
      <c r="GG1651" s="8">
        <v>2.8783726661173508</v>
      </c>
      <c r="GH1651" s="8">
        <v>0</v>
      </c>
      <c r="GI1651" s="8">
        <v>3.402108943711684</v>
      </c>
    </row>
    <row r="1652" spans="182:191">
      <c r="FZ1652" s="8">
        <v>0.54272236659784878</v>
      </c>
      <c r="GA1652" s="8">
        <v>8.263189237933128</v>
      </c>
      <c r="GB1652" s="8">
        <v>3.3763523728274691</v>
      </c>
      <c r="GC1652" s="8">
        <v>1.3865868365394909</v>
      </c>
      <c r="GD1652" s="8">
        <v>1.3561264318464803</v>
      </c>
      <c r="GE1652" s="8">
        <v>1.6105344804771042</v>
      </c>
      <c r="GF1652" s="8">
        <v>4.1443293947227415</v>
      </c>
      <c r="GG1652" s="8">
        <v>2.9269068902655246</v>
      </c>
      <c r="GH1652" s="8">
        <v>0.23579423514790807</v>
      </c>
      <c r="GI1652" s="8">
        <v>3.9399049208427988</v>
      </c>
    </row>
    <row r="1653" spans="182:191">
      <c r="FZ1653" s="8">
        <v>3.0582685757971344</v>
      </c>
      <c r="GA1653" s="8">
        <v>5.6938682658997468</v>
      </c>
      <c r="GB1653" s="8">
        <v>2.4123790205387783</v>
      </c>
      <c r="GC1653" s="8">
        <v>0.54032639639115421</v>
      </c>
      <c r="GD1653" s="8">
        <v>0.95235664339508808</v>
      </c>
      <c r="GE1653" s="8">
        <v>1.8503958894476238</v>
      </c>
      <c r="GF1653" s="8">
        <v>6.6192831185216354</v>
      </c>
      <c r="GG1653" s="8">
        <v>5.4391966388534367</v>
      </c>
      <c r="GH1653" s="8">
        <v>0.40861888541082891</v>
      </c>
      <c r="GI1653" s="8">
        <v>4.3185089162163397</v>
      </c>
    </row>
    <row r="1654" spans="182:191">
      <c r="FZ1654" s="8">
        <v>6.7580378642143346</v>
      </c>
      <c r="GA1654" s="8">
        <v>12.781469636723049</v>
      </c>
      <c r="GB1654" s="8">
        <v>2.6856170527763199</v>
      </c>
      <c r="GC1654" s="8">
        <v>0.36049827082917113</v>
      </c>
      <c r="GD1654" s="8">
        <v>0.45567859394120541</v>
      </c>
      <c r="GE1654" s="8">
        <v>0.78742140719543308</v>
      </c>
      <c r="GF1654" s="8">
        <v>3.0602225195097512</v>
      </c>
      <c r="GG1654" s="8">
        <v>2.5027439088398373</v>
      </c>
      <c r="GH1654" s="8">
        <v>0</v>
      </c>
      <c r="GI1654" s="8">
        <v>3.0974629182028526</v>
      </c>
    </row>
    <row r="1655" spans="182:191">
      <c r="FZ1655" s="8">
        <v>12.71732469878226</v>
      </c>
      <c r="GA1655" s="8">
        <v>18.32722986574079</v>
      </c>
      <c r="GB1655" s="8">
        <v>5.3050651915860154</v>
      </c>
      <c r="GC1655" s="8">
        <v>1.369083206372693</v>
      </c>
      <c r="GD1655" s="8">
        <v>1.2703517197805343</v>
      </c>
      <c r="GE1655" s="8">
        <v>1.7227022626335491</v>
      </c>
      <c r="GF1655" s="8">
        <v>4.9260234836433421</v>
      </c>
      <c r="GG1655" s="8">
        <v>3.0670541148756616</v>
      </c>
      <c r="GH1655" s="8">
        <v>0</v>
      </c>
      <c r="GI1655" s="8">
        <v>6.4868327288008407</v>
      </c>
    </row>
    <row r="1656" spans="182:191">
      <c r="FZ1656" s="8">
        <v>6.7954068255758022</v>
      </c>
      <c r="GA1656" s="8">
        <v>10.411169110338575</v>
      </c>
      <c r="GB1656" s="8">
        <v>3.392679777894906</v>
      </c>
      <c r="GC1656" s="8">
        <v>0.58892603553892742</v>
      </c>
      <c r="GD1656" s="8">
        <v>0.84801177086173374</v>
      </c>
      <c r="GE1656" s="8">
        <v>1.8230181407653472</v>
      </c>
      <c r="GF1656" s="8">
        <v>2.3314338842918207</v>
      </c>
      <c r="GG1656" s="8">
        <v>0.93993896331333671</v>
      </c>
      <c r="GH1656" s="8">
        <v>0.17282465026292085</v>
      </c>
      <c r="GI1656" s="8">
        <v>3.3346109036537213</v>
      </c>
    </row>
    <row r="1657" spans="182:191">
      <c r="FZ1657" s="8">
        <v>0.48501114767149078</v>
      </c>
      <c r="GA1657" s="8">
        <v>5.6938682658997468</v>
      </c>
      <c r="GB1657" s="8">
        <v>2.6368105148493823</v>
      </c>
      <c r="GC1657" s="8">
        <v>0.93816041795465865</v>
      </c>
      <c r="GD1657" s="8">
        <v>0.62154503109675874</v>
      </c>
      <c r="GE1657" s="8">
        <v>1.0061829503172277</v>
      </c>
      <c r="GF1657" s="8">
        <v>4.6078486051784688</v>
      </c>
      <c r="GG1657" s="8">
        <v>2.8198168899400109</v>
      </c>
      <c r="GH1657" s="8">
        <v>0</v>
      </c>
      <c r="GI1657" s="8">
        <v>2.3966284951664765</v>
      </c>
    </row>
    <row r="1658" spans="182:191">
      <c r="FZ1658" s="8">
        <v>8.2044030560095376</v>
      </c>
      <c r="GA1658" s="8">
        <v>3.4697466669706492</v>
      </c>
      <c r="GB1658" s="8">
        <v>0.36291040211965164</v>
      </c>
      <c r="GC1658" s="8">
        <v>0.53318810255134796</v>
      </c>
      <c r="GD1658" s="8">
        <v>0.63958690081504921</v>
      </c>
      <c r="GE1658" s="8">
        <v>1.8535111118067293</v>
      </c>
      <c r="GF1658" s="8">
        <v>4.471117555666706</v>
      </c>
      <c r="GG1658" s="8">
        <v>2.8565954218199106</v>
      </c>
      <c r="GH1658" s="8">
        <v>0.64441312055873701</v>
      </c>
      <c r="GI1658" s="8">
        <v>3.4379235331207489</v>
      </c>
    </row>
    <row r="1659" spans="182:191">
      <c r="FZ1659" s="8">
        <v>6.5710140503988672</v>
      </c>
      <c r="GA1659" s="8">
        <v>4.4440677816928957</v>
      </c>
      <c r="GB1659" s="8">
        <v>0.35927845737678443</v>
      </c>
      <c r="GC1659" s="8">
        <v>0.61550418503784288</v>
      </c>
      <c r="GD1659" s="8">
        <v>0.76824361601301505</v>
      </c>
      <c r="GE1659" s="8">
        <v>1.5133330143086143</v>
      </c>
      <c r="GF1659" s="8">
        <v>4.8078487191235686</v>
      </c>
      <c r="GG1659" s="8">
        <v>3.5710744044950373</v>
      </c>
      <c r="GH1659" s="8">
        <v>0.17282465026292085</v>
      </c>
      <c r="GI1659" s="8">
        <v>3.2479197866979437</v>
      </c>
    </row>
    <row r="1660" spans="182:191">
      <c r="FZ1660" s="8">
        <v>7.9226794379451286</v>
      </c>
      <c r="GA1660" s="8">
        <v>7.2353922103932602</v>
      </c>
      <c r="GB1660" s="8">
        <v>1.517528251416101</v>
      </c>
      <c r="GC1660" s="8">
        <v>0.33478106246590467</v>
      </c>
      <c r="GD1660" s="8">
        <v>0.54188940809370978</v>
      </c>
      <c r="GE1660" s="8">
        <v>1.4553984948671352</v>
      </c>
      <c r="GF1660" s="8">
        <v>1.6280637184131037</v>
      </c>
      <c r="GG1660" s="8">
        <v>0.49447444987130124</v>
      </c>
      <c r="GH1660" s="8">
        <v>0.3456493005258417</v>
      </c>
      <c r="GI1660" s="8">
        <v>2.8641873562056857</v>
      </c>
    </row>
    <row r="1661" spans="182:191">
      <c r="FZ1661" s="8">
        <v>7.5828642249154772</v>
      </c>
      <c r="GA1661" s="8">
        <v>7.1614967906082807</v>
      </c>
      <c r="GB1661" s="8">
        <v>0.96518400053631337</v>
      </c>
      <c r="GC1661" s="8">
        <v>0.8485293093581433</v>
      </c>
      <c r="GD1661" s="8">
        <v>1.4113274232050266</v>
      </c>
      <c r="GE1661" s="8">
        <v>2.2413077561965773</v>
      </c>
      <c r="GF1661" s="8">
        <v>4.0992339781175335</v>
      </c>
      <c r="GG1661" s="8">
        <v>3.7262229166876337</v>
      </c>
      <c r="GH1661" s="8">
        <v>1.0530320059695661</v>
      </c>
      <c r="GI1661" s="8">
        <v>5.6950025085209841</v>
      </c>
    </row>
    <row r="1662" spans="182:191">
      <c r="FZ1662" s="8">
        <v>6.0743288963817541</v>
      </c>
      <c r="GA1662" s="8">
        <v>28.068419736838155</v>
      </c>
      <c r="GB1662" s="8">
        <v>10.567104193012112</v>
      </c>
      <c r="GC1662" s="8">
        <v>0.59670973787617076</v>
      </c>
      <c r="GD1662" s="8">
        <v>1.0406360465335922</v>
      </c>
      <c r="GE1662" s="8">
        <v>2.5416217361632176</v>
      </c>
      <c r="GF1662" s="8">
        <v>4.6400530963886064</v>
      </c>
      <c r="GG1662" s="8">
        <v>2.9269068902655246</v>
      </c>
      <c r="GH1662" s="8">
        <v>0.40861888541082891</v>
      </c>
      <c r="GI1662" s="8">
        <v>6.8440974552239311</v>
      </c>
    </row>
    <row r="1663" spans="182:191">
      <c r="FZ1663" s="8">
        <v>5.6315260039227786</v>
      </c>
      <c r="GA1663" s="8">
        <v>14.355732789754782</v>
      </c>
      <c r="GB1663" s="8">
        <v>5.855075984608245</v>
      </c>
      <c r="GC1663" s="8">
        <v>0.76040455039471444</v>
      </c>
      <c r="GD1663" s="8">
        <v>0.90328548527847086</v>
      </c>
      <c r="GE1663" s="8">
        <v>1.5503580382115694</v>
      </c>
      <c r="GF1663" s="8">
        <v>5.2469925549277203</v>
      </c>
      <c r="GG1663" s="8">
        <v>3.818311629430688</v>
      </c>
      <c r="GH1663" s="8">
        <v>0.3456493005258417</v>
      </c>
      <c r="GI1663" s="8">
        <v>4.98325415077593</v>
      </c>
    </row>
    <row r="1664" spans="182:191">
      <c r="FZ1664" s="8">
        <v>3.9283713970012437</v>
      </c>
      <c r="GA1664" s="8">
        <v>8.8161692530274394</v>
      </c>
      <c r="GB1664" s="8">
        <v>2.7367570485608166</v>
      </c>
      <c r="GC1664" s="8">
        <v>0.41124966810746766</v>
      </c>
      <c r="GD1664" s="8">
        <v>0.79249433926167945</v>
      </c>
      <c r="GE1664" s="8">
        <v>2.2587422211732031</v>
      </c>
      <c r="GF1664" s="8">
        <v>1.9923346816169505</v>
      </c>
      <c r="GG1664" s="8">
        <v>0.24723722493565062</v>
      </c>
      <c r="GH1664" s="8">
        <v>0.17282465026292085</v>
      </c>
      <c r="GI1664" s="8">
        <v>2.6143932062432431</v>
      </c>
    </row>
    <row r="1665" spans="182:191">
      <c r="FZ1665" s="8">
        <v>1.7944682800052389</v>
      </c>
      <c r="GA1665" s="8">
        <v>6.8675270235829462</v>
      </c>
      <c r="GB1665" s="8">
        <v>2.7054885639489381</v>
      </c>
      <c r="GC1665" s="8">
        <v>0.25078189807610951</v>
      </c>
      <c r="GD1665" s="8">
        <v>0.48471668609601604</v>
      </c>
      <c r="GE1665" s="8">
        <v>1.3735656388116666</v>
      </c>
      <c r="GF1665" s="8">
        <v>2.5270091560797772</v>
      </c>
      <c r="GG1665" s="8">
        <v>1.6113391696746744</v>
      </c>
      <c r="GH1665" s="8">
        <v>0.58144353567374973</v>
      </c>
      <c r="GI1665" s="8">
        <v>2.9209190193249626</v>
      </c>
    </row>
    <row r="1666" spans="182:191">
      <c r="FZ1666" s="8">
        <v>7.62852106145733</v>
      </c>
      <c r="GA1666" s="8">
        <v>13.850105678197632</v>
      </c>
      <c r="GB1666" s="8">
        <v>2.2269244343922456</v>
      </c>
      <c r="GC1666" s="8">
        <v>0.66754639931101378</v>
      </c>
      <c r="GD1666" s="8">
        <v>0.37706251102710669</v>
      </c>
      <c r="GE1666" s="8">
        <v>1.1266000397640163</v>
      </c>
      <c r="GF1666" s="8">
        <v>5.1567011222644679</v>
      </c>
      <c r="GG1666" s="8">
        <v>3.7262229166876337</v>
      </c>
      <c r="GH1666" s="8">
        <v>0.88020735570664521</v>
      </c>
      <c r="GI1666" s="8">
        <v>4.0914042278865539</v>
      </c>
    </row>
    <row r="1667" spans="182:191">
      <c r="FZ1667" s="8">
        <v>4.910067698689847</v>
      </c>
      <c r="GA1667" s="8">
        <v>14.877902705737501</v>
      </c>
      <c r="GB1667" s="8">
        <v>3.8787672761703824</v>
      </c>
      <c r="GC1667" s="8">
        <v>0.28402966518760814</v>
      </c>
      <c r="GD1667" s="8">
        <v>0.58909040050230277</v>
      </c>
      <c r="GE1667" s="8">
        <v>1.5860492990999089</v>
      </c>
      <c r="GF1667" s="8">
        <v>4.449845338244427</v>
      </c>
      <c r="GG1667" s="8">
        <v>3.5492971601975971</v>
      </c>
      <c r="GH1667" s="8">
        <v>0.47158847029581613</v>
      </c>
      <c r="GI1667" s="8">
        <v>4.1223454375773567</v>
      </c>
    </row>
    <row r="1668" spans="182:191">
      <c r="FZ1668" s="8">
        <v>5.2913304148542419</v>
      </c>
      <c r="GA1668" s="8">
        <v>13.63034852826932</v>
      </c>
      <c r="GB1668" s="8">
        <v>3.2776164873636571</v>
      </c>
      <c r="GC1668" s="8">
        <v>1.1402631767545104</v>
      </c>
      <c r="GD1668" s="8">
        <v>1.2359396113964607</v>
      </c>
      <c r="GE1668" s="8">
        <v>1.7850207521372325</v>
      </c>
      <c r="GF1668" s="8">
        <v>5.2099805843965799</v>
      </c>
      <c r="GG1668" s="8">
        <v>3.8668458535788619</v>
      </c>
      <c r="GH1668" s="8">
        <v>0.23579423514790807</v>
      </c>
      <c r="GI1668" s="8">
        <v>4.1393621085387675</v>
      </c>
    </row>
    <row r="1669" spans="182:191">
      <c r="FZ1669" s="8">
        <v>9.2321365702788754</v>
      </c>
      <c r="GA1669" s="8">
        <v>14.102919233976206</v>
      </c>
      <c r="GB1669" s="8">
        <v>3.9973746728068127</v>
      </c>
      <c r="GC1669" s="8">
        <v>0.53598526917930833</v>
      </c>
      <c r="GD1669" s="8">
        <v>1.5212740248662697</v>
      </c>
      <c r="GE1669" s="8">
        <v>3.6642827514011493</v>
      </c>
      <c r="GF1669" s="8">
        <v>3.8417936699138924</v>
      </c>
      <c r="GG1669" s="8">
        <v>2.1638936834422244</v>
      </c>
      <c r="GH1669" s="8">
        <v>0.47158847029581613</v>
      </c>
      <c r="GI1669" s="8">
        <v>6.2608394838524983</v>
      </c>
    </row>
    <row r="1670" spans="182:191">
      <c r="FZ1670" s="8">
        <v>9.2735840734136197</v>
      </c>
      <c r="GA1670" s="8">
        <v>23.015966917806701</v>
      </c>
      <c r="GB1670" s="8">
        <v>6.3283801839214657</v>
      </c>
      <c r="GC1670" s="8">
        <v>0.34579180729033354</v>
      </c>
      <c r="GD1670" s="8">
        <v>0.5503347559057139</v>
      </c>
      <c r="GE1670" s="8">
        <v>1.5386268851072415</v>
      </c>
      <c r="GF1670" s="8">
        <v>3.4876966916456755</v>
      </c>
      <c r="GG1670" s="8">
        <v>2.4324324403942232</v>
      </c>
      <c r="GH1670" s="8">
        <v>0.23579423514790807</v>
      </c>
      <c r="GI1670" s="8">
        <v>5.060039321663889</v>
      </c>
    </row>
    <row r="1671" spans="182:191">
      <c r="FZ1671" s="8">
        <v>11.962263939391979</v>
      </c>
      <c r="GA1671" s="8">
        <v>18.119449223750767</v>
      </c>
      <c r="GB1671" s="8">
        <v>4.2694898954344191</v>
      </c>
      <c r="GC1671" s="8">
        <v>0.7383830607458568</v>
      </c>
      <c r="GD1671" s="8">
        <v>0.71317564150871182</v>
      </c>
      <c r="GE1671" s="8">
        <v>1.0703156297330947</v>
      </c>
      <c r="GF1671" s="8">
        <v>4.244346319656505</v>
      </c>
      <c r="GG1671" s="8">
        <v>3.1954456472175239</v>
      </c>
      <c r="GH1671" s="8">
        <v>0</v>
      </c>
      <c r="GI1671" s="8">
        <v>4.791338508935084</v>
      </c>
    </row>
    <row r="1672" spans="182:191">
      <c r="FZ1672" s="8">
        <v>9.5134798123044</v>
      </c>
      <c r="GA1672" s="8">
        <v>7.913814448663544</v>
      </c>
      <c r="GB1672" s="8">
        <v>0.37560586244422139</v>
      </c>
      <c r="GC1672" s="8">
        <v>0.31189863168139781</v>
      </c>
      <c r="GD1672" s="8">
        <v>1.166006321897024</v>
      </c>
      <c r="GE1672" s="8">
        <v>3.3342418384035057</v>
      </c>
      <c r="GF1672" s="8">
        <v>2.3013362432799593</v>
      </c>
      <c r="GG1672" s="8">
        <v>0.24723722493565062</v>
      </c>
      <c r="GH1672" s="8">
        <v>0</v>
      </c>
      <c r="GI1672" s="8">
        <v>4.1920224552458025</v>
      </c>
    </row>
    <row r="1673" spans="182:191">
      <c r="FZ1673" s="8">
        <v>9.1442714785245105</v>
      </c>
      <c r="GA1673" s="8">
        <v>7.0133887537262787</v>
      </c>
      <c r="GB1673" s="8">
        <v>1.0338620496358693</v>
      </c>
      <c r="GC1673" s="8">
        <v>1.3760854677027714</v>
      </c>
      <c r="GD1673" s="8">
        <v>1.0562089280097924</v>
      </c>
      <c r="GE1673" s="8">
        <v>0.75962500278561029</v>
      </c>
      <c r="GF1673" s="8">
        <v>3.8055513850937857</v>
      </c>
      <c r="GG1673" s="8">
        <v>2.749981133775488</v>
      </c>
      <c r="GH1673" s="8">
        <v>0.17282465026292085</v>
      </c>
      <c r="GI1673" s="8">
        <v>3.9166660864389855</v>
      </c>
    </row>
    <row r="1674" spans="182:191">
      <c r="FZ1674" s="8">
        <v>3.5131258506406171</v>
      </c>
      <c r="GA1674" s="8">
        <v>11.607493681727803</v>
      </c>
      <c r="GB1674" s="8">
        <v>3.9311179202025022</v>
      </c>
      <c r="GC1674" s="8">
        <v>0.90393459862822723</v>
      </c>
      <c r="GD1674" s="8">
        <v>0.85357581512748681</v>
      </c>
      <c r="GE1674" s="8">
        <v>1.0784654666354301</v>
      </c>
      <c r="GF1674" s="8">
        <v>3.2524212250918065</v>
      </c>
      <c r="GG1674" s="8">
        <v>2.6093581968842599</v>
      </c>
      <c r="GH1674" s="8">
        <v>0.99006242108457876</v>
      </c>
      <c r="GI1674" s="8">
        <v>3.9655405752658917</v>
      </c>
    </row>
    <row r="1675" spans="182:191">
      <c r="FZ1675" s="8">
        <v>2.5732574281256437</v>
      </c>
      <c r="GA1675" s="8">
        <v>5.8932059088606996</v>
      </c>
      <c r="GB1675" s="8">
        <v>2.9311307065071643</v>
      </c>
      <c r="GC1675" s="8">
        <v>0.74595123044488798</v>
      </c>
      <c r="GD1675" s="8">
        <v>1.2377685530557174</v>
      </c>
      <c r="GE1675" s="8">
        <v>2.6500874511973507</v>
      </c>
      <c r="GF1675" s="8">
        <v>4.7078317941898051</v>
      </c>
      <c r="GG1675" s="8">
        <v>3.4794614040330742</v>
      </c>
      <c r="GH1675" s="8">
        <v>0.64441312055873701</v>
      </c>
      <c r="GI1675" s="8">
        <v>4.6781544273316005</v>
      </c>
    </row>
    <row r="1676" spans="182:191">
      <c r="FZ1676" s="8">
        <v>6.2311988373692149</v>
      </c>
      <c r="GA1676" s="8">
        <v>11.480122349125203</v>
      </c>
      <c r="GB1676" s="8">
        <v>1.4326984745244808</v>
      </c>
      <c r="GC1676" s="8">
        <v>0.87133224001416587</v>
      </c>
      <c r="GD1676" s="8">
        <v>1.0510786368930511</v>
      </c>
      <c r="GE1676" s="8">
        <v>2.1243957905772368</v>
      </c>
      <c r="GF1676" s="8">
        <v>3.2072252090337616</v>
      </c>
      <c r="GG1676" s="8">
        <v>1.1871761882489873</v>
      </c>
      <c r="GH1676" s="8">
        <v>0</v>
      </c>
      <c r="GI1676" s="8">
        <v>4.2716359384870461</v>
      </c>
    </row>
    <row r="1677" spans="182:191">
      <c r="FZ1677" s="8">
        <v>3.2611757293653318</v>
      </c>
      <c r="GA1677" s="8">
        <v>18.623128742192751</v>
      </c>
      <c r="GB1677" s="8">
        <v>6.3272573743115297</v>
      </c>
      <c r="GC1677" s="8">
        <v>0.63727253109768955</v>
      </c>
      <c r="GD1677" s="8">
        <v>1.3142059472624341</v>
      </c>
      <c r="GE1677" s="8">
        <v>2.3121512765232914</v>
      </c>
      <c r="GF1677" s="8">
        <v>2.9521444875655432</v>
      </c>
      <c r="GG1677" s="8">
        <v>2.3040409080523605</v>
      </c>
      <c r="GH1677" s="8">
        <v>0.23579423514790807</v>
      </c>
      <c r="GI1677" s="8">
        <v>5.2170571631396614</v>
      </c>
    </row>
    <row r="1678" spans="182:191">
      <c r="FZ1678" s="8">
        <v>4.4831481459835985</v>
      </c>
      <c r="GA1678" s="8">
        <v>5.7142877728671042</v>
      </c>
      <c r="GB1678" s="8">
        <v>1.2954302149630554</v>
      </c>
      <c r="GC1678" s="8">
        <v>0.26738697615645923</v>
      </c>
      <c r="GD1678" s="8">
        <v>0.38676670845969247</v>
      </c>
      <c r="GE1678" s="8">
        <v>1.3644745063342982</v>
      </c>
      <c r="GF1678" s="8">
        <v>1.4401948009190826</v>
      </c>
      <c r="GG1678" s="8">
        <v>0</v>
      </c>
      <c r="GH1678" s="8">
        <v>0</v>
      </c>
      <c r="GI1678" s="8">
        <v>2.4809765812750024</v>
      </c>
    </row>
    <row r="1679" spans="182:191">
      <c r="FZ1679" s="8">
        <v>3.8827145604593918</v>
      </c>
      <c r="GA1679" s="8">
        <v>9.4368479956163291</v>
      </c>
      <c r="GB1679" s="8">
        <v>3.3764402114651557</v>
      </c>
      <c r="GC1679" s="8">
        <v>0.25228824770919578</v>
      </c>
      <c r="GD1679" s="8">
        <v>0.65550581957237886</v>
      </c>
      <c r="GE1679" s="8">
        <v>1.8984158794426547</v>
      </c>
      <c r="GF1679" s="8">
        <v>1.5569976570000366</v>
      </c>
      <c r="GG1679" s="8">
        <v>0.42416298142568709</v>
      </c>
      <c r="GH1679" s="8">
        <v>0.40861888541082891</v>
      </c>
      <c r="GI1679" s="8">
        <v>3.1573570374063724</v>
      </c>
    </row>
    <row r="1680" spans="182:191">
      <c r="FZ1680" s="8">
        <v>4.0554678411995813</v>
      </c>
      <c r="GA1680" s="8">
        <v>15.831804313492388</v>
      </c>
      <c r="GB1680" s="8">
        <v>5.1527680138424623</v>
      </c>
      <c r="GC1680" s="8">
        <v>0.32355478500326379</v>
      </c>
      <c r="GD1680" s="8">
        <v>0.40385746509396275</v>
      </c>
      <c r="GE1680" s="8">
        <v>1.5492943683663192</v>
      </c>
      <c r="GF1680" s="8">
        <v>4.2774518875767207</v>
      </c>
      <c r="GG1680" s="8">
        <v>2.6796696653298739</v>
      </c>
      <c r="GH1680" s="8">
        <v>0.40861888541082891</v>
      </c>
      <c r="GI1680" s="8">
        <v>4.0191920186625785</v>
      </c>
    </row>
    <row r="1681" spans="182:191">
      <c r="FZ1681" s="8">
        <v>11.747682779478165</v>
      </c>
      <c r="GA1681" s="8">
        <v>13.903581591015254</v>
      </c>
      <c r="GB1681" s="8">
        <v>3.8438668468156365</v>
      </c>
      <c r="GC1681" s="8">
        <v>0.87068683151672865</v>
      </c>
      <c r="GD1681" s="8">
        <v>1.489960977555739</v>
      </c>
      <c r="GE1681" s="8">
        <v>2.8027061956484762</v>
      </c>
      <c r="GF1681" s="8">
        <v>7.364611984105669</v>
      </c>
      <c r="GG1681" s="8">
        <v>5.6864338637890874</v>
      </c>
      <c r="GH1681" s="8">
        <v>0.40861888541082891</v>
      </c>
      <c r="GI1681" s="8">
        <v>7.1902176257650634</v>
      </c>
    </row>
    <row r="1682" spans="182:191">
      <c r="FZ1682" s="8">
        <v>8.3499793666902615</v>
      </c>
      <c r="GA1682" s="8">
        <v>21.947013679020074</v>
      </c>
      <c r="GB1682" s="8">
        <v>8.187292143970522</v>
      </c>
      <c r="GC1682" s="8">
        <v>0.79623395149596154</v>
      </c>
      <c r="GD1682" s="8">
        <v>0.50393461330248845</v>
      </c>
      <c r="GE1682" s="8">
        <v>0.61793742470874036</v>
      </c>
      <c r="GF1682" s="8">
        <v>5.9903027648783596</v>
      </c>
      <c r="GG1682" s="8">
        <v>4.9351763492340606</v>
      </c>
      <c r="GH1682" s="8">
        <v>0.75426818593667067</v>
      </c>
      <c r="GI1682" s="8">
        <v>5.8856574361432097</v>
      </c>
    </row>
    <row r="1683" spans="182:191">
      <c r="FZ1683" s="8">
        <v>7.9800102808326017</v>
      </c>
      <c r="GA1683" s="8">
        <v>21.694200123241497</v>
      </c>
      <c r="GB1683" s="8">
        <v>6.1713282518251091</v>
      </c>
      <c r="GC1683" s="8">
        <v>0.15035557729337756</v>
      </c>
      <c r="GD1683" s="8">
        <v>0.71737758691962594</v>
      </c>
      <c r="GE1683" s="8">
        <v>2.1617957354285315</v>
      </c>
      <c r="GF1683" s="8">
        <v>2.9174490186209381</v>
      </c>
      <c r="GG1683" s="8">
        <v>1.7397307020165371</v>
      </c>
      <c r="GH1683" s="8">
        <v>0.40861888541082891</v>
      </c>
      <c r="GI1683" s="8">
        <v>6.0333802047580622</v>
      </c>
    </row>
    <row r="1684" spans="182:191">
      <c r="FZ1684" s="8">
        <v>11.659817687723798</v>
      </c>
      <c r="GA1684" s="8">
        <v>12.906594662586977</v>
      </c>
      <c r="GB1684" s="8">
        <v>3.7742510429395537</v>
      </c>
      <c r="GC1684" s="8">
        <v>0.46268408483400053</v>
      </c>
      <c r="GD1684" s="8">
        <v>0.53556029211059364</v>
      </c>
      <c r="GE1684" s="8">
        <v>1.757584834100457</v>
      </c>
      <c r="GF1684" s="8">
        <v>6.6709673104974625</v>
      </c>
      <c r="GG1684" s="8">
        <v>5.5943451510460331</v>
      </c>
      <c r="GH1684" s="8">
        <v>1.288826241117474</v>
      </c>
      <c r="GI1684" s="8">
        <v>5.6862134452841113</v>
      </c>
    </row>
    <row r="1685" spans="182:191">
      <c r="FZ1685" s="8">
        <v>3.6587021613213411</v>
      </c>
      <c r="GA1685" s="8">
        <v>4.7399666581448576</v>
      </c>
      <c r="GB1685" s="8">
        <v>1.3977102065320486</v>
      </c>
      <c r="GC1685" s="8">
        <v>0.50217159369885711</v>
      </c>
      <c r="GD1685" s="8">
        <v>0.83322152786233827</v>
      </c>
      <c r="GE1685" s="8">
        <v>1.7401650766714789</v>
      </c>
      <c r="GF1685" s="8">
        <v>6.4073823584855765</v>
      </c>
      <c r="GG1685" s="8">
        <v>5.1338793500215374</v>
      </c>
      <c r="GH1685" s="8">
        <v>0</v>
      </c>
      <c r="GI1685" s="8">
        <v>4.3334111588302848</v>
      </c>
    </row>
    <row r="1686" spans="182:191">
      <c r="FZ1686" s="8">
        <v>6.1734876184428575</v>
      </c>
      <c r="GA1686" s="8">
        <v>14.804007285952522</v>
      </c>
      <c r="GB1686" s="8">
        <v>3.1182310974097422</v>
      </c>
      <c r="GC1686" s="8">
        <v>0.7540476975620729</v>
      </c>
      <c r="GD1686" s="8">
        <v>0.79425801942797269</v>
      </c>
      <c r="GE1686" s="8">
        <v>1.864987284487239</v>
      </c>
      <c r="GF1686" s="8">
        <v>4.2462366676415435</v>
      </c>
      <c r="GG1686" s="8">
        <v>2.0568036831167102</v>
      </c>
      <c r="GH1686" s="8">
        <v>0.23579423514790807</v>
      </c>
      <c r="GI1686" s="8">
        <v>4.5724768459449159</v>
      </c>
    </row>
    <row r="1687" spans="182:191">
      <c r="FZ1687" s="8">
        <v>8.5442182690391899</v>
      </c>
      <c r="GA1687" s="8">
        <v>11.806831324688758</v>
      </c>
      <c r="GB1687" s="8">
        <v>4.0846257461936775</v>
      </c>
      <c r="GC1687" s="8">
        <v>0.71180491124694123</v>
      </c>
      <c r="GD1687" s="8">
        <v>0.93163977149357302</v>
      </c>
      <c r="GE1687" s="8">
        <v>1.7245746219002316</v>
      </c>
      <c r="GF1687" s="8">
        <v>2.414333296202825</v>
      </c>
      <c r="GG1687" s="8">
        <v>1.3641019447390237</v>
      </c>
      <c r="GH1687" s="8">
        <v>0.23579423514790807</v>
      </c>
      <c r="GI1687" s="8">
        <v>4.5044361220745319</v>
      </c>
    </row>
    <row r="1688" spans="182:191">
      <c r="FZ1688" s="8">
        <v>1.3671683512601061</v>
      </c>
      <c r="GA1688" s="8">
        <v>3.7429797297165819</v>
      </c>
      <c r="GB1688" s="8">
        <v>0.94540032800138196</v>
      </c>
      <c r="GC1688" s="8">
        <v>0.72023402208162157</v>
      </c>
      <c r="GD1688" s="8">
        <v>0.74404453020627681</v>
      </c>
      <c r="GE1688" s="8">
        <v>1.6249617950150932</v>
      </c>
      <c r="GF1688" s="8">
        <v>4.0376009321537296</v>
      </c>
      <c r="GG1688" s="8">
        <v>2.3040409080523605</v>
      </c>
      <c r="GH1688" s="8">
        <v>0.75426818593667067</v>
      </c>
      <c r="GI1688" s="8">
        <v>3.1367036973633846</v>
      </c>
    </row>
    <row r="1689" spans="182:191">
      <c r="FZ1689" s="8">
        <v>3.0578881997582497</v>
      </c>
      <c r="GA1689" s="8">
        <v>17.227466527842569</v>
      </c>
      <c r="GB1689" s="8">
        <v>5.5655105473032656</v>
      </c>
      <c r="GC1689" s="8">
        <v>0.24016341816010661</v>
      </c>
      <c r="GD1689" s="8">
        <v>0.16877658257473668</v>
      </c>
      <c r="GE1689" s="8">
        <v>1.409494262301678</v>
      </c>
      <c r="GF1689" s="8">
        <v>3.7927918506977596</v>
      </c>
      <c r="GG1689" s="8">
        <v>1.4344134131846378</v>
      </c>
      <c r="GH1689" s="8">
        <v>0.3456493005258417</v>
      </c>
      <c r="GI1689" s="8">
        <v>4.3671266539601241</v>
      </c>
    </row>
    <row r="1690" spans="182:191">
      <c r="FZ1690" s="8">
        <v>2.1916143359223637</v>
      </c>
      <c r="GA1690" s="8">
        <v>4.717300844438828</v>
      </c>
      <c r="GB1690" s="8">
        <v>0.98030075735612798</v>
      </c>
      <c r="GC1690" s="8">
        <v>1.1602313298317735</v>
      </c>
      <c r="GD1690" s="8">
        <v>0.96623712685230267</v>
      </c>
      <c r="GE1690" s="8">
        <v>0.39011788487516952</v>
      </c>
      <c r="GF1690" s="8">
        <v>3.4144424362944283</v>
      </c>
      <c r="GG1690" s="8">
        <v>3.0670541148756616</v>
      </c>
      <c r="GH1690" s="8">
        <v>0.17282465026292085</v>
      </c>
      <c r="GI1690" s="8">
        <v>2.9038048035171102</v>
      </c>
    </row>
    <row r="1691" spans="182:191">
      <c r="FZ1691" s="8">
        <v>8.747125422607386</v>
      </c>
      <c r="GA1691" s="8">
        <v>11.533598261942824</v>
      </c>
      <c r="GB1691" s="8">
        <v>3.2903119476882265</v>
      </c>
      <c r="GC1691" s="8">
        <v>0.26071735854387623</v>
      </c>
      <c r="GD1691" s="8">
        <v>0.34526042030434423</v>
      </c>
      <c r="GE1691" s="8">
        <v>1.3451823896386381</v>
      </c>
      <c r="GF1691" s="8">
        <v>4.1277417181050051</v>
      </c>
      <c r="GG1691" s="8">
        <v>2.6311354411817005</v>
      </c>
      <c r="GH1691" s="8">
        <v>0</v>
      </c>
      <c r="GI1691" s="8">
        <v>3.7238104111590902</v>
      </c>
    </row>
    <row r="1692" spans="182:191">
      <c r="FZ1692" s="8">
        <v>2.5732574281256437</v>
      </c>
      <c r="GA1692" s="8">
        <v>10.433834924044604</v>
      </c>
      <c r="GB1692" s="8">
        <v>3.8474109529208178</v>
      </c>
      <c r="GC1692" s="8">
        <v>0.70900774461898075</v>
      </c>
      <c r="GD1692" s="8">
        <v>1.1364220279342729</v>
      </c>
      <c r="GE1692" s="8">
        <v>2.4602804127374407</v>
      </c>
      <c r="GF1692" s="8">
        <v>4.6354552684558623</v>
      </c>
      <c r="GG1692" s="8">
        <v>2.8783726661173508</v>
      </c>
      <c r="GH1692" s="8">
        <v>0</v>
      </c>
      <c r="GI1692" s="8">
        <v>4.6966405104130313</v>
      </c>
    </row>
    <row r="1693" spans="182:191">
      <c r="FZ1693" s="8">
        <v>8.4947949252932151</v>
      </c>
      <c r="GA1693" s="8">
        <v>15.171872472762837</v>
      </c>
      <c r="GB1693" s="8">
        <v>2.1234337945756301</v>
      </c>
      <c r="GC1693" s="8">
        <v>0.50080127657549844</v>
      </c>
      <c r="GD1693" s="8">
        <v>0.95055468872526605</v>
      </c>
      <c r="GE1693" s="8">
        <v>2.1172097479342442</v>
      </c>
      <c r="GF1693" s="8">
        <v>4.5679977637005775</v>
      </c>
      <c r="GG1693" s="8">
        <v>3.3723714037075605</v>
      </c>
      <c r="GH1693" s="8">
        <v>0.23579423514790807</v>
      </c>
      <c r="GI1693" s="8">
        <v>4.5055915409080969</v>
      </c>
    </row>
    <row r="1694" spans="182:191">
      <c r="FZ1694" s="8">
        <v>6.7003266452879764</v>
      </c>
      <c r="GA1694" s="8">
        <v>15.35079060875643</v>
      </c>
      <c r="GB1694" s="8">
        <v>3.4438197736794027</v>
      </c>
      <c r="GC1694" s="8">
        <v>0.75631656677187975</v>
      </c>
      <c r="GD1694" s="8">
        <v>0.67151722733022035</v>
      </c>
      <c r="GE1694" s="8">
        <v>0.81277948290977886</v>
      </c>
      <c r="GF1694" s="8">
        <v>3.406236051703901</v>
      </c>
      <c r="GG1694" s="8">
        <v>2.8080611976717367</v>
      </c>
      <c r="GH1694" s="8">
        <v>0.40861888541082891</v>
      </c>
      <c r="GI1694" s="8">
        <v>3.5415150077287625</v>
      </c>
    </row>
    <row r="1695" spans="182:191">
      <c r="FZ1695" s="8">
        <v>7.5828642249154772</v>
      </c>
      <c r="GA1695" s="8">
        <v>16.179249993335343</v>
      </c>
      <c r="GB1695" s="8">
        <v>5.1491360690995958</v>
      </c>
      <c r="GC1695" s="8">
        <v>0.32032774251607832</v>
      </c>
      <c r="GD1695" s="8">
        <v>0.83451332785406906</v>
      </c>
      <c r="GE1695" s="8">
        <v>2.6226459027972542</v>
      </c>
      <c r="GF1695" s="8">
        <v>6.8643351326343076</v>
      </c>
      <c r="GG1695" s="8">
        <v>5.1606363298722719</v>
      </c>
      <c r="GH1695" s="8">
        <v>0.70738270544372439</v>
      </c>
      <c r="GI1695" s="8">
        <v>6.7929329684113968</v>
      </c>
    </row>
    <row r="1696" spans="182:191">
      <c r="FZ1696" s="8">
        <v>3.2611757293653318</v>
      </c>
      <c r="GA1696" s="8">
        <v>2.2960879092874493</v>
      </c>
      <c r="GB1696" s="8">
        <v>0</v>
      </c>
      <c r="GC1696" s="8">
        <v>0.54850236363682348</v>
      </c>
      <c r="GD1696" s="8">
        <v>0.64116092543503411</v>
      </c>
      <c r="GE1696" s="8">
        <v>1.3897683771329254</v>
      </c>
      <c r="GF1696" s="8">
        <v>6.3266131438656235</v>
      </c>
      <c r="GG1696" s="8">
        <v>4.9138748172177129</v>
      </c>
      <c r="GH1696" s="8">
        <v>0.47158847029581613</v>
      </c>
      <c r="GI1696" s="8">
        <v>3.385077384438901</v>
      </c>
    </row>
    <row r="1697" spans="182:191">
      <c r="FZ1697" s="8">
        <v>9.3890065112663361</v>
      </c>
      <c r="GA1697" s="8">
        <v>12.582131993762097</v>
      </c>
      <c r="GB1697" s="8">
        <v>2.5868811673125078</v>
      </c>
      <c r="GC1697" s="8">
        <v>0.38940491072882399</v>
      </c>
      <c r="GD1697" s="8">
        <v>0.47960034755906494</v>
      </c>
      <c r="GE1697" s="8">
        <v>1.1752004337631343</v>
      </c>
      <c r="GF1697" s="8">
        <v>3.4016605628347802</v>
      </c>
      <c r="GG1697" s="8">
        <v>2.6093581968842599</v>
      </c>
      <c r="GH1697" s="8">
        <v>0.64441312055873701</v>
      </c>
      <c r="GI1697" s="8">
        <v>3.6396313633567892</v>
      </c>
    </row>
    <row r="1698" spans="182:191">
      <c r="FZ1698" s="8">
        <v>1.4248795701864641</v>
      </c>
      <c r="GA1698" s="8">
        <v>6.8675270235829462</v>
      </c>
      <c r="GB1698" s="8">
        <v>2.8101898520131758</v>
      </c>
      <c r="GC1698" s="8">
        <v>0.31318944867627208</v>
      </c>
      <c r="GD1698" s="8">
        <v>0.26842483395362082</v>
      </c>
      <c r="GE1698" s="8">
        <v>1.0191975893772345</v>
      </c>
      <c r="GF1698" s="8">
        <v>3.7642617716466651</v>
      </c>
      <c r="GG1698" s="8">
        <v>2.8565954218199106</v>
      </c>
      <c r="GH1698" s="8">
        <v>0.81723777082165783</v>
      </c>
      <c r="GI1698" s="8">
        <v>2.6496149112570211</v>
      </c>
    </row>
    <row r="1699" spans="182:191">
      <c r="FZ1699" s="8">
        <v>17.875513561379165</v>
      </c>
      <c r="GA1699" s="8">
        <v>21.819642346417471</v>
      </c>
      <c r="GB1699" s="8">
        <v>5.6004109766580115</v>
      </c>
      <c r="GC1699" s="8">
        <v>0.74290092022791643</v>
      </c>
      <c r="GD1699" s="8">
        <v>1.0673473106277109</v>
      </c>
      <c r="GE1699" s="8">
        <v>1.8841006131336249</v>
      </c>
      <c r="GF1699" s="8">
        <v>3.9240239955667002</v>
      </c>
      <c r="GG1699" s="8">
        <v>2.5027439088398373</v>
      </c>
      <c r="GH1699" s="8">
        <v>0</v>
      </c>
      <c r="GI1699" s="8">
        <v>6.5648130530439195</v>
      </c>
    </row>
    <row r="1700" spans="182:191">
      <c r="FZ1700" s="8">
        <v>0.173133656779074</v>
      </c>
      <c r="GA1700" s="8">
        <v>19.650925769732623</v>
      </c>
      <c r="GB1700" s="8">
        <v>8.0476904265515383</v>
      </c>
      <c r="GC1700" s="8">
        <v>1.3725257814980905</v>
      </c>
      <c r="GD1700" s="8">
        <v>1.3130436948760644</v>
      </c>
      <c r="GE1700" s="8">
        <v>1.5297325636991927</v>
      </c>
      <c r="GF1700" s="8">
        <v>4.7078317941898051</v>
      </c>
      <c r="GG1700" s="8">
        <v>3.1256098910530015</v>
      </c>
      <c r="GH1700" s="8">
        <v>0.17282465026292085</v>
      </c>
      <c r="GI1700" s="8">
        <v>6.0915049587661541</v>
      </c>
    </row>
    <row r="1701" spans="182:191">
      <c r="FZ1701" s="8">
        <v>3.1155994186846074</v>
      </c>
      <c r="GA1701" s="8">
        <v>9.3629525758313488</v>
      </c>
      <c r="GB1701" s="8">
        <v>2.7007338095961346</v>
      </c>
      <c r="GC1701" s="8">
        <v>0.68458135325058855</v>
      </c>
      <c r="GD1701" s="8">
        <v>1.0492608950897493</v>
      </c>
      <c r="GE1701" s="8">
        <v>1.94427705539916</v>
      </c>
      <c r="GF1701" s="8">
        <v>3.9093741131856365</v>
      </c>
      <c r="GG1701" s="8">
        <v>2.5027439088398373</v>
      </c>
      <c r="GH1701" s="8">
        <v>0.51847395078876257</v>
      </c>
      <c r="GI1701" s="8">
        <v>4.0183709069434066</v>
      </c>
    </row>
    <row r="1702" spans="182:191">
      <c r="FZ1702" s="8">
        <v>7.1438902898247232</v>
      </c>
      <c r="GA1702" s="8">
        <v>11.732935904903778</v>
      </c>
      <c r="GB1702" s="8">
        <v>3.4624806366043983</v>
      </c>
      <c r="GC1702" s="8">
        <v>0.72023402208162157</v>
      </c>
      <c r="GD1702" s="8">
        <v>1.2284205293945822</v>
      </c>
      <c r="GE1702" s="8">
        <v>2.5765624769846238</v>
      </c>
      <c r="GF1702" s="8">
        <v>5.1833408533305239</v>
      </c>
      <c r="GG1702" s="8">
        <v>3.7965343851332478</v>
      </c>
      <c r="GH1702" s="8">
        <v>0.81723777082165783</v>
      </c>
      <c r="GI1702" s="8">
        <v>4.9791221971823481</v>
      </c>
    </row>
    <row r="1703" spans="182:191">
      <c r="FZ1703" s="8">
        <v>6.1738679944817427</v>
      </c>
      <c r="GA1703" s="8">
        <v>15.256158484692049</v>
      </c>
      <c r="GB1703" s="8">
        <v>5.4946840951795597</v>
      </c>
      <c r="GC1703" s="8">
        <v>0.42355122992677074</v>
      </c>
      <c r="GD1703" s="8">
        <v>0.79459177012061155</v>
      </c>
      <c r="GE1703" s="8">
        <v>1.8862426603717735</v>
      </c>
      <c r="GF1703" s="8">
        <v>4.1411926778228505</v>
      </c>
      <c r="GG1703" s="8">
        <v>2.9972183587111387</v>
      </c>
      <c r="GH1703" s="8">
        <v>0.17282465026292085</v>
      </c>
      <c r="GI1703" s="8">
        <v>4.6807389310818097</v>
      </c>
    </row>
    <row r="1704" spans="182:191">
      <c r="FZ1704" s="8">
        <v>5.3490416337806002</v>
      </c>
      <c r="GA1704" s="8">
        <v>16.199669500302704</v>
      </c>
      <c r="GB1704" s="8">
        <v>3.8787672761703824</v>
      </c>
      <c r="GC1704" s="8">
        <v>0.21125677826045386</v>
      </c>
      <c r="GD1704" s="8">
        <v>0.90770630059880775</v>
      </c>
      <c r="GE1704" s="8">
        <v>2.6052796190448371</v>
      </c>
      <c r="GF1704" s="8">
        <v>3.7702091689546058</v>
      </c>
      <c r="GG1704" s="8">
        <v>2.3040409080523605</v>
      </c>
      <c r="GH1704" s="8">
        <v>0.40861888541082891</v>
      </c>
      <c r="GI1704" s="8">
        <v>5.460995300672467</v>
      </c>
    </row>
    <row r="1705" spans="182:191">
      <c r="FZ1705" s="8">
        <v>0.173133656779074</v>
      </c>
      <c r="GA1705" s="8">
        <v>2.3699833290724288</v>
      </c>
      <c r="GB1705" s="8">
        <v>0.67449575362139846</v>
      </c>
      <c r="GC1705" s="8">
        <v>0.91774251008061658</v>
      </c>
      <c r="GD1705" s="8">
        <v>0.67031606145550338</v>
      </c>
      <c r="GE1705" s="8">
        <v>1.2215595831084507</v>
      </c>
      <c r="GF1705" s="8">
        <v>2.2153001144690636</v>
      </c>
      <c r="GG1705" s="8">
        <v>0.60108873791572359</v>
      </c>
      <c r="GH1705" s="8">
        <v>0.81723777082165783</v>
      </c>
      <c r="GI1705" s="8">
        <v>1.9348000651877792</v>
      </c>
    </row>
    <row r="1706" spans="182:191">
      <c r="FZ1706" s="8">
        <v>5.8344331574909756</v>
      </c>
      <c r="GA1706" s="8">
        <v>8.3886314611091013</v>
      </c>
      <c r="GB1706" s="8">
        <v>2.806645745907995</v>
      </c>
      <c r="GC1706" s="8">
        <v>0.3082029129669891</v>
      </c>
      <c r="GD1706" s="8">
        <v>0.56165596130320572</v>
      </c>
      <c r="GE1706" s="8">
        <v>1.8555949896903789</v>
      </c>
      <c r="GF1706" s="8">
        <v>5.6273803630205599</v>
      </c>
      <c r="GG1706" s="8">
        <v>3.818311629430688</v>
      </c>
      <c r="GH1706" s="8">
        <v>0</v>
      </c>
      <c r="GI1706" s="8">
        <v>4.4420319675857876</v>
      </c>
    </row>
    <row r="1707" spans="182:191">
      <c r="FZ1707" s="8">
        <v>9.174425351352518</v>
      </c>
      <c r="GA1707" s="8">
        <v>8.2097133251155068</v>
      </c>
      <c r="GB1707" s="8">
        <v>1.3977980451697349</v>
      </c>
      <c r="GC1707" s="8">
        <v>0.76505844238650178</v>
      </c>
      <c r="GD1707" s="8">
        <v>1.1093242889730532</v>
      </c>
      <c r="GE1707" s="8">
        <v>1.6205566766461221</v>
      </c>
      <c r="GF1707" s="8">
        <v>1.5658507887851372</v>
      </c>
      <c r="GG1707" s="8">
        <v>0.91863743129698849</v>
      </c>
      <c r="GH1707" s="8">
        <v>0.58144353567374973</v>
      </c>
      <c r="GI1707" s="8">
        <v>3.6923353280667603</v>
      </c>
    </row>
    <row r="1708" spans="182:191">
      <c r="FZ1708" s="8">
        <v>9.6594364990240109</v>
      </c>
      <c r="GA1708" s="8">
        <v>3.8684219528925556</v>
      </c>
      <c r="GB1708" s="8">
        <v>0.54777455136039277</v>
      </c>
      <c r="GC1708" s="8">
        <v>0.60195250598415206</v>
      </c>
      <c r="GD1708" s="8">
        <v>0.57939925780916957</v>
      </c>
      <c r="GE1708" s="8">
        <v>1.5777030563261529</v>
      </c>
      <c r="GF1708" s="8">
        <v>5.0612596861998256</v>
      </c>
      <c r="GG1708" s="8">
        <v>3.1256098910530015</v>
      </c>
      <c r="GH1708" s="8">
        <v>0.17282465026292085</v>
      </c>
      <c r="GI1708" s="8">
        <v>3.6667151202790356</v>
      </c>
    </row>
    <row r="1709" spans="182:191">
      <c r="FZ1709" s="8">
        <v>1.5127446619408307</v>
      </c>
      <c r="GA1709" s="8">
        <v>13.757719860871923</v>
      </c>
      <c r="GB1709" s="8">
        <v>5.5666333569132025</v>
      </c>
      <c r="GC1709" s="8">
        <v>0.33478106246590467</v>
      </c>
      <c r="GD1709" s="8">
        <v>0.50793582487500655</v>
      </c>
      <c r="GE1709" s="8">
        <v>1.2468383411615311</v>
      </c>
      <c r="GF1709" s="8">
        <v>3.6191494301076936</v>
      </c>
      <c r="GG1709" s="8">
        <v>3.0335211783099472</v>
      </c>
      <c r="GH1709" s="8">
        <v>0.70738270544372439</v>
      </c>
      <c r="GI1709" s="8">
        <v>4.0355964282046379</v>
      </c>
    </row>
    <row r="1710" spans="182:191">
      <c r="FZ1710" s="8">
        <v>13.156298633873011</v>
      </c>
      <c r="GA1710" s="8">
        <v>10.431905814617979</v>
      </c>
      <c r="GB1710" s="8">
        <v>0.82800357961257443</v>
      </c>
      <c r="GC1710" s="8">
        <v>1.1440980167883341</v>
      </c>
      <c r="GD1710" s="8">
        <v>1.5732763387607993</v>
      </c>
      <c r="GE1710" s="8">
        <v>2.3648875061178134</v>
      </c>
      <c r="GF1710" s="8">
        <v>3.6918852459127223</v>
      </c>
      <c r="GG1710" s="8">
        <v>2.9632097098643326</v>
      </c>
      <c r="GH1710" s="8">
        <v>1.288826241117474</v>
      </c>
      <c r="GI1710" s="8">
        <v>5.8220356226246679</v>
      </c>
    </row>
    <row r="1711" spans="182:191">
      <c r="FZ1711" s="8">
        <v>3.6006105663560986</v>
      </c>
      <c r="GA1711" s="8">
        <v>5.6403923530821247</v>
      </c>
      <c r="GB1711" s="8">
        <v>0.76174682700826335</v>
      </c>
      <c r="GC1711" s="8">
        <v>0.72410647306624421</v>
      </c>
      <c r="GD1711" s="8">
        <v>0.52004784710409357</v>
      </c>
      <c r="GE1711" s="8">
        <v>0.93947404999222084</v>
      </c>
      <c r="GF1711" s="8">
        <v>4.0288370029626623</v>
      </c>
      <c r="GG1711" s="8">
        <v>2.8565954218199106</v>
      </c>
      <c r="GH1711" s="8">
        <v>0.64441312055873701</v>
      </c>
      <c r="GI1711" s="8">
        <v>2.6526517842014052</v>
      </c>
    </row>
    <row r="1712" spans="182:191">
      <c r="FZ1712" s="8">
        <v>14.378271050491282</v>
      </c>
      <c r="GA1712" s="8">
        <v>20.497875551852268</v>
      </c>
      <c r="GB1712" s="8">
        <v>5.9806837548173508</v>
      </c>
      <c r="GC1712" s="8">
        <v>0.70556516949358328</v>
      </c>
      <c r="GD1712" s="8">
        <v>1.0956086137882526</v>
      </c>
      <c r="GE1712" s="8">
        <v>2.0566994127815241</v>
      </c>
      <c r="GF1712" s="8">
        <v>1.098756757594054</v>
      </c>
      <c r="GG1712" s="8">
        <v>0.42416298142568709</v>
      </c>
      <c r="GH1712" s="8">
        <v>0.58144353567374973</v>
      </c>
      <c r="GI1712" s="8">
        <v>5.6735890205950126</v>
      </c>
    </row>
    <row r="1713" spans="182:191">
      <c r="FZ1713" s="8">
        <v>11.602106468797439</v>
      </c>
      <c r="GA1713" s="8">
        <v>18.401125285525772</v>
      </c>
      <c r="GB1713" s="8">
        <v>5.8910992235729269</v>
      </c>
      <c r="GC1713" s="8">
        <v>0.65911728847633322</v>
      </c>
      <c r="GD1713" s="8">
        <v>0.92219876477787732</v>
      </c>
      <c r="GE1713" s="8">
        <v>1.3479960444803532</v>
      </c>
      <c r="GF1713" s="8">
        <v>3.8899177595127199</v>
      </c>
      <c r="GG1713" s="8">
        <v>3.5983070966268622</v>
      </c>
      <c r="GH1713" s="8">
        <v>0.47158847029581613</v>
      </c>
      <c r="GI1713" s="8">
        <v>5.8760344229169821</v>
      </c>
    </row>
    <row r="1714" spans="182:191">
      <c r="FZ1714" s="8">
        <v>5.2917107908931271</v>
      </c>
      <c r="GA1714" s="8">
        <v>10.559277147220579</v>
      </c>
      <c r="GB1714" s="8">
        <v>3.3938025875048421</v>
      </c>
      <c r="GC1714" s="8">
        <v>0.50909435490045118</v>
      </c>
      <c r="GD1714" s="8">
        <v>0.4950109665218011</v>
      </c>
      <c r="GE1714" s="8">
        <v>0.9975993449417998</v>
      </c>
      <c r="GF1714" s="8">
        <v>3.5143364227117315</v>
      </c>
      <c r="GG1714" s="8">
        <v>2.6796696653298739</v>
      </c>
      <c r="GH1714" s="8">
        <v>0.58144353567374973</v>
      </c>
      <c r="GI1714" s="8">
        <v>4.9153798202345822</v>
      </c>
    </row>
    <row r="1715" spans="182:191">
      <c r="FZ1715" s="8">
        <v>0.88215720358861527</v>
      </c>
      <c r="GA1715" s="8">
        <v>18.454601198343394</v>
      </c>
      <c r="GB1715" s="8">
        <v>7.7348944268021693</v>
      </c>
      <c r="GC1715" s="8">
        <v>0.30716523956112607</v>
      </c>
      <c r="GD1715" s="8">
        <v>0.48736364079830924</v>
      </c>
      <c r="GE1715" s="8">
        <v>1.9322291507009914</v>
      </c>
      <c r="GF1715" s="8">
        <v>4.473934087549833</v>
      </c>
      <c r="GG1715" s="8">
        <v>2.5027439088398373</v>
      </c>
      <c r="GH1715" s="8">
        <v>0</v>
      </c>
      <c r="GI1715" s="8">
        <v>4.5356052783257033</v>
      </c>
    </row>
    <row r="1716" spans="182:191">
      <c r="FZ1716" s="8">
        <v>5.6888568468102516</v>
      </c>
      <c r="GA1716" s="8">
        <v>9.1636149328703951</v>
      </c>
      <c r="GB1716" s="8">
        <v>2.7740787744108077</v>
      </c>
      <c r="GC1716" s="8">
        <v>1.1525271276230145</v>
      </c>
      <c r="GD1716" s="8">
        <v>0.92379521247667418</v>
      </c>
      <c r="GE1716" s="8">
        <v>0.54836868764634539</v>
      </c>
      <c r="GF1716" s="8">
        <v>1.6512178313378361</v>
      </c>
      <c r="GG1716" s="8">
        <v>1.5410277012290603</v>
      </c>
      <c r="GH1716" s="8">
        <v>0.47158847029581613</v>
      </c>
      <c r="GI1716" s="8">
        <v>3.3200945940686273</v>
      </c>
    </row>
    <row r="1717" spans="182:191">
      <c r="FZ1717" s="8">
        <v>2.0253131557106707</v>
      </c>
      <c r="GA1717" s="8">
        <v>0.97432111472224658</v>
      </c>
      <c r="GB1717" s="8">
        <v>0.2430923572355993</v>
      </c>
      <c r="GC1717" s="8">
        <v>0.97911238727491612</v>
      </c>
      <c r="GD1717" s="8">
        <v>0.71122488285116692</v>
      </c>
      <c r="GE1717" s="8">
        <v>0.81171581306452856</v>
      </c>
      <c r="GF1717" s="8">
        <v>3.996400521300643</v>
      </c>
      <c r="GG1717" s="8">
        <v>2.749981133775488</v>
      </c>
      <c r="GH1717" s="8">
        <v>0.3456493005258417</v>
      </c>
      <c r="GI1717" s="8">
        <v>2.2187797459090786</v>
      </c>
    </row>
    <row r="1718" spans="182:191">
      <c r="FZ1718" s="8">
        <v>3.8827145604593918</v>
      </c>
      <c r="GA1718" s="8">
        <v>3.5436420867556286</v>
      </c>
      <c r="GB1718" s="8">
        <v>0.84545379428994738</v>
      </c>
      <c r="GC1718" s="8">
        <v>0.48329764640870054</v>
      </c>
      <c r="GD1718" s="8">
        <v>0.49843236128081675</v>
      </c>
      <c r="GE1718" s="8">
        <v>1.3407342146607149</v>
      </c>
      <c r="GF1718" s="8">
        <v>3.8973842645006442</v>
      </c>
      <c r="GG1718" s="8">
        <v>2.2555066839041871</v>
      </c>
      <c r="GH1718" s="8">
        <v>0.3456493005258417</v>
      </c>
      <c r="GI1718" s="8">
        <v>3.458510632857263</v>
      </c>
    </row>
    <row r="1719" spans="182:191">
      <c r="FZ1719" s="8">
        <v>11.747682779478165</v>
      </c>
      <c r="GA1719" s="8">
        <v>20.551351464669892</v>
      </c>
      <c r="GB1719" s="8">
        <v>7.4941355274241275</v>
      </c>
      <c r="GC1719" s="8">
        <v>0.42531072314886814</v>
      </c>
      <c r="GD1719" s="8">
        <v>0.448683808089407</v>
      </c>
      <c r="GE1719" s="8">
        <v>0.38277673739426599</v>
      </c>
      <c r="GF1719" s="8">
        <v>1.6411434378258931</v>
      </c>
      <c r="GG1719" s="8">
        <v>1.9166564585065737</v>
      </c>
      <c r="GH1719" s="8">
        <v>0.47158847029581613</v>
      </c>
      <c r="GI1719" s="8">
        <v>5.7404544129893242</v>
      </c>
    </row>
    <row r="1720" spans="182:191">
      <c r="FZ1720" s="8">
        <v>7.5828642249154772</v>
      </c>
      <c r="GA1720" s="8">
        <v>7.1614967906082807</v>
      </c>
      <c r="GB1720" s="8">
        <v>0.86290400896732034</v>
      </c>
      <c r="GC1720" s="8">
        <v>0.23413920904496072</v>
      </c>
      <c r="GD1720" s="8">
        <v>0.52014967314785743</v>
      </c>
      <c r="GE1720" s="8">
        <v>2.1169551727083245</v>
      </c>
      <c r="GF1720" s="8">
        <v>3.045996022605796</v>
      </c>
      <c r="GG1720" s="8">
        <v>0.93993896331333671</v>
      </c>
      <c r="GH1720" s="8">
        <v>0.17282465026292085</v>
      </c>
      <c r="GI1720" s="8">
        <v>4.0944894541415202</v>
      </c>
    </row>
    <row r="1721" spans="182:191">
      <c r="FZ1721" s="8">
        <v>3.94042577938575</v>
      </c>
      <c r="GA1721" s="8">
        <v>6.1129630587890107</v>
      </c>
      <c r="GB1721" s="8">
        <v>1.6012352186977852</v>
      </c>
      <c r="GC1721" s="8">
        <v>0.75631656677187975</v>
      </c>
      <c r="GD1721" s="8">
        <v>0.531340210628653</v>
      </c>
      <c r="GE1721" s="8">
        <v>1.7310308875851586</v>
      </c>
      <c r="GF1721" s="8">
        <v>6.8501978383243847</v>
      </c>
      <c r="GG1721" s="8">
        <v>4.4679345914945863</v>
      </c>
      <c r="GH1721" s="8">
        <v>0.88020735570664521</v>
      </c>
      <c r="GI1721" s="8">
        <v>3.6356898390957113</v>
      </c>
    </row>
    <row r="1722" spans="182:191">
      <c r="FZ1722" s="8">
        <v>3.2887330754636817</v>
      </c>
      <c r="GA1722" s="8">
        <v>6.0390676390040312</v>
      </c>
      <c r="GB1722" s="8">
        <v>1.1373526894524848</v>
      </c>
      <c r="GC1722" s="8">
        <v>0.7532662565549082</v>
      </c>
      <c r="GD1722" s="8">
        <v>1.4353750636777483</v>
      </c>
      <c r="GE1722" s="8">
        <v>2.384434198039393</v>
      </c>
      <c r="GF1722" s="8">
        <v>6.6200751432962921</v>
      </c>
      <c r="GG1722" s="8">
        <v>6.1804326013792963</v>
      </c>
      <c r="GH1722" s="8">
        <v>0.64441312055873701</v>
      </c>
      <c r="GI1722" s="8">
        <v>4.6536236727429765</v>
      </c>
    </row>
    <row r="1723" spans="182:191">
      <c r="FZ1723" s="8">
        <v>3.5432797234686255</v>
      </c>
      <c r="GA1723" s="8">
        <v>8.263189237933128</v>
      </c>
      <c r="GB1723" s="8">
        <v>3.3252123770429729</v>
      </c>
      <c r="GC1723" s="8">
        <v>0.53774476240140578</v>
      </c>
      <c r="GD1723" s="8">
        <v>0.32256558560463849</v>
      </c>
      <c r="GE1723" s="8">
        <v>7.5667426648774114E-2</v>
      </c>
      <c r="GF1723" s="8">
        <v>2.4078674593486649</v>
      </c>
      <c r="GG1723" s="8">
        <v>2.1271151515623243</v>
      </c>
      <c r="GH1723" s="8">
        <v>0</v>
      </c>
      <c r="GI1723" s="8">
        <v>3.0066449515131226</v>
      </c>
    </row>
    <row r="1724" spans="182:191">
      <c r="FZ1724" s="8">
        <v>3.0582685757971344</v>
      </c>
      <c r="GA1724" s="8">
        <v>5.8932059088606996</v>
      </c>
      <c r="GB1724" s="8">
        <v>2.807768555517931</v>
      </c>
      <c r="GC1724" s="8">
        <v>0.53060646856159954</v>
      </c>
      <c r="GD1724" s="8">
        <v>0.27968358247261843</v>
      </c>
      <c r="GE1724" s="8">
        <v>1.1540419933620119</v>
      </c>
      <c r="GF1724" s="8">
        <v>4.5643892070427947</v>
      </c>
      <c r="GG1724" s="8">
        <v>2.6311354411817005</v>
      </c>
      <c r="GH1724" s="8">
        <v>0</v>
      </c>
      <c r="GI1724" s="8">
        <v>2.6405810977723174</v>
      </c>
    </row>
    <row r="1725" spans="182:191">
      <c r="FZ1725" s="8">
        <v>5.8917640003784486</v>
      </c>
      <c r="GA1725" s="8">
        <v>12.875784563475387</v>
      </c>
      <c r="GB1725" s="8">
        <v>2.2257137861446235</v>
      </c>
      <c r="GC1725" s="8">
        <v>0.88948127867840099</v>
      </c>
      <c r="GD1725" s="8">
        <v>0.61384595429667854</v>
      </c>
      <c r="GE1725" s="8">
        <v>0.6638567700197443</v>
      </c>
      <c r="GF1725" s="8">
        <v>3.554164925125999</v>
      </c>
      <c r="GG1725" s="8">
        <v>2.8080611976717367</v>
      </c>
      <c r="GH1725" s="8">
        <v>0.40861888541082891</v>
      </c>
      <c r="GI1725" s="8">
        <v>3.3528339947498518</v>
      </c>
    </row>
    <row r="1726" spans="182:191">
      <c r="FZ1726" s="8">
        <v>6.6588791421532321</v>
      </c>
      <c r="GA1726" s="8">
        <v>3.2704090240096959</v>
      </c>
      <c r="GB1726" s="8">
        <v>0.2430923572355993</v>
      </c>
      <c r="GC1726" s="8">
        <v>0.30024247835953194</v>
      </c>
      <c r="GD1726" s="8">
        <v>0.78682019527454405</v>
      </c>
      <c r="GE1726" s="8">
        <v>2.2139447150619485</v>
      </c>
      <c r="GF1726" s="8">
        <v>4.9938021814445408</v>
      </c>
      <c r="GG1726" s="8">
        <v>3.7965343851332478</v>
      </c>
      <c r="GH1726" s="8">
        <v>0.64441312055873701</v>
      </c>
      <c r="GI1726" s="8">
        <v>4.1177121742557254</v>
      </c>
    </row>
    <row r="1727" spans="182:191">
      <c r="FZ1727" s="8">
        <v>12.931905858696076</v>
      </c>
      <c r="GA1727" s="8">
        <v>18.621199632766125</v>
      </c>
      <c r="GB1727" s="8">
        <v>3.4462410701746475</v>
      </c>
      <c r="GC1727" s="8">
        <v>0.65262440313396408</v>
      </c>
      <c r="GD1727" s="8">
        <v>0.6546272045343462</v>
      </c>
      <c r="GE1727" s="8">
        <v>1.2960840222507091</v>
      </c>
      <c r="GF1727" s="8">
        <v>3.867764314721752</v>
      </c>
      <c r="GG1727" s="8">
        <v>2.5027439088398373</v>
      </c>
      <c r="GH1727" s="8">
        <v>0</v>
      </c>
      <c r="GI1727" s="8">
        <v>4.4783120354840884</v>
      </c>
    </row>
    <row r="1728" spans="182:191">
      <c r="FZ1728" s="8">
        <v>4.910067698689847</v>
      </c>
      <c r="GA1728" s="8">
        <v>12.906594662586977</v>
      </c>
      <c r="GB1728" s="8">
        <v>3.4938369598539634</v>
      </c>
      <c r="GC1728" s="8">
        <v>0.55413430784354345</v>
      </c>
      <c r="GD1728" s="8">
        <v>0.41659561744609841</v>
      </c>
      <c r="GE1728" s="8">
        <v>0.9089172792330189</v>
      </c>
      <c r="GF1728" s="8">
        <v>6.2389176494924179</v>
      </c>
      <c r="GG1728" s="8">
        <v>4.758250592744024</v>
      </c>
      <c r="GH1728" s="8">
        <v>0.3456493005258417</v>
      </c>
      <c r="GI1728" s="8">
        <v>4.7706781991701153</v>
      </c>
    </row>
    <row r="1729" spans="182:191">
      <c r="FZ1729" s="8">
        <v>9.2894674131663493</v>
      </c>
      <c r="GA1729" s="8">
        <v>18.590072336342491</v>
      </c>
      <c r="GB1729" s="8">
        <v>3.31537336972207</v>
      </c>
      <c r="GC1729" s="8">
        <v>0.28402966518760814</v>
      </c>
      <c r="GD1729" s="8">
        <v>0.38891178216151268</v>
      </c>
      <c r="GE1729" s="8">
        <v>1.1714406024842234</v>
      </c>
      <c r="GF1729" s="8">
        <v>3.2101309435109213</v>
      </c>
      <c r="GG1729" s="8">
        <v>2.4111309083778751</v>
      </c>
      <c r="GH1729" s="8">
        <v>0.81723777082165783</v>
      </c>
      <c r="GI1729" s="8">
        <v>4.9424164557824488</v>
      </c>
    </row>
    <row r="1730" spans="182:191">
      <c r="FZ1730" s="8">
        <v>9.8536754013729375</v>
      </c>
      <c r="GA1730" s="8">
        <v>13.535716404204939</v>
      </c>
      <c r="GB1730" s="8">
        <v>5.203908009626959</v>
      </c>
      <c r="GC1730" s="8">
        <v>0.59430483615663632</v>
      </c>
      <c r="GD1730" s="8">
        <v>0.6215951060639342</v>
      </c>
      <c r="GE1730" s="8">
        <v>1.4593698447630137</v>
      </c>
      <c r="GF1730" s="8">
        <v>1.9329382838721105</v>
      </c>
      <c r="GG1730" s="8">
        <v>0.84832596285137418</v>
      </c>
      <c r="GH1730" s="8">
        <v>0.64441312055873701</v>
      </c>
      <c r="GI1730" s="8">
        <v>4.6913314574342673</v>
      </c>
    </row>
    <row r="1731" spans="182:191">
      <c r="FZ1731" s="8">
        <v>2.2911534340223501</v>
      </c>
      <c r="GA1731" s="8">
        <v>7.2353922103932602</v>
      </c>
      <c r="GB1731" s="8">
        <v>1.4838384703089775</v>
      </c>
      <c r="GC1731" s="8">
        <v>0.66040810547120743</v>
      </c>
      <c r="GD1731" s="8">
        <v>0.58596138517369678</v>
      </c>
      <c r="GE1731" s="8">
        <v>1.0570313027016216</v>
      </c>
      <c r="GF1731" s="8">
        <v>1.1756195696030849</v>
      </c>
      <c r="GG1731" s="8">
        <v>0.1769257564900365</v>
      </c>
      <c r="GH1731" s="8">
        <v>0.23579423514790807</v>
      </c>
      <c r="GI1731" s="8">
        <v>2.4771056361275985</v>
      </c>
    </row>
    <row r="1732" spans="182:191">
      <c r="FZ1732" s="8">
        <v>12.729379081166766</v>
      </c>
      <c r="GA1732" s="8">
        <v>15.225348385580457</v>
      </c>
      <c r="GB1732" s="8">
        <v>4.0370298565143621</v>
      </c>
      <c r="GC1732" s="8">
        <v>0.99769130179837628</v>
      </c>
      <c r="GD1732" s="8">
        <v>0.81694643533355782</v>
      </c>
      <c r="GE1732" s="8">
        <v>1.1172077449671569</v>
      </c>
      <c r="GF1732" s="8">
        <v>5.1732664598185805</v>
      </c>
      <c r="GG1732" s="8">
        <v>3.818311629430688</v>
      </c>
      <c r="GH1732" s="8">
        <v>0.69129860105168339</v>
      </c>
      <c r="GI1732" s="8">
        <v>5.9299772944664353</v>
      </c>
    </row>
    <row r="1733" spans="182:191">
      <c r="FZ1733" s="8">
        <v>5.7465680657366089</v>
      </c>
      <c r="GA1733" s="8">
        <v>8.2097133251155068</v>
      </c>
      <c r="GB1733" s="8">
        <v>1.5548499772660918</v>
      </c>
      <c r="GC1733" s="8">
        <v>1.238636160965648</v>
      </c>
      <c r="GD1733" s="8">
        <v>1.0937081551100871</v>
      </c>
      <c r="GE1733" s="8">
        <v>1.2960840222507091</v>
      </c>
      <c r="GF1733" s="8">
        <v>3.867764314721752</v>
      </c>
      <c r="GG1733" s="8">
        <v>2.6796696653298739</v>
      </c>
      <c r="GH1733" s="8">
        <v>0.58144353567374973</v>
      </c>
      <c r="GI1733" s="8">
        <v>3.8020315473963873</v>
      </c>
    </row>
    <row r="1734" spans="182:191">
      <c r="FZ1734" s="8">
        <v>1.9098907178579547</v>
      </c>
      <c r="GA1734" s="8">
        <v>6.5116383447109172</v>
      </c>
      <c r="GB1734" s="8">
        <v>1.7349593721540295</v>
      </c>
      <c r="GC1734" s="8">
        <v>0.3595997187427229</v>
      </c>
      <c r="GD1734" s="8">
        <v>0.81633150506646401</v>
      </c>
      <c r="GE1734" s="8">
        <v>2.1262681498439191</v>
      </c>
      <c r="GF1734" s="8">
        <v>4.3498284133106635</v>
      </c>
      <c r="GG1734" s="8">
        <v>3.1038326467555613</v>
      </c>
      <c r="GH1734" s="8">
        <v>0.81723777082165783</v>
      </c>
      <c r="GI1734" s="8">
        <v>4.6237652218520306</v>
      </c>
    </row>
    <row r="1735" spans="182:191">
      <c r="FZ1735" s="8">
        <v>9.4263754726278055</v>
      </c>
      <c r="GA1735" s="8">
        <v>16.105037376238322</v>
      </c>
      <c r="GB1735" s="8">
        <v>5.7689477208313162</v>
      </c>
      <c r="GC1735" s="8">
        <v>0.57013158837725531</v>
      </c>
      <c r="GD1735" s="8">
        <v>0.63364612251173624</v>
      </c>
      <c r="GE1735" s="8">
        <v>0.8586988282207827</v>
      </c>
      <c r="GF1735" s="8">
        <v>3.4549400249668913</v>
      </c>
      <c r="GG1735" s="8">
        <v>2.9269068902655246</v>
      </c>
      <c r="GH1735" s="8">
        <v>0.40861888541082891</v>
      </c>
      <c r="GI1735" s="8">
        <v>5.9323609078349193</v>
      </c>
    </row>
    <row r="1736" spans="182:191">
      <c r="FZ1736" s="8">
        <v>8.6894142036810287</v>
      </c>
      <c r="GA1736" s="8">
        <v>16.273564920087683</v>
      </c>
      <c r="GB1736" s="8">
        <v>4.5869528108989055</v>
      </c>
      <c r="GC1736" s="8">
        <v>0.8485293093581433</v>
      </c>
      <c r="GD1736" s="8">
        <v>0.91222461099369356</v>
      </c>
      <c r="GE1736" s="8">
        <v>1.8822282538669428</v>
      </c>
      <c r="GF1736" s="8">
        <v>4.4225642291156921</v>
      </c>
      <c r="GG1736" s="8">
        <v>2.6796696653298739</v>
      </c>
      <c r="GH1736" s="8">
        <v>0.23579423514790807</v>
      </c>
      <c r="GI1736" s="8">
        <v>4.8383781753902539</v>
      </c>
    </row>
    <row r="1737" spans="182:191">
      <c r="FZ1737" s="8">
        <v>7.3958404111000089</v>
      </c>
      <c r="GA1737" s="8">
        <v>15.706362090316414</v>
      </c>
      <c r="GB1737" s="8">
        <v>5.6526737820524442</v>
      </c>
      <c r="GC1737" s="8">
        <v>0.41124966810746766</v>
      </c>
      <c r="GD1737" s="8">
        <v>0.62744525025023334</v>
      </c>
      <c r="GE1737" s="8">
        <v>1.4604335146082639</v>
      </c>
      <c r="GF1737" s="8">
        <v>3.9090539281688716</v>
      </c>
      <c r="GG1737" s="8">
        <v>2.9269068902655246</v>
      </c>
      <c r="GH1737" s="8">
        <v>0.40861888541082891</v>
      </c>
      <c r="GI1737" s="8">
        <v>4.4947073480475721</v>
      </c>
    </row>
    <row r="1738" spans="182:191">
      <c r="FZ1738" s="8">
        <v>3.6006105663560986</v>
      </c>
      <c r="GA1738" s="8">
        <v>11.334260618981871</v>
      </c>
      <c r="GB1738" s="8">
        <v>3.2776164873636571</v>
      </c>
      <c r="GC1738" s="8">
        <v>0.8616123121846111</v>
      </c>
      <c r="GD1738" s="8">
        <v>0.83281360301429941</v>
      </c>
      <c r="GE1738" s="8">
        <v>1.9109066297982429</v>
      </c>
      <c r="GF1738" s="8">
        <v>6.4709671965523636</v>
      </c>
      <c r="GG1738" s="8">
        <v>4.489236123510933</v>
      </c>
      <c r="GH1738" s="8">
        <v>0.81723777082165783</v>
      </c>
      <c r="GI1738" s="8">
        <v>3.9805233224809329</v>
      </c>
    </row>
    <row r="1739" spans="182:191">
      <c r="FZ1739" s="8">
        <v>7.4833251268154903</v>
      </c>
      <c r="GA1739" s="8">
        <v>12.507919376665072</v>
      </c>
      <c r="GB1739" s="8">
        <v>3.2403826001513529</v>
      </c>
      <c r="GC1739" s="8">
        <v>0.5396809878937171</v>
      </c>
      <c r="GD1739" s="8">
        <v>0.76824361601301505</v>
      </c>
      <c r="GE1739" s="8">
        <v>1.6862019071258785</v>
      </c>
      <c r="GF1739" s="8">
        <v>1.3381983254062475</v>
      </c>
      <c r="GG1739" s="8">
        <v>0.1769257564900365</v>
      </c>
      <c r="GH1739" s="8">
        <v>0.75426818593667067</v>
      </c>
      <c r="GI1739" s="8">
        <v>3.6566526567265325</v>
      </c>
    </row>
    <row r="1740" spans="182:191">
      <c r="FZ1740" s="8">
        <v>9.9110062442604097</v>
      </c>
      <c r="GA1740" s="8">
        <v>5.2190512534541877</v>
      </c>
      <c r="GB1740" s="8">
        <v>0.15584128384873439</v>
      </c>
      <c r="GC1740" s="8">
        <v>0.81309217316532234</v>
      </c>
      <c r="GD1740" s="8">
        <v>0.8987583318943817</v>
      </c>
      <c r="GE1740" s="8">
        <v>1.9106369418267766</v>
      </c>
      <c r="GF1740" s="8">
        <v>4.6532418677368179</v>
      </c>
      <c r="GG1740" s="8">
        <v>2.8080611976717367</v>
      </c>
      <c r="GH1740" s="8">
        <v>0.75426818593667067</v>
      </c>
      <c r="GI1740" s="8">
        <v>3.8734956460710448</v>
      </c>
    </row>
    <row r="1741" spans="182:191">
      <c r="FZ1741" s="8">
        <v>14.759914142694559</v>
      </c>
      <c r="GA1741" s="8">
        <v>12.656027413547076</v>
      </c>
      <c r="GB1741" s="8">
        <v>3.2078156286541653</v>
      </c>
      <c r="GC1741" s="8">
        <v>0.94586462016341755</v>
      </c>
      <c r="GD1741" s="8">
        <v>1.2040274209523159</v>
      </c>
      <c r="GE1741" s="8">
        <v>1.8084913558393496</v>
      </c>
      <c r="GF1741" s="8">
        <v>4.0362290237149105</v>
      </c>
      <c r="GG1741" s="8">
        <v>3.0552984226073874</v>
      </c>
      <c r="GH1741" s="8">
        <v>0.40861888541082891</v>
      </c>
      <c r="GI1741" s="8">
        <v>6.2167479996259152</v>
      </c>
    </row>
    <row r="1742" spans="182:191">
      <c r="FZ1742" s="8">
        <v>1.4248795701864641</v>
      </c>
      <c r="GA1742" s="8">
        <v>3.5436420867556286</v>
      </c>
      <c r="GB1742" s="8">
        <v>0.791892502010206</v>
      </c>
      <c r="GC1742" s="8">
        <v>0.54032639639115421</v>
      </c>
      <c r="GD1742" s="8">
        <v>0.59530940883483208</v>
      </c>
      <c r="GE1742" s="8">
        <v>0.90702980722078985</v>
      </c>
      <c r="GF1742" s="8">
        <v>2.3479992218459342</v>
      </c>
      <c r="GG1742" s="8">
        <v>1.9166564585065737</v>
      </c>
      <c r="GH1742" s="8">
        <v>0.47158847029581613</v>
      </c>
      <c r="GI1742" s="8">
        <v>2.2797354098513534</v>
      </c>
    </row>
    <row r="1743" spans="182:191">
      <c r="FZ1743" s="8">
        <v>2.9583491016582619</v>
      </c>
      <c r="GA1743" s="8">
        <v>2.9229633441667389</v>
      </c>
      <c r="GB1743" s="8">
        <v>0.15705193209635682</v>
      </c>
      <c r="GC1743" s="8">
        <v>0.52282276622435619</v>
      </c>
      <c r="GD1743" s="8">
        <v>1.0168179817721992</v>
      </c>
      <c r="GE1743" s="8">
        <v>2.5254444366287645</v>
      </c>
      <c r="GF1743" s="8">
        <v>5.4332662022654574</v>
      </c>
      <c r="GG1743" s="8">
        <v>3.4426828721531746</v>
      </c>
      <c r="GH1743" s="8">
        <v>0.17282465026292085</v>
      </c>
      <c r="GI1743" s="8">
        <v>3.6047347828906631</v>
      </c>
    </row>
    <row r="1744" spans="182:191">
      <c r="FZ1744" s="8">
        <v>4.8225829829743656</v>
      </c>
      <c r="GA1744" s="8">
        <v>4.5179632014778752</v>
      </c>
      <c r="GB1744" s="8">
        <v>0.89538314182682144</v>
      </c>
      <c r="GC1744" s="8">
        <v>1.1102048411793983</v>
      </c>
      <c r="GD1744" s="8">
        <v>1.2723789631538995</v>
      </c>
      <c r="GE1744" s="8">
        <v>1.3490744218732513</v>
      </c>
      <c r="GF1744" s="8">
        <v>6.1390236630751147</v>
      </c>
      <c r="GG1744" s="8">
        <v>5.3225607987798487</v>
      </c>
      <c r="GH1744" s="8">
        <v>0.17282465026292085</v>
      </c>
      <c r="GI1744" s="8">
        <v>3.6879214815545374</v>
      </c>
    </row>
    <row r="1745" spans="182:191">
      <c r="FZ1745" s="8">
        <v>4.9798333000007098</v>
      </c>
      <c r="GA1745" s="8">
        <v>27.640881944919819</v>
      </c>
      <c r="GB1745" s="8">
        <v>10.528659657552184</v>
      </c>
      <c r="GC1745" s="8">
        <v>0.91799565366962776</v>
      </c>
      <c r="GD1745" s="8">
        <v>0.762050352794718</v>
      </c>
      <c r="GE1745" s="8">
        <v>0.97805224782232114</v>
      </c>
      <c r="GF1745" s="8">
        <v>1.3931084368759987</v>
      </c>
      <c r="GG1745" s="8">
        <v>0.24723722493565062</v>
      </c>
      <c r="GH1745" s="8">
        <v>0</v>
      </c>
      <c r="GI1745" s="8">
        <v>4.9000354951769562</v>
      </c>
    </row>
    <row r="1746" spans="182:191">
      <c r="FZ1746" s="8">
        <v>8.1255865915133256</v>
      </c>
      <c r="GA1746" s="8">
        <v>24.243101588307521</v>
      </c>
      <c r="GB1746" s="8">
        <v>8.2546717061847694</v>
      </c>
      <c r="GC1746" s="8">
        <v>0.54161721338602842</v>
      </c>
      <c r="GD1746" s="8">
        <v>0.90745381568382333</v>
      </c>
      <c r="GE1746" s="8">
        <v>1.5573648876073893</v>
      </c>
      <c r="GF1746" s="8">
        <v>1.7770824625629995</v>
      </c>
      <c r="GG1746" s="8">
        <v>1.669419233570923</v>
      </c>
      <c r="GH1746" s="8">
        <v>0.47158847029581613</v>
      </c>
      <c r="GI1746" s="8">
        <v>5.8766956269418866</v>
      </c>
    </row>
    <row r="1747" spans="182:191">
      <c r="FZ1747" s="8">
        <v>8.9798060729647062</v>
      </c>
      <c r="GA1747" s="8">
        <v>10.232568171657025</v>
      </c>
      <c r="GB1747" s="8">
        <v>0.74187531583564548</v>
      </c>
      <c r="GC1747" s="8">
        <v>0.18145158627435282</v>
      </c>
      <c r="GD1747" s="8">
        <v>0.11446968518875858</v>
      </c>
      <c r="GE1747" s="8">
        <v>0.5955304908518736</v>
      </c>
      <c r="GF1747" s="8">
        <v>1.8315831864219541</v>
      </c>
      <c r="GG1747" s="8">
        <v>0.93993896331333671</v>
      </c>
      <c r="GH1747" s="8">
        <v>0.17282465026292085</v>
      </c>
      <c r="GI1747" s="8">
        <v>2.6003998692020902</v>
      </c>
    </row>
    <row r="1748" spans="182:191">
      <c r="FZ1748" s="8">
        <v>11.602486844836323</v>
      </c>
      <c r="GA1748" s="8">
        <v>17.500699590588503</v>
      </c>
      <c r="GB1748" s="8">
        <v>6.6179456212264451</v>
      </c>
      <c r="GC1748" s="8">
        <v>1.1923053910276813</v>
      </c>
      <c r="GD1748" s="8">
        <v>1.4965559334630321</v>
      </c>
      <c r="GE1748" s="8">
        <v>2.4704024844923662</v>
      </c>
      <c r="GF1748" s="8">
        <v>1.7465363288860192</v>
      </c>
      <c r="GG1748" s="8">
        <v>0.42416298142568709</v>
      </c>
      <c r="GH1748" s="8">
        <v>0.40861888541082891</v>
      </c>
      <c r="GI1748" s="8">
        <v>6.1555844705074625</v>
      </c>
    </row>
    <row r="1749" spans="182:191">
      <c r="FZ1749" s="8">
        <v>5.2913304148542419</v>
      </c>
      <c r="GA1749" s="8">
        <v>16.399007143263656</v>
      </c>
      <c r="GB1749" s="8">
        <v>3.9799244581294397</v>
      </c>
      <c r="GC1749" s="8">
        <v>0.39180981244835833</v>
      </c>
      <c r="GD1749" s="8">
        <v>0.92422600815124278</v>
      </c>
      <c r="GE1749" s="8">
        <v>2.5092564058551527</v>
      </c>
      <c r="GF1749" s="8">
        <v>5.370062993333379</v>
      </c>
      <c r="GG1749" s="8">
        <v>3.7965343851332478</v>
      </c>
      <c r="GH1749" s="8">
        <v>0.64441312055873701</v>
      </c>
      <c r="GI1749" s="8">
        <v>5.0043498880664146</v>
      </c>
    </row>
    <row r="1750" spans="182:191">
      <c r="FZ1750" s="8">
        <v>4.9221220810743525</v>
      </c>
      <c r="GA1750" s="8">
        <v>18.423791099231799</v>
      </c>
      <c r="GB1750" s="8">
        <v>6.1562993336429805</v>
      </c>
      <c r="GC1750" s="8">
        <v>0.64595478552138108</v>
      </c>
      <c r="GD1750" s="8">
        <v>1.0689237594427787</v>
      </c>
      <c r="GE1750" s="8">
        <v>2.1038612159870524</v>
      </c>
      <c r="GF1750" s="8">
        <v>3.5688371465706861</v>
      </c>
      <c r="GG1750" s="8">
        <v>2.8348181775224699</v>
      </c>
      <c r="GH1750" s="8">
        <v>0.94317694059163226</v>
      </c>
      <c r="GI1750" s="8">
        <v>5.200030350488114</v>
      </c>
    </row>
    <row r="1751" spans="182:191">
      <c r="FZ1751" s="8">
        <v>9.9988713360147763</v>
      </c>
      <c r="GA1751" s="8">
        <v>14.877902705737501</v>
      </c>
      <c r="GB1751" s="8">
        <v>3.7578264216763948</v>
      </c>
      <c r="GC1751" s="8">
        <v>0.49237216574081799</v>
      </c>
      <c r="GD1751" s="8">
        <v>0.55025349012805935</v>
      </c>
      <c r="GE1751" s="8">
        <v>1.7054612932538453</v>
      </c>
      <c r="GF1751" s="8">
        <v>4.4591277069817137</v>
      </c>
      <c r="GG1751" s="8">
        <v>2.4324324403942232</v>
      </c>
      <c r="GH1751" s="8">
        <v>0.58144353567374973</v>
      </c>
      <c r="GI1751" s="8">
        <v>7.1939928725783862</v>
      </c>
    </row>
    <row r="1752" spans="182:191">
      <c r="FZ1752" s="8">
        <v>3.6009909423949833</v>
      </c>
      <c r="GA1752" s="8">
        <v>8.4625268808940817</v>
      </c>
      <c r="GB1752" s="8">
        <v>3.3403291338627872</v>
      </c>
      <c r="GC1752" s="8">
        <v>1.2191963053065384</v>
      </c>
      <c r="GD1752" s="8">
        <v>1.0137976150677663</v>
      </c>
      <c r="GE1752" s="8">
        <v>1.1026956675888069</v>
      </c>
      <c r="GF1752" s="8">
        <v>1.3207319111420563</v>
      </c>
      <c r="GG1752" s="8">
        <v>0.1769257564900365</v>
      </c>
      <c r="GH1752" s="8">
        <v>0.40861888541082891</v>
      </c>
      <c r="GI1752" s="8">
        <v>2.7579229300339447</v>
      </c>
    </row>
    <row r="1753" spans="182:191">
      <c r="FZ1753" s="8">
        <v>3.5428993474297403</v>
      </c>
      <c r="GA1753" s="8">
        <v>20.551351464669892</v>
      </c>
      <c r="GB1753" s="8">
        <v>7.4953461756717505</v>
      </c>
      <c r="GC1753" s="8">
        <v>0.306912095972115</v>
      </c>
      <c r="GD1753" s="8">
        <v>0.38676670845969247</v>
      </c>
      <c r="GE1753" s="8">
        <v>0.84766205437668662</v>
      </c>
      <c r="GF1753" s="8">
        <v>5.63687487286834</v>
      </c>
      <c r="GG1753" s="8">
        <v>4.9351763492340606</v>
      </c>
      <c r="GH1753" s="8">
        <v>0.40861888541082891</v>
      </c>
      <c r="GI1753" s="8">
        <v>5.5210852779147341</v>
      </c>
    </row>
    <row r="1754" spans="182:191">
      <c r="FZ1754" s="8">
        <v>9.6292826261960016</v>
      </c>
      <c r="GA1754" s="8">
        <v>4.4440677816928957</v>
      </c>
      <c r="GB1754" s="8">
        <v>0.20343717352805007</v>
      </c>
      <c r="GC1754" s="8">
        <v>0.89791038951308133</v>
      </c>
      <c r="GD1754" s="8">
        <v>0.9321187353611855</v>
      </c>
      <c r="GE1754" s="8">
        <v>0.90848351075992628</v>
      </c>
      <c r="GF1754" s="8">
        <v>2.8843434507007215</v>
      </c>
      <c r="GG1754" s="8">
        <v>2.2555066839041871</v>
      </c>
      <c r="GH1754" s="8">
        <v>0</v>
      </c>
      <c r="GI1754" s="8">
        <v>3.3966602654192668</v>
      </c>
    </row>
    <row r="1755" spans="182:191">
      <c r="FZ1755" s="8">
        <v>5.009606796789833</v>
      </c>
      <c r="GA1755" s="8">
        <v>6.962159147647327</v>
      </c>
      <c r="GB1755" s="8">
        <v>0.88026638500700694</v>
      </c>
      <c r="GC1755" s="8">
        <v>1.4338956586923897</v>
      </c>
      <c r="GD1755" s="8">
        <v>1.3850402748787152</v>
      </c>
      <c r="GE1755" s="8">
        <v>1.346932374635103</v>
      </c>
      <c r="GF1755" s="8">
        <v>5.4544070286886903</v>
      </c>
      <c r="GG1755" s="8">
        <v>4.6181033681338892</v>
      </c>
      <c r="GH1755" s="8">
        <v>0.40861888541082891</v>
      </c>
      <c r="GI1755" s="8">
        <v>3.8412849419273631</v>
      </c>
    </row>
    <row r="1756" spans="182:191">
      <c r="FZ1756" s="8">
        <v>8.2044030560095376</v>
      </c>
      <c r="GA1756" s="8">
        <v>8.2097133251155068</v>
      </c>
      <c r="GB1756" s="8">
        <v>1.5187388996637234</v>
      </c>
      <c r="GC1756" s="8">
        <v>0.20691565104860804</v>
      </c>
      <c r="GD1756" s="8">
        <v>0.2583000212982165</v>
      </c>
      <c r="GE1756" s="8">
        <v>0.84246335933183047</v>
      </c>
      <c r="GF1756" s="8">
        <v>4.3757990581185231</v>
      </c>
      <c r="GG1756" s="8">
        <v>3.6196086286432112</v>
      </c>
      <c r="GH1756" s="8">
        <v>0.23579423514790807</v>
      </c>
      <c r="GI1756" s="8">
        <v>3.1488404638611138</v>
      </c>
    </row>
    <row r="1757" spans="182:191">
      <c r="FZ1757" s="8">
        <v>5.162017819965131</v>
      </c>
      <c r="GA1757" s="8">
        <v>17.079358490960569</v>
      </c>
      <c r="GB1757" s="8">
        <v>5.8200877166158129</v>
      </c>
      <c r="GC1757" s="8">
        <v>0.58329409133220744</v>
      </c>
      <c r="GD1757" s="8">
        <v>0.68522118523811515</v>
      </c>
      <c r="GE1757" s="8">
        <v>1.2262603047644958</v>
      </c>
      <c r="GF1757" s="8">
        <v>3.1979428402964745</v>
      </c>
      <c r="GG1757" s="8">
        <v>2.3040409080523605</v>
      </c>
      <c r="GH1757" s="8">
        <v>0.40861888541082891</v>
      </c>
      <c r="GI1757" s="8">
        <v>4.6688327107260594</v>
      </c>
    </row>
    <row r="1758" spans="182:191">
      <c r="FZ1758" s="8">
        <v>3.5428993474297403</v>
      </c>
      <c r="GA1758" s="8">
        <v>3.6690843099316024</v>
      </c>
      <c r="GB1758" s="8">
        <v>0.44661736940133573</v>
      </c>
      <c r="GC1758" s="8">
        <v>0.73623130261533332</v>
      </c>
      <c r="GD1758" s="8">
        <v>1.0891921936527476</v>
      </c>
      <c r="GE1758" s="8">
        <v>1.9115365311704005</v>
      </c>
      <c r="GF1758" s="8">
        <v>4.2670573090480133</v>
      </c>
      <c r="GG1758" s="8">
        <v>3.3025356475430381</v>
      </c>
      <c r="GH1758" s="8">
        <v>0.58144353567374973</v>
      </c>
      <c r="GI1758" s="8">
        <v>3.5729090142600359</v>
      </c>
    </row>
    <row r="1759" spans="182:191">
      <c r="FZ1759" s="8">
        <v>7.7774835033032907</v>
      </c>
      <c r="GA1759" s="8">
        <v>2.5693209720333821</v>
      </c>
      <c r="GB1759" s="8">
        <v>0.89659379007444384</v>
      </c>
      <c r="GC1759" s="8">
        <v>0.6714188502956363</v>
      </c>
      <c r="GD1759" s="8">
        <v>0.83964127003326339</v>
      </c>
      <c r="GE1759" s="8">
        <v>1.6298265971727643</v>
      </c>
      <c r="GF1759" s="8">
        <v>4.9159490901313987</v>
      </c>
      <c r="GG1759" s="8">
        <v>3.7965343851332478</v>
      </c>
      <c r="GH1759" s="8">
        <v>0.64441312055873701</v>
      </c>
      <c r="GI1759" s="8">
        <v>3.733519555599937</v>
      </c>
    </row>
    <row r="1760" spans="182:191">
      <c r="FZ1760" s="8">
        <v>1.0277335142693396</v>
      </c>
      <c r="GA1760" s="8">
        <v>13.757719860871923</v>
      </c>
      <c r="GB1760" s="8">
        <v>5.7236852890095591</v>
      </c>
      <c r="GC1760" s="8">
        <v>1.1449965688747823</v>
      </c>
      <c r="GD1760" s="8">
        <v>1.0595981588604553</v>
      </c>
      <c r="GE1760" s="8">
        <v>1.0507538250659683</v>
      </c>
      <c r="GF1760" s="8">
        <v>0.93899453367401864</v>
      </c>
      <c r="GG1760" s="8">
        <v>0.42416298142568709</v>
      </c>
      <c r="GH1760" s="8">
        <v>0.40861888541082891</v>
      </c>
      <c r="GI1760" s="8">
        <v>4.8416238702239029</v>
      </c>
    </row>
    <row r="1761" spans="182:191">
      <c r="FZ1761" s="8">
        <v>6.0863832787662604</v>
      </c>
      <c r="GA1761" s="8">
        <v>6.6681893806219925</v>
      </c>
      <c r="GB1761" s="8">
        <v>2.5868811673125078</v>
      </c>
      <c r="GC1761" s="8">
        <v>0.94087808445413457</v>
      </c>
      <c r="GD1761" s="8">
        <v>0.67749016954188601</v>
      </c>
      <c r="GE1761" s="8">
        <v>0.65265632087192083</v>
      </c>
      <c r="GF1761" s="8">
        <v>2.208834277614903</v>
      </c>
      <c r="GG1761" s="8">
        <v>1.5410277012290603</v>
      </c>
      <c r="GH1761" s="8">
        <v>0.64441312055873701</v>
      </c>
      <c r="GI1761" s="8">
        <v>3.0405282250653878</v>
      </c>
    </row>
    <row r="1762" spans="182:191">
      <c r="FZ1762" s="8">
        <v>3.5428993474297403</v>
      </c>
      <c r="GA1762" s="8">
        <v>13.903581591015254</v>
      </c>
      <c r="GB1762" s="8">
        <v>4.0183689935893669</v>
      </c>
      <c r="GC1762" s="8">
        <v>0.63046688097537884</v>
      </c>
      <c r="GD1762" s="8">
        <v>0.88602017954224599</v>
      </c>
      <c r="GE1762" s="8">
        <v>1.9280997558647064</v>
      </c>
      <c r="GF1762" s="8">
        <v>3.2425674251729406</v>
      </c>
      <c r="GG1762" s="8">
        <v>1.8100421704621514</v>
      </c>
      <c r="GH1762" s="8">
        <v>0.17282465026292085</v>
      </c>
      <c r="GI1762" s="8">
        <v>3.9279002366474529</v>
      </c>
    </row>
    <row r="1763" spans="182:191">
      <c r="FZ1763" s="8">
        <v>1.3671683512601061</v>
      </c>
      <c r="GA1763" s="8">
        <v>5.9136254158280579</v>
      </c>
      <c r="GB1763" s="8">
        <v>1.4850491185565997</v>
      </c>
      <c r="GC1763" s="8">
        <v>1.2067587109775078</v>
      </c>
      <c r="GD1763" s="8">
        <v>1.2591587501754513</v>
      </c>
      <c r="GE1763" s="8">
        <v>1.8400627042736304</v>
      </c>
      <c r="GF1763" s="8">
        <v>4.9658519860576096</v>
      </c>
      <c r="GG1763" s="8">
        <v>3.3723714037075605</v>
      </c>
      <c r="GH1763" s="8">
        <v>0.40861888541082891</v>
      </c>
      <c r="GI1763" s="8">
        <v>3.5796757058424187</v>
      </c>
    </row>
    <row r="1764" spans="182:191">
      <c r="FZ1764" s="8">
        <v>5.7465680657366089</v>
      </c>
      <c r="GA1764" s="8">
        <v>13.903581591015254</v>
      </c>
      <c r="GB1764" s="8">
        <v>4.0707196376214858</v>
      </c>
      <c r="GC1764" s="8">
        <v>0.30002694572131994</v>
      </c>
      <c r="GD1764" s="8">
        <v>0.806084867483567</v>
      </c>
      <c r="GE1764" s="8">
        <v>2.0577777901744225</v>
      </c>
      <c r="GF1764" s="8">
        <v>2.1644079472678919</v>
      </c>
      <c r="GG1764" s="8">
        <v>1.1871761882489873</v>
      </c>
      <c r="GH1764" s="8">
        <v>0</v>
      </c>
      <c r="GI1764" s="8">
        <v>4.1461408820261738</v>
      </c>
    </row>
    <row r="1765" spans="182:191">
      <c r="FZ1765" s="8">
        <v>2.6886798659783597</v>
      </c>
      <c r="GA1765" s="8">
        <v>11.587074174760446</v>
      </c>
      <c r="GB1765" s="8">
        <v>5.1341071509174672</v>
      </c>
      <c r="GC1765" s="8">
        <v>0.56948617987981809</v>
      </c>
      <c r="GD1765" s="8">
        <v>1.2196435548152824</v>
      </c>
      <c r="GE1765" s="8">
        <v>2.9950308804651282</v>
      </c>
      <c r="GF1765" s="8">
        <v>4.2952384868576763</v>
      </c>
      <c r="GG1765" s="8">
        <v>2.2555066839041871</v>
      </c>
      <c r="GH1765" s="8">
        <v>0.3456493005258417</v>
      </c>
      <c r="GI1765" s="8">
        <v>5.3960188308751951</v>
      </c>
    </row>
    <row r="1766" spans="182:191">
      <c r="FZ1766" s="8">
        <v>4.3673453320919977</v>
      </c>
      <c r="GA1766" s="8">
        <v>6.6147134678043713</v>
      </c>
      <c r="GB1766" s="8">
        <v>0.81167617454513741</v>
      </c>
      <c r="GC1766" s="8">
        <v>0.94087808445413457</v>
      </c>
      <c r="GD1766" s="8">
        <v>1.1689267334959044</v>
      </c>
      <c r="GE1766" s="8">
        <v>2.0464804055431869</v>
      </c>
      <c r="GF1766" s="8">
        <v>3.841124583655696</v>
      </c>
      <c r="GG1766" s="8">
        <v>2.4324324403942232</v>
      </c>
      <c r="GH1766" s="8">
        <v>0.40861888541082891</v>
      </c>
      <c r="GI1766" s="8">
        <v>2.8756672696907724</v>
      </c>
    </row>
    <row r="1767" spans="182:191">
      <c r="FZ1767" s="8">
        <v>4.3673453320919977</v>
      </c>
      <c r="GA1767" s="8">
        <v>14.877902705737501</v>
      </c>
      <c r="GB1767" s="8">
        <v>4.054480071191735</v>
      </c>
      <c r="GC1767" s="8">
        <v>0.48814814960825575</v>
      </c>
      <c r="GD1767" s="8">
        <v>0.48556995980610551</v>
      </c>
      <c r="GE1767" s="8">
        <v>1.3123836960553801</v>
      </c>
      <c r="GF1767" s="8">
        <v>5.9916523342535566</v>
      </c>
      <c r="GG1767" s="8">
        <v>4.6879391242984099</v>
      </c>
      <c r="GH1767" s="8">
        <v>0.23579423514790807</v>
      </c>
      <c r="GI1767" s="8">
        <v>5.5785907676939122</v>
      </c>
    </row>
    <row r="1768" spans="182:191">
      <c r="FZ1768" s="8">
        <v>5.8042792846629672</v>
      </c>
      <c r="GA1768" s="8">
        <v>10.380359011226984</v>
      </c>
      <c r="GB1768" s="8">
        <v>2.0048263979392003</v>
      </c>
      <c r="GC1768" s="8">
        <v>0.49399562645318773</v>
      </c>
      <c r="GD1768" s="8">
        <v>0.73923913886376624</v>
      </c>
      <c r="GE1768" s="8">
        <v>1.7931124196850692</v>
      </c>
      <c r="GF1768" s="8">
        <v>2.7045579792807679</v>
      </c>
      <c r="GG1768" s="8">
        <v>1.3641019447390237</v>
      </c>
      <c r="GH1768" s="8">
        <v>0.40861888541082891</v>
      </c>
      <c r="GI1768" s="8">
        <v>3.2641964847559231</v>
      </c>
    </row>
    <row r="1769" spans="182:191">
      <c r="FZ1769" s="8">
        <v>7.3799570713472793</v>
      </c>
      <c r="GA1769" s="8">
        <v>5.2640841672427374</v>
      </c>
      <c r="GB1769" s="8">
        <v>1.1512587980246769</v>
      </c>
      <c r="GC1769" s="8">
        <v>0.78203377513514616</v>
      </c>
      <c r="GD1769" s="8">
        <v>0.93648947571434649</v>
      </c>
      <c r="GE1769" s="8">
        <v>1.3581328237829264</v>
      </c>
      <c r="GF1769" s="8">
        <v>3.2731358979135443</v>
      </c>
      <c r="GG1769" s="8">
        <v>2.3743523764979746</v>
      </c>
      <c r="GH1769" s="8">
        <v>0.17282465026292085</v>
      </c>
      <c r="GI1769" s="8">
        <v>3.3317378994210998</v>
      </c>
    </row>
    <row r="1770" spans="182:191">
      <c r="FZ1770" s="8">
        <v>3.94042577938575</v>
      </c>
      <c r="GA1770" s="8">
        <v>11.607493681727803</v>
      </c>
      <c r="GB1770" s="8">
        <v>3.8252059838906414</v>
      </c>
      <c r="GC1770" s="8">
        <v>1.5573404427693562</v>
      </c>
      <c r="GD1770" s="8">
        <v>1.4310112595396587</v>
      </c>
      <c r="GE1770" s="8">
        <v>0.82606380994125184</v>
      </c>
      <c r="GF1770" s="8">
        <v>2.934357888284588</v>
      </c>
      <c r="GG1770" s="8">
        <v>2.905129645968084</v>
      </c>
      <c r="GH1770" s="8">
        <v>0.88020735570664521</v>
      </c>
      <c r="GI1770" s="8">
        <v>3.9324379873426318</v>
      </c>
    </row>
    <row r="1771" spans="182:191">
      <c r="FZ1771" s="8">
        <v>6.6007875471879895</v>
      </c>
      <c r="GA1771" s="8">
        <v>11.679459992086155</v>
      </c>
      <c r="GB1771" s="8">
        <v>1.5687560858382839</v>
      </c>
      <c r="GC1771" s="8">
        <v>0.61374469181574565</v>
      </c>
      <c r="GD1771" s="8">
        <v>0.77601519085908266</v>
      </c>
      <c r="GE1771" s="8">
        <v>1.7761264307291837</v>
      </c>
      <c r="GF1771" s="8">
        <v>5.6004204469377399</v>
      </c>
      <c r="GG1771" s="8">
        <v>4.1721631424107617</v>
      </c>
      <c r="GH1771" s="8">
        <v>0.64441312055873701</v>
      </c>
      <c r="GI1771" s="8">
        <v>4.4588313632147383</v>
      </c>
    </row>
    <row r="1772" spans="182:191">
      <c r="FZ1772" s="8">
        <v>2.1339031169960054</v>
      </c>
      <c r="GA1772" s="8">
        <v>18.076345419388844</v>
      </c>
      <c r="GB1772" s="8">
        <v>6.2261001923524724</v>
      </c>
      <c r="GC1772" s="8">
        <v>0.25357906470407005</v>
      </c>
      <c r="GD1772" s="8">
        <v>0.52014967314785743</v>
      </c>
      <c r="GE1772" s="8">
        <v>1.4225998012838768</v>
      </c>
      <c r="GF1772" s="8">
        <v>5.2959943741438522</v>
      </c>
      <c r="GG1772" s="8">
        <v>4.3708661431982385</v>
      </c>
      <c r="GH1772" s="8">
        <v>0.40861888541082891</v>
      </c>
      <c r="GI1772" s="8">
        <v>4.4259513024953119</v>
      </c>
    </row>
    <row r="1773" spans="182:191">
      <c r="FZ1773" s="8">
        <v>7.5828642249154772</v>
      </c>
      <c r="GA1773" s="8">
        <v>12.855365056508028</v>
      </c>
      <c r="GB1773" s="8">
        <v>3.3089728106132226</v>
      </c>
      <c r="GC1773" s="8">
        <v>0.69365587258270611</v>
      </c>
      <c r="GD1773" s="8">
        <v>0.51592959166591679</v>
      </c>
      <c r="GE1773" s="8">
        <v>1.2185029353017429</v>
      </c>
      <c r="GF1773" s="8">
        <v>5.002566110635609</v>
      </c>
      <c r="GG1773" s="8">
        <v>3.2439798713656982</v>
      </c>
      <c r="GH1773" s="8">
        <v>0.23579423514790807</v>
      </c>
      <c r="GI1773" s="8">
        <v>4.324285826168043</v>
      </c>
    </row>
    <row r="1774" spans="182:191">
      <c r="FZ1774" s="8">
        <v>9.4648172206361973</v>
      </c>
      <c r="GA1774" s="8">
        <v>7.8625848425845959</v>
      </c>
      <c r="GB1774" s="8">
        <v>0.31410386419271363</v>
      </c>
      <c r="GC1774" s="8">
        <v>0.62845115535458307</v>
      </c>
      <c r="GD1774" s="8">
        <v>0.75427545591323009</v>
      </c>
      <c r="GE1774" s="8">
        <v>1.5727007671527173</v>
      </c>
      <c r="GF1774" s="8">
        <v>1.7140998472239999</v>
      </c>
      <c r="GG1774" s="8">
        <v>0.67140020636133779</v>
      </c>
      <c r="GH1774" s="8">
        <v>0.58144353567374973</v>
      </c>
      <c r="GI1774" s="8">
        <v>3.3500975032972624</v>
      </c>
    </row>
    <row r="1775" spans="182:191">
      <c r="FZ1775" s="8">
        <v>7.1435099137858389</v>
      </c>
      <c r="GA1775" s="8">
        <v>14.604669642991567</v>
      </c>
      <c r="GB1775" s="8">
        <v>3.4172182047826407</v>
      </c>
      <c r="GC1775" s="8">
        <v>0.62586952136483476</v>
      </c>
      <c r="GD1775" s="8">
        <v>0.37508932929075012</v>
      </c>
      <c r="GE1775" s="8">
        <v>0.74027471673545131</v>
      </c>
      <c r="GF1775" s="8">
        <v>7.7901958082565539</v>
      </c>
      <c r="GG1775" s="8">
        <v>6.7547643594442874</v>
      </c>
      <c r="GH1775" s="8">
        <v>0.23579423514790807</v>
      </c>
      <c r="GI1775" s="8">
        <v>4.0900800648475899</v>
      </c>
    </row>
    <row r="1776" spans="182:191">
      <c r="FZ1776" s="8">
        <v>3.6583217852824563</v>
      </c>
      <c r="GA1776" s="8">
        <v>13.704243948054298</v>
      </c>
      <c r="GB1776" s="8">
        <v>3.8823113822755637</v>
      </c>
      <c r="GC1776" s="8">
        <v>0.86161231218461121</v>
      </c>
      <c r="GD1776" s="8">
        <v>0.98793630264831678</v>
      </c>
      <c r="GE1776" s="8">
        <v>1.6194930068008717</v>
      </c>
      <c r="GF1776" s="8">
        <v>2.6908983762038146</v>
      </c>
      <c r="GG1776" s="8">
        <v>1.9651906826547476</v>
      </c>
      <c r="GH1776" s="8">
        <v>1.0530320059695661</v>
      </c>
      <c r="GI1776" s="8">
        <v>4.2561774669479044</v>
      </c>
    </row>
    <row r="1777" spans="182:191">
      <c r="FZ1777" s="8">
        <v>6.9406027602176419</v>
      </c>
      <c r="GA1777" s="8">
        <v>4.244730138731942</v>
      </c>
      <c r="GB1777" s="8">
        <v>0.20940257612847571</v>
      </c>
      <c r="GC1777" s="8">
        <v>0.48750274111081854</v>
      </c>
      <c r="GD1777" s="8">
        <v>0.72624850159664622</v>
      </c>
      <c r="GE1777" s="8">
        <v>1.2080318579140861</v>
      </c>
      <c r="GF1777" s="8">
        <v>3.1192987322378265</v>
      </c>
      <c r="GG1777" s="8">
        <v>2.6796696653298739</v>
      </c>
      <c r="GH1777" s="8">
        <v>0.92709283619959149</v>
      </c>
      <c r="GI1777" s="8">
        <v>3.5497928593216086</v>
      </c>
    </row>
    <row r="1778" spans="182:191">
      <c r="FZ1778" s="8">
        <v>5.2076746565069838</v>
      </c>
      <c r="GA1778" s="8">
        <v>4.871605573611232</v>
      </c>
      <c r="GB1778" s="8">
        <v>0.38269407465458316</v>
      </c>
      <c r="GC1778" s="8">
        <v>0.62293632222714646</v>
      </c>
      <c r="GD1778" s="8">
        <v>0.6248254917593814</v>
      </c>
      <c r="GE1778" s="8">
        <v>1.371481760928017</v>
      </c>
      <c r="GF1778" s="8">
        <v>4.181341365253882</v>
      </c>
      <c r="GG1778" s="8">
        <v>3.0552984226073874</v>
      </c>
      <c r="GH1778" s="8">
        <v>0.40861888541082891</v>
      </c>
      <c r="GI1778" s="8">
        <v>4.0229429718723324</v>
      </c>
    </row>
    <row r="1779" spans="182:191">
      <c r="FZ1779" s="8">
        <v>11.805393998404522</v>
      </c>
      <c r="GA1779" s="8">
        <v>11.533598261942824</v>
      </c>
      <c r="GB1779" s="8">
        <v>3.3613234546453414</v>
      </c>
      <c r="GC1779" s="8">
        <v>1.2020253188572358</v>
      </c>
      <c r="GD1779" s="8">
        <v>0.84887676184872907</v>
      </c>
      <c r="GE1779" s="8">
        <v>1.3470116922963682</v>
      </c>
      <c r="GF1779" s="8">
        <v>7.3348578752033458</v>
      </c>
      <c r="GG1779" s="8">
        <v>5.1824135741697113</v>
      </c>
      <c r="GH1779" s="8">
        <v>0.58144353567374973</v>
      </c>
      <c r="GI1779" s="8">
        <v>5.3124989554328019</v>
      </c>
    </row>
    <row r="1780" spans="182:191">
      <c r="FZ1780" s="8">
        <v>6.8531180445021604</v>
      </c>
      <c r="GA1780" s="8">
        <v>13.735054047165892</v>
      </c>
      <c r="GB1780" s="8">
        <v>5.3050651915860154</v>
      </c>
      <c r="GC1780" s="8">
        <v>0.26523521802593591</v>
      </c>
      <c r="GD1780" s="8">
        <v>0.30335594000498917</v>
      </c>
      <c r="GE1780" s="8">
        <v>0.96415563724083686</v>
      </c>
      <c r="GF1780" s="8">
        <v>3.5366985108618079</v>
      </c>
      <c r="GG1780" s="8">
        <v>2.9849869541617733</v>
      </c>
      <c r="GH1780" s="8">
        <v>0.64441312055873701</v>
      </c>
      <c r="GI1780" s="8">
        <v>4.5363387968150386</v>
      </c>
    </row>
    <row r="1781" spans="182:191">
      <c r="FZ1781" s="8">
        <v>3.0582685757971344</v>
      </c>
      <c r="GA1781" s="8">
        <v>0</v>
      </c>
      <c r="GB1781" s="8">
        <v>0.12094085449398843</v>
      </c>
      <c r="GC1781" s="8">
        <v>0.58329409133220744</v>
      </c>
      <c r="GD1781" s="8">
        <v>0.83189853706012851</v>
      </c>
      <c r="GE1781" s="8">
        <v>1.6535668888463477</v>
      </c>
      <c r="GF1781" s="8">
        <v>3.5467729043737508</v>
      </c>
      <c r="GG1781" s="8">
        <v>2.2555066839041871</v>
      </c>
      <c r="GH1781" s="8">
        <v>0.51847395078876257</v>
      </c>
      <c r="GI1781" s="8">
        <v>2.3184551151739012</v>
      </c>
    </row>
    <row r="1782" spans="182:191">
      <c r="FZ1782" s="8">
        <v>16.914159517255456</v>
      </c>
      <c r="GA1782" s="8">
        <v>13.850422875509677</v>
      </c>
      <c r="GB1782" s="8">
        <v>0.90013789617962481</v>
      </c>
      <c r="GC1782" s="8">
        <v>1.078247891062774</v>
      </c>
      <c r="GD1782" s="8">
        <v>0.95023399277207954</v>
      </c>
      <c r="GE1782" s="8">
        <v>1.6553961915040778</v>
      </c>
      <c r="GF1782" s="8">
        <v>4.4641740275795767</v>
      </c>
      <c r="GG1782" s="8">
        <v>3.0335211783099472</v>
      </c>
      <c r="GH1782" s="8">
        <v>0.88020735570664521</v>
      </c>
      <c r="GI1782" s="8">
        <v>4.6516981944233775</v>
      </c>
    </row>
    <row r="1783" spans="182:191">
      <c r="FZ1783" s="8">
        <v>3.5131258506406171</v>
      </c>
      <c r="GA1783" s="8">
        <v>9.0381727096944218</v>
      </c>
      <c r="GB1783" s="8">
        <v>3.2090262769017874</v>
      </c>
      <c r="GC1783" s="8">
        <v>0.98169402126466443</v>
      </c>
      <c r="GD1783" s="8">
        <v>1.1055755623155195</v>
      </c>
      <c r="GE1783" s="8">
        <v>1.7106927188663947</v>
      </c>
      <c r="GF1783" s="8">
        <v>4.0054622964448523</v>
      </c>
      <c r="GG1783" s="8">
        <v>2.9849869541617733</v>
      </c>
      <c r="GH1783" s="8">
        <v>0.47158847029581613</v>
      </c>
      <c r="GI1783" s="8">
        <v>4.6569947859735388</v>
      </c>
    </row>
    <row r="1784" spans="182:191">
      <c r="FZ1784" s="8">
        <v>8.5808242423956926</v>
      </c>
      <c r="GA1784" s="8">
        <v>8.1892938181481494</v>
      </c>
      <c r="GB1784" s="8">
        <v>2.8576979030548051</v>
      </c>
      <c r="GC1784" s="8">
        <v>1.4332502501949529</v>
      </c>
      <c r="GD1784" s="8">
        <v>0.98105856066217711</v>
      </c>
      <c r="GE1784" s="8">
        <v>0.70978215089196783</v>
      </c>
      <c r="GF1784" s="8">
        <v>6.1266902822805847</v>
      </c>
      <c r="GG1784" s="8">
        <v>5.2404936380659599</v>
      </c>
      <c r="GH1784" s="8">
        <v>0.81723777082165783</v>
      </c>
      <c r="GI1784" s="8">
        <v>4.5903918419589615</v>
      </c>
    </row>
    <row r="1785" spans="182:191">
      <c r="FZ1785" s="8">
        <v>10.83537170306154</v>
      </c>
      <c r="GA1785" s="8">
        <v>10.380359011226984</v>
      </c>
      <c r="GB1785" s="8">
        <v>1.9001251098749625</v>
      </c>
      <c r="GC1785" s="8">
        <v>0.92272904578989945</v>
      </c>
      <c r="GD1785" s="8">
        <v>0.9540773402164604</v>
      </c>
      <c r="GE1785" s="8">
        <v>1.5879367711121379</v>
      </c>
      <c r="GF1785" s="8">
        <v>3.2264505802839469</v>
      </c>
      <c r="GG1785" s="8">
        <v>1.7397307020165371</v>
      </c>
      <c r="GH1785" s="8">
        <v>0.58144353567374973</v>
      </c>
      <c r="GI1785" s="8">
        <v>4.0737252810213285</v>
      </c>
    </row>
    <row r="1786" spans="182:191">
      <c r="FZ1786" s="8">
        <v>6.1738679944817427</v>
      </c>
      <c r="GA1786" s="8">
        <v>17.227466527842569</v>
      </c>
      <c r="GB1786" s="8">
        <v>5.7388020458293738</v>
      </c>
      <c r="GC1786" s="8">
        <v>1.0659463292434708</v>
      </c>
      <c r="GD1786" s="8">
        <v>0.98179479050660778</v>
      </c>
      <c r="GE1786" s="8">
        <v>1.4499448193984605</v>
      </c>
      <c r="GF1786" s="8">
        <v>5.7588331014825798</v>
      </c>
      <c r="GG1786" s="8">
        <v>4.5963261238364481</v>
      </c>
      <c r="GH1786" s="8">
        <v>0.88020735570664521</v>
      </c>
      <c r="GI1786" s="8">
        <v>5.6895907995781698</v>
      </c>
    </row>
    <row r="1787" spans="182:191">
      <c r="FZ1787" s="8">
        <v>2.8338758006201989</v>
      </c>
      <c r="GA1787" s="8">
        <v>15.099906162404483</v>
      </c>
      <c r="GB1787" s="8">
        <v>4.4707667107577196</v>
      </c>
      <c r="GC1787" s="8">
        <v>0.35551173511988821</v>
      </c>
      <c r="GD1787" s="8">
        <v>0.16779905974207165</v>
      </c>
      <c r="GE1787" s="8">
        <v>0.78433806438225162</v>
      </c>
      <c r="GF1787" s="8">
        <v>2.5191463035987876</v>
      </c>
      <c r="GG1787" s="8">
        <v>1.3641019447390237</v>
      </c>
      <c r="GH1787" s="8">
        <v>0.23579423514790807</v>
      </c>
      <c r="GI1787" s="8">
        <v>3.6856895078070431</v>
      </c>
    </row>
    <row r="1788" spans="182:191">
      <c r="FZ1788" s="8">
        <v>5.5316065297839057</v>
      </c>
      <c r="GA1788" s="8">
        <v>5.2929466732391681</v>
      </c>
      <c r="GB1788" s="8">
        <v>0.76174682700826335</v>
      </c>
      <c r="GC1788" s="8">
        <v>0.56170247754257474</v>
      </c>
      <c r="GD1788" s="8">
        <v>0.55123101296072452</v>
      </c>
      <c r="GE1788" s="8">
        <v>1.7351451696758966</v>
      </c>
      <c r="GF1788" s="8">
        <v>6.5027008560337594</v>
      </c>
      <c r="GG1788" s="8">
        <v>4.3708661431982385</v>
      </c>
      <c r="GH1788" s="8">
        <v>0.58144353567374973</v>
      </c>
      <c r="GI1788" s="8">
        <v>4.860883581497208</v>
      </c>
    </row>
    <row r="1789" spans="182:191">
      <c r="FZ1789" s="8">
        <v>7.4376682902736375</v>
      </c>
      <c r="GA1789" s="8">
        <v>2.6947631952093558</v>
      </c>
      <c r="GB1789" s="8">
        <v>0.55010800921795111</v>
      </c>
      <c r="GC1789" s="8">
        <v>0.68483449683959963</v>
      </c>
      <c r="GD1789" s="8">
        <v>0.44283366390310791</v>
      </c>
      <c r="GE1789" s="8">
        <v>0.41954678087340269</v>
      </c>
      <c r="GF1789" s="8">
        <v>3.8318422149184093</v>
      </c>
      <c r="GG1789" s="8">
        <v>3.3723714037075605</v>
      </c>
      <c r="GH1789" s="8">
        <v>0.23579423514790807</v>
      </c>
      <c r="GI1789" s="8">
        <v>2.4875972448466501</v>
      </c>
    </row>
    <row r="1790" spans="182:191">
      <c r="FZ1790" s="8">
        <v>8.9870211614981663</v>
      </c>
      <c r="GA1790" s="8">
        <v>14.33111938293359</v>
      </c>
      <c r="GB1790" s="8">
        <v>3.8462003046731956</v>
      </c>
      <c r="GC1790" s="8">
        <v>0.75760738376675385</v>
      </c>
      <c r="GD1790" s="8">
        <v>0.79388273648762187</v>
      </c>
      <c r="GE1790" s="8">
        <v>1.9219015958903185</v>
      </c>
      <c r="GF1790" s="8">
        <v>4.0566979957555613</v>
      </c>
      <c r="GG1790" s="8">
        <v>2.0568036831167102</v>
      </c>
      <c r="GH1790" s="8">
        <v>0.40861888541082891</v>
      </c>
      <c r="GI1790" s="8">
        <v>4.8580528491439674</v>
      </c>
    </row>
    <row r="1791" spans="182:191">
      <c r="FZ1791" s="8">
        <v>8.4650214285040928</v>
      </c>
      <c r="GA1791" s="8">
        <v>16.399007143263656</v>
      </c>
      <c r="GB1791" s="8">
        <v>3.8240831742807053</v>
      </c>
      <c r="GC1791" s="8">
        <v>0.49108134874594384</v>
      </c>
      <c r="GD1791" s="8">
        <v>0.66180131262072872</v>
      </c>
      <c r="GE1791" s="8">
        <v>1.5604948175141427</v>
      </c>
      <c r="GF1791" s="8">
        <v>8.9050694107396033</v>
      </c>
      <c r="GG1791" s="8">
        <v>7.2492388093155888</v>
      </c>
      <c r="GH1791" s="8">
        <v>0.23579423514790807</v>
      </c>
      <c r="GI1791" s="8">
        <v>5.2791287914978868</v>
      </c>
    </row>
    <row r="1792" spans="182:191">
      <c r="FZ1792" s="8">
        <v>3.5428993474297403</v>
      </c>
      <c r="GA1792" s="8">
        <v>16.472902563048635</v>
      </c>
      <c r="GB1792" s="8">
        <v>4.5497189236866005</v>
      </c>
      <c r="GC1792" s="8">
        <v>0.87768909284680729</v>
      </c>
      <c r="GD1792" s="8">
        <v>0.68731618397275984</v>
      </c>
      <c r="GE1792" s="8">
        <v>1.3010863114241447</v>
      </c>
      <c r="GF1792" s="8">
        <v>2.1146141032771038</v>
      </c>
      <c r="GG1792" s="8">
        <v>0.42416298142568709</v>
      </c>
      <c r="GH1792" s="8">
        <v>0.40861888541082891</v>
      </c>
      <c r="GI1792" s="8">
        <v>3.611102699092049</v>
      </c>
    </row>
    <row r="1793" spans="182:191">
      <c r="FZ1793" s="8">
        <v>3.9981369983121078</v>
      </c>
      <c r="GA1793" s="8">
        <v>15.130716261516074</v>
      </c>
      <c r="GB1793" s="8">
        <v>6.0307009409919115</v>
      </c>
      <c r="GC1793" s="8">
        <v>0.94572858765368983</v>
      </c>
      <c r="GD1793" s="8">
        <v>1.2136073692623262</v>
      </c>
      <c r="GE1793" s="8">
        <v>2.0749860289864328</v>
      </c>
      <c r="GF1793" s="8">
        <v>4.7854866309734918</v>
      </c>
      <c r="GG1793" s="8">
        <v>3.4426828721531746</v>
      </c>
      <c r="GH1793" s="8">
        <v>0.17282465026292085</v>
      </c>
      <c r="GI1793" s="8">
        <v>5.073294477938469</v>
      </c>
    </row>
    <row r="1794" spans="182:191">
      <c r="FZ1794" s="8">
        <v>10.155741277002235</v>
      </c>
      <c r="GA1794" s="8">
        <v>27.513510612317219</v>
      </c>
      <c r="GB1794" s="8">
        <v>8.0127899971967924</v>
      </c>
      <c r="GC1794" s="8">
        <v>0.11405749996490736</v>
      </c>
      <c r="GD1794" s="8">
        <v>1.0587107447946482</v>
      </c>
      <c r="GE1794" s="8">
        <v>2.5530767605369604</v>
      </c>
      <c r="GF1794" s="8">
        <v>5.4127972302248066</v>
      </c>
      <c r="GG1794" s="8">
        <v>4.4411776116438517</v>
      </c>
      <c r="GH1794" s="8">
        <v>0.17282465026292085</v>
      </c>
      <c r="GI1794" s="8">
        <v>7.0635588628137338</v>
      </c>
    </row>
    <row r="1795" spans="182:191">
      <c r="FZ1795" s="8">
        <v>14.905110077336399</v>
      </c>
      <c r="GA1795" s="8">
        <v>12.582131993762097</v>
      </c>
      <c r="GB1795" s="8">
        <v>2.6205709484196316</v>
      </c>
      <c r="GC1795" s="8">
        <v>1.1233673441343506</v>
      </c>
      <c r="GD1795" s="8">
        <v>1.6418656734056281</v>
      </c>
      <c r="GE1795" s="8">
        <v>2.5998694053830134</v>
      </c>
      <c r="GF1795" s="8">
        <v>4.2994937907100326</v>
      </c>
      <c r="GG1795" s="8">
        <v>2.8783726661173508</v>
      </c>
      <c r="GH1795" s="8">
        <v>0</v>
      </c>
      <c r="GI1795" s="8">
        <v>6.4467199483224054</v>
      </c>
    </row>
    <row r="1796" spans="182:191">
      <c r="FZ1796" s="8">
        <v>8.3495989906513763</v>
      </c>
      <c r="GA1796" s="8">
        <v>13.63034852826932</v>
      </c>
      <c r="GB1796" s="8">
        <v>3.2764058391160349</v>
      </c>
      <c r="GC1796" s="8">
        <v>0.93244897361945411</v>
      </c>
      <c r="GD1796" s="8">
        <v>0.85357581512748681</v>
      </c>
      <c r="GE1796" s="8">
        <v>1.1652751730775288</v>
      </c>
      <c r="GF1796" s="8">
        <v>2.3095202888068629</v>
      </c>
      <c r="GG1796" s="8">
        <v>1.5410277012290603</v>
      </c>
      <c r="GH1796" s="8">
        <v>0.81723777082165783</v>
      </c>
      <c r="GI1796" s="8">
        <v>4.6125678055259947</v>
      </c>
    </row>
    <row r="1797" spans="182:191">
      <c r="FZ1797" s="8">
        <v>4.222149397450158</v>
      </c>
      <c r="GA1797" s="8">
        <v>17.720456740516816</v>
      </c>
      <c r="GB1797" s="8">
        <v>5.2555710005575644</v>
      </c>
      <c r="GC1797" s="8">
        <v>0.54032639639115421</v>
      </c>
      <c r="GD1797" s="8">
        <v>0.76922113884568022</v>
      </c>
      <c r="GE1797" s="8">
        <v>1.6758101473994869</v>
      </c>
      <c r="GF1797" s="8">
        <v>5.719685082185312</v>
      </c>
      <c r="GG1797" s="8">
        <v>4.489236123510933</v>
      </c>
      <c r="GH1797" s="8">
        <v>0.47158847029581613</v>
      </c>
      <c r="GI1797" s="8">
        <v>5.4634664578510961</v>
      </c>
    </row>
    <row r="1798" spans="182:191">
      <c r="FZ1798" s="8">
        <v>2.2334422150959923</v>
      </c>
      <c r="GA1798" s="8">
        <v>15.099906162404483</v>
      </c>
      <c r="GB1798" s="8">
        <v>4.3997552038006056</v>
      </c>
      <c r="GC1798" s="8">
        <v>1.3420751810145521</v>
      </c>
      <c r="GD1798" s="8">
        <v>1.8294947163335633</v>
      </c>
      <c r="GE1798" s="8">
        <v>2.2691188681540484</v>
      </c>
      <c r="GF1798" s="8">
        <v>0.70685578402004079</v>
      </c>
      <c r="GG1798" s="8">
        <v>0.353851512980073</v>
      </c>
      <c r="GH1798" s="8">
        <v>0.64441312055873701</v>
      </c>
      <c r="GI1798" s="8">
        <v>4.9733950404242471</v>
      </c>
    </row>
    <row r="1799" spans="182:191">
      <c r="FZ1799" s="8">
        <v>9.5715714072696443</v>
      </c>
      <c r="GA1799" s="8">
        <v>18.401125285525772</v>
      </c>
      <c r="GB1799" s="8">
        <v>5.8038481501860621</v>
      </c>
      <c r="GC1799" s="8">
        <v>0.2877253839020168</v>
      </c>
      <c r="GD1799" s="8">
        <v>0.24870592358701299</v>
      </c>
      <c r="GE1799" s="8">
        <v>0.47673078024794868</v>
      </c>
      <c r="GF1799" s="8">
        <v>2.2634242040678907</v>
      </c>
      <c r="GG1799" s="8">
        <v>1.6816506381202889</v>
      </c>
      <c r="GH1799" s="8">
        <v>0.3456493005258417</v>
      </c>
      <c r="GI1799" s="8">
        <v>4.3801856943186772</v>
      </c>
    </row>
    <row r="1800" spans="182:191">
      <c r="FZ1800" s="8">
        <v>7.9222990619062443</v>
      </c>
      <c r="GA1800" s="8">
        <v>19.324216794169068</v>
      </c>
      <c r="GB1800" s="8">
        <v>5.6027444345155706</v>
      </c>
      <c r="GC1800" s="8">
        <v>0.59430483615663632</v>
      </c>
      <c r="GD1800" s="8">
        <v>1.0643308271447749</v>
      </c>
      <c r="GE1800" s="8">
        <v>2.4980024830307679</v>
      </c>
      <c r="GF1800" s="8">
        <v>2.2758432897050693</v>
      </c>
      <c r="GG1800" s="8">
        <v>0.67140020636133779</v>
      </c>
      <c r="GH1800" s="8">
        <v>0.75426818593667067</v>
      </c>
      <c r="GI1800" s="8">
        <v>5.1120139238981048</v>
      </c>
    </row>
    <row r="1801" spans="182:191">
      <c r="FZ1801" s="8">
        <v>9.8536754013729375</v>
      </c>
      <c r="GA1801" s="8">
        <v>12.58181479645005</v>
      </c>
      <c r="GB1801" s="8">
        <v>4.0021294271596162</v>
      </c>
      <c r="GC1801" s="8">
        <v>1.3828911178250822</v>
      </c>
      <c r="GD1801" s="8">
        <v>1.1248888967716351</v>
      </c>
      <c r="GE1801" s="8">
        <v>1.1335074187718275</v>
      </c>
      <c r="GF1801" s="8">
        <v>3.5614227867548154</v>
      </c>
      <c r="GG1801" s="8">
        <v>2.2555066839041871</v>
      </c>
      <c r="GH1801" s="8">
        <v>0</v>
      </c>
      <c r="GI1801" s="8">
        <v>5.0385355734782546</v>
      </c>
    </row>
    <row r="1802" spans="182:191">
      <c r="FZ1802" s="8">
        <v>2.718453362767483</v>
      </c>
      <c r="GA1802" s="8">
        <v>4.6660712383598781</v>
      </c>
      <c r="GB1802" s="8">
        <v>0.90013789617962481</v>
      </c>
      <c r="GC1802" s="8">
        <v>1.1302901053359449</v>
      </c>
      <c r="GD1802" s="8">
        <v>1.2087528839797188</v>
      </c>
      <c r="GE1802" s="8">
        <v>1.8986855674141214</v>
      </c>
      <c r="GF1802" s="8">
        <v>5.1787430253977798</v>
      </c>
      <c r="GG1802" s="8">
        <v>3.9249259174751105</v>
      </c>
      <c r="GH1802" s="8">
        <v>0.47158847029581613</v>
      </c>
      <c r="GI1802" s="8">
        <v>2.9778185634604277</v>
      </c>
    </row>
    <row r="1803" spans="182:191">
      <c r="FZ1803" s="8">
        <v>10.583041205747367</v>
      </c>
      <c r="GA1803" s="8">
        <v>18.296419766629199</v>
      </c>
      <c r="GB1803" s="8">
        <v>3.8287500899958227</v>
      </c>
      <c r="GC1803" s="8">
        <v>0.39937798214738968</v>
      </c>
      <c r="GD1803" s="8">
        <v>0.65948168981695376</v>
      </c>
      <c r="GE1803" s="8">
        <v>2.2967981843537153</v>
      </c>
      <c r="GF1803" s="8">
        <v>5.6688905700607588</v>
      </c>
      <c r="GG1803" s="8">
        <v>3.5983070966268622</v>
      </c>
      <c r="GH1803" s="8">
        <v>0.64441312055873701</v>
      </c>
      <c r="GI1803" s="8">
        <v>5.4722636157552857</v>
      </c>
    </row>
    <row r="1804" spans="182:191">
      <c r="FZ1804" s="8">
        <v>1.7944682800052389</v>
      </c>
      <c r="GA1804" s="8">
        <v>3.7429797297165819</v>
      </c>
      <c r="GB1804" s="8">
        <v>0.99896162028112334</v>
      </c>
      <c r="GC1804" s="8">
        <v>0.77446560543611487</v>
      </c>
      <c r="GD1804" s="8">
        <v>1.7641815553435718</v>
      </c>
      <c r="GE1804" s="8">
        <v>2.5875255635307757</v>
      </c>
      <c r="GF1804" s="8">
        <v>1.0065749769457624</v>
      </c>
      <c r="GG1804" s="8">
        <v>0.93993896331333671</v>
      </c>
      <c r="GH1804" s="8">
        <v>0</v>
      </c>
      <c r="GI1804" s="8">
        <v>3.2298188816846256</v>
      </c>
    </row>
    <row r="1805" spans="182:191">
      <c r="FZ1805" s="8">
        <v>7.4376682902736375</v>
      </c>
      <c r="GA1805" s="8">
        <v>8.587969104070055</v>
      </c>
      <c r="GB1805" s="8">
        <v>2.8205518544801871</v>
      </c>
      <c r="GC1805" s="8">
        <v>0.28901620089689101</v>
      </c>
      <c r="GD1805" s="8">
        <v>0.46383022486025305</v>
      </c>
      <c r="GE1805" s="8">
        <v>0.82606380994125184</v>
      </c>
      <c r="GF1805" s="8">
        <v>5.0289461430542648</v>
      </c>
      <c r="GG1805" s="8">
        <v>4.3826218354665114</v>
      </c>
      <c r="GH1805" s="8">
        <v>0.17282465026292085</v>
      </c>
      <c r="GI1805" s="8">
        <v>4.0939980114341914</v>
      </c>
    </row>
    <row r="1806" spans="182:191">
      <c r="FZ1806" s="8">
        <v>11.602106468797439</v>
      </c>
      <c r="GA1806" s="8">
        <v>10.137936047592643</v>
      </c>
      <c r="GB1806" s="8">
        <v>2.6182374905620733</v>
      </c>
      <c r="GC1806" s="8">
        <v>1.2269800076437818</v>
      </c>
      <c r="GD1806" s="8">
        <v>1.6099198600267168</v>
      </c>
      <c r="GE1806" s="8">
        <v>2.2290436372035041</v>
      </c>
      <c r="GF1806" s="8">
        <v>4.2229511637177666</v>
      </c>
      <c r="GG1806" s="8">
        <v>2.8783726661173508</v>
      </c>
      <c r="GH1806" s="8">
        <v>0</v>
      </c>
      <c r="GI1806" s="8">
        <v>5.5024278588654525</v>
      </c>
    </row>
    <row r="1807" spans="182:191">
      <c r="FZ1807" s="8">
        <v>4.8644108621479933</v>
      </c>
      <c r="GA1807" s="8">
        <v>4.8654088813208318</v>
      </c>
      <c r="GB1807" s="8">
        <v>1.0000844298910594</v>
      </c>
      <c r="GC1807" s="8">
        <v>1.0776024825653368</v>
      </c>
      <c r="GD1807" s="8">
        <v>1.071621979096816</v>
      </c>
      <c r="GE1807" s="8">
        <v>1.3878809051206966</v>
      </c>
      <c r="GF1807" s="8">
        <v>2.2545710722827899</v>
      </c>
      <c r="GG1807" s="8">
        <v>1.5410277012290603</v>
      </c>
      <c r="GH1807" s="8">
        <v>0.64441312055873701</v>
      </c>
      <c r="GI1807" s="8">
        <v>3.627701687411903</v>
      </c>
    </row>
    <row r="1808" spans="182:191">
      <c r="FZ1808" s="8">
        <v>6.4555916125461508</v>
      </c>
      <c r="GA1808" s="8">
        <v>18.201787642564817</v>
      </c>
      <c r="GB1808" s="8">
        <v>5.7051122647222501</v>
      </c>
      <c r="GC1808" s="8">
        <v>0.28901620089689095</v>
      </c>
      <c r="GD1808" s="8">
        <v>0.74055978072842943</v>
      </c>
      <c r="GE1808" s="8">
        <v>1.8812076406306444</v>
      </c>
      <c r="GF1808" s="8">
        <v>1.3070723080651032</v>
      </c>
      <c r="GG1808" s="8">
        <v>0.24723722493565062</v>
      </c>
      <c r="GH1808" s="8">
        <v>0</v>
      </c>
      <c r="GI1808" s="8">
        <v>4.5872382570309869</v>
      </c>
    </row>
    <row r="1809" spans="182:191">
      <c r="FZ1809" s="8">
        <v>4.806699643221636</v>
      </c>
      <c r="GA1809" s="8">
        <v>21.747676036059122</v>
      </c>
      <c r="GB1809" s="8">
        <v>8.1872043053328358</v>
      </c>
      <c r="GC1809" s="8">
        <v>0.93686960095978444</v>
      </c>
      <c r="GD1809" s="8">
        <v>0.78771402813447189</v>
      </c>
      <c r="GE1809" s="8">
        <v>1.3288827158339671</v>
      </c>
      <c r="GF1809" s="8">
        <v>4.0170036524647257</v>
      </c>
      <c r="GG1809" s="8">
        <v>2.5027439088398373</v>
      </c>
      <c r="GH1809" s="8">
        <v>0.17282465026292085</v>
      </c>
      <c r="GI1809" s="8">
        <v>4.929546017048323</v>
      </c>
    </row>
    <row r="1810" spans="182:191">
      <c r="FZ1810" s="8">
        <v>2.5732574281256437</v>
      </c>
      <c r="GA1810" s="8">
        <v>0.59801292888285995</v>
      </c>
      <c r="GB1810" s="8">
        <v>0.54656390311277037</v>
      </c>
      <c r="GC1810" s="8">
        <v>1.2677959444543117</v>
      </c>
      <c r="GD1810" s="8">
        <v>1.0190357785322104</v>
      </c>
      <c r="GE1810" s="8">
        <v>0.54021885074400999</v>
      </c>
      <c r="GF1810" s="8">
        <v>3.0011463067816759</v>
      </c>
      <c r="GG1810" s="8">
        <v>2.5027439088398373</v>
      </c>
      <c r="GH1810" s="8">
        <v>0</v>
      </c>
      <c r="GI1810" s="8">
        <v>3.1721132512858139</v>
      </c>
    </row>
    <row r="1811" spans="182:191">
      <c r="FZ1811" s="8">
        <v>14.175363896923082</v>
      </c>
      <c r="GA1811" s="8">
        <v>10.137936047592643</v>
      </c>
      <c r="GB1811" s="8">
        <v>2.7054885639489381</v>
      </c>
      <c r="GC1811" s="8">
        <v>0.58393949982964455</v>
      </c>
      <c r="GD1811" s="8">
        <v>0.73816222211162486</v>
      </c>
      <c r="GE1811" s="8">
        <v>2.048628893540454</v>
      </c>
      <c r="GF1811" s="8">
        <v>5.6122761364993003</v>
      </c>
      <c r="GG1811" s="8">
        <v>3.4912170963013489</v>
      </c>
      <c r="GH1811" s="8">
        <v>0.40861888541082891</v>
      </c>
      <c r="GI1811" s="8">
        <v>6.0730894444579899</v>
      </c>
    </row>
    <row r="1812" spans="182:191">
      <c r="FZ1812" s="8">
        <v>8.0101641536606092</v>
      </c>
      <c r="GA1812" s="8">
        <v>15.979912350374391</v>
      </c>
      <c r="GB1812" s="8">
        <v>5.0167104025286591</v>
      </c>
      <c r="GC1812" s="8">
        <v>0.82629228707107338</v>
      </c>
      <c r="GD1812" s="8">
        <v>1.2985848457025559</v>
      </c>
      <c r="GE1812" s="8">
        <v>1.6155543874726868</v>
      </c>
      <c r="GF1812" s="8">
        <v>4.0490108971745586</v>
      </c>
      <c r="GG1812" s="8">
        <v>3.6899200970888253</v>
      </c>
      <c r="GH1812" s="8">
        <v>0</v>
      </c>
      <c r="GI1812" s="8">
        <v>5.1264437525858382</v>
      </c>
    </row>
    <row r="1813" spans="182:191">
      <c r="FZ1813" s="8">
        <v>3.1159797947234926</v>
      </c>
      <c r="GA1813" s="8">
        <v>4.9393043011058113</v>
      </c>
      <c r="GB1813" s="8">
        <v>1.5373997625887188</v>
      </c>
      <c r="GC1813" s="8">
        <v>0.93244897361945411</v>
      </c>
      <c r="GD1813" s="8">
        <v>0.76996431283438749</v>
      </c>
      <c r="GE1813" s="8">
        <v>1.2152821054727974</v>
      </c>
      <c r="GF1813" s="8">
        <v>3.7152599524305328</v>
      </c>
      <c r="GG1813" s="8">
        <v>2.3040409080523605</v>
      </c>
      <c r="GH1813" s="8">
        <v>0.23579423514790807</v>
      </c>
      <c r="GI1813" s="8">
        <v>3.5157339719522751</v>
      </c>
    </row>
    <row r="1814" spans="182:191">
      <c r="FZ1814" s="8">
        <v>3.997756622273223</v>
      </c>
      <c r="GA1814" s="8">
        <v>11.35468012594923</v>
      </c>
      <c r="GB1814" s="8">
        <v>2.1107383342510606</v>
      </c>
      <c r="GC1814" s="8">
        <v>0.86925998201212695</v>
      </c>
      <c r="GD1814" s="8">
        <v>1.0673473106277109</v>
      </c>
      <c r="GE1814" s="8">
        <v>2.0608930125335276</v>
      </c>
      <c r="GF1814" s="8">
        <v>5.4745558157125771</v>
      </c>
      <c r="GG1814" s="8">
        <v>3.8668458535788619</v>
      </c>
      <c r="GH1814" s="8">
        <v>0.75426818593667067</v>
      </c>
      <c r="GI1814" s="8">
        <v>4.7851635381996402</v>
      </c>
    </row>
    <row r="1815" spans="182:191">
      <c r="FZ1815" s="8">
        <v>10.583041205747367</v>
      </c>
      <c r="GA1815" s="8">
        <v>16.125774080517726</v>
      </c>
      <c r="GB1815" s="8">
        <v>3.3264230252905955</v>
      </c>
      <c r="GC1815" s="8">
        <v>0.57486498049752699</v>
      </c>
      <c r="GD1815" s="8">
        <v>0.7579287753211208</v>
      </c>
      <c r="GE1815" s="8">
        <v>1.494040897612954</v>
      </c>
      <c r="GF1815" s="8">
        <v>4.6848006197815319</v>
      </c>
      <c r="GG1815" s="8">
        <v>3.4426828721531746</v>
      </c>
      <c r="GH1815" s="8">
        <v>0.17282465026292085</v>
      </c>
      <c r="GI1815" s="8">
        <v>4.9426296667926808</v>
      </c>
    </row>
    <row r="1816" spans="182:191">
      <c r="FZ1816" s="8">
        <v>8.0678753725869683</v>
      </c>
      <c r="GA1816" s="8">
        <v>18.549233322407773</v>
      </c>
      <c r="GB1816" s="8">
        <v>5.7375913975817507</v>
      </c>
      <c r="GC1816" s="8">
        <v>0.71270346333338941</v>
      </c>
      <c r="GD1816" s="8">
        <v>0.61219943163070623</v>
      </c>
      <c r="GE1816" s="8">
        <v>0.831262910184007</v>
      </c>
      <c r="GF1816" s="8">
        <v>3.551348393242872</v>
      </c>
      <c r="GG1816" s="8">
        <v>2.6311354411817005</v>
      </c>
      <c r="GH1816" s="8">
        <v>0</v>
      </c>
      <c r="GI1816" s="8">
        <v>5.2075628555767821</v>
      </c>
    </row>
    <row r="1817" spans="182:191">
      <c r="FZ1817" s="8">
        <v>1.7944682800052389</v>
      </c>
      <c r="GA1817" s="8">
        <v>9.6361856385772828</v>
      </c>
      <c r="GB1817" s="8">
        <v>3.54497695563846</v>
      </c>
      <c r="GC1817" s="8">
        <v>0.64096824981209832</v>
      </c>
      <c r="GD1817" s="8">
        <v>1.0782989872445599</v>
      </c>
      <c r="GE1817" s="8">
        <v>2.2803839274154893</v>
      </c>
      <c r="GF1817" s="8">
        <v>2.6670751770208856</v>
      </c>
      <c r="GG1817" s="8">
        <v>1.3641019447390237</v>
      </c>
      <c r="GH1817" s="8">
        <v>0.58144353567374973</v>
      </c>
      <c r="GI1817" s="8">
        <v>4.3916137713103245</v>
      </c>
    </row>
    <row r="1818" spans="182:191">
      <c r="FZ1818" s="8">
        <v>3.3765981672180478</v>
      </c>
      <c r="GA1818" s="8">
        <v>7.434729853354213</v>
      </c>
      <c r="GB1818" s="8">
        <v>1.6560071592251489</v>
      </c>
      <c r="GC1818" s="8">
        <v>0.61309928331830843</v>
      </c>
      <c r="GD1818" s="8">
        <v>0.61677423578688839</v>
      </c>
      <c r="GE1818" s="8">
        <v>1.2856922625243175</v>
      </c>
      <c r="GF1818" s="8">
        <v>3.5883827028376354</v>
      </c>
      <c r="GG1818" s="8">
        <v>2.6093581968842599</v>
      </c>
      <c r="GH1818" s="8">
        <v>0.47158847029581613</v>
      </c>
      <c r="GI1818" s="8">
        <v>3.5055117494027215</v>
      </c>
    </row>
    <row r="1819" spans="182:191">
      <c r="FZ1819" s="8">
        <v>4.4827677699447133</v>
      </c>
      <c r="GA1819" s="8">
        <v>18.002449999603861</v>
      </c>
      <c r="GB1819" s="8">
        <v>5.480592931773959</v>
      </c>
      <c r="GC1819" s="8">
        <v>0.51959572373717067</v>
      </c>
      <c r="GD1819" s="8">
        <v>0.40909895059382706</v>
      </c>
      <c r="GE1819" s="8">
        <v>0.54730501780109508</v>
      </c>
      <c r="GF1819" s="8">
        <v>4.4174088565824077</v>
      </c>
      <c r="GG1819" s="8">
        <v>3.4426828721531746</v>
      </c>
      <c r="GH1819" s="8">
        <v>0.17282465026292085</v>
      </c>
      <c r="GI1819" s="8">
        <v>4.4159783371414774</v>
      </c>
    </row>
    <row r="1820" spans="182:191">
      <c r="FZ1820" s="8">
        <v>5.8344331574909756</v>
      </c>
      <c r="GA1820" s="8">
        <v>7.9899561751871957</v>
      </c>
      <c r="GB1820" s="8">
        <v>2.6043313819898808</v>
      </c>
      <c r="GC1820" s="8">
        <v>0.50410781919116854</v>
      </c>
      <c r="GD1820" s="8">
        <v>0.52660060612926185</v>
      </c>
      <c r="GE1820" s="8">
        <v>1.4765780835750242</v>
      </c>
      <c r="GF1820" s="8">
        <v>4.8305820475786998</v>
      </c>
      <c r="GG1820" s="8">
        <v>3.1741441152011753</v>
      </c>
      <c r="GH1820" s="8">
        <v>0.23579423514790807</v>
      </c>
      <c r="GI1820" s="8">
        <v>3.1675017724993477</v>
      </c>
    </row>
    <row r="1821" spans="182:191">
      <c r="FZ1821" s="8">
        <v>6.8040750767950726</v>
      </c>
      <c r="GA1821" s="8">
        <v>19.52355443713002</v>
      </c>
      <c r="GB1821" s="8">
        <v>5.8260531192162386</v>
      </c>
      <c r="GC1821" s="8">
        <v>0.72973841727296418</v>
      </c>
      <c r="GD1821" s="8">
        <v>1.0586089187508843</v>
      </c>
      <c r="GE1821" s="8">
        <v>1.7727415203986121</v>
      </c>
      <c r="GF1821" s="8">
        <v>2.6808239826918721</v>
      </c>
      <c r="GG1821" s="8">
        <v>1.8100421704621514</v>
      </c>
      <c r="GH1821" s="8">
        <v>0.3456493005258417</v>
      </c>
      <c r="GI1821" s="8">
        <v>5.0123449405937395</v>
      </c>
    </row>
    <row r="1822" spans="182:191">
      <c r="FZ1822" s="8">
        <v>1.7066031882508728</v>
      </c>
      <c r="GA1822" s="8">
        <v>12.58181479645005</v>
      </c>
      <c r="GB1822" s="8">
        <v>3.8625277097406325</v>
      </c>
      <c r="GC1822" s="8">
        <v>1.4912371734547851</v>
      </c>
      <c r="GD1822" s="8">
        <v>1.1115420857330647</v>
      </c>
      <c r="GE1822" s="8">
        <v>0.5955304908518736</v>
      </c>
      <c r="GF1822" s="8">
        <v>0.82500820947619169</v>
      </c>
      <c r="GG1822" s="8">
        <v>0.1769257564900365</v>
      </c>
      <c r="GH1822" s="8">
        <v>0.23579423514790807</v>
      </c>
      <c r="GI1822" s="8">
        <v>3.0873966003130962</v>
      </c>
    </row>
    <row r="1823" spans="182:191">
      <c r="FZ1823" s="8">
        <v>5.6311456278838934</v>
      </c>
      <c r="GA1823" s="8">
        <v>17.227466527842569</v>
      </c>
      <c r="GB1823" s="8">
        <v>5.7213518311520009</v>
      </c>
      <c r="GC1823" s="8">
        <v>0.33976759817518759</v>
      </c>
      <c r="GD1823" s="8">
        <v>0.80588413364517097</v>
      </c>
      <c r="GE1823" s="8">
        <v>2.0066597498185623</v>
      </c>
      <c r="GF1823" s="8">
        <v>1.1311932392560737</v>
      </c>
      <c r="GG1823" s="8">
        <v>0</v>
      </c>
      <c r="GH1823" s="8">
        <v>0.17282465026292085</v>
      </c>
      <c r="GI1823" s="8">
        <v>3.9454825897951284</v>
      </c>
    </row>
    <row r="1824" spans="182:191">
      <c r="FZ1824" s="8">
        <v>3.6006105663560986</v>
      </c>
      <c r="GA1824" s="8">
        <v>9.1636149328703951</v>
      </c>
      <c r="GB1824" s="8">
        <v>2.6693774863465696</v>
      </c>
      <c r="GC1824" s="8">
        <v>0.74031928623816812</v>
      </c>
      <c r="GD1824" s="8">
        <v>0.6005079109897753</v>
      </c>
      <c r="GE1824" s="8">
        <v>0.78930887920766191</v>
      </c>
      <c r="GF1824" s="8">
        <v>2.5668376584940447</v>
      </c>
      <c r="GG1824" s="8">
        <v>1.7397307020165371</v>
      </c>
      <c r="GH1824" s="8">
        <v>0.58144353567374973</v>
      </c>
      <c r="GI1824" s="8">
        <v>2.5819858536437872</v>
      </c>
    </row>
    <row r="1825" spans="182:191">
      <c r="FZ1825" s="8">
        <v>11.892878714120002</v>
      </c>
      <c r="GA1825" s="8">
        <v>8.1358179053305282</v>
      </c>
      <c r="GB1825" s="8">
        <v>0.93028357118156746</v>
      </c>
      <c r="GC1825" s="8">
        <v>0.61614959353527998</v>
      </c>
      <c r="GD1825" s="8">
        <v>0.90457728527020165</v>
      </c>
      <c r="GE1825" s="8">
        <v>1.1222276519627388</v>
      </c>
      <c r="GF1825" s="8">
        <v>1.976784730554958</v>
      </c>
      <c r="GG1825" s="8">
        <v>1.9869679269521878</v>
      </c>
      <c r="GH1825" s="8">
        <v>0.58144353567374973</v>
      </c>
      <c r="GI1825" s="8">
        <v>4.0922162795380643</v>
      </c>
    </row>
    <row r="1826" spans="182:191">
      <c r="FZ1826" s="8">
        <v>2.7761645816938412</v>
      </c>
      <c r="GA1826" s="8">
        <v>2.4954255522484026</v>
      </c>
      <c r="GB1826" s="8">
        <v>0.37914996854940231</v>
      </c>
      <c r="GC1826" s="8">
        <v>1.0812982012797456</v>
      </c>
      <c r="GD1826" s="8">
        <v>1.2707942327320085</v>
      </c>
      <c r="GE1826" s="8">
        <v>1.6124068397437867</v>
      </c>
      <c r="GF1826" s="8">
        <v>3.0112207002936189</v>
      </c>
      <c r="GG1826" s="8">
        <v>2.4809666645423967</v>
      </c>
      <c r="GH1826" s="8">
        <v>0.47158847029581613</v>
      </c>
      <c r="GI1826" s="8">
        <v>3.2465515340536739</v>
      </c>
    </row>
    <row r="1827" spans="182:191">
      <c r="FZ1827" s="8">
        <v>13.214390228838257</v>
      </c>
      <c r="GA1827" s="8">
        <v>17.395994071691934</v>
      </c>
      <c r="GB1827" s="8">
        <v>4.3835156373708548</v>
      </c>
      <c r="GC1827" s="8">
        <v>0.92707017300174532</v>
      </c>
      <c r="GD1827" s="8">
        <v>0.86004730837500043</v>
      </c>
      <c r="GE1827" s="8">
        <v>1.3563246694319628</v>
      </c>
      <c r="GF1827" s="8">
        <v>6.0864132872011991</v>
      </c>
      <c r="GG1827" s="8">
        <v>4.3826218354665114</v>
      </c>
      <c r="GH1827" s="8">
        <v>0</v>
      </c>
      <c r="GI1827" s="8">
        <v>6.5832636259647987</v>
      </c>
    </row>
    <row r="1828" spans="182:191">
      <c r="FZ1828" s="8">
        <v>2.8915870195465572</v>
      </c>
      <c r="GA1828" s="8">
        <v>12.729922833332054</v>
      </c>
      <c r="GB1828" s="8">
        <v>3.8462003046731956</v>
      </c>
      <c r="GC1828" s="8">
        <v>0.32506113463635011</v>
      </c>
      <c r="GD1828" s="8">
        <v>0.52694372516125987</v>
      </c>
      <c r="GE1828" s="8">
        <v>1.3878809051206966</v>
      </c>
      <c r="GF1828" s="8">
        <v>5.0651660888107495</v>
      </c>
      <c r="GG1828" s="8">
        <v>3.9467031617725512</v>
      </c>
      <c r="GH1828" s="8">
        <v>0.3456493005258417</v>
      </c>
      <c r="GI1828" s="8">
        <v>4.296382163320474</v>
      </c>
    </row>
    <row r="1829" spans="182:191">
      <c r="FZ1829" s="8">
        <v>7.3958404111000089</v>
      </c>
      <c r="GA1829" s="8">
        <v>15.706362090316414</v>
      </c>
      <c r="GB1829" s="8">
        <v>5.6189840009453214</v>
      </c>
      <c r="GC1829" s="8">
        <v>0.44539598730541458</v>
      </c>
      <c r="GD1829" s="8">
        <v>0.72617201688082611</v>
      </c>
      <c r="GE1829" s="8">
        <v>1.6480985058300255</v>
      </c>
      <c r="GF1829" s="8">
        <v>1.6696735168769883</v>
      </c>
      <c r="GG1829" s="8">
        <v>0.84832596285137418</v>
      </c>
      <c r="GH1829" s="8">
        <v>0.81723777082165783</v>
      </c>
      <c r="GI1829" s="8">
        <v>5.0530155984415801</v>
      </c>
    </row>
    <row r="1830" spans="182:191">
      <c r="FZ1830" s="8">
        <v>0.173133656779074</v>
      </c>
      <c r="GA1830" s="8">
        <v>2.7686586149943353</v>
      </c>
      <c r="GB1830" s="8">
        <v>1.0862126936679881</v>
      </c>
      <c r="GC1830" s="8">
        <v>0.43825769346560822</v>
      </c>
      <c r="GD1830" s="8">
        <v>0.84373710239262856</v>
      </c>
      <c r="GE1830" s="8">
        <v>2.4960302481781782</v>
      </c>
      <c r="GF1830" s="8">
        <v>5.1794121116559761</v>
      </c>
      <c r="GG1830" s="8">
        <v>3.1256098910530015</v>
      </c>
      <c r="GH1830" s="8">
        <v>0.3456493005258417</v>
      </c>
      <c r="GI1830" s="8">
        <v>3.4702805094296973</v>
      </c>
    </row>
    <row r="1831" spans="182:191">
      <c r="FZ1831" s="8">
        <v>3.5131258506406171</v>
      </c>
      <c r="GA1831" s="8">
        <v>11.408156038766851</v>
      </c>
      <c r="GB1831" s="8">
        <v>3.7264700984268293</v>
      </c>
      <c r="GC1831" s="8">
        <v>0.60811274760902556</v>
      </c>
      <c r="GD1831" s="8">
        <v>1.0463390323936599</v>
      </c>
      <c r="GE1831" s="8">
        <v>1.6144907176274366</v>
      </c>
      <c r="GF1831" s="8">
        <v>3.7954769915818418</v>
      </c>
      <c r="GG1831" s="8">
        <v>3.1256098910530015</v>
      </c>
      <c r="GH1831" s="8">
        <v>0</v>
      </c>
      <c r="GI1831" s="8">
        <v>4.2259649999701967</v>
      </c>
    </row>
    <row r="1832" spans="182:191">
      <c r="FZ1832" s="8">
        <v>6.8531180445021604</v>
      </c>
      <c r="GA1832" s="8">
        <v>10.211831467377623</v>
      </c>
      <c r="GB1832" s="8">
        <v>3.1531315267644882</v>
      </c>
      <c r="GC1832" s="8">
        <v>0.33826124854210138</v>
      </c>
      <c r="GD1832" s="8">
        <v>0.84181995874064564</v>
      </c>
      <c r="GE1832" s="8">
        <v>2.5101236698289822</v>
      </c>
      <c r="GF1832" s="8">
        <v>7.1425476279636344</v>
      </c>
      <c r="GG1832" s="8">
        <v>5.2404936380659599</v>
      </c>
      <c r="GH1832" s="8">
        <v>0.64441312055873701</v>
      </c>
      <c r="GI1832" s="8">
        <v>5.322895909622182</v>
      </c>
    </row>
    <row r="1833" spans="182:191">
      <c r="FZ1833" s="8">
        <v>6.5133028314725081</v>
      </c>
      <c r="GA1833" s="8">
        <v>18.002449999603861</v>
      </c>
      <c r="GB1833" s="8">
        <v>5.7212639925143147</v>
      </c>
      <c r="GC1833" s="8">
        <v>0.60707507420316242</v>
      </c>
      <c r="GD1833" s="8">
        <v>0.74729137586333771</v>
      </c>
      <c r="GE1833" s="8">
        <v>1.2682725050953396</v>
      </c>
      <c r="GF1833" s="8">
        <v>4.9659411886516427</v>
      </c>
      <c r="GG1833" s="8">
        <v>4.0655488543663392</v>
      </c>
      <c r="GH1833" s="8">
        <v>0</v>
      </c>
      <c r="GI1833" s="8">
        <v>5.5436321903146188</v>
      </c>
    </row>
    <row r="1834" spans="182:191">
      <c r="FZ1834" s="8">
        <v>3.2611757293653318</v>
      </c>
      <c r="GA1834" s="8">
        <v>16.253145413120322</v>
      </c>
      <c r="GB1834" s="8">
        <v>5.8609535485709845</v>
      </c>
      <c r="GC1834" s="8">
        <v>1.0095629877584542</v>
      </c>
      <c r="GD1834" s="8">
        <v>1.2903147198206408</v>
      </c>
      <c r="GE1834" s="8">
        <v>2.3385881348284343</v>
      </c>
      <c r="GF1834" s="8">
        <v>3.9148506787648358</v>
      </c>
      <c r="GG1834" s="8">
        <v>2.6093581968842599</v>
      </c>
      <c r="GH1834" s="8">
        <v>1.1628870713474995</v>
      </c>
      <c r="GI1834" s="8">
        <v>4.7313392094133429</v>
      </c>
    </row>
    <row r="1835" spans="182:191">
      <c r="FZ1835" s="8">
        <v>7.9803906568714869</v>
      </c>
      <c r="GA1835" s="8">
        <v>10.359939504259625</v>
      </c>
      <c r="GB1835" s="8">
        <v>3.2601662726862841</v>
      </c>
      <c r="GC1835" s="8">
        <v>0.68113877812519086</v>
      </c>
      <c r="GD1835" s="8">
        <v>1.0099285225091537</v>
      </c>
      <c r="GE1835" s="8">
        <v>2.3898702556859206</v>
      </c>
      <c r="GF1835" s="8">
        <v>4.4043291371696185</v>
      </c>
      <c r="GG1835" s="8">
        <v>2.7282038894780474</v>
      </c>
      <c r="GH1835" s="8">
        <v>0.47158847029581613</v>
      </c>
      <c r="GI1835" s="8">
        <v>4.9322824108304548</v>
      </c>
    </row>
    <row r="1836" spans="182:191">
      <c r="FZ1836" s="8">
        <v>1.3671683512601061</v>
      </c>
      <c r="GA1836" s="8">
        <v>0.97432111472224658</v>
      </c>
      <c r="GB1836" s="8">
        <v>0.41759450400932907</v>
      </c>
      <c r="GC1836" s="8">
        <v>0.71665541444649661</v>
      </c>
      <c r="GD1836" s="8">
        <v>0.58974294037399622</v>
      </c>
      <c r="GE1836" s="8">
        <v>0.72724496492989776</v>
      </c>
      <c r="GF1836" s="8">
        <v>4.7160158397167091</v>
      </c>
      <c r="GG1836" s="8">
        <v>4.4194003673464124</v>
      </c>
      <c r="GH1836" s="8">
        <v>0.47158847029581613</v>
      </c>
      <c r="GI1836" s="8">
        <v>2.7061654005501925</v>
      </c>
    </row>
    <row r="1837" spans="182:191">
      <c r="FZ1837" s="8">
        <v>10.980567637703377</v>
      </c>
      <c r="GA1837" s="8">
        <v>16.954233465096639</v>
      </c>
      <c r="GB1837" s="8">
        <v>4.9818099731739132</v>
      </c>
      <c r="GC1837" s="8">
        <v>0.82208719236895544</v>
      </c>
      <c r="GD1837" s="8">
        <v>1.153402684847161</v>
      </c>
      <c r="GE1837" s="8">
        <v>1.2632702159219042</v>
      </c>
      <c r="GF1837" s="8">
        <v>4.1528112862027875</v>
      </c>
      <c r="GG1837" s="8">
        <v>3.9467031617725512</v>
      </c>
      <c r="GH1837" s="8">
        <v>0</v>
      </c>
      <c r="GI1837" s="8">
        <v>5.7359080306353691</v>
      </c>
    </row>
    <row r="1838" spans="182:191">
      <c r="FZ1838" s="8">
        <v>2.3488646529487083</v>
      </c>
      <c r="GA1838" s="8">
        <v>27.441544301958867</v>
      </c>
      <c r="GB1838" s="8">
        <v>10.49730333430262</v>
      </c>
      <c r="GC1838" s="8">
        <v>0.45425497399931997</v>
      </c>
      <c r="GD1838" s="8">
        <v>0.61922783248806645</v>
      </c>
      <c r="GE1838" s="8">
        <v>2.0404790566381186</v>
      </c>
      <c r="GF1838" s="8">
        <v>5.3210611741172471</v>
      </c>
      <c r="GG1838" s="8">
        <v>3.0670541148756616</v>
      </c>
      <c r="GH1838" s="8">
        <v>0</v>
      </c>
      <c r="GI1838" s="8">
        <v>5.7622362937171134</v>
      </c>
    </row>
    <row r="1839" spans="182:191">
      <c r="FZ1839" s="8">
        <v>11.278554971559402</v>
      </c>
      <c r="GA1839" s="8">
        <v>5.6916219591610737</v>
      </c>
      <c r="GB1839" s="8">
        <v>1.0513122643132422</v>
      </c>
      <c r="GC1839" s="8">
        <v>0.26458980952849886</v>
      </c>
      <c r="GD1839" s="8">
        <v>0.47244679973879156</v>
      </c>
      <c r="GE1839" s="8">
        <v>1.8792358109759535</v>
      </c>
      <c r="GF1839" s="8">
        <v>3.0456758375890316</v>
      </c>
      <c r="GG1839" s="8">
        <v>1.1871761882489873</v>
      </c>
      <c r="GH1839" s="8">
        <v>0.17282465026292085</v>
      </c>
      <c r="GI1839" s="8">
        <v>4.3285232139752461</v>
      </c>
    </row>
    <row r="1840" spans="182:191">
      <c r="FZ1840" s="8">
        <v>4.143332932953947</v>
      </c>
      <c r="GA1840" s="8">
        <v>11.932273547864732</v>
      </c>
      <c r="GB1840" s="8">
        <v>3.7032395359824388</v>
      </c>
      <c r="GC1840" s="8">
        <v>1.1901536328971578</v>
      </c>
      <c r="GD1840" s="8">
        <v>0.90179966265121236</v>
      </c>
      <c r="GE1840" s="8">
        <v>1.1060072958193332</v>
      </c>
      <c r="GF1840" s="8">
        <v>1.5382207784149702</v>
      </c>
      <c r="GG1840" s="8">
        <v>0.42416298142568709</v>
      </c>
      <c r="GH1840" s="8">
        <v>0.40861888541082891</v>
      </c>
      <c r="GI1840" s="8">
        <v>3.8031471146116127</v>
      </c>
    </row>
    <row r="1841" spans="182:191">
      <c r="FZ1841" s="8">
        <v>3.1155994186846074</v>
      </c>
      <c r="GA1841" s="8">
        <v>17.028128884881617</v>
      </c>
      <c r="GB1841" s="8">
        <v>5.7573750701166819</v>
      </c>
      <c r="GC1841" s="8">
        <v>0.81528154224664473</v>
      </c>
      <c r="GD1841" s="8">
        <v>0.77007441255576969</v>
      </c>
      <c r="GE1841" s="8">
        <v>1.1467917458033006</v>
      </c>
      <c r="GF1841" s="8">
        <v>5.5421362589843213</v>
      </c>
      <c r="GG1841" s="8">
        <v>4.9133991049366212</v>
      </c>
      <c r="GH1841" s="8">
        <v>0.88020735570664521</v>
      </c>
      <c r="GI1841" s="8">
        <v>4.8244139391475604</v>
      </c>
    </row>
    <row r="1842" spans="182:191">
      <c r="FZ1842" s="8">
        <v>5.4946179444613241</v>
      </c>
      <c r="GA1842" s="8">
        <v>7.1614967906082807</v>
      </c>
      <c r="GB1842" s="8">
        <v>0.87793292714944848</v>
      </c>
      <c r="GC1842" s="8">
        <v>0.5869898100466161</v>
      </c>
      <c r="GD1842" s="8">
        <v>0.74945458563618428</v>
      </c>
      <c r="GE1842" s="8">
        <v>1.6707751276583582</v>
      </c>
      <c r="GF1842" s="8">
        <v>1.4255449185380185</v>
      </c>
      <c r="GG1842" s="8">
        <v>0.353851512980073</v>
      </c>
      <c r="GH1842" s="8">
        <v>0.81723777082165783</v>
      </c>
      <c r="GI1842" s="8">
        <v>2.4530687842162826</v>
      </c>
    </row>
    <row r="1843" spans="182:191">
      <c r="FZ1843" s="8">
        <v>7.4376682902736375</v>
      </c>
      <c r="GA1843" s="8">
        <v>4.6660712383598781</v>
      </c>
      <c r="GB1843" s="8">
        <v>0.84778725214750583</v>
      </c>
      <c r="GC1843" s="8">
        <v>1.043709306956401</v>
      </c>
      <c r="GD1843" s="8">
        <v>1.0679686596889255</v>
      </c>
      <c r="GE1843" s="8">
        <v>1.5696501549072295</v>
      </c>
      <c r="GF1843" s="8">
        <v>1.8294357407970236</v>
      </c>
      <c r="GG1843" s="8">
        <v>0.67140020636133779</v>
      </c>
      <c r="GH1843" s="8">
        <v>0.40861888541082891</v>
      </c>
      <c r="GI1843" s="8">
        <v>3.709116904753365</v>
      </c>
    </row>
    <row r="1844" spans="182:191">
      <c r="FZ1844" s="8">
        <v>3.6006105663560986</v>
      </c>
      <c r="GA1844" s="8">
        <v>6.0390676390040312</v>
      </c>
      <c r="GB1844" s="8">
        <v>1.0663411824953704</v>
      </c>
      <c r="GC1844" s="8">
        <v>0.63558944919438931</v>
      </c>
      <c r="GD1844" s="8">
        <v>0.44283366390310791</v>
      </c>
      <c r="GE1844" s="8">
        <v>0.55850546694891845</v>
      </c>
      <c r="GF1844" s="8">
        <v>3.3915861693228369</v>
      </c>
      <c r="GG1844" s="8">
        <v>2.6311354411817005</v>
      </c>
      <c r="GH1844" s="8">
        <v>0.17282465026292085</v>
      </c>
      <c r="GI1844" s="8">
        <v>2.5046341237822993</v>
      </c>
    </row>
    <row r="1845" spans="182:191">
      <c r="FZ1845" s="8">
        <v>6.3194443051624667</v>
      </c>
      <c r="GA1845" s="8">
        <v>3.0934384811312627</v>
      </c>
      <c r="GB1845" s="8">
        <v>0.62906022214683188</v>
      </c>
      <c r="GC1845" s="8">
        <v>1.1102048411793983</v>
      </c>
      <c r="GD1845" s="8">
        <v>1.2236985669121687</v>
      </c>
      <c r="GE1845" s="8">
        <v>1.5717922021453781</v>
      </c>
      <c r="GF1845" s="8">
        <v>3.3114974378198818</v>
      </c>
      <c r="GG1845" s="8">
        <v>2.4324324403942232</v>
      </c>
      <c r="GH1845" s="8">
        <v>0.58144353567374973</v>
      </c>
      <c r="GI1845" s="8">
        <v>3.4714957430704763</v>
      </c>
    </row>
    <row r="1846" spans="182:191">
      <c r="FZ1846" s="8">
        <v>2.2794794276767298</v>
      </c>
      <c r="GA1846" s="8">
        <v>9.2375103526553755</v>
      </c>
      <c r="GB1846" s="8">
        <v>3.3276336735382177</v>
      </c>
      <c r="GC1846" s="8">
        <v>1.0484426990766729</v>
      </c>
      <c r="GD1846" s="8">
        <v>0.9642021528718645</v>
      </c>
      <c r="GE1846" s="8">
        <v>1.2011244789062749</v>
      </c>
      <c r="GF1846" s="8">
        <v>1.3368487560310502</v>
      </c>
      <c r="GG1846" s="8">
        <v>0.24723722493565062</v>
      </c>
      <c r="GH1846" s="8">
        <v>0.3456493005258417</v>
      </c>
      <c r="GI1846" s="8">
        <v>3.377696313734508</v>
      </c>
    </row>
    <row r="1847" spans="182:191">
      <c r="FZ1847" s="8">
        <v>9.6292826261960016</v>
      </c>
      <c r="GA1847" s="8">
        <v>4.4440677816928957</v>
      </c>
      <c r="GB1847" s="8">
        <v>0.44774017901127178</v>
      </c>
      <c r="GC1847" s="8">
        <v>0.74161010323304222</v>
      </c>
      <c r="GD1847" s="8">
        <v>0.6712711612093567</v>
      </c>
      <c r="GE1847" s="8">
        <v>1.3532098522707561</v>
      </c>
      <c r="GF1847" s="8">
        <v>4.9750253028594749</v>
      </c>
      <c r="GG1847" s="8">
        <v>3.4426828721531746</v>
      </c>
      <c r="GH1847" s="8">
        <v>0.3456493005258417</v>
      </c>
      <c r="GI1847" s="8">
        <v>3.5202277067607124</v>
      </c>
    </row>
    <row r="1848" spans="182:191">
      <c r="FZ1848" s="8">
        <v>6.1161567755553836</v>
      </c>
      <c r="GA1848" s="8">
        <v>17.227466527842569</v>
      </c>
      <c r="GB1848" s="8">
        <v>5.9145148408507255</v>
      </c>
      <c r="GC1848" s="8">
        <v>0.44862302979259999</v>
      </c>
      <c r="GD1848" s="8">
        <v>0.55415929445093437</v>
      </c>
      <c r="GE1848" s="8">
        <v>1.833252260749231</v>
      </c>
      <c r="GF1848" s="8">
        <v>4.417966401182948</v>
      </c>
      <c r="GG1848" s="8">
        <v>2.6311354411817005</v>
      </c>
      <c r="GH1848" s="8">
        <v>0</v>
      </c>
      <c r="GI1848" s="8">
        <v>4.7340638949569573</v>
      </c>
    </row>
    <row r="1849" spans="182:191">
      <c r="FZ1849" s="8">
        <v>6.2315792134081001</v>
      </c>
      <c r="GA1849" s="8">
        <v>10.579696654187938</v>
      </c>
      <c r="GB1849" s="8">
        <v>2.1234337945756301</v>
      </c>
      <c r="GC1849" s="8">
        <v>0.94152349295157167</v>
      </c>
      <c r="GD1849" s="8">
        <v>1.1927350574277564</v>
      </c>
      <c r="GE1849" s="8">
        <v>1.3866384472261721</v>
      </c>
      <c r="GF1849" s="8">
        <v>1.7326561322159884</v>
      </c>
      <c r="GG1849" s="8">
        <v>1.4924934770808866</v>
      </c>
      <c r="GH1849" s="8">
        <v>0.75426818593667067</v>
      </c>
      <c r="GI1849" s="8">
        <v>4.6321365279712721</v>
      </c>
    </row>
    <row r="1850" spans="182:191">
      <c r="FZ1850" s="8">
        <v>6.8157490831406919</v>
      </c>
      <c r="GA1850" s="8">
        <v>20.845321231695223</v>
      </c>
      <c r="GB1850" s="8">
        <v>5.7388020458293738</v>
      </c>
      <c r="GC1850" s="8">
        <v>0.50780353790557708</v>
      </c>
      <c r="GD1850" s="8">
        <v>0.74191493543899178</v>
      </c>
      <c r="GE1850" s="8">
        <v>2.234257444993907</v>
      </c>
      <c r="GF1850" s="8">
        <v>4.496610509241596</v>
      </c>
      <c r="GG1850" s="8">
        <v>2.4324324403942232</v>
      </c>
      <c r="GH1850" s="8">
        <v>0.23579423514790807</v>
      </c>
      <c r="GI1850" s="8">
        <v>5.1388574666525804</v>
      </c>
    </row>
    <row r="1851" spans="182:191">
      <c r="FZ1851" s="8">
        <v>5.6315260039227786</v>
      </c>
      <c r="GA1851" s="8">
        <v>10.633172567005557</v>
      </c>
      <c r="GB1851" s="8">
        <v>4.0183689935893669</v>
      </c>
      <c r="GC1851" s="8">
        <v>0.68677072233191094</v>
      </c>
      <c r="GD1851" s="8">
        <v>0.71942083457768224</v>
      </c>
      <c r="GE1851" s="8">
        <v>1.6940967636043955</v>
      </c>
      <c r="GF1851" s="8">
        <v>3.5620918730130118</v>
      </c>
      <c r="GG1851" s="8">
        <v>1.9869679269521878</v>
      </c>
      <c r="GH1851" s="8">
        <v>0.23579423514790807</v>
      </c>
      <c r="GI1851" s="8">
        <v>3.7565673594464597</v>
      </c>
    </row>
    <row r="1852" spans="182:191">
      <c r="FZ1852" s="8">
        <v>2.2911534340223501</v>
      </c>
      <c r="GA1852" s="8">
        <v>10.359939504259625</v>
      </c>
      <c r="GB1852" s="8">
        <v>3.1380147699446734</v>
      </c>
      <c r="GC1852" s="8">
        <v>1.392864189243648</v>
      </c>
      <c r="GD1852" s="8">
        <v>1.2313600341076492</v>
      </c>
      <c r="GE1852" s="8">
        <v>1.1683899902387354</v>
      </c>
      <c r="GF1852" s="8">
        <v>2.7723366770819666</v>
      </c>
      <c r="GG1852" s="8">
        <v>1.5628049455265007</v>
      </c>
      <c r="GH1852" s="8">
        <v>0</v>
      </c>
      <c r="GI1852" s="8">
        <v>4.2927812948958755</v>
      </c>
    </row>
    <row r="1853" spans="182:191">
      <c r="FZ1853" s="8">
        <v>6.5710140503988672</v>
      </c>
      <c r="GA1853" s="8">
        <v>14.877902705737501</v>
      </c>
      <c r="GB1853" s="8">
        <v>4.0171583453417439</v>
      </c>
      <c r="GC1853" s="8">
        <v>0.30910146505343739</v>
      </c>
      <c r="GD1853" s="8">
        <v>0.67455162187197937</v>
      </c>
      <c r="GE1853" s="8">
        <v>2.0913855783770114</v>
      </c>
      <c r="GF1853" s="8">
        <v>2.4911961082118568</v>
      </c>
      <c r="GG1853" s="8">
        <v>1.1168647198033732</v>
      </c>
      <c r="GH1853" s="8">
        <v>0.40861888541082891</v>
      </c>
      <c r="GI1853" s="8">
        <v>4.8686194944701162</v>
      </c>
    </row>
    <row r="1854" spans="182:191">
      <c r="FZ1854" s="8">
        <v>2.1916143359223637</v>
      </c>
      <c r="GA1854" s="8">
        <v>2.1479798724054464</v>
      </c>
      <c r="GB1854" s="8">
        <v>0.2582091140554138</v>
      </c>
      <c r="GC1854" s="8">
        <v>0.84023623103319056</v>
      </c>
      <c r="GD1854" s="8">
        <v>0.64178227449624847</v>
      </c>
      <c r="GE1854" s="8">
        <v>0.65346501029335269</v>
      </c>
      <c r="GF1854" s="8">
        <v>2.1053317345398161</v>
      </c>
      <c r="GG1854" s="8">
        <v>1.3641019447390237</v>
      </c>
      <c r="GH1854" s="8">
        <v>0.40861888541082891</v>
      </c>
      <c r="GI1854" s="8">
        <v>2.3782701747338773</v>
      </c>
    </row>
    <row r="1855" spans="182:191">
      <c r="FZ1855" s="8">
        <v>6.6584987661143487</v>
      </c>
      <c r="GA1855" s="8">
        <v>16.974652972063996</v>
      </c>
      <c r="GB1855" s="8">
        <v>3.8823113822755637</v>
      </c>
      <c r="GC1855" s="8">
        <v>0.27366432886061642</v>
      </c>
      <c r="GD1855" s="8">
        <v>0.19956059131499593</v>
      </c>
      <c r="GE1855" s="8">
        <v>1.0486846547299666</v>
      </c>
      <c r="GF1855" s="8">
        <v>4.0540156229958662</v>
      </c>
      <c r="GG1855" s="8">
        <v>2.9849869541617733</v>
      </c>
      <c r="GH1855" s="8">
        <v>0.64441312055873701</v>
      </c>
      <c r="GI1855" s="8">
        <v>3.410570532289749</v>
      </c>
    </row>
    <row r="1856" spans="182:191">
      <c r="FZ1856" s="8">
        <v>0.48501114767149078</v>
      </c>
      <c r="GA1856" s="8">
        <v>9.0605398097769427</v>
      </c>
      <c r="GB1856" s="8">
        <v>3.6438006797399582</v>
      </c>
      <c r="GC1856" s="8">
        <v>0.28402966518760814</v>
      </c>
      <c r="GD1856" s="8">
        <v>1.0118611450956718</v>
      </c>
      <c r="GE1856" s="8">
        <v>3.2833934860191119</v>
      </c>
      <c r="GF1856" s="8">
        <v>8.8347285105707822</v>
      </c>
      <c r="GG1856" s="8">
        <v>6.0152625371575343</v>
      </c>
      <c r="GH1856" s="8">
        <v>0.17282465026292085</v>
      </c>
      <c r="GI1856" s="8">
        <v>5.7137552262277307</v>
      </c>
    </row>
    <row r="1857" spans="182:191">
      <c r="FZ1857" s="8">
        <v>8.6890338276421435</v>
      </c>
      <c r="GA1857" s="8">
        <v>17.373328257985904</v>
      </c>
      <c r="GB1857" s="8">
        <v>3.9101235994199479</v>
      </c>
      <c r="GC1857" s="8">
        <v>0.35013293450217936</v>
      </c>
      <c r="GD1857" s="8">
        <v>0.4508577236641596</v>
      </c>
      <c r="GE1857" s="8">
        <v>1.0212814672608841</v>
      </c>
      <c r="GF1857" s="8">
        <v>1.4613579664059393</v>
      </c>
      <c r="GG1857" s="8">
        <v>1.3791032323214838</v>
      </c>
      <c r="GH1857" s="8">
        <v>1.1789711757395405</v>
      </c>
      <c r="GI1857" s="8">
        <v>4.0574182288285261</v>
      </c>
    </row>
    <row r="1858" spans="182:191">
      <c r="FZ1858" s="8">
        <v>5.2495025356806124</v>
      </c>
      <c r="GA1858" s="8">
        <v>21.346754443398542</v>
      </c>
      <c r="GB1858" s="8">
        <v>6.277240188136969</v>
      </c>
      <c r="GC1858" s="8">
        <v>0.71334887183082651</v>
      </c>
      <c r="GD1858" s="8">
        <v>1.4731243435687396</v>
      </c>
      <c r="GE1858" s="8">
        <v>3.0476459539414322</v>
      </c>
      <c r="GF1858" s="8">
        <v>5.3592199221395536</v>
      </c>
      <c r="GG1858" s="8">
        <v>3.8668458535788619</v>
      </c>
      <c r="GH1858" s="8">
        <v>0.58144353567374973</v>
      </c>
      <c r="GI1858" s="8">
        <v>6.5651135112606225</v>
      </c>
    </row>
    <row r="1859" spans="182:191">
      <c r="FZ1859" s="8">
        <v>0.48501114767149078</v>
      </c>
      <c r="GA1859" s="8">
        <v>2.3699833290724288</v>
      </c>
      <c r="GB1859" s="8">
        <v>0.84657660389988343</v>
      </c>
      <c r="GC1859" s="8">
        <v>1.4449064035168186</v>
      </c>
      <c r="GD1859" s="8">
        <v>1.0338572123420848</v>
      </c>
      <c r="GE1859" s="8">
        <v>0.8680329536631437</v>
      </c>
      <c r="GF1859" s="8">
        <v>3.9240239955667002</v>
      </c>
      <c r="GG1859" s="8">
        <v>2.6796696653298739</v>
      </c>
      <c r="GH1859" s="8">
        <v>0.23579423514790807</v>
      </c>
      <c r="GI1859" s="8">
        <v>2.1582533042241248</v>
      </c>
    </row>
    <row r="1860" spans="182:191">
      <c r="FZ1860" s="8">
        <v>2.2911534340223501</v>
      </c>
      <c r="GA1860" s="8">
        <v>20.793774428304232</v>
      </c>
      <c r="GB1860" s="8">
        <v>6.7609942285548872</v>
      </c>
      <c r="GC1860" s="8">
        <v>1.3094728224004908</v>
      </c>
      <c r="GD1860" s="8">
        <v>0.98105856066217711</v>
      </c>
      <c r="GE1860" s="8">
        <v>1.0069916397386596</v>
      </c>
      <c r="GF1860" s="8">
        <v>3.1257645690919871</v>
      </c>
      <c r="GG1860" s="8">
        <v>1.9166564585065737</v>
      </c>
      <c r="GH1860" s="8">
        <v>0.64441312055873701</v>
      </c>
      <c r="GI1860" s="8">
        <v>4.623271291371271</v>
      </c>
    </row>
    <row r="1861" spans="182:191">
      <c r="FZ1861" s="8">
        <v>8.009783777621724</v>
      </c>
      <c r="GA1861" s="8">
        <v>19.25032137438409</v>
      </c>
      <c r="GB1861" s="8">
        <v>5.0329499689584098</v>
      </c>
      <c r="GC1861" s="8">
        <v>0.24579536236682664</v>
      </c>
      <c r="GD1861" s="8">
        <v>0.3219261004723975</v>
      </c>
      <c r="GE1861" s="8">
        <v>0.91078963849970107</v>
      </c>
      <c r="GF1861" s="8">
        <v>7.3815208537693202</v>
      </c>
      <c r="GG1861" s="8">
        <v>6.497981294760562</v>
      </c>
      <c r="GH1861" s="8">
        <v>0.23579423514790807</v>
      </c>
      <c r="GI1861" s="8">
        <v>4.6908767597348211</v>
      </c>
    </row>
    <row r="1862" spans="182:191">
      <c r="FZ1862" s="8">
        <v>2.3488646529487083</v>
      </c>
      <c r="GA1862" s="8">
        <v>5.0647465242817846</v>
      </c>
      <c r="GB1862" s="8">
        <v>1.0152011867108739</v>
      </c>
      <c r="GC1862" s="8">
        <v>0.5131823385232861</v>
      </c>
      <c r="GD1862" s="8">
        <v>0.76937657877873489</v>
      </c>
      <c r="GE1862" s="8">
        <v>1.7052243358500725</v>
      </c>
      <c r="GF1862" s="8">
        <v>4.5949576797833984</v>
      </c>
      <c r="GG1862" s="8">
        <v>3.1954456472175239</v>
      </c>
      <c r="GH1862" s="8">
        <v>0.17282465026292085</v>
      </c>
      <c r="GI1862" s="8">
        <v>3.3260466329392746</v>
      </c>
    </row>
    <row r="1863" spans="182:191">
      <c r="FZ1863" s="8">
        <v>8.8621674844212173</v>
      </c>
      <c r="GA1863" s="8">
        <v>23.622422845718631</v>
      </c>
      <c r="GB1863" s="8">
        <v>7.3580779161103251</v>
      </c>
      <c r="GC1863" s="8">
        <v>0.63662712260025234</v>
      </c>
      <c r="GD1863" s="8">
        <v>0.90616201569209265</v>
      </c>
      <c r="GE1863" s="8">
        <v>1.8230181407653472</v>
      </c>
      <c r="GF1863" s="8">
        <v>4.3305807029968557</v>
      </c>
      <c r="GG1863" s="8">
        <v>2.8783726661173508</v>
      </c>
      <c r="GH1863" s="8">
        <v>0.17282465026292085</v>
      </c>
      <c r="GI1863" s="8">
        <v>5.83507915727556</v>
      </c>
    </row>
    <row r="1864" spans="182:191">
      <c r="FZ1864" s="8">
        <v>7.9222990619062443</v>
      </c>
      <c r="GA1864" s="8">
        <v>16.000331857341749</v>
      </c>
      <c r="GB1864" s="8">
        <v>3.8835220305231859</v>
      </c>
      <c r="GC1864" s="8">
        <v>0.28966160939432806</v>
      </c>
      <c r="GD1864" s="8">
        <v>0.1106263377443778</v>
      </c>
      <c r="GE1864" s="8">
        <v>0.27175194274433701</v>
      </c>
      <c r="GF1864" s="8">
        <v>1.4337289640649222</v>
      </c>
      <c r="GG1864" s="8">
        <v>1.1168647198033732</v>
      </c>
      <c r="GH1864" s="8">
        <v>0.58144353567374973</v>
      </c>
      <c r="GI1864" s="8">
        <v>3.4708052663095543</v>
      </c>
    </row>
    <row r="1865" spans="182:191">
      <c r="FZ1865" s="8">
        <v>10.83537170306154</v>
      </c>
      <c r="GA1865" s="8">
        <v>20.352013821708937</v>
      </c>
      <c r="GB1865" s="8">
        <v>7.3755281307876981</v>
      </c>
      <c r="GC1865" s="8">
        <v>0.67984796113031676</v>
      </c>
      <c r="GD1865" s="8">
        <v>0.93240006214910209</v>
      </c>
      <c r="GE1865" s="8">
        <v>2.0762284868809573</v>
      </c>
      <c r="GF1865" s="8">
        <v>3.0991248380259311</v>
      </c>
      <c r="GG1865" s="8">
        <v>1.3155677205908503</v>
      </c>
      <c r="GH1865" s="8">
        <v>0.17282465026292085</v>
      </c>
      <c r="GI1865" s="8">
        <v>5.6402929997459017</v>
      </c>
    </row>
    <row r="1866" spans="182:191">
      <c r="FZ1866" s="8">
        <v>5.1921716927931403</v>
      </c>
      <c r="GA1866" s="8">
        <v>7.8418481383051937</v>
      </c>
      <c r="GB1866" s="8">
        <v>2.7054885639489381</v>
      </c>
      <c r="GC1866" s="8">
        <v>0.68892248046243432</v>
      </c>
      <c r="GD1866" s="8">
        <v>0.70113368520132435</v>
      </c>
      <c r="GE1866" s="8">
        <v>1.1967344732828507</v>
      </c>
      <c r="GF1866" s="8">
        <v>7.167168703396297</v>
      </c>
      <c r="GG1866" s="8">
        <v>6.0035068448892606</v>
      </c>
      <c r="GH1866" s="8">
        <v>0.23579423514790807</v>
      </c>
      <c r="GI1866" s="8">
        <v>4.078673431119026</v>
      </c>
    </row>
    <row r="1867" spans="182:191">
      <c r="FZ1867" s="8">
        <v>10.980567637703377</v>
      </c>
      <c r="GA1867" s="8">
        <v>15.245767892547814</v>
      </c>
      <c r="GB1867" s="8">
        <v>2.9375312656160122</v>
      </c>
      <c r="GC1867" s="8">
        <v>0.44668680430028879</v>
      </c>
      <c r="GD1867" s="8">
        <v>0.57197080199509998</v>
      </c>
      <c r="GE1867" s="8">
        <v>1.0640381520974413</v>
      </c>
      <c r="GF1867" s="8">
        <v>2.7245812267806864</v>
      </c>
      <c r="GG1867" s="8">
        <v>2.2555066839041871</v>
      </c>
      <c r="GH1867" s="8">
        <v>0.51847395078876257</v>
      </c>
      <c r="GI1867" s="8">
        <v>4.5317213294611474</v>
      </c>
    </row>
    <row r="1868" spans="182:191">
      <c r="FZ1868" s="8">
        <v>8.747125422607386</v>
      </c>
      <c r="GA1868" s="8">
        <v>3.4697466669706492</v>
      </c>
      <c r="GB1868" s="8">
        <v>0.2569984658077914</v>
      </c>
      <c r="GC1868" s="8">
        <v>0.14257187495613421</v>
      </c>
      <c r="GD1868" s="8">
        <v>7.6616716441300914E-2</v>
      </c>
      <c r="GE1868" s="8">
        <v>1.6514399543537461</v>
      </c>
      <c r="GF1868" s="8">
        <v>4.4410199146548441</v>
      </c>
      <c r="GG1868" s="8">
        <v>1.9869679269521878</v>
      </c>
      <c r="GH1868" s="8">
        <v>0.58144353567374973</v>
      </c>
      <c r="GI1868" s="8">
        <v>2.4668802766934084</v>
      </c>
    </row>
    <row r="1869" spans="182:191">
      <c r="FZ1869" s="8">
        <v>4.7071605451216492</v>
      </c>
      <c r="GA1869" s="8">
        <v>7.8418481383051937</v>
      </c>
      <c r="GB1869" s="8">
        <v>2.6158161940668281</v>
      </c>
      <c r="GC1869" s="8">
        <v>1.0186375070905718</v>
      </c>
      <c r="GD1869" s="8">
        <v>1.5464327224468504</v>
      </c>
      <c r="GE1869" s="8">
        <v>2.1784498600450295</v>
      </c>
      <c r="GF1869" s="8">
        <v>5.1508820326048808</v>
      </c>
      <c r="GG1869" s="8">
        <v>4.3708661431982385</v>
      </c>
      <c r="GH1869" s="8">
        <v>0.58144353567374973</v>
      </c>
      <c r="GI1869" s="8">
        <v>5.5256685068016962</v>
      </c>
    </row>
    <row r="1870" spans="182:191">
      <c r="FZ1870" s="8">
        <v>10.495556490031888</v>
      </c>
      <c r="GA1870" s="8">
        <v>21.694200123241497</v>
      </c>
      <c r="GB1870" s="8">
        <v>6.1388491189656076</v>
      </c>
      <c r="GC1870" s="8">
        <v>0.58458490832708154</v>
      </c>
      <c r="GD1870" s="8">
        <v>1.0624522661952653</v>
      </c>
      <c r="GE1870" s="8">
        <v>2.3957139648484813</v>
      </c>
      <c r="GF1870" s="8">
        <v>6.6632551047284512</v>
      </c>
      <c r="GG1870" s="8">
        <v>4.758250592744024</v>
      </c>
      <c r="GH1870" s="8">
        <v>0.17282465026292085</v>
      </c>
      <c r="GI1870" s="8">
        <v>6.9735771228021042</v>
      </c>
    </row>
    <row r="1871" spans="182:191">
      <c r="FZ1871" s="8">
        <v>6.1161567755553836</v>
      </c>
      <c r="GA1871" s="8">
        <v>8.2097133251155068</v>
      </c>
      <c r="GB1871" s="8">
        <v>1.3105469717828702</v>
      </c>
      <c r="GC1871" s="8">
        <v>0.46049471575267797</v>
      </c>
      <c r="GD1871" s="8">
        <v>0.42062323876726143</v>
      </c>
      <c r="GE1871" s="8">
        <v>0.64232273050002808</v>
      </c>
      <c r="GF1871" s="8">
        <v>7.8132503297575999</v>
      </c>
      <c r="GG1871" s="8">
        <v>6.8736100520380745</v>
      </c>
      <c r="GH1871" s="8">
        <v>0.23579423514790807</v>
      </c>
      <c r="GI1871" s="8">
        <v>3.7182381800744642</v>
      </c>
    </row>
    <row r="1872" spans="182:191">
      <c r="FZ1872" s="8">
        <v>5.009606796789833</v>
      </c>
      <c r="GA1872" s="8">
        <v>12.656027413547076</v>
      </c>
      <c r="GB1872" s="8">
        <v>3.1903654139767923</v>
      </c>
      <c r="GC1872" s="8">
        <v>0.90264378163335313</v>
      </c>
      <c r="GD1872" s="8">
        <v>0.83380926191799087</v>
      </c>
      <c r="GE1872" s="8">
        <v>1.3412588830559997</v>
      </c>
      <c r="GF1872" s="8">
        <v>4.3215580329069683</v>
      </c>
      <c r="GG1872" s="8">
        <v>2.9269068902655246</v>
      </c>
      <c r="GH1872" s="8">
        <v>0.23579423514790807</v>
      </c>
      <c r="GI1872" s="8">
        <v>4.1650028009370104</v>
      </c>
    </row>
    <row r="1873" spans="182:191">
      <c r="FZ1873" s="8">
        <v>3.1159797947234926</v>
      </c>
      <c r="GA1873" s="8">
        <v>8.0638515949721761</v>
      </c>
      <c r="GB1873" s="8">
        <v>3.4160075565350185</v>
      </c>
      <c r="GC1873" s="8">
        <v>0.76797272009374573</v>
      </c>
      <c r="GD1873" s="8">
        <v>0.4506052387491753</v>
      </c>
      <c r="GE1873" s="8">
        <v>1.1613189359271967</v>
      </c>
      <c r="GF1873" s="8">
        <v>4.6575195106527971</v>
      </c>
      <c r="GG1873" s="8">
        <v>3.1038326467555613</v>
      </c>
      <c r="GH1873" s="8">
        <v>0.47158847029581613</v>
      </c>
      <c r="GI1873" s="8">
        <v>4.0669113431345085</v>
      </c>
    </row>
    <row r="1874" spans="182:191">
      <c r="FZ1874" s="8">
        <v>9.5719517833085295</v>
      </c>
      <c r="GA1874" s="8">
        <v>8.2836087449004872</v>
      </c>
      <c r="GB1874" s="8">
        <v>2.1944453015327445</v>
      </c>
      <c r="GC1874" s="8">
        <v>0.80340985628656669</v>
      </c>
      <c r="GD1874" s="8">
        <v>0.52964193688609251</v>
      </c>
      <c r="GE1874" s="8">
        <v>0.29409467168548509</v>
      </c>
      <c r="GF1874" s="8">
        <v>2.7245812267806864</v>
      </c>
      <c r="GG1874" s="8">
        <v>2.2555066839041871</v>
      </c>
      <c r="GH1874" s="8">
        <v>0.3456493005258417</v>
      </c>
      <c r="GI1874" s="8">
        <v>3.1861898244282512</v>
      </c>
    </row>
    <row r="1875" spans="182:191">
      <c r="FZ1875" s="8">
        <v>4.143332932953947</v>
      </c>
      <c r="GA1875" s="8">
        <v>19.597449856914999</v>
      </c>
      <c r="GB1875" s="8">
        <v>6.5330280056971386</v>
      </c>
      <c r="GC1875" s="8">
        <v>1.3721335165896646</v>
      </c>
      <c r="GD1875" s="8">
        <v>1.1980530276434413</v>
      </c>
      <c r="GE1875" s="8">
        <v>1.4030527041643988</v>
      </c>
      <c r="GF1875" s="8">
        <v>4.7484746604423513</v>
      </c>
      <c r="GG1875" s="8">
        <v>3.8450686092814217</v>
      </c>
      <c r="GH1875" s="8">
        <v>0.70738270544372439</v>
      </c>
      <c r="GI1875" s="8">
        <v>5.2453415839082727</v>
      </c>
    </row>
    <row r="1876" spans="182:191">
      <c r="FZ1876" s="8">
        <v>6.1738679944817427</v>
      </c>
      <c r="GA1876" s="8">
        <v>19.796787499875951</v>
      </c>
      <c r="GB1876" s="8">
        <v>6.3586136975610952</v>
      </c>
      <c r="GC1876" s="8">
        <v>0.88948127867840099</v>
      </c>
      <c r="GD1876" s="8">
        <v>1.0385610387534718</v>
      </c>
      <c r="GE1876" s="8">
        <v>1.3506922059140141</v>
      </c>
      <c r="GF1876" s="8">
        <v>4.5579233701886341</v>
      </c>
      <c r="GG1876" s="8">
        <v>3.7480001609850739</v>
      </c>
      <c r="GH1876" s="8">
        <v>0.75426818593667067</v>
      </c>
      <c r="GI1876" s="8">
        <v>5.912952702955045</v>
      </c>
    </row>
    <row r="1877" spans="182:191">
      <c r="FZ1877" s="8">
        <v>1.7944682800052389</v>
      </c>
      <c r="GA1877" s="8">
        <v>15.33005390447703</v>
      </c>
      <c r="GB1877" s="8">
        <v>5.8538653363606219</v>
      </c>
      <c r="GC1877" s="8">
        <v>0.56105706904513775</v>
      </c>
      <c r="GD1877" s="8">
        <v>0.7851443446107953</v>
      </c>
      <c r="GE1877" s="8">
        <v>2.3048898519015522</v>
      </c>
      <c r="GF1877" s="8">
        <v>5.711501036658408</v>
      </c>
      <c r="GG1877" s="8">
        <v>3.5492971601975971</v>
      </c>
      <c r="GH1877" s="8">
        <v>0.81723777082165783</v>
      </c>
      <c r="GI1877" s="8">
        <v>5.1878090499668197</v>
      </c>
    </row>
    <row r="1878" spans="182:191">
      <c r="FZ1878" s="8">
        <v>5.7465680657366089</v>
      </c>
      <c r="GA1878" s="8">
        <v>13.704243948054298</v>
      </c>
      <c r="GB1878" s="8">
        <v>3.8287500899958227</v>
      </c>
      <c r="GC1878" s="8">
        <v>1.0123601543864147</v>
      </c>
      <c r="GD1878" s="8">
        <v>1.1496523204573408</v>
      </c>
      <c r="GE1878" s="8">
        <v>1.5909726758099785</v>
      </c>
      <c r="GF1878" s="8">
        <v>2.0224323226288119</v>
      </c>
      <c r="GG1878" s="8">
        <v>0.93993896331333671</v>
      </c>
      <c r="GH1878" s="8">
        <v>0.51847395078876257</v>
      </c>
      <c r="GI1878" s="8">
        <v>4.4806283444259085</v>
      </c>
    </row>
    <row r="1879" spans="182:191">
      <c r="FZ1879" s="8">
        <v>6.2613527101972233</v>
      </c>
      <c r="GA1879" s="8">
        <v>8.1358179053305282</v>
      </c>
      <c r="GB1879" s="8">
        <v>0.87914357539707089</v>
      </c>
      <c r="GC1879" s="8">
        <v>1.0298637845532128</v>
      </c>
      <c r="GD1879" s="8">
        <v>1.183890552499381</v>
      </c>
      <c r="GE1879" s="8">
        <v>1.6543755782677798</v>
      </c>
      <c r="GF1879" s="8">
        <v>3.4432703612986639</v>
      </c>
      <c r="GG1879" s="8">
        <v>2.2555066839041871</v>
      </c>
      <c r="GH1879" s="8">
        <v>0</v>
      </c>
      <c r="GI1879" s="8">
        <v>3.6402121492509982</v>
      </c>
    </row>
    <row r="1880" spans="182:191">
      <c r="FZ1880" s="8">
        <v>10.698844019638969</v>
      </c>
      <c r="GA1880" s="8">
        <v>21.118554294441157</v>
      </c>
      <c r="GB1880" s="8">
        <v>6.5306945478395804</v>
      </c>
      <c r="GC1880" s="8">
        <v>1.0622506105290621</v>
      </c>
      <c r="GD1880" s="8">
        <v>0.99550714365598814</v>
      </c>
      <c r="GE1880" s="8">
        <v>1.371481760928017</v>
      </c>
      <c r="GF1880" s="8">
        <v>2.7353247065508262</v>
      </c>
      <c r="GG1880" s="8">
        <v>1.6113391696746744</v>
      </c>
      <c r="GH1880" s="8">
        <v>0.58144353567374973</v>
      </c>
      <c r="GI1880" s="8">
        <v>6.6697719737407297</v>
      </c>
    </row>
    <row r="1881" spans="182:191">
      <c r="FZ1881" s="8">
        <v>8.0678753725869683</v>
      </c>
      <c r="GA1881" s="8">
        <v>7.3608344335692344</v>
      </c>
      <c r="GB1881" s="8">
        <v>1.0139905384632515</v>
      </c>
      <c r="GC1881" s="8">
        <v>0.65567471335093563</v>
      </c>
      <c r="GD1881" s="8">
        <v>1.1038548654941471</v>
      </c>
      <c r="GE1881" s="8">
        <v>1.9137840843577778</v>
      </c>
      <c r="GF1881" s="8">
        <v>3.1342687996356551</v>
      </c>
      <c r="GG1881" s="8">
        <v>2.4324324403942232</v>
      </c>
      <c r="GH1881" s="8">
        <v>0.23579423514790807</v>
      </c>
      <c r="GI1881" s="8">
        <v>3.5988088443388242</v>
      </c>
    </row>
    <row r="1882" spans="182:191">
      <c r="FZ1882" s="8">
        <v>1.8797368450299465</v>
      </c>
      <c r="GA1882" s="8">
        <v>1.9486422294444932</v>
      </c>
      <c r="GB1882" s="8">
        <v>0.31410386419271363</v>
      </c>
      <c r="GC1882" s="8">
        <v>0.65197899463652698</v>
      </c>
      <c r="GD1882" s="8">
        <v>0.99086458413852652</v>
      </c>
      <c r="GE1882" s="8">
        <v>2.4500466979514552</v>
      </c>
      <c r="GF1882" s="8">
        <v>5.2011274526114786</v>
      </c>
      <c r="GG1882" s="8">
        <v>3.3723714037075605</v>
      </c>
      <c r="GH1882" s="8">
        <v>0.23579423514790807</v>
      </c>
      <c r="GI1882" s="8">
        <v>3.0030328181325792</v>
      </c>
    </row>
    <row r="1883" spans="182:191">
      <c r="FZ1883" s="8">
        <v>5.6311456278838934</v>
      </c>
      <c r="GA1883" s="8">
        <v>17.028128884881617</v>
      </c>
      <c r="GB1883" s="8">
        <v>5.4643533653442091</v>
      </c>
      <c r="GC1883" s="8">
        <v>0.69365587258270611</v>
      </c>
      <c r="GD1883" s="8">
        <v>0.82547237609508251</v>
      </c>
      <c r="GE1883" s="8">
        <v>1.08043770148802</v>
      </c>
      <c r="GF1883" s="8">
        <v>2.9965708179125548</v>
      </c>
      <c r="GG1883" s="8">
        <v>2.3040409080523605</v>
      </c>
      <c r="GH1883" s="8">
        <v>0.40861888541082891</v>
      </c>
      <c r="GI1883" s="8">
        <v>4.2738659669685779</v>
      </c>
    </row>
    <row r="1884" spans="182:191">
      <c r="FZ1884" s="8">
        <v>4.5245956491183428</v>
      </c>
      <c r="GA1884" s="8">
        <v>12.855365056508028</v>
      </c>
      <c r="GB1884" s="8">
        <v>3.2915225959358496</v>
      </c>
      <c r="GC1884" s="8">
        <v>0.18338781176666408</v>
      </c>
      <c r="GD1884" s="8">
        <v>0.28573446049731355</v>
      </c>
      <c r="GE1884" s="8">
        <v>0.73838724472322248</v>
      </c>
      <c r="GF1884" s="8">
        <v>2.7438289370944942</v>
      </c>
      <c r="GG1884" s="8">
        <v>2.4809666645423967</v>
      </c>
      <c r="GH1884" s="8">
        <v>0.64441312055873701</v>
      </c>
      <c r="GI1884" s="8">
        <v>3.5360002714995646</v>
      </c>
    </row>
    <row r="1885" spans="182:191">
      <c r="FZ1885" s="8">
        <v>5.7711218926357992E-2</v>
      </c>
      <c r="GA1885" s="8">
        <v>2.3699833290724288</v>
      </c>
      <c r="GB1885" s="8">
        <v>0.83154768571775528</v>
      </c>
      <c r="GC1885" s="8">
        <v>0.77425007279790281</v>
      </c>
      <c r="GD1885" s="8">
        <v>0.65102992321082898</v>
      </c>
      <c r="GE1885" s="8">
        <v>1.6371350140859746</v>
      </c>
      <c r="GF1885" s="8">
        <v>7.7554177178199915</v>
      </c>
      <c r="GG1885" s="8">
        <v>5.6764123117599201</v>
      </c>
      <c r="GH1885" s="8">
        <v>0.64441312055873701</v>
      </c>
      <c r="GI1885" s="8">
        <v>3.0586833628784871</v>
      </c>
    </row>
    <row r="1886" spans="182:191">
      <c r="FZ1886" s="8">
        <v>4.7071605451216492</v>
      </c>
      <c r="GA1886" s="8">
        <v>7.64251049534424</v>
      </c>
      <c r="GB1886" s="8">
        <v>2.7601726658386152</v>
      </c>
      <c r="GC1886" s="8">
        <v>1.417037437023029</v>
      </c>
      <c r="GD1886" s="8">
        <v>1.9679734592925704</v>
      </c>
      <c r="GE1886" s="8">
        <v>2.874613385820441</v>
      </c>
      <c r="GF1886" s="8">
        <v>5.1879163421996441</v>
      </c>
      <c r="GG1886" s="8">
        <v>3.818311629430688</v>
      </c>
      <c r="GH1886" s="8">
        <v>0.51847395078876257</v>
      </c>
      <c r="GI1886" s="8">
        <v>5.1561717795642528</v>
      </c>
    </row>
    <row r="1887" spans="182:191">
      <c r="FZ1887" s="8">
        <v>7.4376682902736375</v>
      </c>
      <c r="GA1887" s="8">
        <v>5.2640841672427374</v>
      </c>
      <c r="GB1887" s="8">
        <v>1.1674983644544275</v>
      </c>
      <c r="GC1887" s="8">
        <v>0.25078189807610951</v>
      </c>
      <c r="GD1887" s="8">
        <v>0.61092554269779842</v>
      </c>
      <c r="GE1887" s="8">
        <v>1.8269747831135776</v>
      </c>
      <c r="GF1887" s="8">
        <v>4.5533478813195138</v>
      </c>
      <c r="GG1887" s="8">
        <v>3.5492971601975971</v>
      </c>
      <c r="GH1887" s="8">
        <v>0.47158847029581613</v>
      </c>
      <c r="GI1887" s="8">
        <v>4.1650020394577654</v>
      </c>
    </row>
    <row r="1888" spans="182:191">
      <c r="FZ1888" s="8">
        <v>4.4250565510183559</v>
      </c>
      <c r="GA1888" s="8">
        <v>4.244730138731942</v>
      </c>
      <c r="GB1888" s="8">
        <v>0.10470128806423785</v>
      </c>
      <c r="GC1888" s="8">
        <v>0.23607543453727198</v>
      </c>
      <c r="GD1888" s="8">
        <v>0.76662660804810923</v>
      </c>
      <c r="GE1888" s="8">
        <v>1.7683515147751878</v>
      </c>
      <c r="GF1888" s="8">
        <v>3.1342687996356551</v>
      </c>
      <c r="GG1888" s="8">
        <v>2.2555066839041871</v>
      </c>
      <c r="GH1888" s="8">
        <v>0.17282465026292085</v>
      </c>
      <c r="GI1888" s="8">
        <v>2.8138663021964381</v>
      </c>
    </row>
    <row r="1889" spans="182:191">
      <c r="FZ1889" s="8">
        <v>1.0277335142693396</v>
      </c>
      <c r="GA1889" s="8">
        <v>13.757719860871923</v>
      </c>
      <c r="GB1889" s="8">
        <v>5.6526737820524442</v>
      </c>
      <c r="GC1889" s="8">
        <v>0.31753057588811784</v>
      </c>
      <c r="GD1889" s="8">
        <v>0.58641460392707723</v>
      </c>
      <c r="GE1889" s="8">
        <v>2.2655963994768089</v>
      </c>
      <c r="GF1889" s="8">
        <v>4.7682857668317782</v>
      </c>
      <c r="GG1889" s="8">
        <v>2.8565954218199106</v>
      </c>
      <c r="GH1889" s="8">
        <v>0.81723777082165783</v>
      </c>
      <c r="GI1889" s="8">
        <v>4.3723013376725186</v>
      </c>
    </row>
    <row r="1890" spans="182:191">
      <c r="FZ1890" s="8">
        <v>10.43784527110553</v>
      </c>
      <c r="GA1890" s="8">
        <v>8.1358179053305282</v>
      </c>
      <c r="GB1890" s="8">
        <v>0.93028357118156746</v>
      </c>
      <c r="GC1890" s="8">
        <v>1.0387227712471181</v>
      </c>
      <c r="GD1890" s="8">
        <v>1.071621979096816</v>
      </c>
      <c r="GE1890" s="8">
        <v>1.5043744879848469</v>
      </c>
      <c r="GF1890" s="8">
        <v>5.1732664598185805</v>
      </c>
      <c r="GG1890" s="8">
        <v>4.1721631424107617</v>
      </c>
      <c r="GH1890" s="8">
        <v>0.64441312055873701</v>
      </c>
      <c r="GI1890" s="8">
        <v>4.2903184047733323</v>
      </c>
    </row>
    <row r="1891" spans="182:191">
      <c r="FZ1891" s="8">
        <v>5.2042260751776457</v>
      </c>
      <c r="GA1891" s="8">
        <v>2.7686586149943353</v>
      </c>
      <c r="GB1891" s="8">
        <v>1.117481178279867</v>
      </c>
      <c r="GC1891" s="8">
        <v>1.3846506110471797</v>
      </c>
      <c r="GD1891" s="8">
        <v>1.1132739744811868</v>
      </c>
      <c r="GE1891" s="8">
        <v>0.86175547602749047</v>
      </c>
      <c r="GF1891" s="8">
        <v>2.6808239826918721</v>
      </c>
      <c r="GG1891" s="8">
        <v>1.9869679269521878</v>
      </c>
      <c r="GH1891" s="8">
        <v>0.40861888541082891</v>
      </c>
      <c r="GI1891" s="8">
        <v>2.9711761674342005</v>
      </c>
    </row>
    <row r="1892" spans="182:191">
      <c r="FZ1892" s="8">
        <v>8.4073102095777337</v>
      </c>
      <c r="GA1892" s="8">
        <v>16.199669500302704</v>
      </c>
      <c r="GB1892" s="8">
        <v>3.9311179202025022</v>
      </c>
      <c r="GC1892" s="8">
        <v>0.76668190309887141</v>
      </c>
      <c r="GD1892" s="8">
        <v>0.75030785934627375</v>
      </c>
      <c r="GE1892" s="8">
        <v>1.5003183752486073</v>
      </c>
      <c r="GF1892" s="8">
        <v>5.8325591965917187</v>
      </c>
      <c r="GG1892" s="8">
        <v>4.0655488543663392</v>
      </c>
      <c r="GH1892" s="8">
        <v>0.3456493005258417</v>
      </c>
      <c r="GI1892" s="8">
        <v>5.2384070825773872</v>
      </c>
    </row>
    <row r="1893" spans="182:191">
      <c r="FZ1893" s="8">
        <v>5.009606796789833</v>
      </c>
      <c r="GA1893" s="8">
        <v>7.3608344335692344</v>
      </c>
      <c r="GB1893" s="8">
        <v>1.2246037628393496</v>
      </c>
      <c r="GC1893" s="8">
        <v>0.67206425879307341</v>
      </c>
      <c r="GD1893" s="8">
        <v>0.80682804147227427</v>
      </c>
      <c r="GE1893" s="8">
        <v>1.8087028744563169</v>
      </c>
      <c r="GF1893" s="8">
        <v>5.3330286837386156</v>
      </c>
      <c r="GG1893" s="8">
        <v>4.1721631424107617</v>
      </c>
      <c r="GH1893" s="8">
        <v>0.47158847029581613</v>
      </c>
      <c r="GI1893" s="8">
        <v>3.480365346616086</v>
      </c>
    </row>
    <row r="1894" spans="182:191">
      <c r="FZ1894" s="8">
        <v>7.0401418583176287</v>
      </c>
      <c r="GA1894" s="8">
        <v>9.53148011968071</v>
      </c>
      <c r="GB1894" s="8">
        <v>1.6246508359755838</v>
      </c>
      <c r="GC1894" s="8">
        <v>0.92642476450430822</v>
      </c>
      <c r="GD1894" s="8">
        <v>1.2639729845071652</v>
      </c>
      <c r="GE1894" s="8">
        <v>2.0905764837576806</v>
      </c>
      <c r="GF1894" s="8">
        <v>2.0370822050098765</v>
      </c>
      <c r="GG1894" s="8">
        <v>1.2937904762934096</v>
      </c>
      <c r="GH1894" s="8">
        <v>0.64441312055873701</v>
      </c>
      <c r="GI1894" s="8">
        <v>3.7333395586507043</v>
      </c>
    </row>
    <row r="1895" spans="182:191">
      <c r="FZ1895" s="8">
        <v>4.3677257081308829</v>
      </c>
      <c r="GA1895" s="8">
        <v>23.949131821282187</v>
      </c>
      <c r="GB1895" s="8">
        <v>9.8367136892534113</v>
      </c>
      <c r="GC1895" s="8">
        <v>0.5612726016833498</v>
      </c>
      <c r="GD1895" s="8">
        <v>1.2040338397464367</v>
      </c>
      <c r="GE1895" s="8">
        <v>2.1406161467206424</v>
      </c>
      <c r="GF1895" s="8">
        <v>2.915779264228977</v>
      </c>
      <c r="GG1895" s="8">
        <v>2.0572793953978019</v>
      </c>
      <c r="GH1895" s="8">
        <v>0.3456493005258417</v>
      </c>
      <c r="GI1895" s="8">
        <v>6.0342248521774788</v>
      </c>
    </row>
    <row r="1896" spans="182:191">
      <c r="FZ1896" s="8">
        <v>7.3958404111000089</v>
      </c>
      <c r="GA1896" s="8">
        <v>10.012493824416669</v>
      </c>
      <c r="GB1896" s="8">
        <v>3.1217752035149227</v>
      </c>
      <c r="GC1896" s="8">
        <v>0.29052255052997727</v>
      </c>
      <c r="GD1896" s="8">
        <v>0.99013954622084599</v>
      </c>
      <c r="GE1896" s="8">
        <v>2.5817611720294802</v>
      </c>
      <c r="GF1896" s="8">
        <v>4.0732633333096739</v>
      </c>
      <c r="GG1896" s="8">
        <v>2.6796696653298739</v>
      </c>
      <c r="GH1896" s="8">
        <v>0.23579423514790807</v>
      </c>
      <c r="GI1896" s="8">
        <v>5.1142837286539411</v>
      </c>
    </row>
    <row r="1897" spans="182:191">
      <c r="FZ1897" s="8">
        <v>0.82444598466225738</v>
      </c>
      <c r="GA1897" s="8">
        <v>17.102024304666596</v>
      </c>
      <c r="GB1897" s="8">
        <v>6.1550886853953584</v>
      </c>
      <c r="GC1897" s="8">
        <v>0.17646505056506989</v>
      </c>
      <c r="GD1897" s="8">
        <v>0.89543641424158316</v>
      </c>
      <c r="GE1897" s="8">
        <v>2.7207198581049958</v>
      </c>
      <c r="GF1897" s="8">
        <v>2.9170005259558192</v>
      </c>
      <c r="GG1897" s="8">
        <v>1.1871761882489873</v>
      </c>
      <c r="GH1897" s="8">
        <v>0.17282465026292085</v>
      </c>
      <c r="GI1897" s="8">
        <v>4.1832371965486699</v>
      </c>
    </row>
    <row r="1898" spans="182:191">
      <c r="FZ1898" s="8">
        <v>4.4254369270572411</v>
      </c>
      <c r="GA1898" s="8">
        <v>9.4368479956163291</v>
      </c>
      <c r="GB1898" s="8">
        <v>3.3415397821104098</v>
      </c>
      <c r="GC1898" s="8">
        <v>0.47357771857914588</v>
      </c>
      <c r="GD1898" s="8">
        <v>0.97010237202533933</v>
      </c>
      <c r="GE1898" s="8">
        <v>1.9657112193329684</v>
      </c>
      <c r="GF1898" s="8">
        <v>2.5270091560797772</v>
      </c>
      <c r="GG1898" s="8">
        <v>1.6113391696746744</v>
      </c>
      <c r="GH1898" s="8">
        <v>0.40861888541082891</v>
      </c>
      <c r="GI1898" s="8">
        <v>3.7518276915742632</v>
      </c>
    </row>
    <row r="1899" spans="182:191">
      <c r="FZ1899" s="8">
        <v>6.6588791421532321</v>
      </c>
      <c r="GA1899" s="8">
        <v>8.6083886110374124</v>
      </c>
      <c r="GB1899" s="8">
        <v>1.8083043369687024</v>
      </c>
      <c r="GC1899" s="8">
        <v>0.78178063154613497</v>
      </c>
      <c r="GD1899" s="8">
        <v>0.79153923950782623</v>
      </c>
      <c r="GE1899" s="8">
        <v>1.157992194951124</v>
      </c>
      <c r="GF1899" s="8">
        <v>5.1648851677913719</v>
      </c>
      <c r="GG1899" s="8">
        <v>4.1353846105308607</v>
      </c>
      <c r="GH1899" s="8">
        <v>0.17282465026292085</v>
      </c>
      <c r="GI1899" s="8">
        <v>3.7162416247779557</v>
      </c>
    </row>
    <row r="1900" spans="182:191">
      <c r="FZ1900" s="8">
        <v>9.174425351352518</v>
      </c>
      <c r="GA1900" s="8">
        <v>20.352013821708937</v>
      </c>
      <c r="GB1900" s="8">
        <v>7.392978345465071</v>
      </c>
      <c r="GC1900" s="8">
        <v>0.961608757108118</v>
      </c>
      <c r="GD1900" s="8">
        <v>0.856497677823576</v>
      </c>
      <c r="GE1900" s="8">
        <v>0.85061319623416587</v>
      </c>
      <c r="GF1900" s="8">
        <v>3.3838739635538246</v>
      </c>
      <c r="GG1900" s="8">
        <v>2.6796696653298739</v>
      </c>
      <c r="GH1900" s="8">
        <v>0.23579423514790807</v>
      </c>
      <c r="GI1900" s="8">
        <v>5.7737963213556771</v>
      </c>
    </row>
    <row r="1901" spans="182:191">
      <c r="FZ1901" s="8">
        <v>7.1853377929594675</v>
      </c>
      <c r="GA1901" s="8">
        <v>11.827568028968161</v>
      </c>
      <c r="GB1901" s="8">
        <v>1.4826278220613549</v>
      </c>
      <c r="GC1901" s="8">
        <v>0.42032418743958522</v>
      </c>
      <c r="GD1901" s="8">
        <v>0.77774707960720502</v>
      </c>
      <c r="GE1901" s="8">
        <v>1.6768738172447373</v>
      </c>
      <c r="GF1901" s="8">
        <v>6.0406541534696885</v>
      </c>
      <c r="GG1901" s="8">
        <v>5.2404936380659599</v>
      </c>
      <c r="GH1901" s="8">
        <v>0.47158847029581613</v>
      </c>
      <c r="GI1901" s="8">
        <v>4.8337297786303228</v>
      </c>
    </row>
    <row r="1902" spans="182:191">
      <c r="FZ1902" s="8">
        <v>4.0279104951012314</v>
      </c>
      <c r="GA1902" s="8">
        <v>11.334260618981871</v>
      </c>
      <c r="GB1902" s="8">
        <v>3.312516916718403</v>
      </c>
      <c r="GC1902" s="8">
        <v>1.5539773677724433</v>
      </c>
      <c r="GD1902" s="8">
        <v>1.2795936303901205</v>
      </c>
      <c r="GE1902" s="8">
        <v>1.0101391874675594</v>
      </c>
      <c r="GF1902" s="8">
        <v>1.1578329703221295</v>
      </c>
      <c r="GG1902" s="8">
        <v>0.42416298142568709</v>
      </c>
      <c r="GH1902" s="8">
        <v>0.40861888541082891</v>
      </c>
      <c r="GI1902" s="8">
        <v>3.8405673360413206</v>
      </c>
    </row>
    <row r="1903" spans="182:191">
      <c r="FZ1903" s="8">
        <v>6.1738679944817427</v>
      </c>
      <c r="GA1903" s="8">
        <v>13.704243948054298</v>
      </c>
      <c r="GB1903" s="8">
        <v>3.9334513780600604</v>
      </c>
      <c r="GC1903" s="8">
        <v>0.55102437643564139</v>
      </c>
      <c r="GD1903" s="8">
        <v>0.69754282267192802</v>
      </c>
      <c r="GE1903" s="8">
        <v>1.6758101473994869</v>
      </c>
      <c r="GF1903" s="8">
        <v>4.9896751852405385</v>
      </c>
      <c r="GG1903" s="8">
        <v>3.6196086286432112</v>
      </c>
      <c r="GH1903" s="8">
        <v>0.23579423514790807</v>
      </c>
      <c r="GI1903" s="8">
        <v>4.1992574702172893</v>
      </c>
    </row>
    <row r="1904" spans="182:191">
      <c r="FZ1904" s="8">
        <v>8.6019294879655472</v>
      </c>
      <c r="GA1904" s="8">
        <v>14.732040975594169</v>
      </c>
      <c r="GB1904" s="8">
        <v>5.812147010644046</v>
      </c>
      <c r="GC1904" s="8">
        <v>0.93256608469873759</v>
      </c>
      <c r="GD1904" s="8">
        <v>1.2985848457025564</v>
      </c>
      <c r="GE1904" s="8">
        <v>2.7829805834520793</v>
      </c>
      <c r="GF1904" s="8">
        <v>3.6096549202599144</v>
      </c>
      <c r="GG1904" s="8">
        <v>1.7397307020165371</v>
      </c>
      <c r="GH1904" s="8">
        <v>0.40861888541082891</v>
      </c>
      <c r="GI1904" s="8">
        <v>5.6918888894333133</v>
      </c>
    </row>
    <row r="1905" spans="182:191">
      <c r="FZ1905" s="8">
        <v>9.7167673419114831</v>
      </c>
      <c r="GA1905" s="8">
        <v>11.679459992086155</v>
      </c>
      <c r="GB1905" s="8">
        <v>1.6361356480525311</v>
      </c>
      <c r="GC1905" s="8">
        <v>0.6707734417981992</v>
      </c>
      <c r="GD1905" s="8">
        <v>1.1349409863688482</v>
      </c>
      <c r="GE1905" s="8">
        <v>2.1422339307614053</v>
      </c>
      <c r="GF1905" s="8">
        <v>2.3552570834747497</v>
      </c>
      <c r="GG1905" s="8">
        <v>1.1871761882489873</v>
      </c>
      <c r="GH1905" s="8">
        <v>0.17282465026292085</v>
      </c>
      <c r="GI1905" s="8">
        <v>5.0393319040210596</v>
      </c>
    </row>
    <row r="1906" spans="182:191">
      <c r="FZ1906" s="8">
        <v>5.3373676274349791</v>
      </c>
      <c r="GA1906" s="8">
        <v>14.877902705737501</v>
      </c>
      <c r="GB1906" s="8">
        <v>3.9148783537727514</v>
      </c>
      <c r="GC1906" s="8">
        <v>1.2574306081273199</v>
      </c>
      <c r="GD1906" s="8">
        <v>1.3495512497425004</v>
      </c>
      <c r="GE1906" s="8">
        <v>1.2622065460766541</v>
      </c>
      <c r="GF1906" s="8">
        <v>5.5544239536224538</v>
      </c>
      <c r="GG1906" s="8">
        <v>4.8866421250858876</v>
      </c>
      <c r="GH1906" s="8">
        <v>0.17282465026292085</v>
      </c>
      <c r="GI1906" s="8">
        <v>5.1308461043234681</v>
      </c>
    </row>
    <row r="1907" spans="182:191">
      <c r="FZ1907" s="8">
        <v>12.08711761646893</v>
      </c>
      <c r="GA1907" s="8">
        <v>12.707257019626024</v>
      </c>
      <c r="GB1907" s="8">
        <v>3.2891891380782905</v>
      </c>
      <c r="GC1907" s="8">
        <v>0.20089144193346209</v>
      </c>
      <c r="GD1907" s="8">
        <v>0.53604403704004011</v>
      </c>
      <c r="GE1907" s="8">
        <v>1.5386268851072415</v>
      </c>
      <c r="GF1907" s="8">
        <v>2.7576867947009029</v>
      </c>
      <c r="GG1907" s="8">
        <v>2.0935822149966103</v>
      </c>
      <c r="GH1907" s="8">
        <v>0.88020735570664521</v>
      </c>
      <c r="GI1907" s="8">
        <v>4.8461998048138168</v>
      </c>
    </row>
    <row r="1908" spans="182:191">
      <c r="FZ1908" s="8">
        <v>12.232693927149654</v>
      </c>
      <c r="GA1908" s="8">
        <v>13.903581591015254</v>
      </c>
      <c r="GB1908" s="8">
        <v>3.8950068426001332</v>
      </c>
      <c r="GC1908" s="8">
        <v>0.68049336962775386</v>
      </c>
      <c r="GD1908" s="8">
        <v>0.85458695296571352</v>
      </c>
      <c r="GE1908" s="8">
        <v>1.5534086504570574</v>
      </c>
      <c r="GF1908" s="8">
        <v>1.3959249687591258</v>
      </c>
      <c r="GG1908" s="8">
        <v>0.42416298142568709</v>
      </c>
      <c r="GH1908" s="8">
        <v>0.40861888541082891</v>
      </c>
      <c r="GI1908" s="8">
        <v>5.1132438805023366</v>
      </c>
    </row>
    <row r="1909" spans="182:191">
      <c r="FZ1909" s="8">
        <v>2.1339031169960054</v>
      </c>
      <c r="GA1909" s="8">
        <v>8.0411857812661456</v>
      </c>
      <c r="GB1909" s="8">
        <v>2.7368448871985032</v>
      </c>
      <c r="GC1909" s="8">
        <v>0.65133358613908998</v>
      </c>
      <c r="GD1909" s="8">
        <v>0.81987471682376767</v>
      </c>
      <c r="GE1909" s="8">
        <v>1.2867559323695679</v>
      </c>
      <c r="GF1909" s="8">
        <v>2.1053317345398161</v>
      </c>
      <c r="GG1909" s="8">
        <v>1.1871761882489873</v>
      </c>
      <c r="GH1909" s="8">
        <v>0.3456493005258417</v>
      </c>
      <c r="GI1909" s="8">
        <v>3.1219701762589804</v>
      </c>
    </row>
    <row r="1910" spans="182:191">
      <c r="FZ1910" s="8">
        <v>7.6775640291644169</v>
      </c>
      <c r="GA1910" s="8">
        <v>14.310699875966232</v>
      </c>
      <c r="GB1910" s="8">
        <v>5.2435631933345075</v>
      </c>
      <c r="GC1910" s="8">
        <v>0.42509519051065608</v>
      </c>
      <c r="GD1910" s="8">
        <v>0.83183753127884352</v>
      </c>
      <c r="GE1910" s="8">
        <v>2.1518170010663651</v>
      </c>
      <c r="GF1910" s="8">
        <v>2.1850110784319741</v>
      </c>
      <c r="GG1910" s="8">
        <v>1.2937904762934096</v>
      </c>
      <c r="GH1910" s="8">
        <v>0.64441312055873701</v>
      </c>
      <c r="GI1910" s="8">
        <v>4.9048668672601199</v>
      </c>
    </row>
    <row r="1911" spans="182:191">
      <c r="FZ1911" s="8">
        <v>8.747125422607386</v>
      </c>
      <c r="GA1911" s="8">
        <v>19.597449856914999</v>
      </c>
      <c r="GB1911" s="8">
        <v>6.3783973700960264</v>
      </c>
      <c r="GC1911" s="8">
        <v>0.47649199628638972</v>
      </c>
      <c r="GD1911" s="8">
        <v>0.41690414044545626</v>
      </c>
      <c r="GE1911" s="8">
        <v>1.3503172849656746</v>
      </c>
      <c r="GF1911" s="8">
        <v>3.192255141635933</v>
      </c>
      <c r="GG1911" s="8">
        <v>1.788264926164711</v>
      </c>
      <c r="GH1911" s="8">
        <v>0.81723777082165783</v>
      </c>
      <c r="GI1911" s="8">
        <v>5.4644141461380382</v>
      </c>
    </row>
    <row r="1912" spans="182:191">
      <c r="FZ1912" s="8">
        <v>1.3671683512601061</v>
      </c>
      <c r="GA1912" s="8">
        <v>6.8675270235829462</v>
      </c>
      <c r="GB1912" s="8">
        <v>2.6705881345941922</v>
      </c>
      <c r="GC1912" s="8">
        <v>1.4996662842894655</v>
      </c>
      <c r="GD1912" s="8">
        <v>1.3295322116180202</v>
      </c>
      <c r="GE1912" s="8">
        <v>1.0703156297330947</v>
      </c>
      <c r="GF1912" s="8">
        <v>4.5209113996574946</v>
      </c>
      <c r="GG1912" s="8">
        <v>3.6196086286432112</v>
      </c>
      <c r="GH1912" s="8">
        <v>0.58144353567374973</v>
      </c>
      <c r="GI1912" s="8">
        <v>3.8043732521268563</v>
      </c>
    </row>
    <row r="1913" spans="182:191">
      <c r="FZ1913" s="8">
        <v>4.9221220810743525</v>
      </c>
      <c r="GA1913" s="8">
        <v>16.253145413120322</v>
      </c>
      <c r="GB1913" s="8">
        <v>5.7051122647222501</v>
      </c>
      <c r="GC1913" s="8">
        <v>0.31254404017883497</v>
      </c>
      <c r="GD1913" s="8">
        <v>0.8220262093197086</v>
      </c>
      <c r="GE1913" s="8">
        <v>2.3348283035495232</v>
      </c>
      <c r="GF1913" s="8">
        <v>5.8179093142106542</v>
      </c>
      <c r="GG1913" s="8">
        <v>4.4194003673464124</v>
      </c>
      <c r="GH1913" s="8">
        <v>0.81723777082165783</v>
      </c>
      <c r="GI1913" s="8">
        <v>4.8081810284448139</v>
      </c>
    </row>
    <row r="1914" spans="182:191">
      <c r="FZ1914" s="8">
        <v>12.144448459356401</v>
      </c>
      <c r="GA1914" s="8">
        <v>15.778328400674766</v>
      </c>
      <c r="GB1914" s="8">
        <v>3.3799843175703366</v>
      </c>
      <c r="GC1914" s="8">
        <v>0.96724070131483808</v>
      </c>
      <c r="GD1914" s="8">
        <v>1.1024059878370753</v>
      </c>
      <c r="GE1914" s="8">
        <v>1.6796694490664068</v>
      </c>
      <c r="GF1914" s="8">
        <v>5.2102784303497209</v>
      </c>
      <c r="GG1914" s="8">
        <v>4.1236289182625878</v>
      </c>
      <c r="GH1914" s="8">
        <v>0.23579423514790807</v>
      </c>
      <c r="GI1914" s="8">
        <v>5.7634032694113309</v>
      </c>
    </row>
    <row r="1915" spans="182:191">
      <c r="FZ1915" s="8">
        <v>10.098410434114763</v>
      </c>
      <c r="GA1915" s="8">
        <v>16.179249993335343</v>
      </c>
      <c r="GB1915" s="8">
        <v>5.0630956439603523</v>
      </c>
      <c r="GC1915" s="8">
        <v>0.21904048059769715</v>
      </c>
      <c r="GD1915" s="8">
        <v>0.26477151454573017</v>
      </c>
      <c r="GE1915" s="8">
        <v>0.97022159625952287</v>
      </c>
      <c r="GF1915" s="8">
        <v>4.4082355397805424</v>
      </c>
      <c r="GG1915" s="8">
        <v>3.5492971601975971</v>
      </c>
      <c r="GH1915" s="8">
        <v>0.64441312055873701</v>
      </c>
      <c r="GI1915" s="8">
        <v>5.0913614516738068</v>
      </c>
    </row>
    <row r="1916" spans="182:191">
      <c r="FZ1916" s="8">
        <v>7.5251530059891198</v>
      </c>
      <c r="GA1916" s="8">
        <v>16.179249993335343</v>
      </c>
      <c r="GB1916" s="8">
        <v>5.0979960733150982</v>
      </c>
      <c r="GC1916" s="8">
        <v>0.85124697585761944</v>
      </c>
      <c r="GD1916" s="8">
        <v>0.61000260685229779</v>
      </c>
      <c r="GE1916" s="8">
        <v>0.49017918778104796</v>
      </c>
      <c r="GF1916" s="8">
        <v>5.0327296071487302</v>
      </c>
      <c r="GG1916" s="8">
        <v>4.193940386708201</v>
      </c>
      <c r="GH1916" s="8">
        <v>0.17282465026292085</v>
      </c>
      <c r="GI1916" s="8">
        <v>4.6021826477136134</v>
      </c>
    </row>
    <row r="1917" spans="182:191">
      <c r="FZ1917" s="8">
        <v>6.7463638578687144</v>
      </c>
      <c r="GA1917" s="8">
        <v>14.228361457152182</v>
      </c>
      <c r="GB1917" s="8">
        <v>3.4763867451765904</v>
      </c>
      <c r="GC1917" s="8">
        <v>0.70402120890969788</v>
      </c>
      <c r="GD1917" s="8">
        <v>0.8490822767489592</v>
      </c>
      <c r="GE1917" s="8">
        <v>1.1874063834017092</v>
      </c>
      <c r="GF1917" s="8">
        <v>6.4113111001601251</v>
      </c>
      <c r="GG1917" s="8">
        <v>5.6278780876117471</v>
      </c>
      <c r="GH1917" s="8">
        <v>0.40861888541082891</v>
      </c>
      <c r="GI1917" s="8">
        <v>5.4282378843265677</v>
      </c>
    </row>
    <row r="1918" spans="182:191">
      <c r="FZ1918" s="8">
        <v>1.3671683512601061</v>
      </c>
      <c r="GA1918" s="8">
        <v>3.3443044437946754</v>
      </c>
      <c r="GB1918" s="8">
        <v>0.9885996178141121</v>
      </c>
      <c r="GC1918" s="8">
        <v>1.1108502496768353</v>
      </c>
      <c r="GD1918" s="8">
        <v>0.93698658358219022</v>
      </c>
      <c r="GE1918" s="8">
        <v>0.82525512051981997</v>
      </c>
      <c r="GF1918" s="8">
        <v>4.8418804709418719</v>
      </c>
      <c r="GG1918" s="8">
        <v>4.5477918996882742</v>
      </c>
      <c r="GH1918" s="8">
        <v>0.64441312055873701</v>
      </c>
      <c r="GI1918" s="8">
        <v>2.737091156423765</v>
      </c>
    </row>
    <row r="1919" spans="182:191">
      <c r="FZ1919" s="8">
        <v>8.319825493862254</v>
      </c>
      <c r="GA1919" s="8">
        <v>5.6403923530821247</v>
      </c>
      <c r="GB1919" s="8">
        <v>0.86523746682487879</v>
      </c>
      <c r="GC1919" s="8">
        <v>0.87976135084884632</v>
      </c>
      <c r="GD1919" s="8">
        <v>1.153402684847161</v>
      </c>
      <c r="GE1919" s="8">
        <v>2.4662882024016279</v>
      </c>
      <c r="GF1919" s="8">
        <v>4.9860666285827557</v>
      </c>
      <c r="GG1919" s="8">
        <v>3.0552984226073874</v>
      </c>
      <c r="GH1919" s="8">
        <v>0.58144353567374973</v>
      </c>
      <c r="GI1919" s="8">
        <v>4.7206670627540381</v>
      </c>
    </row>
    <row r="1920" spans="182:191">
      <c r="FZ1920" s="8">
        <v>2.6886798659783597</v>
      </c>
      <c r="GA1920" s="8">
        <v>16.127703189944352</v>
      </c>
      <c r="GB1920" s="8">
        <v>6.312140617491715</v>
      </c>
      <c r="GC1920" s="8">
        <v>0.41946324630393605</v>
      </c>
      <c r="GD1920" s="8">
        <v>0.51322163118233854</v>
      </c>
      <c r="GE1920" s="8">
        <v>1.0210699486439168</v>
      </c>
      <c r="GF1920" s="8">
        <v>9.0146031845847681</v>
      </c>
      <c r="GG1920" s="8">
        <v>8.130621996451584</v>
      </c>
      <c r="GH1920" s="8">
        <v>0.23579423514790807</v>
      </c>
      <c r="GI1920" s="8">
        <v>6.2684734012155268</v>
      </c>
    </row>
    <row r="1921" spans="182:191">
      <c r="FZ1921" s="8">
        <v>3.6006105663560986</v>
      </c>
      <c r="GA1921" s="8">
        <v>14.857483198770142</v>
      </c>
      <c r="GB1921" s="8">
        <v>5.1166569362400942</v>
      </c>
      <c r="GC1921" s="8">
        <v>0.65769043897173152</v>
      </c>
      <c r="GD1921" s="8">
        <v>1.0794993666564807</v>
      </c>
      <c r="GE1921" s="8">
        <v>2.0141003676874747</v>
      </c>
      <c r="GF1921" s="8">
        <v>3.5821374595765532</v>
      </c>
      <c r="GG1921" s="8">
        <v>2.905129645968084</v>
      </c>
      <c r="GH1921" s="8">
        <v>0.70738270544372439</v>
      </c>
      <c r="GI1921" s="8">
        <v>4.2616660241553408</v>
      </c>
    </row>
    <row r="1922" spans="182:191">
      <c r="FZ1922" s="8">
        <v>4.0279104951012314</v>
      </c>
      <c r="GA1922" s="8">
        <v>9.3629525758313488</v>
      </c>
      <c r="GB1922" s="8">
        <v>2.8577857416924917</v>
      </c>
      <c r="GC1922" s="8">
        <v>0.43632146797329696</v>
      </c>
      <c r="GD1922" s="8">
        <v>0.41976996505717196</v>
      </c>
      <c r="GE1922" s="8">
        <v>1.030398038525058</v>
      </c>
      <c r="GF1922" s="8">
        <v>3.2101309435109213</v>
      </c>
      <c r="GG1922" s="8">
        <v>2.2342051518878385</v>
      </c>
      <c r="GH1922" s="8">
        <v>0.23579423514790807</v>
      </c>
      <c r="GI1922" s="8">
        <v>2.8832784130084379</v>
      </c>
    </row>
    <row r="1923" spans="182:191">
      <c r="FZ1923" s="8">
        <v>10.113913397828606</v>
      </c>
      <c r="GA1923" s="8">
        <v>9.8851224918140659</v>
      </c>
      <c r="GB1923" s="8">
        <v>0.82791574097488807</v>
      </c>
      <c r="GC1923" s="8">
        <v>1.476217945136006</v>
      </c>
      <c r="GD1923" s="8">
        <v>1.9687502482868391</v>
      </c>
      <c r="GE1923" s="8">
        <v>1.9226636982181784</v>
      </c>
      <c r="GF1923" s="8">
        <v>2.6477184147716555</v>
      </c>
      <c r="GG1923" s="8">
        <v>2.5027439088398373</v>
      </c>
      <c r="GH1923" s="8">
        <v>0.17282465026292085</v>
      </c>
      <c r="GI1923" s="8">
        <v>5.2544387909938344</v>
      </c>
    </row>
    <row r="1924" spans="182:191">
      <c r="FZ1924" s="8">
        <v>5.4369067255349659</v>
      </c>
      <c r="GA1924" s="8">
        <v>12.656027413547076</v>
      </c>
      <c r="GB1924" s="8">
        <v>3.2264764915791604</v>
      </c>
      <c r="GC1924" s="8">
        <v>0.70143957491994946</v>
      </c>
      <c r="GD1924" s="8">
        <v>0.88806489435222491</v>
      </c>
      <c r="GE1924" s="8">
        <v>1.6491768832229234</v>
      </c>
      <c r="GF1924" s="8">
        <v>5.2693546430777971</v>
      </c>
      <c r="GG1924" s="8">
        <v>4.1236289182625878</v>
      </c>
      <c r="GH1924" s="8">
        <v>0.58144353567374973</v>
      </c>
      <c r="GI1924" s="8">
        <v>5.118383162705971</v>
      </c>
    </row>
    <row r="1925" spans="182:191">
      <c r="FZ1925" s="8">
        <v>3.8827145604593918</v>
      </c>
      <c r="GA1925" s="8">
        <v>6.3123007017499644</v>
      </c>
      <c r="GB1925" s="8">
        <v>1.9105843285376953</v>
      </c>
      <c r="GC1925" s="8">
        <v>0.45511591513496924</v>
      </c>
      <c r="GD1925" s="8">
        <v>0.92727211996990755</v>
      </c>
      <c r="GE1925" s="8">
        <v>2.4214264913746546</v>
      </c>
      <c r="GF1925" s="8">
        <v>4.0316535348457894</v>
      </c>
      <c r="GG1925" s="8">
        <v>2.8565954218199106</v>
      </c>
      <c r="GH1925" s="8">
        <v>0.81723777082165783</v>
      </c>
      <c r="GI1925" s="8">
        <v>4.6273671807895509</v>
      </c>
    </row>
    <row r="1926" spans="182:191">
      <c r="FZ1926" s="8">
        <v>6.6011679232268747</v>
      </c>
      <c r="GA1926" s="8">
        <v>11.533598261942824</v>
      </c>
      <c r="GB1926" s="8">
        <v>3.4299136651072111</v>
      </c>
      <c r="GC1926" s="8">
        <v>0.46458269937551278</v>
      </c>
      <c r="GD1926" s="8">
        <v>0.66385576013473968</v>
      </c>
      <c r="GE1926" s="8">
        <v>1.6113431698985363</v>
      </c>
      <c r="GF1926" s="8">
        <v>3.7642617716466651</v>
      </c>
      <c r="GG1926" s="8">
        <v>2.6796696653298739</v>
      </c>
      <c r="GH1926" s="8">
        <v>0.58144353567374973</v>
      </c>
      <c r="GI1926" s="8">
        <v>4.3804279605326997</v>
      </c>
    </row>
    <row r="1927" spans="182:191">
      <c r="FZ1927" s="8">
        <v>3.94042577938575</v>
      </c>
      <c r="GA1927" s="8">
        <v>9.4368479956163291</v>
      </c>
      <c r="GB1927" s="8">
        <v>3.3577793485401601</v>
      </c>
      <c r="GC1927" s="8">
        <v>0.77704723942586329</v>
      </c>
      <c r="GD1927" s="8">
        <v>0.5354584660668299</v>
      </c>
      <c r="GE1927" s="8">
        <v>0.45968662193756449</v>
      </c>
      <c r="GF1927" s="8">
        <v>4.4572373589966752</v>
      </c>
      <c r="GG1927" s="8">
        <v>4.1018516739651467</v>
      </c>
      <c r="GH1927" s="8">
        <v>0.70738270544372439</v>
      </c>
      <c r="GI1927" s="8">
        <v>4.38503568932056</v>
      </c>
    </row>
    <row r="1928" spans="182:191">
      <c r="FZ1928" s="8">
        <v>3.6009909423949833</v>
      </c>
      <c r="GA1928" s="8">
        <v>17.280942440660194</v>
      </c>
      <c r="GB1928" s="8">
        <v>7.5825972490586153</v>
      </c>
      <c r="GC1928" s="8">
        <v>0.84010019852346296</v>
      </c>
      <c r="GD1928" s="8">
        <v>0.57186897595133623</v>
      </c>
      <c r="GE1928" s="8">
        <v>0.8405910000651482</v>
      </c>
      <c r="GF1928" s="8">
        <v>2.5031859568968482</v>
      </c>
      <c r="GG1928" s="8">
        <v>1.1871761882489873</v>
      </c>
      <c r="GH1928" s="8">
        <v>0</v>
      </c>
      <c r="GI1928" s="8">
        <v>4.9351471224976855</v>
      </c>
    </row>
    <row r="1929" spans="182:191">
      <c r="FZ1929" s="8">
        <v>10.21383287196748</v>
      </c>
      <c r="GA1929" s="8">
        <v>10.286044084474646</v>
      </c>
      <c r="GB1929" s="8">
        <v>2.6717109442041282</v>
      </c>
      <c r="GC1929" s="8">
        <v>1.0063359452712688</v>
      </c>
      <c r="GD1929" s="8">
        <v>0.96796901560042481</v>
      </c>
      <c r="GE1929" s="8">
        <v>1.4768330639988427</v>
      </c>
      <c r="GF1929" s="8">
        <v>1.3381983254062475</v>
      </c>
      <c r="GG1929" s="8">
        <v>0.353851512980073</v>
      </c>
      <c r="GH1929" s="8">
        <v>0.64441312055873701</v>
      </c>
      <c r="GI1929" s="8">
        <v>4.2647293496615752</v>
      </c>
    </row>
    <row r="1930" spans="182:191">
      <c r="FZ1930" s="8">
        <v>0.11542243785271598</v>
      </c>
      <c r="GA1930" s="8">
        <v>10.433834924044604</v>
      </c>
      <c r="GB1930" s="8">
        <v>3.9172118116303096</v>
      </c>
      <c r="GC1930" s="8">
        <v>0.53254269405391086</v>
      </c>
      <c r="GD1930" s="8">
        <v>0.4996287540229043</v>
      </c>
      <c r="GE1930" s="8">
        <v>1.0969488939096581</v>
      </c>
      <c r="GF1930" s="8">
        <v>3.3975335666307771</v>
      </c>
      <c r="GG1930" s="8">
        <v>2.2555066839041871</v>
      </c>
      <c r="GH1930" s="8">
        <v>0.17282465026292085</v>
      </c>
      <c r="GI1930" s="8">
        <v>2.9678243646989637</v>
      </c>
    </row>
    <row r="1931" spans="182:191">
      <c r="FZ1931" s="8">
        <v>9.174425351352518</v>
      </c>
      <c r="GA1931" s="8">
        <v>15.056820841731094</v>
      </c>
      <c r="GB1931" s="8">
        <v>5.2178141181991506</v>
      </c>
      <c r="GC1931" s="8">
        <v>0.60273394699131666</v>
      </c>
      <c r="GD1931" s="8">
        <v>1.1033899294638609</v>
      </c>
      <c r="GE1931" s="8">
        <v>1.7748835676367609</v>
      </c>
      <c r="GF1931" s="8">
        <v>4.0814473788365779</v>
      </c>
      <c r="GG1931" s="8">
        <v>3.4426828721531746</v>
      </c>
      <c r="GH1931" s="8">
        <v>0.3456493005258417</v>
      </c>
      <c r="GI1931" s="8">
        <v>5.074668346222504</v>
      </c>
    </row>
    <row r="1932" spans="182:191">
      <c r="FZ1932" s="8">
        <v>6.3767751480499388</v>
      </c>
      <c r="GA1932" s="8">
        <v>19.52355443713002</v>
      </c>
      <c r="GB1932" s="8">
        <v>5.6004109766580115</v>
      </c>
      <c r="GC1932" s="8">
        <v>0.88255851747680669</v>
      </c>
      <c r="GD1932" s="8">
        <v>1.0178458045842433</v>
      </c>
      <c r="GE1932" s="8">
        <v>1.1285051295983921</v>
      </c>
      <c r="GF1932" s="8">
        <v>2.9434196634287968</v>
      </c>
      <c r="GG1932" s="8">
        <v>2.2555066839041871</v>
      </c>
      <c r="GH1932" s="8">
        <v>0</v>
      </c>
      <c r="GI1932" s="8">
        <v>4.6506053426211826</v>
      </c>
    </row>
    <row r="1933" spans="182:191">
      <c r="FZ1933" s="8">
        <v>9.1442714785245105</v>
      </c>
      <c r="GA1933" s="8">
        <v>12.906594662586977</v>
      </c>
      <c r="GB1933" s="8">
        <v>3.6171991108431962</v>
      </c>
      <c r="GC1933" s="8">
        <v>1.0594534439011016</v>
      </c>
      <c r="GD1933" s="8">
        <v>1.275643944881987</v>
      </c>
      <c r="GE1933" s="8">
        <v>1.6218318651083399</v>
      </c>
      <c r="GF1933" s="8">
        <v>1.9144825983329583</v>
      </c>
      <c r="GG1933" s="8">
        <v>1.1871761882489873</v>
      </c>
      <c r="GH1933" s="8">
        <v>0.17282465026292085</v>
      </c>
      <c r="GI1933" s="8">
        <v>4.4472739192823507</v>
      </c>
    </row>
    <row r="1934" spans="182:191">
      <c r="FZ1934" s="8">
        <v>10.056202178902248</v>
      </c>
      <c r="GA1934" s="8">
        <v>21.27285902361356</v>
      </c>
      <c r="GB1934" s="8">
        <v>5.5516044387310739</v>
      </c>
      <c r="GC1934" s="8">
        <v>0.72152483907649589</v>
      </c>
      <c r="GD1934" s="8">
        <v>0.68816118400523085</v>
      </c>
      <c r="GE1934" s="8">
        <v>1.2049485151009045</v>
      </c>
      <c r="GF1934" s="8">
        <v>1.2950824593801111</v>
      </c>
      <c r="GG1934" s="8">
        <v>0.1769257564900365</v>
      </c>
      <c r="GH1934" s="8">
        <v>0.40861888541082891</v>
      </c>
      <c r="GI1934" s="8">
        <v>4.4892867220109505</v>
      </c>
    </row>
    <row r="1935" spans="182:191">
      <c r="FZ1935" s="8">
        <v>9.7167673419114831</v>
      </c>
      <c r="GA1935" s="8">
        <v>20.697213194813219</v>
      </c>
      <c r="GB1935" s="8">
        <v>6.0144613745621598</v>
      </c>
      <c r="GC1935" s="8">
        <v>1.1061168575565636</v>
      </c>
      <c r="GD1935" s="8">
        <v>1.0894334866409816</v>
      </c>
      <c r="GE1935" s="8">
        <v>1.7054940238215386</v>
      </c>
      <c r="GF1935" s="8">
        <v>4.3855299195209287</v>
      </c>
      <c r="GG1935" s="8">
        <v>3.0552984226073874</v>
      </c>
      <c r="GH1935" s="8">
        <v>0.23579423514790807</v>
      </c>
      <c r="GI1935" s="8">
        <v>6.4282258254590001</v>
      </c>
    </row>
    <row r="1936" spans="182:191">
      <c r="FZ1936" s="8">
        <v>4.0856217140275888</v>
      </c>
      <c r="GA1936" s="8">
        <v>8.2097133251155068</v>
      </c>
      <c r="GB1936" s="8">
        <v>1.380347830492362</v>
      </c>
      <c r="GC1936" s="8">
        <v>0.12571365328677331</v>
      </c>
      <c r="GD1936" s="8">
        <v>0.69718399969319078</v>
      </c>
      <c r="GE1936" s="8">
        <v>2.0512457373128496</v>
      </c>
      <c r="GF1936" s="8">
        <v>1.7703595280689481</v>
      </c>
      <c r="GG1936" s="8">
        <v>0.49447444987130124</v>
      </c>
      <c r="GH1936" s="8">
        <v>0.17282465026292085</v>
      </c>
      <c r="GI1936" s="8">
        <v>3.0520705360804428</v>
      </c>
    </row>
    <row r="1937" spans="182:191">
      <c r="FZ1937" s="8">
        <v>0.99757964144133127</v>
      </c>
      <c r="GA1937" s="8">
        <v>11.408156038766851</v>
      </c>
      <c r="GB1937" s="8">
        <v>3.8137211718136941</v>
      </c>
      <c r="GC1937" s="8">
        <v>0.80685243141196428</v>
      </c>
      <c r="GD1937" s="8">
        <v>0.84570386533486452</v>
      </c>
      <c r="GE1937" s="8">
        <v>1.5594164401212445</v>
      </c>
      <c r="GF1937" s="8">
        <v>3.4831212027765548</v>
      </c>
      <c r="GG1937" s="8">
        <v>2.2337294396067464</v>
      </c>
      <c r="GH1937" s="8">
        <v>0.47158847029581613</v>
      </c>
      <c r="GI1937" s="8">
        <v>4.236332096151517</v>
      </c>
    </row>
    <row r="1938" spans="182:191">
      <c r="FZ1938" s="8">
        <v>3.3977034127879011</v>
      </c>
      <c r="GA1938" s="8">
        <v>3.7429797297165819</v>
      </c>
      <c r="GB1938" s="8">
        <v>1.1560135523774799</v>
      </c>
      <c r="GC1938" s="8">
        <v>0.6714188502956363</v>
      </c>
      <c r="GD1938" s="8">
        <v>0.73816222211162486</v>
      </c>
      <c r="GE1938" s="8">
        <v>1.5318164415828424</v>
      </c>
      <c r="GF1938" s="8">
        <v>2.5003694250137212</v>
      </c>
      <c r="GG1938" s="8">
        <v>1.5410277012290603</v>
      </c>
      <c r="GH1938" s="8">
        <v>0.47158847029581613</v>
      </c>
      <c r="GI1938" s="8">
        <v>2.3726980058497009</v>
      </c>
    </row>
    <row r="1939" spans="182:191">
      <c r="FZ1939" s="8">
        <v>2.2794794276767298</v>
      </c>
      <c r="GA1939" s="8">
        <v>1.1736587576831998</v>
      </c>
      <c r="GB1939" s="8">
        <v>0.30934910983991032</v>
      </c>
      <c r="GC1939" s="8">
        <v>0.3159866153042325</v>
      </c>
      <c r="GD1939" s="8">
        <v>0.53056820269621807</v>
      </c>
      <c r="GE1939" s="8">
        <v>1.7991783787037552</v>
      </c>
      <c r="GF1939" s="8">
        <v>1.6443833551861293</v>
      </c>
      <c r="GG1939" s="8">
        <v>0.353851512980073</v>
      </c>
      <c r="GH1939" s="8">
        <v>0.64441312055873701</v>
      </c>
      <c r="GI1939" s="8">
        <v>2.3705577801719642</v>
      </c>
    </row>
    <row r="1940" spans="182:191">
      <c r="FZ1940" s="8">
        <v>3.840506305246878</v>
      </c>
      <c r="GA1940" s="8">
        <v>4.2959597448108928</v>
      </c>
      <c r="GB1940" s="8">
        <v>0.54889736097032882</v>
      </c>
      <c r="GC1940" s="8">
        <v>0.92771558149918243</v>
      </c>
      <c r="GD1940" s="8">
        <v>0.74920210072119997</v>
      </c>
      <c r="GE1940" s="8">
        <v>1.0979156282714964</v>
      </c>
      <c r="GF1940" s="8">
        <v>2.4024999457048883</v>
      </c>
      <c r="GG1940" s="8">
        <v>1.5410277012290603</v>
      </c>
      <c r="GH1940" s="8">
        <v>0.47158847029581613</v>
      </c>
      <c r="GI1940" s="8">
        <v>1.994626003211825</v>
      </c>
    </row>
    <row r="1941" spans="182:191">
      <c r="FZ1941" s="8">
        <v>4.4668844301919846</v>
      </c>
      <c r="GA1941" s="8">
        <v>4.9908511044968051</v>
      </c>
      <c r="GB1941" s="8">
        <v>0.32325521841210242</v>
      </c>
      <c r="GC1941" s="8">
        <v>0.42290582142933364</v>
      </c>
      <c r="GD1941" s="8">
        <v>0.5588559156054046</v>
      </c>
      <c r="GE1941" s="8">
        <v>1.7565793336097053</v>
      </c>
      <c r="GF1941" s="8">
        <v>6.8569207728184356</v>
      </c>
      <c r="GG1941" s="8">
        <v>4.758250592744024</v>
      </c>
      <c r="GH1941" s="8">
        <v>0.17282465026292085</v>
      </c>
      <c r="GI1941" s="8">
        <v>3.6871818490278554</v>
      </c>
    </row>
    <row r="1942" spans="182:191">
      <c r="FZ1942" s="8">
        <v>16.214567209670147</v>
      </c>
      <c r="GA1942" s="8">
        <v>19.25032137438409</v>
      </c>
      <c r="GB1942" s="8">
        <v>5.1202010423452746</v>
      </c>
      <c r="GC1942" s="8">
        <v>0.63623485769182653</v>
      </c>
      <c r="GD1942" s="8">
        <v>0.88963160233775174</v>
      </c>
      <c r="GE1942" s="8">
        <v>1.3561458813826885</v>
      </c>
      <c r="GF1942" s="8">
        <v>2.6214275849470323</v>
      </c>
      <c r="GG1942" s="8">
        <v>2.4111309083778751</v>
      </c>
      <c r="GH1942" s="8">
        <v>0.64441312055873701</v>
      </c>
      <c r="GI1942" s="8">
        <v>5.8286594182235003</v>
      </c>
    </row>
    <row r="1943" spans="182:191">
      <c r="FZ1943" s="8">
        <v>5.6771828404646314</v>
      </c>
      <c r="GA1943" s="8">
        <v>18.076345419388844</v>
      </c>
      <c r="GB1943" s="8">
        <v>6.1388491189656076</v>
      </c>
      <c r="GC1943" s="8">
        <v>0.79292740888029156</v>
      </c>
      <c r="GD1943" s="8">
        <v>0.77931233649552256</v>
      </c>
      <c r="GE1943" s="8">
        <v>1.2166154632895141</v>
      </c>
      <c r="GF1943" s="8">
        <v>5.9353926534086074</v>
      </c>
      <c r="GG1943" s="8">
        <v>5.0417906372784831</v>
      </c>
      <c r="GH1943" s="8">
        <v>1.0530320059695661</v>
      </c>
      <c r="GI1943" s="8">
        <v>5.8003657805570397</v>
      </c>
    </row>
    <row r="1944" spans="182:191">
      <c r="FZ1944" s="8">
        <v>7.2804179732472925</v>
      </c>
      <c r="GA1944" s="8">
        <v>12.980490082371958</v>
      </c>
      <c r="GB1944" s="8">
        <v>4.0822922883361192</v>
      </c>
      <c r="GC1944" s="8">
        <v>0.98169402126466443</v>
      </c>
      <c r="GD1944" s="8">
        <v>0.90517807406530704</v>
      </c>
      <c r="GE1944" s="8">
        <v>1.0925588882862338</v>
      </c>
      <c r="GF1944" s="8">
        <v>1.3029453118611007</v>
      </c>
      <c r="GG1944" s="8">
        <v>0.60108873791572359</v>
      </c>
      <c r="GH1944" s="8">
        <v>0.47158847029581613</v>
      </c>
      <c r="GI1944" s="8">
        <v>4.1409230181686105</v>
      </c>
    </row>
    <row r="1945" spans="182:191">
      <c r="FZ1945" s="8">
        <v>5.9709608409135448</v>
      </c>
      <c r="GA1945" s="8">
        <v>3.3443044437946754</v>
      </c>
      <c r="GB1945" s="8">
        <v>0.90013789617962481</v>
      </c>
      <c r="GC1945" s="8">
        <v>1.2393610695915691</v>
      </c>
      <c r="GD1945" s="8">
        <v>1.8514869361944002</v>
      </c>
      <c r="GE1945" s="8">
        <v>2.7400447053683492</v>
      </c>
      <c r="GF1945" s="8">
        <v>3.9730258147828326</v>
      </c>
      <c r="GG1945" s="8">
        <v>2.8783726661173508</v>
      </c>
      <c r="GH1945" s="8">
        <v>0.17282465026292085</v>
      </c>
      <c r="GI1945" s="8">
        <v>4.97735662044989</v>
      </c>
    </row>
    <row r="1946" spans="182:191">
      <c r="FZ1946" s="8">
        <v>12.729379081166766</v>
      </c>
      <c r="GA1946" s="8">
        <v>9.3321424767197563</v>
      </c>
      <c r="GB1946" s="8">
        <v>1.4175817177046663</v>
      </c>
      <c r="GC1946" s="8">
        <v>0.13414276412145376</v>
      </c>
      <c r="GD1946" s="8">
        <v>0.33413994874524844</v>
      </c>
      <c r="GE1946" s="8">
        <v>1.2151180249711711</v>
      </c>
      <c r="GF1946" s="8">
        <v>1.1578329703221295</v>
      </c>
      <c r="GG1946" s="8">
        <v>0.24723722493565062</v>
      </c>
      <c r="GH1946" s="8">
        <v>0.3456493005258417</v>
      </c>
      <c r="GI1946" s="8">
        <v>2.9431540409854744</v>
      </c>
    </row>
    <row r="1947" spans="182:191">
      <c r="FZ1947" s="8">
        <v>8.7467450465685008</v>
      </c>
      <c r="GA1947" s="8">
        <v>26.191743817752013</v>
      </c>
      <c r="GB1947" s="8">
        <v>8.0290295636265423</v>
      </c>
      <c r="GC1947" s="8">
        <v>0.21405394488841428</v>
      </c>
      <c r="GD1947" s="8">
        <v>0.34986242067196749</v>
      </c>
      <c r="GE1947" s="8">
        <v>0.90263980159736568</v>
      </c>
      <c r="GF1947" s="8">
        <v>4.2657077396728162</v>
      </c>
      <c r="GG1947" s="8">
        <v>3.3728471159886522</v>
      </c>
      <c r="GH1947" s="8">
        <v>0.3456493005258417</v>
      </c>
      <c r="GI1947" s="8">
        <v>6.3487779455991982</v>
      </c>
    </row>
    <row r="1948" spans="182:191">
      <c r="FZ1948" s="8">
        <v>7.8645878429798852</v>
      </c>
      <c r="GA1948" s="8">
        <v>8.1358179053305282</v>
      </c>
      <c r="GB1948" s="8">
        <v>0.88035422364469329</v>
      </c>
      <c r="GC1948" s="8">
        <v>1.2295616416335302</v>
      </c>
      <c r="GD1948" s="8">
        <v>1.490705789276733</v>
      </c>
      <c r="GE1948" s="8">
        <v>2.0363436262406136</v>
      </c>
      <c r="GF1948" s="8">
        <v>2.5401979274279887</v>
      </c>
      <c r="GG1948" s="8">
        <v>1.3155677205908503</v>
      </c>
      <c r="GH1948" s="8">
        <v>0.51847395078876257</v>
      </c>
      <c r="GI1948" s="8">
        <v>4.8105261630508576</v>
      </c>
    </row>
    <row r="1949" spans="182:191">
      <c r="FZ1949" s="8">
        <v>7.171447635923073</v>
      </c>
      <c r="GA1949" s="8">
        <v>18.002449999603861</v>
      </c>
      <c r="GB1949" s="8">
        <v>5.6538844303000673</v>
      </c>
      <c r="GC1949" s="8">
        <v>0.20024603343602498</v>
      </c>
      <c r="GD1949" s="8">
        <v>0.34426476140065265</v>
      </c>
      <c r="GE1949" s="8">
        <v>1.9494908631895627</v>
      </c>
      <c r="GF1949" s="8">
        <v>5.0941669995905858</v>
      </c>
      <c r="GG1949" s="8">
        <v>3.1038326467555613</v>
      </c>
      <c r="GH1949" s="8">
        <v>0.47158847029581613</v>
      </c>
      <c r="GI1949" s="8">
        <v>4.8995615272589399</v>
      </c>
    </row>
    <row r="1950" spans="182:191">
      <c r="FZ1950" s="8">
        <v>0.82444598466225738</v>
      </c>
      <c r="GA1950" s="8">
        <v>11.408156038766851</v>
      </c>
      <c r="GB1950" s="8">
        <v>4.0207024514469252</v>
      </c>
      <c r="GC1950" s="8">
        <v>1.0437093069564012</v>
      </c>
      <c r="GD1950" s="8">
        <v>0.81596891250089287</v>
      </c>
      <c r="GE1950" s="8">
        <v>0.87214723575388209</v>
      </c>
      <c r="GF1950" s="8">
        <v>3.1370853315187821</v>
      </c>
      <c r="GG1950" s="8">
        <v>2.2555066839041871</v>
      </c>
      <c r="GH1950" s="8">
        <v>0.17282465026292085</v>
      </c>
      <c r="GI1950" s="8">
        <v>3.3544000239889478</v>
      </c>
    </row>
    <row r="1951" spans="182:191">
      <c r="FZ1951" s="8">
        <v>6.9108292634285178</v>
      </c>
      <c r="GA1951" s="8">
        <v>4.3186255585169224</v>
      </c>
      <c r="GB1951" s="8">
        <v>0.76053617876064095</v>
      </c>
      <c r="GC1951" s="8">
        <v>0.67012803330076209</v>
      </c>
      <c r="GD1951" s="8">
        <v>1.0388423655413885</v>
      </c>
      <c r="GE1951" s="8">
        <v>1.497188445341854</v>
      </c>
      <c r="GF1951" s="8">
        <v>5.3645874357833305</v>
      </c>
      <c r="GG1951" s="8">
        <v>4.8067848168921987</v>
      </c>
      <c r="GH1951" s="8">
        <v>0.58144353567374973</v>
      </c>
      <c r="GI1951" s="8">
        <v>4.5204278110043736</v>
      </c>
    </row>
    <row r="1952" spans="182:191">
      <c r="FZ1952" s="8">
        <v>3.94042577938575</v>
      </c>
      <c r="GA1952" s="8">
        <v>17.700037233549459</v>
      </c>
      <c r="GB1952" s="8">
        <v>6.5109108753046474</v>
      </c>
      <c r="GC1952" s="8">
        <v>0.50080127657549844</v>
      </c>
      <c r="GD1952" s="8">
        <v>0.34233213881413427</v>
      </c>
      <c r="GE1952" s="8">
        <v>0.87842471338953521</v>
      </c>
      <c r="GF1952" s="8">
        <v>2.6437004705030756</v>
      </c>
      <c r="GG1952" s="8">
        <v>1.669419233570923</v>
      </c>
      <c r="GH1952" s="8">
        <v>0.64441312055873701</v>
      </c>
      <c r="GI1952" s="8">
        <v>4.3746150898175351</v>
      </c>
    </row>
    <row r="1953" spans="182:191">
      <c r="FZ1953" s="8">
        <v>4.4250565510183559</v>
      </c>
      <c r="GA1953" s="8">
        <v>4.4440677816928957</v>
      </c>
      <c r="GB1953" s="8">
        <v>0.44774017901127183</v>
      </c>
      <c r="GC1953" s="8">
        <v>1.2609902943320008</v>
      </c>
      <c r="GD1953" s="8">
        <v>1.3453326193577688</v>
      </c>
      <c r="GE1953" s="8">
        <v>1.4765629708294774</v>
      </c>
      <c r="GF1953" s="8">
        <v>5.63687487286834</v>
      </c>
      <c r="GG1953" s="8">
        <v>4.758250592744024</v>
      </c>
      <c r="GH1953" s="8">
        <v>0.17282465026292085</v>
      </c>
      <c r="GI1953" s="8">
        <v>4.1503880669709705</v>
      </c>
    </row>
    <row r="1954" spans="182:191">
      <c r="FZ1954" s="8">
        <v>2.8338758006201989</v>
      </c>
      <c r="GA1954" s="8">
        <v>13.883162084047894</v>
      </c>
      <c r="GB1954" s="8">
        <v>5.0630956439603523</v>
      </c>
      <c r="GC1954" s="8">
        <v>0.18274240326922697</v>
      </c>
      <c r="GD1954" s="8">
        <v>0.7759746317092443</v>
      </c>
      <c r="GE1954" s="8">
        <v>2.561992230251775</v>
      </c>
      <c r="GF1954" s="8">
        <v>7.1933307432293843</v>
      </c>
      <c r="GG1954" s="8">
        <v>5.6646566194916481</v>
      </c>
      <c r="GH1954" s="8">
        <v>1.0530320059695661</v>
      </c>
      <c r="GI1954" s="8">
        <v>4.9477298361239042</v>
      </c>
    </row>
    <row r="1955" spans="182:191">
      <c r="FZ1955" s="8">
        <v>6.5713944264377515</v>
      </c>
      <c r="GA1955" s="8">
        <v>15.33005390447703</v>
      </c>
      <c r="GB1955" s="8">
        <v>5.8887657657153678</v>
      </c>
      <c r="GC1955" s="8">
        <v>0.97566981214951864</v>
      </c>
      <c r="GD1955" s="8">
        <v>1.2117701539254511</v>
      </c>
      <c r="GE1955" s="8">
        <v>1.9021757107215662</v>
      </c>
      <c r="GF1955" s="8">
        <v>3.6662357941507775</v>
      </c>
      <c r="GG1955" s="8">
        <v>2.4324324403942232</v>
      </c>
      <c r="GH1955" s="8">
        <v>0.58144353567374973</v>
      </c>
      <c r="GI1955" s="8">
        <v>5.1872619816450634</v>
      </c>
    </row>
    <row r="1956" spans="182:191">
      <c r="FZ1956" s="8">
        <v>5.8917640003784486</v>
      </c>
      <c r="GA1956" s="8">
        <v>10.505801234402956</v>
      </c>
      <c r="GB1956" s="8">
        <v>1.447727392706609</v>
      </c>
      <c r="GC1956" s="8">
        <v>0.462566973754717</v>
      </c>
      <c r="GD1956" s="8">
        <v>1.0126997263340223</v>
      </c>
      <c r="GE1956" s="8">
        <v>1.7010889054525677</v>
      </c>
      <c r="GF1956" s="8">
        <v>3.3737995700418812</v>
      </c>
      <c r="GG1956" s="8">
        <v>2.8783726661173508</v>
      </c>
      <c r="GH1956" s="8">
        <v>0.17282465026292085</v>
      </c>
      <c r="GI1956" s="8">
        <v>4.4311282050338479</v>
      </c>
    </row>
    <row r="1957" spans="182:191">
      <c r="FZ1957" s="8">
        <v>3.2310218565373234</v>
      </c>
      <c r="GA1957" s="8">
        <v>3.2704090240096959</v>
      </c>
      <c r="GB1957" s="8">
        <v>0.26175322016059466</v>
      </c>
      <c r="GC1957" s="8">
        <v>0.72500502515269249</v>
      </c>
      <c r="GD1957" s="8">
        <v>0.82082339778350044</v>
      </c>
      <c r="GE1957" s="8">
        <v>1.3201996400705305</v>
      </c>
      <c r="GF1957" s="8">
        <v>2.8944178442126649</v>
      </c>
      <c r="GG1957" s="8">
        <v>2.0568036831167102</v>
      </c>
      <c r="GH1957" s="8">
        <v>0.58144353567374973</v>
      </c>
      <c r="GI1957" s="8">
        <v>3.402851664208181</v>
      </c>
    </row>
    <row r="1958" spans="182:191">
      <c r="FZ1958" s="8">
        <v>6.2315792134081001</v>
      </c>
      <c r="GA1958" s="8">
        <v>13.704243948054298</v>
      </c>
      <c r="GB1958" s="8">
        <v>3.7427096648565801</v>
      </c>
      <c r="GC1958" s="8">
        <v>0.65068817764165277</v>
      </c>
      <c r="GD1958" s="8">
        <v>1.3828224781187042</v>
      </c>
      <c r="GE1958" s="8">
        <v>2.7366856390224816</v>
      </c>
      <c r="GF1958" s="8">
        <v>2.5635726339457987</v>
      </c>
      <c r="GG1958" s="8">
        <v>1.1871761882489873</v>
      </c>
      <c r="GH1958" s="8">
        <v>0.17282465026292085</v>
      </c>
      <c r="GI1958" s="8">
        <v>5.5598484342357724</v>
      </c>
    </row>
    <row r="1959" spans="182:191">
      <c r="FZ1959" s="8">
        <v>11.83295134450287</v>
      </c>
      <c r="GA1959" s="8">
        <v>10.137936047592643</v>
      </c>
      <c r="GB1959" s="8">
        <v>2.6693774863465696</v>
      </c>
      <c r="GC1959" s="8">
        <v>0.71937308094597241</v>
      </c>
      <c r="GD1959" s="8">
        <v>1.2655527472321444</v>
      </c>
      <c r="GE1959" s="8">
        <v>2.6143961903090109</v>
      </c>
      <c r="GF1959" s="8">
        <v>2.8712637312879323</v>
      </c>
      <c r="GG1959" s="8">
        <v>1.3641019447390237</v>
      </c>
      <c r="GH1959" s="8">
        <v>0.75426818593667067</v>
      </c>
      <c r="GI1959" s="8">
        <v>5.186310856433737</v>
      </c>
    </row>
    <row r="1960" spans="182:191">
      <c r="FZ1960" s="8">
        <v>2.7761645816938412</v>
      </c>
      <c r="GA1960" s="8">
        <v>8.3886314611091013</v>
      </c>
      <c r="GB1960" s="8">
        <v>2.7879848829829994</v>
      </c>
      <c r="GC1960" s="8">
        <v>0.34948752600474231</v>
      </c>
      <c r="GD1960" s="8">
        <v>0.57175193208567765</v>
      </c>
      <c r="GE1960" s="8">
        <v>1.5571103123814696</v>
      </c>
      <c r="GF1960" s="8">
        <v>5.1925141701323891</v>
      </c>
      <c r="GG1960" s="8">
        <v>4.2206973665589356</v>
      </c>
      <c r="GH1960" s="8">
        <v>0.88020735570664521</v>
      </c>
      <c r="GI1960" s="8">
        <v>4.0965022836068652</v>
      </c>
    </row>
    <row r="1961" spans="182:191">
      <c r="FZ1961" s="8">
        <v>1.7066031882508728</v>
      </c>
      <c r="GA1961" s="8">
        <v>7.64251049534424</v>
      </c>
      <c r="GB1961" s="8">
        <v>2.4984194456780209</v>
      </c>
      <c r="GC1961" s="8">
        <v>0.1244228362918991</v>
      </c>
      <c r="GD1961" s="8">
        <v>9.2539922206416006E-2</v>
      </c>
      <c r="GE1961" s="8">
        <v>0.8405910000651482</v>
      </c>
      <c r="GF1961" s="8">
        <v>2.2266208768958586</v>
      </c>
      <c r="GG1961" s="8">
        <v>1.1168647198033732</v>
      </c>
      <c r="GH1961" s="8">
        <v>0.58144353567374973</v>
      </c>
      <c r="GI1961" s="8">
        <v>2.4587169884104902</v>
      </c>
    </row>
    <row r="1962" spans="182:191">
      <c r="FZ1962" s="8">
        <v>1.3094571323337481</v>
      </c>
      <c r="GA1962" s="8">
        <v>12.362057646521739</v>
      </c>
      <c r="GB1962" s="8">
        <v>5.1364406087750254</v>
      </c>
      <c r="GC1962" s="8">
        <v>0.82973486219647119</v>
      </c>
      <c r="GD1962" s="8">
        <v>1.0642065780221992</v>
      </c>
      <c r="GE1962" s="8">
        <v>2.0639436247790157</v>
      </c>
      <c r="GF1962" s="8">
        <v>2.9880665873688863</v>
      </c>
      <c r="GG1962" s="8">
        <v>1.4344134131846378</v>
      </c>
      <c r="GH1962" s="8">
        <v>0</v>
      </c>
      <c r="GI1962" s="8">
        <v>3.9622184753659915</v>
      </c>
    </row>
    <row r="1963" spans="182:191">
      <c r="FZ1963" s="8">
        <v>8.1621948007970229</v>
      </c>
      <c r="GA1963" s="8">
        <v>17.780446542936883</v>
      </c>
      <c r="GB1963" s="8">
        <v>5.0817565068853483</v>
      </c>
      <c r="GC1963" s="8">
        <v>1.1810415026142413</v>
      </c>
      <c r="GD1963" s="8">
        <v>1.0242967375656478</v>
      </c>
      <c r="GE1963" s="8">
        <v>1.0242326091183633</v>
      </c>
      <c r="GF1963" s="8">
        <v>5.31524208445766</v>
      </c>
      <c r="GG1963" s="8">
        <v>4.2424746108563749</v>
      </c>
      <c r="GH1963" s="8">
        <v>0.75426818593667067</v>
      </c>
      <c r="GI1963" s="8">
        <v>5.0894404305986134</v>
      </c>
    </row>
    <row r="1964" spans="182:191">
      <c r="FZ1964" s="8">
        <v>11.320002474694146</v>
      </c>
      <c r="GA1964" s="8">
        <v>9.3094766630137276</v>
      </c>
      <c r="GB1964" s="8">
        <v>0.96285054267875492</v>
      </c>
      <c r="GC1964" s="8">
        <v>0.56256341867822401</v>
      </c>
      <c r="GD1964" s="8">
        <v>0.98988706130586157</v>
      </c>
      <c r="GE1964" s="8">
        <v>2.2895539723562237</v>
      </c>
      <c r="GF1964" s="8">
        <v>6.8807439720013654</v>
      </c>
      <c r="GG1964" s="8">
        <v>5.1824135741697113</v>
      </c>
      <c r="GH1964" s="8">
        <v>0.23579423514790807</v>
      </c>
      <c r="GI1964" s="8">
        <v>4.5864240808322148</v>
      </c>
    </row>
    <row r="1965" spans="182:191">
      <c r="FZ1965" s="8">
        <v>3.5131258506406171</v>
      </c>
      <c r="GA1965" s="8">
        <v>9.0381727096944218</v>
      </c>
      <c r="GB1965" s="8">
        <v>3.3113062684707808</v>
      </c>
      <c r="GC1965" s="8">
        <v>0.6187312275250284</v>
      </c>
      <c r="GD1965" s="8">
        <v>0.56639556580259698</v>
      </c>
      <c r="GE1965" s="8">
        <v>1.4616759725027886</v>
      </c>
      <c r="GF1965" s="8">
        <v>2.9527020321660844</v>
      </c>
      <c r="GG1965" s="8">
        <v>1.4924934770808866</v>
      </c>
      <c r="GH1965" s="8">
        <v>0.23579423514790807</v>
      </c>
      <c r="GI1965" s="8">
        <v>4.1473391259346988</v>
      </c>
    </row>
    <row r="1966" spans="182:191">
      <c r="FZ1966" s="8">
        <v>4.0279104951012314</v>
      </c>
      <c r="GA1966" s="8">
        <v>3.8684219528925556</v>
      </c>
      <c r="GB1966" s="8">
        <v>0.42562304861878192</v>
      </c>
      <c r="GC1966" s="8">
        <v>0.24579536236682664</v>
      </c>
      <c r="GD1966" s="8">
        <v>0.35517706885223183</v>
      </c>
      <c r="GE1966" s="8">
        <v>1.1490978735430752</v>
      </c>
      <c r="GF1966" s="8">
        <v>3.7373018555638442</v>
      </c>
      <c r="GG1966" s="8">
        <v>2.6796696653298739</v>
      </c>
      <c r="GH1966" s="8">
        <v>0.23579423514790807</v>
      </c>
      <c r="GI1966" s="8">
        <v>2.3539053360137143</v>
      </c>
    </row>
    <row r="1967" spans="182:191">
      <c r="FZ1967" s="8">
        <v>1.3094571323337481</v>
      </c>
      <c r="GA1967" s="8">
        <v>26.319115150354616</v>
      </c>
      <c r="GB1967" s="8">
        <v>10.56356008690693</v>
      </c>
      <c r="GC1967" s="8">
        <v>0.59021685253380163</v>
      </c>
      <c r="GD1967" s="8">
        <v>0.77019866167834516</v>
      </c>
      <c r="GE1967" s="8">
        <v>2.1191970955323809</v>
      </c>
      <c r="GF1967" s="8">
        <v>6.7698943647034291</v>
      </c>
      <c r="GG1967" s="8">
        <v>4.5110133678083741</v>
      </c>
      <c r="GH1967" s="8">
        <v>0.17282465026292085</v>
      </c>
      <c r="GI1967" s="8">
        <v>5.8588871991605718</v>
      </c>
    </row>
    <row r="1968" spans="182:191">
      <c r="FZ1968" s="8">
        <v>5.8921443764173329</v>
      </c>
      <c r="GA1968" s="8">
        <v>2.6947631952093558</v>
      </c>
      <c r="GB1968" s="8">
        <v>0.49775736518583225</v>
      </c>
      <c r="GC1968" s="8">
        <v>0.45271101341543474</v>
      </c>
      <c r="GD1968" s="8">
        <v>0.7260024354757828</v>
      </c>
      <c r="GE1968" s="8">
        <v>2.5439425714506396</v>
      </c>
      <c r="GF1968" s="8">
        <v>7.4110739400178032</v>
      </c>
      <c r="GG1968" s="8">
        <v>4.6996948165666836</v>
      </c>
      <c r="GH1968" s="8">
        <v>0.17282465026292085</v>
      </c>
      <c r="GI1968" s="8">
        <v>3.758619838065612</v>
      </c>
    </row>
    <row r="1969" spans="182:191">
      <c r="FZ1969" s="8">
        <v>3.4554146317142589</v>
      </c>
      <c r="GA1969" s="8">
        <v>9.2375103526553755</v>
      </c>
      <c r="GB1969" s="8">
        <v>3.2740723812584762</v>
      </c>
      <c r="GC1969" s="8">
        <v>0.36957279016128869</v>
      </c>
      <c r="GD1969" s="8">
        <v>0.81000238908334776</v>
      </c>
      <c r="GE1969" s="8">
        <v>2.0540765334479087</v>
      </c>
      <c r="GF1969" s="8">
        <v>5.8620154595409009</v>
      </c>
      <c r="GG1969" s="8">
        <v>4.8435633487720988</v>
      </c>
      <c r="GH1969" s="8">
        <v>0.70738270544372439</v>
      </c>
      <c r="GI1969" s="8">
        <v>4.3058031337625486</v>
      </c>
    </row>
    <row r="1970" spans="182:191">
      <c r="FZ1970" s="8">
        <v>5.1043066010387736</v>
      </c>
      <c r="GA1970" s="8">
        <v>3.1223009871276921</v>
      </c>
      <c r="GB1970" s="8">
        <v>0.30934910983991037</v>
      </c>
      <c r="GC1970" s="8">
        <v>0.52153194922948198</v>
      </c>
      <c r="GD1970" s="8">
        <v>0.87252270963245504</v>
      </c>
      <c r="GE1970" s="8">
        <v>1.8003415189370142</v>
      </c>
      <c r="GF1970" s="8">
        <v>5.3861574991587506</v>
      </c>
      <c r="GG1970" s="8">
        <v>4.193940386708201</v>
      </c>
      <c r="GH1970" s="8">
        <v>0</v>
      </c>
      <c r="GI1970" s="8">
        <v>4.0749053863715918</v>
      </c>
    </row>
    <row r="1971" spans="182:191">
      <c r="FZ1971" s="8">
        <v>1.0277335142693396</v>
      </c>
      <c r="GA1971" s="8">
        <v>10.633172567005557</v>
      </c>
      <c r="GB1971" s="8">
        <v>3.982257915986998</v>
      </c>
      <c r="GC1971" s="8">
        <v>0.35576487870889933</v>
      </c>
      <c r="GD1971" s="8">
        <v>0.69166051457727606</v>
      </c>
      <c r="GE1971" s="8">
        <v>2.1291611223468996</v>
      </c>
      <c r="GF1971" s="8">
        <v>1.9479083512699391</v>
      </c>
      <c r="GG1971" s="8">
        <v>0.60108873791572359</v>
      </c>
      <c r="GH1971" s="8">
        <v>0.64441312055873701</v>
      </c>
      <c r="GI1971" s="8">
        <v>3.5736629075921793</v>
      </c>
    </row>
    <row r="1972" spans="182:191">
      <c r="FZ1972" s="8">
        <v>6.8531180445021604</v>
      </c>
      <c r="GA1972" s="8">
        <v>13.535716404204939</v>
      </c>
      <c r="GB1972" s="8">
        <v>5.2213582243043319</v>
      </c>
      <c r="GC1972" s="8">
        <v>1.173257800276998</v>
      </c>
      <c r="GD1972" s="8">
        <v>0.98861768439294262</v>
      </c>
      <c r="GE1972" s="8">
        <v>1.2551996966808341</v>
      </c>
      <c r="GF1972" s="8">
        <v>2.9174490186209381</v>
      </c>
      <c r="GG1972" s="8">
        <v>1.7397307020165371</v>
      </c>
      <c r="GH1972" s="8">
        <v>0.40861888541082891</v>
      </c>
      <c r="GI1972" s="8">
        <v>4.3601651090836349</v>
      </c>
    </row>
    <row r="1973" spans="182:191">
      <c r="FZ1973" s="8">
        <v>9.6590561229851239</v>
      </c>
      <c r="GA1973" s="8">
        <v>11.679459992086155</v>
      </c>
      <c r="GB1973" s="8">
        <v>1.60365651519303</v>
      </c>
      <c r="GC1973" s="8">
        <v>0.27430973735805353</v>
      </c>
      <c r="GD1973" s="8">
        <v>0.22945195717989603</v>
      </c>
      <c r="GE1973" s="8">
        <v>0.75147516588327479</v>
      </c>
      <c r="GF1973" s="8">
        <v>4.6023497005356457</v>
      </c>
      <c r="GG1973" s="8">
        <v>3.9249259174751105</v>
      </c>
      <c r="GH1973" s="8">
        <v>0.64441312055873701</v>
      </c>
      <c r="GI1973" s="8">
        <v>3.7358383538894913</v>
      </c>
    </row>
    <row r="1974" spans="182:191">
      <c r="FZ1974" s="8">
        <v>3.5428993474297403</v>
      </c>
      <c r="GA1974" s="8">
        <v>9.5622902187923025</v>
      </c>
      <c r="GB1974" s="8">
        <v>3.0299544306086625</v>
      </c>
      <c r="GC1974" s="8">
        <v>0.30067235421875699</v>
      </c>
      <c r="GD1974" s="8">
        <v>0.78729583710673623</v>
      </c>
      <c r="GE1974" s="8">
        <v>2.5470901191795399</v>
      </c>
      <c r="GF1974" s="8">
        <v>2.0514108943450262</v>
      </c>
      <c r="GG1974" s="8">
        <v>0.24723722493565062</v>
      </c>
      <c r="GH1974" s="8">
        <v>0.17282465026292085</v>
      </c>
      <c r="GI1974" s="8">
        <v>3.3450910350478185</v>
      </c>
    </row>
    <row r="1975" spans="182:191">
      <c r="FZ1975" s="8">
        <v>8.8621674844212173</v>
      </c>
      <c r="GA1975" s="8">
        <v>16.974652972063996</v>
      </c>
      <c r="GB1975" s="8">
        <v>4.0044628850171744</v>
      </c>
      <c r="GC1975" s="8">
        <v>1.2657236864522727</v>
      </c>
      <c r="GD1975" s="8">
        <v>0.90505382494273146</v>
      </c>
      <c r="GE1975" s="8">
        <v>0.5257067733656603</v>
      </c>
      <c r="GF1975" s="8">
        <v>2.8843434507007215</v>
      </c>
      <c r="GG1975" s="8">
        <v>2.4324324403942232</v>
      </c>
      <c r="GH1975" s="8">
        <v>0.23579423514790807</v>
      </c>
      <c r="GI1975" s="8">
        <v>4.6932484205878575</v>
      </c>
    </row>
    <row r="1976" spans="182:191">
      <c r="FZ1976" s="8">
        <v>7.4376682902736375</v>
      </c>
      <c r="GA1976" s="8">
        <v>14.082499727008848</v>
      </c>
      <c r="GB1976" s="8">
        <v>5.2003639035217777</v>
      </c>
      <c r="GC1976" s="8">
        <v>0.59301401916176211</v>
      </c>
      <c r="GD1976" s="8">
        <v>0.44648698331099851</v>
      </c>
      <c r="GE1976" s="8">
        <v>0.33273707443130396</v>
      </c>
      <c r="GF1976" s="8">
        <v>0.58556664166399841</v>
      </c>
      <c r="GG1976" s="8">
        <v>0.24723722493565062</v>
      </c>
      <c r="GH1976" s="8">
        <v>0.17282465026292085</v>
      </c>
      <c r="GI1976" s="8">
        <v>3.6970278307843261</v>
      </c>
    </row>
    <row r="1977" spans="182:191">
      <c r="FZ1977" s="8">
        <v>6.2892904323344574</v>
      </c>
      <c r="GA1977" s="8">
        <v>11.334260618981871</v>
      </c>
      <c r="GB1977" s="8">
        <v>3.2601662726862841</v>
      </c>
      <c r="GC1977" s="8">
        <v>1.0840953679077059</v>
      </c>
      <c r="GD1977" s="8">
        <v>1.1961604388566054</v>
      </c>
      <c r="GE1977" s="8">
        <v>1.2050807160566068</v>
      </c>
      <c r="GF1977" s="8">
        <v>5.7303030224314835</v>
      </c>
      <c r="GG1977" s="8">
        <v>5.4877308630016106</v>
      </c>
      <c r="GH1977" s="8">
        <v>0.64441312055873701</v>
      </c>
      <c r="GI1977" s="8">
        <v>5.2602927401748527</v>
      </c>
    </row>
    <row r="1978" spans="182:191">
      <c r="FZ1978" s="8">
        <v>10.583041205747367</v>
      </c>
      <c r="GA1978" s="8">
        <v>10.431905814617979</v>
      </c>
      <c r="GB1978" s="8">
        <v>0.81055336493520136</v>
      </c>
      <c r="GC1978" s="8">
        <v>0.27366432886061637</v>
      </c>
      <c r="GD1978" s="8">
        <v>0.69433631115250161</v>
      </c>
      <c r="GE1978" s="8">
        <v>1.8188249462112422</v>
      </c>
      <c r="GF1978" s="8">
        <v>3.4506847211145351</v>
      </c>
      <c r="GG1978" s="8">
        <v>2.3040409080523605</v>
      </c>
      <c r="GH1978" s="8">
        <v>0.58144353567374973</v>
      </c>
      <c r="GI1978" s="8">
        <v>4.4912113171329677</v>
      </c>
    </row>
    <row r="1979" spans="182:191">
      <c r="FZ1979" s="8">
        <v>4.1437133089928322</v>
      </c>
      <c r="GA1979" s="8">
        <v>8.4625268808940817</v>
      </c>
      <c r="GB1979" s="8">
        <v>3.5334921435615128</v>
      </c>
      <c r="GC1979" s="8">
        <v>0.65197899463652709</v>
      </c>
      <c r="GD1979" s="8">
        <v>0.39780658706926758</v>
      </c>
      <c r="GE1979" s="8">
        <v>1.232760032256274</v>
      </c>
      <c r="GF1979" s="8">
        <v>3.3977541602238555</v>
      </c>
      <c r="GG1979" s="8">
        <v>1.6113391696746744</v>
      </c>
      <c r="GH1979" s="8">
        <v>0.23579423514790807</v>
      </c>
      <c r="GI1979" s="8">
        <v>2.645879708183084</v>
      </c>
    </row>
    <row r="1980" spans="182:191">
      <c r="FZ1980" s="8">
        <v>11.038278856629736</v>
      </c>
      <c r="GA1980" s="8">
        <v>13.829686171230275</v>
      </c>
      <c r="GB1980" s="8">
        <v>3.4497851762798284</v>
      </c>
      <c r="GC1980" s="8">
        <v>1.2372093114610458</v>
      </c>
      <c r="GD1980" s="8">
        <v>1.2116747466758078</v>
      </c>
      <c r="GE1980" s="8">
        <v>1.4797256313039242</v>
      </c>
      <c r="GF1980" s="8">
        <v>5.3966803853358121</v>
      </c>
      <c r="GG1980" s="8">
        <v>4.193940386708201</v>
      </c>
      <c r="GH1980" s="8">
        <v>0</v>
      </c>
      <c r="GI1980" s="8">
        <v>5.4982282176858934</v>
      </c>
    </row>
    <row r="1981" spans="182:191">
      <c r="FZ1981" s="8">
        <v>2.718453362767483</v>
      </c>
      <c r="GA1981" s="8">
        <v>2.6947631952093558</v>
      </c>
      <c r="GB1981" s="8">
        <v>0.53386844278820056</v>
      </c>
      <c r="GC1981" s="8">
        <v>1.7787094137677908</v>
      </c>
      <c r="GD1981" s="8">
        <v>1.4045724792442533</v>
      </c>
      <c r="GE1981" s="8">
        <v>1.0956737054474406</v>
      </c>
      <c r="GF1981" s="8">
        <v>4.1509181700933615</v>
      </c>
      <c r="GG1981" s="8">
        <v>3.1736684029200841</v>
      </c>
      <c r="GH1981" s="8">
        <v>0.47158847029581613</v>
      </c>
      <c r="GI1981" s="8">
        <v>3.188920112560151</v>
      </c>
    </row>
    <row r="1982" spans="182:191">
      <c r="FZ1982" s="8">
        <v>8.2621142749358949</v>
      </c>
      <c r="GA1982" s="8">
        <v>11.533598261942824</v>
      </c>
      <c r="GB1982" s="8">
        <v>3.2915225959358496</v>
      </c>
      <c r="GC1982" s="8">
        <v>0.55542512483841766</v>
      </c>
      <c r="GD1982" s="8">
        <v>1.0982844103634783</v>
      </c>
      <c r="GE1982" s="8">
        <v>2.2550258517011432</v>
      </c>
      <c r="GF1982" s="8">
        <v>3.4905132235288026</v>
      </c>
      <c r="GG1982" s="8">
        <v>2.2555066839041871</v>
      </c>
      <c r="GH1982" s="8">
        <v>0</v>
      </c>
      <c r="GI1982" s="8">
        <v>5.8589947308554313</v>
      </c>
    </row>
    <row r="1983" spans="182:191">
      <c r="FZ1983" s="8">
        <v>3.746186877036823</v>
      </c>
      <c r="GA1983" s="8">
        <v>10.957952433142484</v>
      </c>
      <c r="GB1983" s="8">
        <v>3.7555901800145577</v>
      </c>
      <c r="GC1983" s="8">
        <v>0.6341625996897875</v>
      </c>
      <c r="GD1983" s="8">
        <v>0.45547786010280938</v>
      </c>
      <c r="GE1983" s="8">
        <v>0.76598724326162448</v>
      </c>
      <c r="GF1983" s="8">
        <v>2.2665609209677822</v>
      </c>
      <c r="GG1983" s="8">
        <v>1.788264926164711</v>
      </c>
      <c r="GH1983" s="8">
        <v>0.64441312055873701</v>
      </c>
      <c r="GI1983" s="8">
        <v>3.1746474695169646</v>
      </c>
    </row>
    <row r="1984" spans="182:191">
      <c r="FZ1984" s="8">
        <v>3.8827145604593918</v>
      </c>
      <c r="GA1984" s="8">
        <v>5.9136254158280579</v>
      </c>
      <c r="GB1984" s="8">
        <v>1.4501486892018538</v>
      </c>
      <c r="GC1984" s="8">
        <v>0.81248437561868425</v>
      </c>
      <c r="GD1984" s="8">
        <v>0.71779673499052166</v>
      </c>
      <c r="GE1984" s="8">
        <v>0.97022159625952287</v>
      </c>
      <c r="GF1984" s="8">
        <v>2.3136472850108656</v>
      </c>
      <c r="GG1984" s="8">
        <v>1.7179534577190969</v>
      </c>
      <c r="GH1984" s="8">
        <v>0.88020735570664521</v>
      </c>
      <c r="GI1984" s="8">
        <v>3.1335386636650089</v>
      </c>
    </row>
    <row r="1985" spans="182:191">
      <c r="FZ1985" s="8">
        <v>7.2430490118858248</v>
      </c>
      <c r="GA1985" s="8">
        <v>13.998213715079636</v>
      </c>
      <c r="GB1985" s="8">
        <v>1.951265105659459</v>
      </c>
      <c r="GC1985" s="8">
        <v>0.74659663894232509</v>
      </c>
      <c r="GD1985" s="8">
        <v>0.54628589356110302</v>
      </c>
      <c r="GE1985" s="8">
        <v>0.77307341031870958</v>
      </c>
      <c r="GF1985" s="8">
        <v>2.222803676878967</v>
      </c>
      <c r="GG1985" s="8">
        <v>0.98894889974260247</v>
      </c>
      <c r="GH1985" s="8">
        <v>0</v>
      </c>
      <c r="GI1985" s="8">
        <v>3.3283341172913774</v>
      </c>
    </row>
    <row r="1986" spans="182:191">
      <c r="FZ1986" s="8">
        <v>4.7644913880091213</v>
      </c>
      <c r="GA1986" s="8">
        <v>23.716737772470971</v>
      </c>
      <c r="GB1986" s="8">
        <v>7.0714661480047329</v>
      </c>
      <c r="GC1986" s="8">
        <v>0.56805933037521628</v>
      </c>
      <c r="GD1986" s="8">
        <v>0.75589380134068285</v>
      </c>
      <c r="GE1986" s="8">
        <v>2.1599233761618493</v>
      </c>
      <c r="GF1986" s="8">
        <v>3.1394241721689404</v>
      </c>
      <c r="GG1986" s="8">
        <v>1.4924934770808866</v>
      </c>
      <c r="GH1986" s="8">
        <v>0.40861888541082891</v>
      </c>
      <c r="GI1986" s="8">
        <v>4.6831079758087535</v>
      </c>
    </row>
    <row r="1987" spans="182:191">
      <c r="FZ1987" s="8">
        <v>5.7465680657366089</v>
      </c>
      <c r="GA1987" s="8">
        <v>5.8397299960430775</v>
      </c>
      <c r="GB1987" s="8">
        <v>0.94894443410656282</v>
      </c>
      <c r="GC1987" s="8">
        <v>0.30153329535440615</v>
      </c>
      <c r="GD1987" s="8">
        <v>0.16100500772866927</v>
      </c>
      <c r="GE1987" s="8">
        <v>0.92018193329656084</v>
      </c>
      <c r="GF1987" s="8">
        <v>3.9057889036206261</v>
      </c>
      <c r="GG1987" s="8">
        <v>2.5512781329880112</v>
      </c>
      <c r="GH1987" s="8">
        <v>0.40861888541082891</v>
      </c>
      <c r="GI1987" s="8">
        <v>3.2044857930392761</v>
      </c>
    </row>
    <row r="1988" spans="182:191">
      <c r="FZ1988" s="8">
        <v>13.011102699231174</v>
      </c>
      <c r="GA1988" s="8">
        <v>13.829686171230275</v>
      </c>
      <c r="GB1988" s="8">
        <v>3.2403826001513529</v>
      </c>
      <c r="GC1988" s="8">
        <v>0.78449829804561111</v>
      </c>
      <c r="GD1988" s="8">
        <v>0.73523394062141501</v>
      </c>
      <c r="GE1988" s="8">
        <v>1.6043363205027166</v>
      </c>
      <c r="GF1988" s="8">
        <v>3.2218750914148258</v>
      </c>
      <c r="GG1988" s="8">
        <v>1.1871761882489873</v>
      </c>
      <c r="GH1988" s="8">
        <v>0.69129860105168339</v>
      </c>
      <c r="GI1988" s="8">
        <v>4.4889638192356687</v>
      </c>
    </row>
    <row r="1989" spans="182:191">
      <c r="FZ1989" s="8">
        <v>7.0978530772439861</v>
      </c>
      <c r="GA1989" s="8">
        <v>12.656027413547076</v>
      </c>
      <c r="GB1989" s="8">
        <v>3.0868747741601767</v>
      </c>
      <c r="GC1989" s="8">
        <v>0.20627024255117093</v>
      </c>
      <c r="GD1989" s="8">
        <v>0.6273506294633866</v>
      </c>
      <c r="GE1989" s="8">
        <v>1.7839423747443346</v>
      </c>
      <c r="GF1989" s="8">
        <v>3.5911992347207624</v>
      </c>
      <c r="GG1989" s="8">
        <v>2.6093581968842599</v>
      </c>
      <c r="GH1989" s="8">
        <v>0.47158847029581613</v>
      </c>
      <c r="GI1989" s="8">
        <v>4.5716966550640636</v>
      </c>
    </row>
    <row r="1990" spans="182:191">
      <c r="FZ1990" s="8">
        <v>3.1733106376109657</v>
      </c>
      <c r="GA1990" s="8">
        <v>26.245219730569637</v>
      </c>
      <c r="GB1990" s="8">
        <v>9.9239647626402778</v>
      </c>
      <c r="GC1990" s="8">
        <v>0.19117151410390745</v>
      </c>
      <c r="GD1990" s="8">
        <v>0.91223181625061045</v>
      </c>
      <c r="GE1990" s="8">
        <v>2.2679410203731409</v>
      </c>
      <c r="GF1990" s="8">
        <v>4.2589962020375687</v>
      </c>
      <c r="GG1990" s="8">
        <v>3.5492971601975971</v>
      </c>
      <c r="GH1990" s="8">
        <v>0.81723777082165783</v>
      </c>
      <c r="GI1990" s="8">
        <v>6.9207880622529867</v>
      </c>
    </row>
    <row r="1991" spans="182:191">
      <c r="FZ1991" s="8">
        <v>9.029229416710681</v>
      </c>
      <c r="GA1991" s="8">
        <v>9.0381727096944218</v>
      </c>
      <c r="GB1991" s="8">
        <v>3.2776164873636571</v>
      </c>
      <c r="GC1991" s="8">
        <v>0.73253558390092466</v>
      </c>
      <c r="GD1991" s="8">
        <v>1.0752528754258948</v>
      </c>
      <c r="GE1991" s="8">
        <v>1.897384940165098</v>
      </c>
      <c r="GF1991" s="8">
        <v>5.2561658717295847</v>
      </c>
      <c r="GG1991" s="8">
        <v>4.2424746108563749</v>
      </c>
      <c r="GH1991" s="8">
        <v>0.75426818593667067</v>
      </c>
      <c r="GI1991" s="8">
        <v>4.7495111732038815</v>
      </c>
    </row>
    <row r="1992" spans="182:191">
      <c r="FZ1992" s="8">
        <v>2.3488646529487083</v>
      </c>
      <c r="GA1992" s="8">
        <v>5.0647465242817846</v>
      </c>
      <c r="GB1992" s="8">
        <v>0.90928925039901354</v>
      </c>
      <c r="GC1992" s="8">
        <v>0.64032284131466111</v>
      </c>
      <c r="GD1992" s="8">
        <v>1.0725770788506694</v>
      </c>
      <c r="GE1992" s="8">
        <v>2.4253396719160341</v>
      </c>
      <c r="GF1992" s="8">
        <v>2.3695857728098995</v>
      </c>
      <c r="GG1992" s="8">
        <v>0.67140020636133779</v>
      </c>
      <c r="GH1992" s="8">
        <v>0.23579423514790807</v>
      </c>
      <c r="GI1992" s="8">
        <v>3.3042450907824543</v>
      </c>
    </row>
    <row r="1993" spans="182:191">
      <c r="FZ1993" s="8">
        <v>1.4248795701864641</v>
      </c>
      <c r="GA1993" s="8">
        <v>9.0381727096944218</v>
      </c>
      <c r="GB1993" s="8">
        <v>3.1891547657291701</v>
      </c>
      <c r="GC1993" s="8">
        <v>0.57713384970733383</v>
      </c>
      <c r="GD1993" s="8">
        <v>0.74316736626545299</v>
      </c>
      <c r="GE1993" s="8">
        <v>1.1285051295983921</v>
      </c>
      <c r="GF1993" s="8">
        <v>4.1311182843109071</v>
      </c>
      <c r="GG1993" s="8">
        <v>3.3728471159886522</v>
      </c>
      <c r="GH1993" s="8">
        <v>0</v>
      </c>
      <c r="GI1993" s="8">
        <v>3.8270251573031988</v>
      </c>
    </row>
    <row r="1994" spans="182:191">
      <c r="FZ1994" s="8">
        <v>6.5710140503988672</v>
      </c>
      <c r="GA1994" s="8">
        <v>4.4440677816928957</v>
      </c>
      <c r="GB1994" s="8">
        <v>0.22209803645304543</v>
      </c>
      <c r="GC1994" s="8">
        <v>0.68458135325058855</v>
      </c>
      <c r="GD1994" s="8">
        <v>0.66022486380566092</v>
      </c>
      <c r="GE1994" s="8">
        <v>1.1335074187718275</v>
      </c>
      <c r="GF1994" s="8">
        <v>3.1079779698110315</v>
      </c>
      <c r="GG1994" s="8">
        <v>1.9869679269521878</v>
      </c>
      <c r="GH1994" s="8">
        <v>0.40861888541082891</v>
      </c>
      <c r="GI1994" s="8">
        <v>2.8818024580382566</v>
      </c>
    </row>
    <row r="1995" spans="182:191">
      <c r="FZ1995" s="8">
        <v>5.3377480034738642</v>
      </c>
      <c r="GA1995" s="8">
        <v>9.2375103526553755</v>
      </c>
      <c r="GB1995" s="8">
        <v>3.3276336735382177</v>
      </c>
      <c r="GC1995" s="8">
        <v>0.71679144695622399</v>
      </c>
      <c r="GD1995" s="8">
        <v>0.92414310464130167</v>
      </c>
      <c r="GE1995" s="8">
        <v>2.2324285475340755</v>
      </c>
      <c r="GF1995" s="8">
        <v>4.966521072315806</v>
      </c>
      <c r="GG1995" s="8">
        <v>2.749981133775488</v>
      </c>
      <c r="GH1995" s="8">
        <v>0.69129860105168339</v>
      </c>
      <c r="GI1995" s="8">
        <v>4.7151643299857735</v>
      </c>
    </row>
    <row r="1996" spans="182:191">
      <c r="FZ1996" s="8">
        <v>11.220463376594157</v>
      </c>
      <c r="GA1996" s="8">
        <v>12.086578277037134</v>
      </c>
      <c r="GB1996" s="8">
        <v>2.7042779157013159</v>
      </c>
      <c r="GC1996" s="8">
        <v>0.41254048510234187</v>
      </c>
      <c r="GD1996" s="8">
        <v>0.4535335202393852</v>
      </c>
      <c r="GE1996" s="8">
        <v>0.531160448834335</v>
      </c>
      <c r="GF1996" s="8">
        <v>1.1247274024019132</v>
      </c>
      <c r="GG1996" s="8">
        <v>0.93993896331333671</v>
      </c>
      <c r="GH1996" s="8">
        <v>0.3456493005258417</v>
      </c>
      <c r="GI1996" s="8">
        <v>3.5191391255004554</v>
      </c>
    </row>
    <row r="1997" spans="182:191">
      <c r="FZ1997" s="8">
        <v>10.1444476466955</v>
      </c>
      <c r="GA1997" s="8">
        <v>5.6403923530821247</v>
      </c>
      <c r="GB1997" s="8">
        <v>0.84778725214750583</v>
      </c>
      <c r="GC1997" s="8">
        <v>1.3289126780595999</v>
      </c>
      <c r="GD1997" s="8">
        <v>1.3483836988733455</v>
      </c>
      <c r="GE1997" s="8">
        <v>1.6728590055420076</v>
      </c>
      <c r="GF1997" s="8">
        <v>4.5949576797833984</v>
      </c>
      <c r="GG1997" s="8">
        <v>3.1954456472175239</v>
      </c>
      <c r="GH1997" s="8">
        <v>0</v>
      </c>
      <c r="GI1997" s="8">
        <v>4.064521732488628</v>
      </c>
    </row>
    <row r="1998" spans="182:191">
      <c r="FZ1998" s="8">
        <v>3.0578881997582497</v>
      </c>
      <c r="GA1998" s="8">
        <v>26.045882087608682</v>
      </c>
      <c r="GB1998" s="8">
        <v>9.8390471471109713</v>
      </c>
      <c r="GC1998" s="8">
        <v>0.43413209889197463</v>
      </c>
      <c r="GD1998" s="8">
        <v>0.72287983894129759</v>
      </c>
      <c r="GE1998" s="8">
        <v>1.4389989454765568</v>
      </c>
      <c r="GF1998" s="8">
        <v>3.7272274620519013</v>
      </c>
      <c r="GG1998" s="8">
        <v>3.0552984226073874</v>
      </c>
      <c r="GH1998" s="8">
        <v>0.58144353567374973</v>
      </c>
      <c r="GI1998" s="8">
        <v>6.2231572305881953</v>
      </c>
    </row>
    <row r="1999" spans="182:191">
      <c r="FZ1999" s="8">
        <v>9.6594364990240109</v>
      </c>
      <c r="GA1999" s="8">
        <v>3.6690843099316024</v>
      </c>
      <c r="GB1999" s="8">
        <v>0.35936629601447079</v>
      </c>
      <c r="GC1999" s="8">
        <v>0.21469935338585139</v>
      </c>
      <c r="GD1999" s="8">
        <v>1.0645272739753855</v>
      </c>
      <c r="GE1999" s="8">
        <v>3.0127052131200256</v>
      </c>
      <c r="GF1999" s="8">
        <v>5.1739355460767769</v>
      </c>
      <c r="GG1999" s="8">
        <v>3.3728471159886522</v>
      </c>
      <c r="GH1999" s="8">
        <v>0.17282465026292085</v>
      </c>
      <c r="GI1999" s="8">
        <v>4.7623550497239568</v>
      </c>
    </row>
    <row r="2000" spans="182:191">
      <c r="FZ2000" s="8">
        <v>10.155741277002235</v>
      </c>
      <c r="GA2000" s="8">
        <v>10.232568171657025</v>
      </c>
      <c r="GB2000" s="8">
        <v>0.72563574940589493</v>
      </c>
      <c r="GC2000" s="8">
        <v>0.86642520443336735</v>
      </c>
      <c r="GD2000" s="8">
        <v>0.98434301592383755</v>
      </c>
      <c r="GE2000" s="8">
        <v>1.0528377029496179</v>
      </c>
      <c r="GF2000" s="8">
        <v>6.1075541136244329</v>
      </c>
      <c r="GG2000" s="8">
        <v>5.7349680879372613</v>
      </c>
      <c r="GH2000" s="8">
        <v>0.99006242108457876</v>
      </c>
      <c r="GI2000" s="8">
        <v>4.2136917473814535</v>
      </c>
    </row>
    <row r="2001" spans="182:191">
      <c r="FZ2001" s="8">
        <v>12.671667862240408</v>
      </c>
      <c r="GA2001" s="8">
        <v>16.378587636296299</v>
      </c>
      <c r="GB2001" s="8">
        <v>5.3387549726931391</v>
      </c>
      <c r="GC2001" s="8">
        <v>0.63253913897741776</v>
      </c>
      <c r="GD2001" s="8">
        <v>0.41757314027876347</v>
      </c>
      <c r="GE2001" s="8">
        <v>0.41954678087340269</v>
      </c>
      <c r="GF2001" s="8">
        <v>4.18984559579755</v>
      </c>
      <c r="GG2001" s="8">
        <v>3.7480001609850739</v>
      </c>
      <c r="GH2001" s="8">
        <v>0.23579423514790807</v>
      </c>
      <c r="GI2001" s="8">
        <v>5.2516413722149533</v>
      </c>
    </row>
    <row r="2002" spans="182:191">
      <c r="FZ2002" s="8">
        <v>7.9226794379451286</v>
      </c>
      <c r="GA2002" s="8">
        <v>10.359939504259625</v>
      </c>
      <c r="GB2002" s="8">
        <v>3.0868747741601767</v>
      </c>
      <c r="GC2002" s="8">
        <v>0.40845250147950724</v>
      </c>
      <c r="GD2002" s="8">
        <v>0.50267885251140232</v>
      </c>
      <c r="GE2002" s="8">
        <v>0.65157753828112375</v>
      </c>
      <c r="GF2002" s="8">
        <v>1.9501449994889022</v>
      </c>
      <c r="GG2002" s="8">
        <v>1.5628049455265007</v>
      </c>
      <c r="GH2002" s="8">
        <v>0.17282465026292085</v>
      </c>
      <c r="GI2002" s="8">
        <v>3.7819941779319226</v>
      </c>
    </row>
    <row r="2003" spans="182:191">
      <c r="FZ2003" s="8">
        <v>0.97002229534298157</v>
      </c>
      <c r="GA2003" s="8">
        <v>19.650925769732623</v>
      </c>
      <c r="GB2003" s="8">
        <v>8.1000410705836572</v>
      </c>
      <c r="GC2003" s="8">
        <v>0.47486853557402003</v>
      </c>
      <c r="GD2003" s="8">
        <v>0.63958690081504921</v>
      </c>
      <c r="GE2003" s="8">
        <v>1.4316582031935521</v>
      </c>
      <c r="GF2003" s="8">
        <v>1.160969687222021</v>
      </c>
      <c r="GG2003" s="8">
        <v>0.353851512980073</v>
      </c>
      <c r="GH2003" s="8">
        <v>0.47158847029581613</v>
      </c>
      <c r="GI2003" s="8">
        <v>4.7946446994552474</v>
      </c>
    </row>
    <row r="2004" spans="182:191">
      <c r="FZ2004" s="8">
        <v>5.0673180157161912</v>
      </c>
      <c r="GA2004" s="8">
        <v>12.855365056508028</v>
      </c>
      <c r="GB2004" s="8">
        <v>3.1880319561192341</v>
      </c>
      <c r="GC2004" s="8">
        <v>0.29461053415281191</v>
      </c>
      <c r="GD2004" s="8">
        <v>0.41470302865926251</v>
      </c>
      <c r="GE2004" s="8">
        <v>1.6496106516960156</v>
      </c>
      <c r="GF2004" s="8">
        <v>6.9013471031654472</v>
      </c>
      <c r="GG2004" s="8">
        <v>4.9351763492340606</v>
      </c>
      <c r="GH2004" s="8">
        <v>0.23579423514790807</v>
      </c>
      <c r="GI2004" s="8">
        <v>3.9038363609905398</v>
      </c>
    </row>
    <row r="2005" spans="182:191">
      <c r="FZ2005" s="8">
        <v>3.8827145604593918</v>
      </c>
      <c r="GA2005" s="8">
        <v>14.931378618555122</v>
      </c>
      <c r="GB2005" s="8">
        <v>5.6876620500448771</v>
      </c>
      <c r="GC2005" s="8">
        <v>0.23413920904496072</v>
      </c>
      <c r="GD2005" s="8">
        <v>0.6752723727818748</v>
      </c>
      <c r="GE2005" s="8">
        <v>1.2283876444549964</v>
      </c>
      <c r="GF2005" s="8">
        <v>1.1247274024019132</v>
      </c>
      <c r="GG2005" s="8">
        <v>1.1168647198033732</v>
      </c>
      <c r="GH2005" s="8">
        <v>0.23579423514790807</v>
      </c>
      <c r="GI2005" s="8">
        <v>4.5344153535397744</v>
      </c>
    </row>
    <row r="2006" spans="182:191">
      <c r="FZ2006" s="8">
        <v>5.6888568468102516</v>
      </c>
      <c r="GA2006" s="8">
        <v>14.857483198770142</v>
      </c>
      <c r="GB2006" s="8">
        <v>5.0480667257782246</v>
      </c>
      <c r="GC2006" s="8">
        <v>0.19117151410390748</v>
      </c>
      <c r="GD2006" s="8">
        <v>1.0317412416258374</v>
      </c>
      <c r="GE2006" s="8">
        <v>3.1739071577486806</v>
      </c>
      <c r="GF2006" s="8">
        <v>3.3477397226399894</v>
      </c>
      <c r="GG2006" s="8">
        <v>1.3155677205908503</v>
      </c>
      <c r="GH2006" s="8">
        <v>0.17282465026292085</v>
      </c>
      <c r="GI2006" s="8">
        <v>5.3838874104840357</v>
      </c>
    </row>
    <row r="2007" spans="182:191">
      <c r="FZ2007" s="8">
        <v>5.928752585701031</v>
      </c>
      <c r="GA2007" s="8">
        <v>9.5911527247887314</v>
      </c>
      <c r="GB2007" s="8">
        <v>2.6741322406993726</v>
      </c>
      <c r="GC2007" s="8">
        <v>1.0035387786433083</v>
      </c>
      <c r="GD2007" s="8">
        <v>1.6860411142616654</v>
      </c>
      <c r="GE2007" s="8">
        <v>2.6532349989262505</v>
      </c>
      <c r="GF2007" s="8">
        <v>2.4633351154189578</v>
      </c>
      <c r="GG2007" s="8">
        <v>1.9166564585065737</v>
      </c>
      <c r="GH2007" s="8">
        <v>0.47158847029581613</v>
      </c>
      <c r="GI2007" s="8">
        <v>4.5000085282488307</v>
      </c>
    </row>
    <row r="2008" spans="182:191">
      <c r="FZ2008" s="8">
        <v>3.1733106376109657</v>
      </c>
      <c r="GA2008" s="8">
        <v>13.903581591015254</v>
      </c>
      <c r="GB2008" s="8">
        <v>4.0496374782012454</v>
      </c>
      <c r="GC2008" s="8">
        <v>1.0709328649527536</v>
      </c>
      <c r="GD2008" s="8">
        <v>1.0867576900657563</v>
      </c>
      <c r="GE2008" s="8">
        <v>1.3550822115374384</v>
      </c>
      <c r="GF2008" s="8">
        <v>3.8279134732438616</v>
      </c>
      <c r="GG2008" s="8">
        <v>3.0552984226073874</v>
      </c>
      <c r="GH2008" s="8">
        <v>0.58144353567374973</v>
      </c>
      <c r="GI2008" s="8">
        <v>4.801578274108885</v>
      </c>
    </row>
    <row r="2009" spans="182:191">
      <c r="FZ2009" s="8">
        <v>1.8521794989315969</v>
      </c>
      <c r="GA2009" s="8">
        <v>6.6681893806219925</v>
      </c>
      <c r="GB2009" s="8">
        <v>2.9160139496873496</v>
      </c>
      <c r="GC2009" s="8">
        <v>0.66959973588260846</v>
      </c>
      <c r="GD2009" s="8">
        <v>0.55135924875313325</v>
      </c>
      <c r="GE2009" s="8">
        <v>1.3972089950018376</v>
      </c>
      <c r="GF2009" s="8">
        <v>3.3824351915845945</v>
      </c>
      <c r="GG2009" s="8">
        <v>2.0568036831167102</v>
      </c>
      <c r="GH2009" s="8">
        <v>0.23579423514790807</v>
      </c>
      <c r="GI2009" s="8">
        <v>2.3270510704349472</v>
      </c>
    </row>
    <row r="2010" spans="182:191">
      <c r="FZ2010" s="8">
        <v>4.7644913880091213</v>
      </c>
      <c r="GA2010" s="8">
        <v>13.482240491387318</v>
      </c>
      <c r="GB2010" s="8">
        <v>3.3625341028929636</v>
      </c>
      <c r="GC2010" s="8">
        <v>1.0637945711129475</v>
      </c>
      <c r="GD2010" s="8">
        <v>1.0627304962244815</v>
      </c>
      <c r="GE2010" s="8">
        <v>1.2374607539123192</v>
      </c>
      <c r="GF2010" s="8">
        <v>2.1721201530369045</v>
      </c>
      <c r="GG2010" s="8">
        <v>1.669419233570923</v>
      </c>
      <c r="GH2010" s="8">
        <v>0.64441312055873701</v>
      </c>
      <c r="GI2010" s="8">
        <v>3.787396605190045</v>
      </c>
    </row>
    <row r="2011" spans="182:191">
      <c r="FZ2011" s="8">
        <v>12.816863796882245</v>
      </c>
      <c r="GA2011" s="8">
        <v>23.215304560767652</v>
      </c>
      <c r="GB2011" s="8">
        <v>6.4830986581602641</v>
      </c>
      <c r="GC2011" s="8">
        <v>0.38686088768987459</v>
      </c>
      <c r="GD2011" s="8">
        <v>0.6776923544774911</v>
      </c>
      <c r="GE2011" s="8">
        <v>2.297803684844467</v>
      </c>
      <c r="GF2011" s="8">
        <v>7.9355287433886037</v>
      </c>
      <c r="GG2011" s="8">
        <v>5.9336710887247381</v>
      </c>
      <c r="GH2011" s="8">
        <v>0.58144353567374973</v>
      </c>
      <c r="GI2011" s="8">
        <v>7.1189152631378052</v>
      </c>
    </row>
    <row r="2012" spans="182:191">
      <c r="FZ2012" s="8">
        <v>2.7761645816938412</v>
      </c>
      <c r="GA2012" s="8">
        <v>8.3886314611091013</v>
      </c>
      <c r="GB2012" s="8">
        <v>2.9113470339722332</v>
      </c>
      <c r="GC2012" s="8">
        <v>0.48556651561850733</v>
      </c>
      <c r="GD2012" s="8">
        <v>0.5898383476236394</v>
      </c>
      <c r="GE2012" s="8">
        <v>0.73506090894504839</v>
      </c>
      <c r="GF2012" s="8">
        <v>5.9076212728075478E-2</v>
      </c>
      <c r="GG2012" s="8">
        <v>0.1769257564900365</v>
      </c>
      <c r="GH2012" s="8">
        <v>0.40861888541082891</v>
      </c>
      <c r="GI2012" s="8">
        <v>3.0684238917086759</v>
      </c>
    </row>
    <row r="2013" spans="182:191">
      <c r="FZ2013" s="8">
        <v>5.6888568468102516</v>
      </c>
      <c r="GA2013" s="8">
        <v>13.704243948054298</v>
      </c>
      <c r="GB2013" s="8">
        <v>3.6915696690720834</v>
      </c>
      <c r="GC2013" s="8">
        <v>0.79163659188541735</v>
      </c>
      <c r="GD2013" s="8">
        <v>0.82701520990458866</v>
      </c>
      <c r="GE2013" s="8">
        <v>0.6373204413265926</v>
      </c>
      <c r="GF2013" s="8">
        <v>1.5418069960091301</v>
      </c>
      <c r="GG2013" s="8">
        <v>1.4924934770808866</v>
      </c>
      <c r="GH2013" s="8">
        <v>0.40861888541082891</v>
      </c>
      <c r="GI2013" s="8">
        <v>3.1835294012850657</v>
      </c>
    </row>
    <row r="2014" spans="182:191">
      <c r="FZ2014" s="8">
        <v>10.098410434114763</v>
      </c>
      <c r="GA2014" s="8">
        <v>10.485381727435598</v>
      </c>
      <c r="GB2014" s="8">
        <v>2.757839207981057</v>
      </c>
      <c r="GC2014" s="8">
        <v>0.69864240829198898</v>
      </c>
      <c r="GD2014" s="8">
        <v>0.80395151105865259</v>
      </c>
      <c r="GE2014" s="8">
        <v>1.8251024238468958</v>
      </c>
      <c r="GF2014" s="8">
        <v>3.3153032409779692</v>
      </c>
      <c r="GG2014" s="8">
        <v>1.9166564585065737</v>
      </c>
      <c r="GH2014" s="8">
        <v>0.81723777082165783</v>
      </c>
      <c r="GI2014" s="8">
        <v>4.3636800821138131</v>
      </c>
    </row>
    <row r="2015" spans="182:191">
      <c r="FZ2015" s="8">
        <v>0.54272236659784878</v>
      </c>
      <c r="GA2015" s="8">
        <v>8.0638515949721761</v>
      </c>
      <c r="GB2015" s="8">
        <v>3.2439267062565333</v>
      </c>
      <c r="GC2015" s="8">
        <v>1.2444836378105797</v>
      </c>
      <c r="GD2015" s="8">
        <v>1.2608439691785593</v>
      </c>
      <c r="GE2015" s="8">
        <v>1.3550822115374384</v>
      </c>
      <c r="GF2015" s="8">
        <v>5.1924918310687653</v>
      </c>
      <c r="GG2015" s="8">
        <v>4.3708661431982385</v>
      </c>
      <c r="GH2015" s="8">
        <v>0.75426818593667067</v>
      </c>
      <c r="GI2015" s="8">
        <v>4.5126154862817751</v>
      </c>
    </row>
    <row r="2016" spans="182:191">
      <c r="FZ2016" s="8">
        <v>3.2611757293653318</v>
      </c>
      <c r="GA2016" s="8">
        <v>16.253145413120322</v>
      </c>
      <c r="GB2016" s="8">
        <v>5.7388020458293738</v>
      </c>
      <c r="GC2016" s="8">
        <v>0.50209209357037266</v>
      </c>
      <c r="GD2016" s="8">
        <v>0.75999736430712073</v>
      </c>
      <c r="GE2016" s="8">
        <v>2.0996352908652538</v>
      </c>
      <c r="GF2016" s="8">
        <v>4.1945524756657164</v>
      </c>
      <c r="GG2016" s="8">
        <v>2.6093581968842599</v>
      </c>
      <c r="GH2016" s="8">
        <v>0.99006242108457876</v>
      </c>
      <c r="GI2016" s="8">
        <v>5.1636213694548729</v>
      </c>
    </row>
    <row r="2017" spans="182:191">
      <c r="FZ2017" s="8">
        <v>2.1916143359223637</v>
      </c>
      <c r="GA2017" s="8">
        <v>7.8418481383051937</v>
      </c>
      <c r="GB2017" s="8">
        <v>2.7217281303786889</v>
      </c>
      <c r="GC2017" s="8">
        <v>0.31727743229910677</v>
      </c>
      <c r="GD2017" s="8">
        <v>0.81435832333010738</v>
      </c>
      <c r="GE2017" s="8">
        <v>2.2107717285462432</v>
      </c>
      <c r="GF2017" s="8">
        <v>6.0092069430826314</v>
      </c>
      <c r="GG2017" s="8">
        <v>4.4411776116438517</v>
      </c>
      <c r="GH2017" s="8">
        <v>0.3456493005258417</v>
      </c>
      <c r="GI2017" s="8">
        <v>4.1514961514072235</v>
      </c>
    </row>
    <row r="2018" spans="182:191">
      <c r="FZ2018" s="8">
        <v>4.143332932953947</v>
      </c>
      <c r="GA2018" s="8">
        <v>11.732935904903778</v>
      </c>
      <c r="GB2018" s="8">
        <v>3.6183219204531327</v>
      </c>
      <c r="GC2018" s="8">
        <v>0.85351584506742617</v>
      </c>
      <c r="GD2018" s="8">
        <v>0.98806453844072539</v>
      </c>
      <c r="GE2018" s="8">
        <v>1.8913444199332177</v>
      </c>
      <c r="GF2018" s="8">
        <v>4.7025872190624876</v>
      </c>
      <c r="GG2018" s="8">
        <v>3.5492971601975971</v>
      </c>
      <c r="GH2018" s="8">
        <v>0.64441312055873701</v>
      </c>
      <c r="GI2018" s="8">
        <v>4.0824712637553118</v>
      </c>
    </row>
    <row r="2019" spans="182:191">
      <c r="FZ2019" s="8">
        <v>5.7465680657366089</v>
      </c>
      <c r="GA2019" s="8">
        <v>11.732935904903778</v>
      </c>
      <c r="GB2019" s="8">
        <v>3.3054287045080413</v>
      </c>
      <c r="GC2019" s="8">
        <v>0.53903557939628</v>
      </c>
      <c r="GD2019" s="8">
        <v>0.53048693691856352</v>
      </c>
      <c r="GE2019" s="8">
        <v>0.73630336683957287</v>
      </c>
      <c r="GF2019" s="8">
        <v>3.3915861693228369</v>
      </c>
      <c r="GG2019" s="8">
        <v>2.6311354411817005</v>
      </c>
      <c r="GH2019" s="8">
        <v>0</v>
      </c>
      <c r="GI2019" s="8">
        <v>4.3921123027579823</v>
      </c>
    </row>
    <row r="2020" spans="182:191">
      <c r="FZ2020" s="8">
        <v>7.2804179732472925</v>
      </c>
      <c r="GA2020" s="8">
        <v>21.400230356216163</v>
      </c>
      <c r="GB2020" s="8">
        <v>7.9814336739472269</v>
      </c>
      <c r="GC2020" s="8">
        <v>0.2021822589283363</v>
      </c>
      <c r="GD2020" s="8">
        <v>0.12941536812120863</v>
      </c>
      <c r="GE2020" s="8">
        <v>0.8405910000651482</v>
      </c>
      <c r="GF2020" s="8">
        <v>6.32035595037057</v>
      </c>
      <c r="GG2020" s="8">
        <v>5.0635678815759242</v>
      </c>
      <c r="GH2020" s="8">
        <v>0.40861888541082891</v>
      </c>
      <c r="GI2020" s="8">
        <v>5.4509953223722096</v>
      </c>
    </row>
    <row r="2021" spans="182:191">
      <c r="FZ2021" s="8">
        <v>1.4248795701864641</v>
      </c>
      <c r="GA2021" s="8">
        <v>1.1736587576831998</v>
      </c>
      <c r="GB2021" s="8">
        <v>0.32437802802203847</v>
      </c>
      <c r="GC2021" s="8">
        <v>0.33847678118031344</v>
      </c>
      <c r="GD2021" s="8">
        <v>0.53823608868581918</v>
      </c>
      <c r="GE2021" s="8">
        <v>2.2068796963116299</v>
      </c>
      <c r="GF2021" s="8">
        <v>5.943639786312386</v>
      </c>
      <c r="GG2021" s="8">
        <v>4.1503858981133206</v>
      </c>
      <c r="GH2021" s="8">
        <v>0.94317694059163226</v>
      </c>
      <c r="GI2021" s="8">
        <v>2.7565660102792626</v>
      </c>
    </row>
    <row r="2022" spans="182:191">
      <c r="FZ2022" s="8">
        <v>0.11542243785271598</v>
      </c>
      <c r="GA2022" s="8">
        <v>16.127703189944352</v>
      </c>
      <c r="GB2022" s="8">
        <v>6.365701909771456</v>
      </c>
      <c r="GC2022" s="8">
        <v>1.0061204126330567</v>
      </c>
      <c r="GD2022" s="8">
        <v>1.0012018479092328</v>
      </c>
      <c r="GE2022" s="8">
        <v>1.9833532266180716</v>
      </c>
      <c r="GF2022" s="8">
        <v>3.0303454720909677</v>
      </c>
      <c r="GG2022" s="8">
        <v>1.165874656232639</v>
      </c>
      <c r="GH2022" s="8">
        <v>0.58144353567374973</v>
      </c>
      <c r="GI2022" s="8">
        <v>4.1743717256884167</v>
      </c>
    </row>
    <row r="2023" spans="182:191">
      <c r="FZ2023" s="8">
        <v>12.389563868137113</v>
      </c>
      <c r="GA2023" s="8">
        <v>12.980807279684001</v>
      </c>
      <c r="GB2023" s="8">
        <v>2.7705346683056264</v>
      </c>
      <c r="GC2023" s="8">
        <v>0.33438879755747875</v>
      </c>
      <c r="GD2023" s="8">
        <v>0.37924119973448867</v>
      </c>
      <c r="GE2023" s="8">
        <v>1.0578399921230535</v>
      </c>
      <c r="GF2023" s="8">
        <v>2.6318221634757393</v>
      </c>
      <c r="GG2023" s="8">
        <v>1.6113391696746744</v>
      </c>
      <c r="GH2023" s="8">
        <v>0.75426818593667067</v>
      </c>
      <c r="GI2023" s="8">
        <v>3.8953662016079686</v>
      </c>
    </row>
    <row r="2024" spans="182:191">
      <c r="FZ2024" s="8">
        <v>10.778040860174066</v>
      </c>
      <c r="GA2024" s="8">
        <v>11.587074174760446</v>
      </c>
      <c r="GB2024" s="8">
        <v>5.0655169404555975</v>
      </c>
      <c r="GC2024" s="8">
        <v>1.0628960190264993</v>
      </c>
      <c r="GD2024" s="8">
        <v>1.1935883311378459</v>
      </c>
      <c r="GE2024" s="8">
        <v>1.170198144589699</v>
      </c>
      <c r="GF2024" s="8">
        <v>2.5253394016878161</v>
      </c>
      <c r="GG2024" s="8">
        <v>2.2827393760360124</v>
      </c>
      <c r="GH2024" s="8">
        <v>0.81723777082165783</v>
      </c>
      <c r="GI2024" s="8">
        <v>4.8965708581424563</v>
      </c>
    </row>
    <row r="2025" spans="182:191">
      <c r="FZ2025" s="8">
        <v>7.5410363457418477</v>
      </c>
      <c r="GA2025" s="8">
        <v>9.3833720827987079</v>
      </c>
      <c r="GB2025" s="8">
        <v>1.6198960816227803</v>
      </c>
      <c r="GC2025" s="8">
        <v>0.31318944867627208</v>
      </c>
      <c r="GD2025" s="8">
        <v>0.3701227517846819</v>
      </c>
      <c r="GE2025" s="8">
        <v>1.1869315868674624</v>
      </c>
      <c r="GF2025" s="8">
        <v>1.7017898135222436</v>
      </c>
      <c r="GG2025" s="8">
        <v>0.49447444987130124</v>
      </c>
      <c r="GH2025" s="8">
        <v>0.17282465026292085</v>
      </c>
      <c r="GI2025" s="8">
        <v>3.6692294498163949</v>
      </c>
    </row>
    <row r="2026" spans="182:191">
      <c r="FZ2026" s="8">
        <v>9.5142405643821721</v>
      </c>
      <c r="GA2026" s="8">
        <v>9.0381727096944218</v>
      </c>
      <c r="GB2026" s="8">
        <v>3.2439267062565333</v>
      </c>
      <c r="GC2026" s="8">
        <v>0.55004632422070887</v>
      </c>
      <c r="GD2026" s="8">
        <v>0.76510288340750332</v>
      </c>
      <c r="GE2026" s="8">
        <v>2.0903219085317608</v>
      </c>
      <c r="GF2026" s="8">
        <v>6.2639621104021899</v>
      </c>
      <c r="GG2026" s="8">
        <v>4.489236123510933</v>
      </c>
      <c r="GH2026" s="8">
        <v>0.47158847029581613</v>
      </c>
      <c r="GI2026" s="8">
        <v>5.4630967701959454</v>
      </c>
    </row>
    <row r="2027" spans="182:191">
      <c r="FZ2027" s="8">
        <v>6.1738679944817427</v>
      </c>
      <c r="GA2027" s="8">
        <v>10.77903429714889</v>
      </c>
      <c r="GB2027" s="8">
        <v>2.1734509807501907</v>
      </c>
      <c r="GC2027" s="8">
        <v>0.23413920904496072</v>
      </c>
      <c r="GD2027" s="8">
        <v>0.42257001075497314</v>
      </c>
      <c r="GE2027" s="8">
        <v>1.7362088395211472</v>
      </c>
      <c r="GF2027" s="8">
        <v>4.3850814268558098</v>
      </c>
      <c r="GG2027" s="8">
        <v>2.6796696653298739</v>
      </c>
      <c r="GH2027" s="8">
        <v>0.58144353567374973</v>
      </c>
      <c r="GI2027" s="8">
        <v>5.1725180740102648</v>
      </c>
    </row>
    <row r="2028" spans="182:191">
      <c r="FZ2028" s="8">
        <v>7.9222990619062443</v>
      </c>
      <c r="GA2028" s="8">
        <v>8.1358179053305282</v>
      </c>
      <c r="GB2028" s="8">
        <v>1.0361955074934279</v>
      </c>
      <c r="GC2028" s="8">
        <v>1.0041841871407455</v>
      </c>
      <c r="GD2028" s="8">
        <v>0.78125667635894691</v>
      </c>
      <c r="GE2028" s="8">
        <v>0.39011788487516952</v>
      </c>
      <c r="GF2028" s="8">
        <v>1.6778575624038921</v>
      </c>
      <c r="GG2028" s="8">
        <v>1.6113391696746744</v>
      </c>
      <c r="GH2028" s="8">
        <v>0.58144353567374973</v>
      </c>
      <c r="GI2028" s="8">
        <v>3.2856270156587897</v>
      </c>
    </row>
    <row r="2029" spans="182:191">
      <c r="FZ2029" s="8">
        <v>12.260251273248006</v>
      </c>
      <c r="GA2029" s="8">
        <v>13.924001097982611</v>
      </c>
      <c r="GB2029" s="8">
        <v>2.67698869370304</v>
      </c>
      <c r="GC2029" s="8">
        <v>1.0948529691431237</v>
      </c>
      <c r="GD2029" s="8">
        <v>0.76867251284265681</v>
      </c>
      <c r="GE2029" s="8">
        <v>0.45153678503522904</v>
      </c>
      <c r="GF2029" s="8">
        <v>4.0031457948583178</v>
      </c>
      <c r="GG2029" s="8">
        <v>3.0670541148756616</v>
      </c>
      <c r="GH2029" s="8">
        <v>0.51847395078876257</v>
      </c>
      <c r="GI2029" s="8">
        <v>4.8130547772602492</v>
      </c>
    </row>
    <row r="2030" spans="182:191">
      <c r="FZ2030" s="8">
        <v>1.0854447331956976</v>
      </c>
      <c r="GA2030" s="8">
        <v>4.7399666581448576</v>
      </c>
      <c r="GB2030" s="8">
        <v>1.4338212841344169</v>
      </c>
      <c r="GC2030" s="8">
        <v>0.54746469023096045</v>
      </c>
      <c r="GD2030" s="8">
        <v>0.76412536057483837</v>
      </c>
      <c r="GE2030" s="8">
        <v>1.735986589665022</v>
      </c>
      <c r="GF2030" s="8">
        <v>2.8804370480897972</v>
      </c>
      <c r="GG2030" s="8">
        <v>1.4344134131846378</v>
      </c>
      <c r="GH2030" s="8">
        <v>0</v>
      </c>
      <c r="GI2030" s="8">
        <v>2.3409044164885793</v>
      </c>
    </row>
    <row r="2031" spans="182:191">
      <c r="FZ2031" s="8">
        <v>3.2611757293653318</v>
      </c>
      <c r="GA2031" s="8">
        <v>10.359939504259625</v>
      </c>
      <c r="GB2031" s="8">
        <v>3.2252658433315382</v>
      </c>
      <c r="GC2031" s="8">
        <v>0.67705079450235639</v>
      </c>
      <c r="GD2031" s="8">
        <v>0.73938581106515366</v>
      </c>
      <c r="GE2031" s="8">
        <v>1.9075863295812885</v>
      </c>
      <c r="GF2031" s="8">
        <v>5.4171493573764629</v>
      </c>
      <c r="GG2031" s="8">
        <v>3.7262229166876337</v>
      </c>
      <c r="GH2031" s="8">
        <v>0.88020735570664521</v>
      </c>
      <c r="GI2031" s="8">
        <v>4.4627637197567065</v>
      </c>
    </row>
    <row r="2032" spans="182:191">
      <c r="FZ2032" s="8">
        <v>5.5523291633876823</v>
      </c>
      <c r="GA2032" s="8">
        <v>12.656027413547076</v>
      </c>
      <c r="GB2032" s="8">
        <v>3.4172182047826407</v>
      </c>
      <c r="GC2032" s="8">
        <v>0.78805798425029205</v>
      </c>
      <c r="GD2032" s="8">
        <v>0.71825328370852692</v>
      </c>
      <c r="GE2032" s="8">
        <v>1.1386419089009649</v>
      </c>
      <c r="GF2032" s="8">
        <v>6.9735030353063125</v>
      </c>
      <c r="GG2032" s="8">
        <v>6.3573583578693338</v>
      </c>
      <c r="GH2032" s="8">
        <v>1.0530320059695661</v>
      </c>
      <c r="GI2032" s="8">
        <v>4.4022244296001789</v>
      </c>
    </row>
    <row r="2033" spans="182:191">
      <c r="FZ2033" s="8">
        <v>6.0286720598399031</v>
      </c>
      <c r="GA2033" s="8">
        <v>5.7142877728671042</v>
      </c>
      <c r="GB2033" s="8">
        <v>1.4885932246617808</v>
      </c>
      <c r="GC2033" s="8">
        <v>0.75567115827444253</v>
      </c>
      <c r="GD2033" s="8">
        <v>0.86660006740016837</v>
      </c>
      <c r="GE2033" s="8">
        <v>1.1397055787462154</v>
      </c>
      <c r="GF2033" s="8">
        <v>2.584415614415891</v>
      </c>
      <c r="GG2033" s="8">
        <v>2.2827393760360124</v>
      </c>
      <c r="GH2033" s="8">
        <v>0.64441312055873701</v>
      </c>
      <c r="GI2033" s="8">
        <v>3.3622873503437978</v>
      </c>
    </row>
    <row r="2034" spans="182:191">
      <c r="FZ2034" s="8">
        <v>6.9406027602176419</v>
      </c>
      <c r="GA2034" s="8">
        <v>15.632466670531434</v>
      </c>
      <c r="GB2034" s="8">
        <v>5.034160617206032</v>
      </c>
      <c r="GC2034" s="8">
        <v>0.64530937702394398</v>
      </c>
      <c r="GD2034" s="8">
        <v>1.0247688788528508</v>
      </c>
      <c r="GE2034" s="8">
        <v>2.3322528930361806</v>
      </c>
      <c r="GF2034" s="8">
        <v>1.9923346816169505</v>
      </c>
      <c r="GG2034" s="8">
        <v>0.42416298142568709</v>
      </c>
      <c r="GH2034" s="8">
        <v>0.58144353567374973</v>
      </c>
      <c r="GI2034" s="8">
        <v>5.6025715347922658</v>
      </c>
    </row>
    <row r="2035" spans="182:191">
      <c r="FZ2035" s="8">
        <v>3.997756622273223</v>
      </c>
      <c r="GA2035" s="8">
        <v>12.507919376665072</v>
      </c>
      <c r="GB2035" s="8">
        <v>3.22293238547398</v>
      </c>
      <c r="GC2035" s="8">
        <v>1.1330872719639051</v>
      </c>
      <c r="GD2035" s="8">
        <v>1.3596330790529838</v>
      </c>
      <c r="GE2035" s="8">
        <v>1.8585457263499592</v>
      </c>
      <c r="GF2035" s="8">
        <v>4.5533478813195138</v>
      </c>
      <c r="GG2035" s="8">
        <v>3.1954456472175239</v>
      </c>
      <c r="GH2035" s="8">
        <v>0.51847395078876257</v>
      </c>
      <c r="GI2035" s="8">
        <v>4.3962840347669143</v>
      </c>
    </row>
    <row r="2036" spans="182:191">
      <c r="FZ2036" s="8">
        <v>3.0582685757971344</v>
      </c>
      <c r="GA2036" s="8">
        <v>13.957057503832875</v>
      </c>
      <c r="GB2036" s="8">
        <v>5.6166505430877631</v>
      </c>
      <c r="GC2036" s="8">
        <v>0.50682548569064445</v>
      </c>
      <c r="GD2036" s="8">
        <v>0.7579287753211208</v>
      </c>
      <c r="GE2036" s="8">
        <v>1.5890004409573881</v>
      </c>
      <c r="GF2036" s="8">
        <v>3.1079779698110315</v>
      </c>
      <c r="GG2036" s="8">
        <v>1.8100421704621514</v>
      </c>
      <c r="GH2036" s="8">
        <v>0.3456493005258417</v>
      </c>
      <c r="GI2036" s="8">
        <v>4.5631451538585299</v>
      </c>
    </row>
    <row r="2037" spans="182:191">
      <c r="FZ2037" s="8">
        <v>7.3377488161347646</v>
      </c>
      <c r="GA2037" s="8">
        <v>11.311594805275842</v>
      </c>
      <c r="GB2037" s="8">
        <v>2.8403355270151187</v>
      </c>
      <c r="GC2037" s="8">
        <v>1.0352801961217206</v>
      </c>
      <c r="GD2037" s="8">
        <v>1.1602239330720046</v>
      </c>
      <c r="GE2037" s="8">
        <v>1.8627246185543154</v>
      </c>
      <c r="GF2037" s="8">
        <v>1.719576412803199</v>
      </c>
      <c r="GG2037" s="8">
        <v>0.42416298142568709</v>
      </c>
      <c r="GH2037" s="8">
        <v>0.40861888541082891</v>
      </c>
      <c r="GI2037" s="8">
        <v>4.3624602727799857</v>
      </c>
    </row>
    <row r="2038" spans="182:191">
      <c r="FZ2038" s="8">
        <v>4.0856217140275888</v>
      </c>
      <c r="GA2038" s="8">
        <v>11.334260618981871</v>
      </c>
      <c r="GB2038" s="8">
        <v>3.1380147699446734</v>
      </c>
      <c r="GC2038" s="8">
        <v>0.80900418954248765</v>
      </c>
      <c r="GD2038" s="8">
        <v>1.1299958669692269</v>
      </c>
      <c r="GE2038" s="8">
        <v>1.8381752322614013</v>
      </c>
      <c r="GF2038" s="8">
        <v>2.7160769962370184</v>
      </c>
      <c r="GG2038" s="8">
        <v>1.9166564585065737</v>
      </c>
      <c r="GH2038" s="8">
        <v>0.64441312055873701</v>
      </c>
      <c r="GI2038" s="8">
        <v>3.9963033433075656</v>
      </c>
    </row>
    <row r="2039" spans="182:191">
      <c r="FZ2039" s="8">
        <v>7.1853377929594675</v>
      </c>
      <c r="GA2039" s="8">
        <v>19.692081980979385</v>
      </c>
      <c r="GB2039" s="8">
        <v>4.4521058478327245</v>
      </c>
      <c r="GC2039" s="8">
        <v>0.57920610770937275</v>
      </c>
      <c r="GD2039" s="8">
        <v>0.65669579352034591</v>
      </c>
      <c r="GE2039" s="8">
        <v>1.0507538250659683</v>
      </c>
      <c r="GF2039" s="8">
        <v>5.3092946871497197</v>
      </c>
      <c r="GG2039" s="8">
        <v>4.4411776116438517</v>
      </c>
      <c r="GH2039" s="8">
        <v>0.17282465026292085</v>
      </c>
      <c r="GI2039" s="8">
        <v>5.6636027647561491</v>
      </c>
    </row>
    <row r="2040" spans="182:191">
      <c r="FZ2040" s="8">
        <v>9.3773325049207159</v>
      </c>
      <c r="GA2040" s="8">
        <v>16.000331857341749</v>
      </c>
      <c r="GB2040" s="8">
        <v>3.7950603088886989</v>
      </c>
      <c r="GC2040" s="8">
        <v>0.67984796113031676</v>
      </c>
      <c r="GD2040" s="8">
        <v>1.0388423655413885</v>
      </c>
      <c r="GE2040" s="8">
        <v>1.6176055347886429</v>
      </c>
      <c r="GF2040" s="8">
        <v>3.1842832372195216</v>
      </c>
      <c r="GG2040" s="8">
        <v>2.5512781329880112</v>
      </c>
      <c r="GH2040" s="8">
        <v>0.58144353567374973</v>
      </c>
      <c r="GI2040" s="8">
        <v>5.2794998217370166</v>
      </c>
    </row>
    <row r="2041" spans="182:191">
      <c r="FZ2041" s="8">
        <v>6.0286720598399031</v>
      </c>
      <c r="GA2041" s="8">
        <v>3.3443044437946754</v>
      </c>
      <c r="GB2041" s="8">
        <v>0.87905573675938453</v>
      </c>
      <c r="GC2041" s="8">
        <v>0.23977115325168066</v>
      </c>
      <c r="GD2041" s="8">
        <v>0.66344928638390988</v>
      </c>
      <c r="GE2041" s="8">
        <v>1.9146513483316072</v>
      </c>
      <c r="GF2041" s="8">
        <v>1.3661485207931785</v>
      </c>
      <c r="GG2041" s="8">
        <v>0.42416298142568709</v>
      </c>
      <c r="GH2041" s="8">
        <v>0.40861888541082891</v>
      </c>
      <c r="GI2041" s="8">
        <v>3.1859397351459</v>
      </c>
    </row>
    <row r="2042" spans="182:191">
      <c r="FZ2042" s="8">
        <v>4.8644108621479933</v>
      </c>
      <c r="GA2042" s="8">
        <v>10.359939504259625</v>
      </c>
      <c r="GB2042" s="8">
        <v>3.1193539070196779</v>
      </c>
      <c r="GC2042" s="8">
        <v>0.41254048510234187</v>
      </c>
      <c r="GD2042" s="8">
        <v>0.61639895284653767</v>
      </c>
      <c r="GE2042" s="8">
        <v>1.2058898106759375</v>
      </c>
      <c r="GF2042" s="8">
        <v>4.0898286708637865</v>
      </c>
      <c r="GG2042" s="8">
        <v>3.1256098910530015</v>
      </c>
      <c r="GH2042" s="8">
        <v>0.17282465026292085</v>
      </c>
      <c r="GI2042" s="8">
        <v>4.1056791736960676</v>
      </c>
    </row>
    <row r="2043" spans="182:191">
      <c r="FZ2043" s="8">
        <v>2.6189142646674961</v>
      </c>
      <c r="GA2043" s="8">
        <v>2.1479798724054464</v>
      </c>
      <c r="GB2043" s="8">
        <v>0.46761169018388959</v>
      </c>
      <c r="GC2043" s="8">
        <v>1.4690796512961999</v>
      </c>
      <c r="GD2043" s="8">
        <v>0.99868004016985279</v>
      </c>
      <c r="GE2043" s="8">
        <v>0.89771683008519543</v>
      </c>
      <c r="GF2043" s="8">
        <v>8.7921952963331957</v>
      </c>
      <c r="GG2043" s="8">
        <v>7.1421488089900746</v>
      </c>
      <c r="GH2043" s="8">
        <v>0.51847395078876257</v>
      </c>
      <c r="GI2043" s="8">
        <v>3.9298654260953088</v>
      </c>
    </row>
    <row r="2044" spans="182:191">
      <c r="FZ2044" s="8">
        <v>8.3775367127886113</v>
      </c>
      <c r="GA2044" s="8">
        <v>26.045882087608682</v>
      </c>
      <c r="GB2044" s="8">
        <v>9.8240182289288427</v>
      </c>
      <c r="GC2044" s="8">
        <v>0.93549928383642578</v>
      </c>
      <c r="GD2044" s="8">
        <v>1.4220175468372718</v>
      </c>
      <c r="GE2044" s="8">
        <v>2.350794084467009</v>
      </c>
      <c r="GF2044" s="8">
        <v>4.1953445004403722</v>
      </c>
      <c r="GG2044" s="8">
        <v>2.9967426464300475</v>
      </c>
      <c r="GH2044" s="8">
        <v>0.58144353567374973</v>
      </c>
      <c r="GI2044" s="8">
        <v>7.3291300391087857</v>
      </c>
    </row>
    <row r="2045" spans="182:191">
      <c r="FZ2045" s="8">
        <v>1.482590789112822</v>
      </c>
      <c r="GA2045" s="8">
        <v>9.0381727096944218</v>
      </c>
      <c r="GB2045" s="8">
        <v>3.241505409761289</v>
      </c>
      <c r="GC2045" s="8">
        <v>0.69301046408526901</v>
      </c>
      <c r="GD2045" s="8">
        <v>1.1853196563531398</v>
      </c>
      <c r="GE2045" s="8">
        <v>2.5609720222133761</v>
      </c>
      <c r="GF2045" s="8">
        <v>4.9260234836433421</v>
      </c>
      <c r="GG2045" s="8">
        <v>3.0670541148756616</v>
      </c>
      <c r="GH2045" s="8">
        <v>0</v>
      </c>
      <c r="GI2045" s="8">
        <v>4.0922340505983854</v>
      </c>
    </row>
    <row r="2046" spans="182:191">
      <c r="FZ2046" s="8">
        <v>3.5428993474297403</v>
      </c>
      <c r="GA2046" s="8">
        <v>15.056820841731094</v>
      </c>
      <c r="GB2046" s="8">
        <v>5.1480132594896588</v>
      </c>
      <c r="GC2046" s="8">
        <v>0.19052610560647035</v>
      </c>
      <c r="GD2046" s="8">
        <v>0.62391617996491833</v>
      </c>
      <c r="GE2046" s="8">
        <v>1.6390401039203502</v>
      </c>
      <c r="GF2046" s="8">
        <v>4.893564662917699</v>
      </c>
      <c r="GG2046" s="8">
        <v>3.9952373859207246</v>
      </c>
      <c r="GH2046" s="8">
        <v>0.23579423514790807</v>
      </c>
      <c r="GI2046" s="8">
        <v>4.4949832887892791</v>
      </c>
    </row>
    <row r="2047" spans="182:191">
      <c r="FZ2047" s="8">
        <v>9.5138601883432852</v>
      </c>
      <c r="GA2047" s="8">
        <v>20.571770971637246</v>
      </c>
      <c r="GB2047" s="8">
        <v>6.3796080183436485</v>
      </c>
      <c r="GC2047" s="8">
        <v>0.70273039191482367</v>
      </c>
      <c r="GD2047" s="8">
        <v>1.1168727069019131</v>
      </c>
      <c r="GE2047" s="8">
        <v>1.4745118235135213</v>
      </c>
      <c r="GF2047" s="8">
        <v>3.4958807371725795</v>
      </c>
      <c r="GG2047" s="8">
        <v>3.5492971601975971</v>
      </c>
      <c r="GH2047" s="8">
        <v>0.81723777082165783</v>
      </c>
      <c r="GI2047" s="8">
        <v>6.0258791739411146</v>
      </c>
    </row>
    <row r="2048" spans="182:191">
      <c r="FZ2048" s="8">
        <v>5.2498829117194976</v>
      </c>
      <c r="GA2048" s="8">
        <v>10.211831467377623</v>
      </c>
      <c r="GB2048" s="8">
        <v>3.2740723812584762</v>
      </c>
      <c r="GC2048" s="8">
        <v>0.93051274812714291</v>
      </c>
      <c r="GD2048" s="8">
        <v>0.95400085550063984</v>
      </c>
      <c r="GE2048" s="8">
        <v>1.3081905015012754</v>
      </c>
      <c r="GF2048" s="8">
        <v>2.7265998824140798</v>
      </c>
      <c r="GG2048" s="8">
        <v>1.7397307020165371</v>
      </c>
      <c r="GH2048" s="8">
        <v>0.40861888541082891</v>
      </c>
      <c r="GI2048" s="8">
        <v>3.9282662440674869</v>
      </c>
    </row>
    <row r="2049" spans="182:191">
      <c r="FZ2049" s="8">
        <v>3.7160330042088141</v>
      </c>
      <c r="GA2049" s="8">
        <v>9.1636149328703951</v>
      </c>
      <c r="GB2049" s="8">
        <v>2.6356877052394463</v>
      </c>
      <c r="GC2049" s="8">
        <v>0.83894541403831635</v>
      </c>
      <c r="GD2049" s="8">
        <v>0.62201572128675275</v>
      </c>
      <c r="GE2049" s="8">
        <v>0.78122324722104497</v>
      </c>
      <c r="GF2049" s="8">
        <v>2.7723366770819666</v>
      </c>
      <c r="GG2049" s="8">
        <v>1.7397307020165371</v>
      </c>
      <c r="GH2049" s="8">
        <v>0.58144353567374973</v>
      </c>
      <c r="GI2049" s="8">
        <v>2.9594554395336923</v>
      </c>
    </row>
    <row r="2050" spans="182:191">
      <c r="FZ2050" s="8">
        <v>8.2621142749358949</v>
      </c>
      <c r="GA2050" s="8">
        <v>9.1636149328703951</v>
      </c>
      <c r="GB2050" s="8">
        <v>2.6705881345941922</v>
      </c>
      <c r="GC2050" s="8">
        <v>0.80685243141196428</v>
      </c>
      <c r="GD2050" s="8">
        <v>0.58413886230856071</v>
      </c>
      <c r="GE2050" s="8">
        <v>0.55769677752748659</v>
      </c>
      <c r="GF2050" s="8">
        <v>2.9602055945759886</v>
      </c>
      <c r="GG2050" s="8">
        <v>2.0572793953978019</v>
      </c>
      <c r="GH2050" s="8">
        <v>0</v>
      </c>
      <c r="GI2050" s="8">
        <v>3.539184860123989</v>
      </c>
    </row>
    <row r="2051" spans="182:191">
      <c r="FZ2051" s="8">
        <v>7.8649682190187704</v>
      </c>
      <c r="GA2051" s="8">
        <v>12.929260476293006</v>
      </c>
      <c r="GB2051" s="8">
        <v>3.7927268510311407</v>
      </c>
      <c r="GC2051" s="8">
        <v>1.2101217859744211</v>
      </c>
      <c r="GD2051" s="8">
        <v>0.92753915807237397</v>
      </c>
      <c r="GE2051" s="8">
        <v>0.66080615777425622</v>
      </c>
      <c r="GF2051" s="8">
        <v>4.6760757956447856</v>
      </c>
      <c r="GG2051" s="8">
        <v>3.7480001609850739</v>
      </c>
      <c r="GH2051" s="8">
        <v>0.23579423514790807</v>
      </c>
      <c r="GI2051" s="8">
        <v>4.5387201099638741</v>
      </c>
    </row>
    <row r="2052" spans="182:191">
      <c r="FZ2052" s="8">
        <v>3.6006105663560986</v>
      </c>
      <c r="GA2052" s="8">
        <v>3.2704090240096959</v>
      </c>
      <c r="GB2052" s="8">
        <v>0.12094085449398843</v>
      </c>
      <c r="GC2052" s="8">
        <v>0.52497452435487957</v>
      </c>
      <c r="GD2052" s="8">
        <v>0.63556326616371928</v>
      </c>
      <c r="GE2052" s="8">
        <v>1.1193497922053051</v>
      </c>
      <c r="GF2052" s="8">
        <v>2.3847133464239327</v>
      </c>
      <c r="GG2052" s="8">
        <v>1.4344134131846378</v>
      </c>
      <c r="GH2052" s="8">
        <v>0.17282465026292085</v>
      </c>
      <c r="GI2052" s="8">
        <v>2.3881950275332695</v>
      </c>
    </row>
    <row r="2053" spans="182:191">
      <c r="FZ2053" s="8">
        <v>4.0856217140275888</v>
      </c>
      <c r="GA2053" s="8">
        <v>13.903581591015254</v>
      </c>
      <c r="GB2053" s="8">
        <v>3.983468564234621</v>
      </c>
      <c r="GC2053" s="8">
        <v>0.6167950020327172</v>
      </c>
      <c r="GD2053" s="8">
        <v>0.85952136656342915</v>
      </c>
      <c r="GE2053" s="8">
        <v>1.049511367171444</v>
      </c>
      <c r="GF2053" s="8">
        <v>2.9833597075007203</v>
      </c>
      <c r="GG2053" s="8">
        <v>2.749981133775488</v>
      </c>
      <c r="GH2053" s="8">
        <v>0.51847395078876257</v>
      </c>
      <c r="GI2053" s="8">
        <v>4.9554880974132738</v>
      </c>
    </row>
    <row r="2054" spans="182:191">
      <c r="FZ2054" s="8">
        <v>5.6768024644257444</v>
      </c>
      <c r="GA2054" s="8">
        <v>11.112257162314888</v>
      </c>
      <c r="GB2054" s="8">
        <v>2.686827701023943</v>
      </c>
      <c r="GC2054" s="8">
        <v>0.48965449924134197</v>
      </c>
      <c r="GD2054" s="8">
        <v>1.1133583290883371</v>
      </c>
      <c r="GE2054" s="8">
        <v>2.3559927795118654</v>
      </c>
      <c r="GF2054" s="8">
        <v>2.7132604643538913</v>
      </c>
      <c r="GG2054" s="8">
        <v>2.270507971486647</v>
      </c>
      <c r="GH2054" s="8">
        <v>1.1160015908545531</v>
      </c>
      <c r="GI2054" s="8">
        <v>4.8825710190284983</v>
      </c>
    </row>
    <row r="2055" spans="182:191">
      <c r="FZ2055" s="8">
        <v>10.980567637703377</v>
      </c>
      <c r="GA2055" s="8">
        <v>8.1358179053305282</v>
      </c>
      <c r="GB2055" s="8">
        <v>0.86290400896732034</v>
      </c>
      <c r="GC2055" s="8">
        <v>0.21319300375276518</v>
      </c>
      <c r="GD2055" s="8">
        <v>0.40690357691262757</v>
      </c>
      <c r="GE2055" s="8">
        <v>0.86281914587274078</v>
      </c>
      <c r="GF2055" s="8">
        <v>3.0157961891627396</v>
      </c>
      <c r="GG2055" s="8">
        <v>2.5027439088398373</v>
      </c>
      <c r="GH2055" s="8">
        <v>0</v>
      </c>
      <c r="GI2055" s="8">
        <v>3.8418508136720373</v>
      </c>
    </row>
    <row r="2056" spans="182:191">
      <c r="FZ2056" s="8">
        <v>3.5428993474297403</v>
      </c>
      <c r="GA2056" s="8">
        <v>13.704243948054298</v>
      </c>
      <c r="GB2056" s="8">
        <v>4.0405739626195425</v>
      </c>
      <c r="GC2056" s="8">
        <v>0.69085870595474563</v>
      </c>
      <c r="GD2056" s="8">
        <v>0.97591890120607661</v>
      </c>
      <c r="GE2056" s="8">
        <v>1.8402591101450509</v>
      </c>
      <c r="GF2056" s="8">
        <v>4.5209113996574946</v>
      </c>
      <c r="GG2056" s="8">
        <v>3.6196086286432112</v>
      </c>
      <c r="GH2056" s="8">
        <v>0.58144353567374973</v>
      </c>
      <c r="GI2056" s="8">
        <v>5.0864986127063947</v>
      </c>
    </row>
    <row r="2057" spans="182:191">
      <c r="FZ2057" s="8">
        <v>1.3094571323337481</v>
      </c>
      <c r="GA2057" s="8">
        <v>1.1736587576831998</v>
      </c>
      <c r="GB2057" s="8">
        <v>0.32558867626966093</v>
      </c>
      <c r="GC2057" s="8">
        <v>0.77575642243098897</v>
      </c>
      <c r="GD2057" s="8">
        <v>0.49760549731937215</v>
      </c>
      <c r="GE2057" s="8">
        <v>0.79155683759293771</v>
      </c>
      <c r="GF2057" s="8">
        <v>3.9093741131856365</v>
      </c>
      <c r="GG2057" s="8">
        <v>2.6796696653298739</v>
      </c>
      <c r="GH2057" s="8">
        <v>0.40861888541082891</v>
      </c>
      <c r="GI2057" s="8">
        <v>2.2487160380575482</v>
      </c>
    </row>
    <row r="2058" spans="182:191">
      <c r="FZ2058" s="8">
        <v>7.0401418583176287</v>
      </c>
      <c r="GA2058" s="8">
        <v>10.884057013357506</v>
      </c>
      <c r="GB2058" s="8">
        <v>2.8716918502646838</v>
      </c>
      <c r="GC2058" s="8">
        <v>0.99790683443658823</v>
      </c>
      <c r="GD2058" s="8">
        <v>1.0696669334314859</v>
      </c>
      <c r="GE2058" s="8">
        <v>1.2867559323695679</v>
      </c>
      <c r="GF2058" s="8">
        <v>3.1933450123637313</v>
      </c>
      <c r="GG2058" s="8">
        <v>2.2555066839041871</v>
      </c>
      <c r="GH2058" s="8">
        <v>0</v>
      </c>
      <c r="GI2058" s="8">
        <v>4.3472830111585488</v>
      </c>
    </row>
    <row r="2059" spans="182:191">
      <c r="FZ2059" s="8">
        <v>6.5713944264377515</v>
      </c>
      <c r="GA2059" s="8">
        <v>6.8675270235829462</v>
      </c>
      <c r="GB2059" s="8">
        <v>2.757839207981057</v>
      </c>
      <c r="GC2059" s="8">
        <v>0.94345971844388299</v>
      </c>
      <c r="GD2059" s="8">
        <v>0.86852149805993695</v>
      </c>
      <c r="GE2059" s="8">
        <v>1.3235259758487046</v>
      </c>
      <c r="GF2059" s="8">
        <v>4.0054622964448523</v>
      </c>
      <c r="GG2059" s="8">
        <v>2.8080611976717367</v>
      </c>
      <c r="GH2059" s="8">
        <v>0.23579423514790807</v>
      </c>
      <c r="GI2059" s="8">
        <v>4.4743248526993105</v>
      </c>
    </row>
    <row r="2060" spans="182:191">
      <c r="FZ2060" s="8">
        <v>6.5713944264377515</v>
      </c>
      <c r="GA2060" s="8">
        <v>7.2662023095048536</v>
      </c>
      <c r="GB2060" s="8">
        <v>2.8542416355873108</v>
      </c>
      <c r="GC2060" s="8">
        <v>0.86388118139441794</v>
      </c>
      <c r="GD2060" s="8">
        <v>0.63595999115580337</v>
      </c>
      <c r="GE2060" s="8">
        <v>0.77307341031870958</v>
      </c>
      <c r="GF2060" s="8">
        <v>4.7708367485924281</v>
      </c>
      <c r="GG2060" s="8">
        <v>3.4426828721531746</v>
      </c>
      <c r="GH2060" s="8">
        <v>0</v>
      </c>
      <c r="GI2060" s="8">
        <v>3.2776962847293207</v>
      </c>
    </row>
    <row r="2061" spans="182:191">
      <c r="FZ2061" s="8">
        <v>2.3488646529487083</v>
      </c>
      <c r="GA2061" s="8">
        <v>16.05380777015937</v>
      </c>
      <c r="GB2061" s="8">
        <v>5.7748252847940549</v>
      </c>
      <c r="GC2061" s="8">
        <v>0.93407243433182396</v>
      </c>
      <c r="GD2061" s="8">
        <v>1.3489635156868478</v>
      </c>
      <c r="GE2061" s="8">
        <v>2.3129603711426219</v>
      </c>
      <c r="GF2061" s="8">
        <v>2.3996834138217613</v>
      </c>
      <c r="GG2061" s="8">
        <v>1.3641019447390237</v>
      </c>
      <c r="GH2061" s="8">
        <v>0.23579423514790807</v>
      </c>
      <c r="GI2061" s="8">
        <v>4.6850453446388203</v>
      </c>
    </row>
    <row r="2062" spans="182:191">
      <c r="FZ2062" s="8">
        <v>13.690733125290478</v>
      </c>
      <c r="GA2062" s="8">
        <v>11.408156038766851</v>
      </c>
      <c r="GB2062" s="8">
        <v>3.6217688103625916</v>
      </c>
      <c r="GC2062" s="8">
        <v>0.58200327433733312</v>
      </c>
      <c r="GD2062" s="8">
        <v>1.1017097917923269</v>
      </c>
      <c r="GE2062" s="8">
        <v>1.9701012249563932</v>
      </c>
      <c r="GF2062" s="8">
        <v>6.0676140695525085</v>
      </c>
      <c r="GG2062" s="8">
        <v>4.8866421250858876</v>
      </c>
      <c r="GH2062" s="8">
        <v>0</v>
      </c>
      <c r="GI2062" s="8">
        <v>5.82738986864201</v>
      </c>
    </row>
    <row r="2063" spans="182:191">
      <c r="FZ2063" s="8">
        <v>6.1161567755553836</v>
      </c>
      <c r="GA2063" s="8">
        <v>5.8397299960430775</v>
      </c>
      <c r="GB2063" s="8">
        <v>0.9152546529994392</v>
      </c>
      <c r="GC2063" s="8">
        <v>0.38531692710598919</v>
      </c>
      <c r="GD2063" s="8">
        <v>0.4246196772071501</v>
      </c>
      <c r="GE2063" s="8">
        <v>1.3266407930099111</v>
      </c>
      <c r="GF2063" s="8">
        <v>6.3185520368551771</v>
      </c>
      <c r="GG2063" s="8">
        <v>5.1606363298722719</v>
      </c>
      <c r="GH2063" s="8">
        <v>0.88020735570664521</v>
      </c>
      <c r="GI2063" s="8">
        <v>4.4918393577821547</v>
      </c>
    </row>
    <row r="2064" spans="182:191">
      <c r="FZ2064" s="8">
        <v>2.6886798659783597</v>
      </c>
      <c r="GA2064" s="8">
        <v>11.587074174760446</v>
      </c>
      <c r="GB2064" s="8">
        <v>5.1341071509174672</v>
      </c>
      <c r="GC2064" s="8">
        <v>0.31318944867627208</v>
      </c>
      <c r="GD2064" s="8">
        <v>0.9330705130796183</v>
      </c>
      <c r="GE2064" s="8">
        <v>2.4816029336401892</v>
      </c>
      <c r="GF2064" s="8">
        <v>6.3881569872353907</v>
      </c>
      <c r="GG2064" s="8">
        <v>5.1121021057240972</v>
      </c>
      <c r="GH2064" s="8">
        <v>0.81723777082165783</v>
      </c>
      <c r="GI2064" s="8">
        <v>4.8179427490867548</v>
      </c>
    </row>
    <row r="2065" spans="182:191">
      <c r="FZ2065" s="8">
        <v>10.408452150355291</v>
      </c>
      <c r="GA2065" s="8">
        <v>11.587074174760446</v>
      </c>
      <c r="GB2065" s="8">
        <v>5.1491360690995958</v>
      </c>
      <c r="GC2065" s="8">
        <v>0.19701899094883951</v>
      </c>
      <c r="GD2065" s="8">
        <v>0.49743241536933991</v>
      </c>
      <c r="GE2065" s="8">
        <v>2.3017750347403454</v>
      </c>
      <c r="GF2065" s="8">
        <v>7.60583484796748</v>
      </c>
      <c r="GG2065" s="8">
        <v>5.3108051065115749</v>
      </c>
      <c r="GH2065" s="8">
        <v>0.40861888541082891</v>
      </c>
      <c r="GI2065" s="8">
        <v>5.479705344275537</v>
      </c>
    </row>
    <row r="2066" spans="182:191">
      <c r="FZ2066" s="8">
        <v>4.0279104951012314</v>
      </c>
      <c r="GA2066" s="8">
        <v>17.227466527842569</v>
      </c>
      <c r="GB2066" s="8">
        <v>5.8609535485709845</v>
      </c>
      <c r="GC2066" s="8">
        <v>0.51253693002584888</v>
      </c>
      <c r="GD2066" s="8">
        <v>0.84426782526603394</v>
      </c>
      <c r="GE2066" s="8">
        <v>2.13665990957031</v>
      </c>
      <c r="GF2066" s="8">
        <v>5.4406582230177047</v>
      </c>
      <c r="GG2066" s="8">
        <v>4.1721631424107617</v>
      </c>
      <c r="GH2066" s="8">
        <v>0.81723777082165783</v>
      </c>
      <c r="GI2066" s="8">
        <v>5.4089649188092164</v>
      </c>
    </row>
    <row r="2067" spans="182:191">
      <c r="FZ2067" s="8">
        <v>8.2621142749358949</v>
      </c>
      <c r="GA2067" s="8">
        <v>31.939087996469386</v>
      </c>
      <c r="GB2067" s="8">
        <v>12.475945500598042</v>
      </c>
      <c r="GC2067" s="8">
        <v>1.1788897444837181</v>
      </c>
      <c r="GD2067" s="8">
        <v>1.9868249465478949</v>
      </c>
      <c r="GE2067" s="8">
        <v>3.1116791629692906</v>
      </c>
      <c r="GF2067" s="8">
        <v>5.6826507725905469</v>
      </c>
      <c r="GG2067" s="8">
        <v>4.5110133678083741</v>
      </c>
      <c r="GH2067" s="8">
        <v>0.3456493005258417</v>
      </c>
      <c r="GI2067" s="8">
        <v>9.1573407730994436</v>
      </c>
    </row>
    <row r="2068" spans="182:191">
      <c r="FZ2068" s="8">
        <v>5.7763415625257331</v>
      </c>
      <c r="GA2068" s="8">
        <v>13.63034852826932</v>
      </c>
      <c r="GB2068" s="8">
        <v>3.1566756328696686</v>
      </c>
      <c r="GC2068" s="8">
        <v>1.0963969297270089</v>
      </c>
      <c r="GD2068" s="8">
        <v>0.81200131593393643</v>
      </c>
      <c r="GE2068" s="8">
        <v>1.0448253530630467</v>
      </c>
      <c r="GF2068" s="8">
        <v>4.2728540596439775</v>
      </c>
      <c r="GG2068" s="8">
        <v>2.8080611976717367</v>
      </c>
      <c r="GH2068" s="8">
        <v>0.58144353567374973</v>
      </c>
      <c r="GI2068" s="8">
        <v>4.4610384732434145</v>
      </c>
    </row>
    <row r="2069" spans="182:191">
      <c r="FZ2069" s="8">
        <v>4.4254369270572411</v>
      </c>
      <c r="GA2069" s="8">
        <v>12.561395289482693</v>
      </c>
      <c r="GB2069" s="8">
        <v>5.2213582243043319</v>
      </c>
      <c r="GC2069" s="8">
        <v>0.31125322318396076</v>
      </c>
      <c r="GD2069" s="8">
        <v>0.65146404885002274</v>
      </c>
      <c r="GE2069" s="8">
        <v>2.0761642819652386</v>
      </c>
      <c r="GF2069" s="8">
        <v>2.8789759370569445</v>
      </c>
      <c r="GG2069" s="8">
        <v>1.3155677205908503</v>
      </c>
      <c r="GH2069" s="8">
        <v>0</v>
      </c>
      <c r="GI2069" s="8">
        <v>3.4543373101220047</v>
      </c>
    </row>
    <row r="2070" spans="182:191">
      <c r="FZ2070" s="8">
        <v>2.5887603918394877</v>
      </c>
      <c r="GA2070" s="8">
        <v>3.1223009871276921</v>
      </c>
      <c r="GB2070" s="8">
        <v>0.57110233000050503</v>
      </c>
      <c r="GC2070" s="8">
        <v>0.45769754912471766</v>
      </c>
      <c r="GD2070" s="8">
        <v>0.4028799422612977</v>
      </c>
      <c r="GE2070" s="8">
        <v>0.56165301467781847</v>
      </c>
      <c r="GF2070" s="8">
        <v>1.6187813496758165</v>
      </c>
      <c r="GG2070" s="8">
        <v>1.6113391696746744</v>
      </c>
      <c r="GH2070" s="8">
        <v>0.23579423514790807</v>
      </c>
      <c r="GI2070" s="8">
        <v>1.5471330564061825</v>
      </c>
    </row>
    <row r="2071" spans="182:191">
      <c r="FZ2071" s="8">
        <v>7.5828642249154772</v>
      </c>
      <c r="GA2071" s="8">
        <v>13.054702699468979</v>
      </c>
      <c r="GB2071" s="8">
        <v>3.4811414995293934</v>
      </c>
      <c r="GC2071" s="8">
        <v>0.38187435198059172</v>
      </c>
      <c r="GD2071" s="8">
        <v>0.80783917931050109</v>
      </c>
      <c r="GE2071" s="8">
        <v>2.4624228651734881</v>
      </c>
      <c r="GF2071" s="8">
        <v>2.6810836813392713</v>
      </c>
      <c r="GG2071" s="8">
        <v>0.74171167480695199</v>
      </c>
      <c r="GH2071" s="8">
        <v>0.17282465026292085</v>
      </c>
      <c r="GI2071" s="8">
        <v>4.3120097404362854</v>
      </c>
    </row>
    <row r="2072" spans="182:191">
      <c r="FZ2072" s="8">
        <v>9.3312952923399788</v>
      </c>
      <c r="GA2072" s="8">
        <v>14.952115322834526</v>
      </c>
      <c r="GB2072" s="8">
        <v>3.1903654139767923</v>
      </c>
      <c r="GC2072" s="8">
        <v>0.53598526917930833</v>
      </c>
      <c r="GD2072" s="8">
        <v>0.80052612962980385</v>
      </c>
      <c r="GE2072" s="8">
        <v>1.7349082122721242</v>
      </c>
      <c r="GF2072" s="8">
        <v>2.6262340562388844</v>
      </c>
      <c r="GG2072" s="8">
        <v>1.3155677205908503</v>
      </c>
      <c r="GH2072" s="8">
        <v>0</v>
      </c>
      <c r="GI2072" s="8">
        <v>4.7974454948359879</v>
      </c>
    </row>
    <row r="2073" spans="182:191">
      <c r="FZ2073" s="8">
        <v>5.8619905035893254</v>
      </c>
      <c r="GA2073" s="8">
        <v>13.903581591015254</v>
      </c>
      <c r="GB2073" s="8">
        <v>3.8438668468156365</v>
      </c>
      <c r="GC2073" s="8">
        <v>1.673979576724012</v>
      </c>
      <c r="GD2073" s="8">
        <v>1.3814093785496366</v>
      </c>
      <c r="GE2073" s="8">
        <v>1.2724079354928444</v>
      </c>
      <c r="GF2073" s="8">
        <v>2.80937098667673</v>
      </c>
      <c r="GG2073" s="8">
        <v>1.1871761882489873</v>
      </c>
      <c r="GH2073" s="8">
        <v>0.3456493005258417</v>
      </c>
      <c r="GI2073" s="8">
        <v>4.5429638554755609</v>
      </c>
    </row>
    <row r="2074" spans="182:191">
      <c r="FZ2074" s="8">
        <v>7.8649682190187704</v>
      </c>
      <c r="GA2074" s="8">
        <v>12.929260476293006</v>
      </c>
      <c r="GB2074" s="8">
        <v>3.8799779244180055</v>
      </c>
      <c r="GC2074" s="8">
        <v>0.28467507368504519</v>
      </c>
      <c r="GD2074" s="8">
        <v>0.58909040050230277</v>
      </c>
      <c r="GE2074" s="8">
        <v>1.1827379871154586</v>
      </c>
      <c r="GF2074" s="8">
        <v>2.0682974249450532</v>
      </c>
      <c r="GG2074" s="8">
        <v>1.7397307020165371</v>
      </c>
      <c r="GH2074" s="8">
        <v>0.58144353567374973</v>
      </c>
      <c r="GI2074" s="8">
        <v>4.1989696662786464</v>
      </c>
    </row>
    <row r="2075" spans="182:191">
      <c r="FZ2075" s="8">
        <v>7.3799570713472793</v>
      </c>
      <c r="GA2075" s="8">
        <v>15.099906162404483</v>
      </c>
      <c r="GB2075" s="8">
        <v>4.2264637052744982</v>
      </c>
      <c r="GC2075" s="8">
        <v>0.56105706904513775</v>
      </c>
      <c r="GD2075" s="8">
        <v>0.6818427738240207</v>
      </c>
      <c r="GE2075" s="8">
        <v>1.274549982730993</v>
      </c>
      <c r="GF2075" s="8">
        <v>2.5548478098090528</v>
      </c>
      <c r="GG2075" s="8">
        <v>1.8463449900609596</v>
      </c>
      <c r="GH2075" s="8">
        <v>1.0530320059695661</v>
      </c>
      <c r="GI2075" s="8">
        <v>3.8666152550785133</v>
      </c>
    </row>
    <row r="2076" spans="182:191">
      <c r="FZ2076" s="8">
        <v>8.8923213572492248</v>
      </c>
      <c r="GA2076" s="8">
        <v>19.52355443713002</v>
      </c>
      <c r="GB2076" s="8">
        <v>5.7923633381091149</v>
      </c>
      <c r="GC2076" s="8">
        <v>0.35705569570377355</v>
      </c>
      <c r="GD2076" s="8">
        <v>0.5702725282525396</v>
      </c>
      <c r="GE2076" s="8">
        <v>1.3550822115374384</v>
      </c>
      <c r="GF2076" s="8">
        <v>3.7464751723657095</v>
      </c>
      <c r="GG2076" s="8">
        <v>3.1038326467555613</v>
      </c>
      <c r="GH2076" s="8">
        <v>0.64441312055873701</v>
      </c>
      <c r="GI2076" s="8">
        <v>5.3564947099973939</v>
      </c>
    </row>
    <row r="2077" spans="182:191">
      <c r="FZ2077" s="8">
        <v>3.997756622273223</v>
      </c>
      <c r="GA2077" s="8">
        <v>4.244730138731942</v>
      </c>
      <c r="GB2077" s="8">
        <v>0.2069812796332309</v>
      </c>
      <c r="GC2077" s="8">
        <v>0.48200682941382628</v>
      </c>
      <c r="GD2077" s="8">
        <v>0.56612065780880094</v>
      </c>
      <c r="GE2077" s="8">
        <v>2.0097896797253156</v>
      </c>
      <c r="GF2077" s="8">
        <v>4.8954550109027384</v>
      </c>
      <c r="GG2077" s="8">
        <v>2.6796696653298739</v>
      </c>
      <c r="GH2077" s="8">
        <v>0.40861888541082891</v>
      </c>
      <c r="GI2077" s="8">
        <v>2.7383520451890417</v>
      </c>
    </row>
    <row r="2078" spans="182:191">
      <c r="FZ2078" s="8">
        <v>8.319825493862254</v>
      </c>
      <c r="GA2078" s="8">
        <v>3.4697466669706492</v>
      </c>
      <c r="GB2078" s="8">
        <v>0.17095804066854892</v>
      </c>
      <c r="GC2078" s="8">
        <v>0.18403322026410121</v>
      </c>
      <c r="GD2078" s="8">
        <v>0.48569420892868109</v>
      </c>
      <c r="GE2078" s="8">
        <v>2.2959313255777847</v>
      </c>
      <c r="GF2078" s="8">
        <v>4.4357753395275257</v>
      </c>
      <c r="GG2078" s="8">
        <v>2.2337294396067464</v>
      </c>
      <c r="GH2078" s="8">
        <v>0.81723777082165783</v>
      </c>
      <c r="GI2078" s="8">
        <v>3.4378888170981305</v>
      </c>
    </row>
    <row r="2079" spans="182:191">
      <c r="FZ2079" s="8">
        <v>7.4256139078891312</v>
      </c>
      <c r="GA2079" s="8">
        <v>4.4440677816928957</v>
      </c>
      <c r="GB2079" s="8">
        <v>0.29189889516253731</v>
      </c>
      <c r="GC2079" s="8">
        <v>0.6714188502956363</v>
      </c>
      <c r="GD2079" s="8">
        <v>1.183621382610579</v>
      </c>
      <c r="GE2079" s="8">
        <v>2.2209519696556672</v>
      </c>
      <c r="GF2079" s="8">
        <v>7.1003802848992095</v>
      </c>
      <c r="GG2079" s="8">
        <v>5.8751153125473978</v>
      </c>
      <c r="GH2079" s="8">
        <v>0.58144353567374973</v>
      </c>
      <c r="GI2079" s="8">
        <v>4.6733852179187645</v>
      </c>
    </row>
    <row r="2080" spans="182:191">
      <c r="FZ2080" s="8">
        <v>8.0678753725869683</v>
      </c>
      <c r="GA2080" s="8">
        <v>4.9908511044968051</v>
      </c>
      <c r="GB2080" s="8">
        <v>0.33949478484185303</v>
      </c>
      <c r="GC2080" s="8">
        <v>0.6092268323336858</v>
      </c>
      <c r="GD2080" s="8">
        <v>0.71719927616004164</v>
      </c>
      <c r="GE2080" s="8">
        <v>1.371481760928017</v>
      </c>
      <c r="GF2080" s="8">
        <v>5.106478041321493</v>
      </c>
      <c r="GG2080" s="8">
        <v>3.8668458535788619</v>
      </c>
      <c r="GH2080" s="8">
        <v>0.23579423514790807</v>
      </c>
      <c r="GI2080" s="8">
        <v>3.2626525542124099</v>
      </c>
    </row>
    <row r="2081" spans="182:191">
      <c r="FZ2081" s="8">
        <v>4.2798606163765163</v>
      </c>
      <c r="GA2081" s="8">
        <v>18.275683062349795</v>
      </c>
      <c r="GB2081" s="8">
        <v>6.3236254295686622</v>
      </c>
      <c r="GC2081" s="8">
        <v>0.39180981244835833</v>
      </c>
      <c r="GD2081" s="8">
        <v>0.8126781856585733</v>
      </c>
      <c r="GE2081" s="8">
        <v>2.2212276931883532</v>
      </c>
      <c r="GF2081" s="8">
        <v>3.1450122794057949</v>
      </c>
      <c r="GG2081" s="8">
        <v>1.6113391696746744</v>
      </c>
      <c r="GH2081" s="8">
        <v>0.40861888541082891</v>
      </c>
      <c r="GI2081" s="8">
        <v>4.8479248233011178</v>
      </c>
    </row>
    <row r="2082" spans="182:191">
      <c r="FZ2082" s="8">
        <v>9.0288490406717941</v>
      </c>
      <c r="GA2082" s="8">
        <v>8.9846967968768006</v>
      </c>
      <c r="GB2082" s="8">
        <v>1.2791906485333049</v>
      </c>
      <c r="GC2082" s="8">
        <v>0.60144312999644245</v>
      </c>
      <c r="GD2082" s="8">
        <v>0.95907421069266996</v>
      </c>
      <c r="GE2082" s="8">
        <v>1.9956173456111455</v>
      </c>
      <c r="GF2082" s="8">
        <v>4.3526449451937905</v>
      </c>
      <c r="GG2082" s="8">
        <v>3.1038326467555613</v>
      </c>
      <c r="GH2082" s="8">
        <v>0.64441312055873701</v>
      </c>
      <c r="GI2082" s="8">
        <v>4.9536193944845701</v>
      </c>
    </row>
    <row r="2083" spans="182:191">
      <c r="FZ2083" s="8">
        <v>4.4831481459835985</v>
      </c>
      <c r="GA2083" s="8">
        <v>13.77813936783928</v>
      </c>
      <c r="GB2083" s="8">
        <v>4.3660654226934819</v>
      </c>
      <c r="GC2083" s="8">
        <v>0.11663913395465576</v>
      </c>
      <c r="GD2083" s="8">
        <v>0.24885901458252094</v>
      </c>
      <c r="GE2083" s="8">
        <v>1.3941583827563497</v>
      </c>
      <c r="GF2083" s="8">
        <v>2.7677611882128454</v>
      </c>
      <c r="GG2083" s="8">
        <v>1.5410277012290603</v>
      </c>
      <c r="GH2083" s="8">
        <v>0.64441312055873701</v>
      </c>
      <c r="GI2083" s="8">
        <v>3.8257122909936472</v>
      </c>
    </row>
    <row r="2084" spans="182:191">
      <c r="FZ2084" s="8">
        <v>3.2611757293653318</v>
      </c>
      <c r="GA2084" s="8">
        <v>19.377692706986693</v>
      </c>
      <c r="GB2084" s="8">
        <v>7.3592885643579473</v>
      </c>
      <c r="GC2084" s="8">
        <v>0.96225416560555521</v>
      </c>
      <c r="GD2084" s="8">
        <v>1.2455337091076641</v>
      </c>
      <c r="GE2084" s="8">
        <v>1.8656171858593966</v>
      </c>
      <c r="GF2084" s="8">
        <v>7.872646727502441</v>
      </c>
      <c r="GG2084" s="8">
        <v>6.6263728271024238</v>
      </c>
      <c r="GH2084" s="8">
        <v>0.23579423514790807</v>
      </c>
      <c r="GI2084" s="8">
        <v>6.4649725536769758</v>
      </c>
    </row>
    <row r="2085" spans="182:191">
      <c r="FZ2085" s="8">
        <v>6.7739212039670642</v>
      </c>
      <c r="GA2085" s="8">
        <v>9.1101390200527739</v>
      </c>
      <c r="GB2085" s="8">
        <v>0.86290400896732034</v>
      </c>
      <c r="GC2085" s="8">
        <v>0.67486142542103389</v>
      </c>
      <c r="GD2085" s="8">
        <v>0.48219487835663594</v>
      </c>
      <c r="GE2085" s="8">
        <v>0.8487408369674837</v>
      </c>
      <c r="GF2085" s="8">
        <v>4.9704274749267308</v>
      </c>
      <c r="GG2085" s="8">
        <v>3.7480001609850739</v>
      </c>
      <c r="GH2085" s="8">
        <v>0.23579423514790807</v>
      </c>
      <c r="GI2085" s="8">
        <v>3.1876793626654036</v>
      </c>
    </row>
    <row r="2086" spans="182:191">
      <c r="FZ2086" s="8">
        <v>4.9104480747287322</v>
      </c>
      <c r="GA2086" s="8">
        <v>20.625246884454871</v>
      </c>
      <c r="GB2086" s="8">
        <v>8.0651406412289113</v>
      </c>
      <c r="GC2086" s="8">
        <v>0.47228690158427167</v>
      </c>
      <c r="GD2086" s="8">
        <v>0.56129978753175513</v>
      </c>
      <c r="GE2086" s="8">
        <v>1.1988825560822187</v>
      </c>
      <c r="GF2086" s="8">
        <v>1.072117026527998</v>
      </c>
      <c r="GG2086" s="8">
        <v>0.1769257564900365</v>
      </c>
      <c r="GH2086" s="8">
        <v>0.40861888541082891</v>
      </c>
      <c r="GI2086" s="8">
        <v>4.2371524779969407</v>
      </c>
    </row>
    <row r="2087" spans="182:191">
      <c r="FZ2087" s="8">
        <v>5.1465148562512875</v>
      </c>
      <c r="GA2087" s="8">
        <v>5.8932059088606996</v>
      </c>
      <c r="GB2087" s="8">
        <v>2.7566285597334348</v>
      </c>
      <c r="GC2087" s="8">
        <v>1.7031393602126759</v>
      </c>
      <c r="GD2087" s="8">
        <v>1.7930777876549364</v>
      </c>
      <c r="GE2087" s="8">
        <v>2.2168376875649289</v>
      </c>
      <c r="GF2087" s="8">
        <v>5.5976039150546129</v>
      </c>
      <c r="GG2087" s="8">
        <v>3.818311629430688</v>
      </c>
      <c r="GH2087" s="8">
        <v>0</v>
      </c>
      <c r="GI2087" s="8">
        <v>5.0134646700664662</v>
      </c>
    </row>
    <row r="2088" spans="182:191">
      <c r="FZ2088" s="8">
        <v>3.6006105663560986</v>
      </c>
      <c r="GA2088" s="8">
        <v>20.551351464669892</v>
      </c>
      <c r="GB2088" s="8">
        <v>7.4243346687146357</v>
      </c>
      <c r="GC2088" s="8">
        <v>6.7394086309445433E-2</v>
      </c>
      <c r="GD2088" s="8">
        <v>0.45650545790265001</v>
      </c>
      <c r="GE2088" s="8">
        <v>1.7738203029894091</v>
      </c>
      <c r="GF2088" s="8">
        <v>5.9592381916551602</v>
      </c>
      <c r="GG2088" s="8">
        <v>4.4311560596146844</v>
      </c>
      <c r="GH2088" s="8">
        <v>0.40861888541082891</v>
      </c>
      <c r="GI2088" s="8">
        <v>5.8106578588361781</v>
      </c>
    </row>
    <row r="2089" spans="182:191">
      <c r="FZ2089" s="8">
        <v>5.2917107908931271</v>
      </c>
      <c r="GA2089" s="8">
        <v>2.6947631952093558</v>
      </c>
      <c r="GB2089" s="8">
        <v>0.42916715472396272</v>
      </c>
      <c r="GC2089" s="8">
        <v>0.44668680430028873</v>
      </c>
      <c r="GD2089" s="8">
        <v>0.46482588376394463</v>
      </c>
      <c r="GE2089" s="8">
        <v>1.5106519656205002</v>
      </c>
      <c r="GF2089" s="8">
        <v>6.5975901166297559</v>
      </c>
      <c r="GG2089" s="8">
        <v>4.8653405930695399</v>
      </c>
      <c r="GH2089" s="8">
        <v>0.40861888541082891</v>
      </c>
      <c r="GI2089" s="8">
        <v>3.2402321895378519</v>
      </c>
    </row>
    <row r="2090" spans="182:191">
      <c r="FZ2090" s="8">
        <v>7.8645878429798852</v>
      </c>
      <c r="GA2090" s="8">
        <v>16.000331857341749</v>
      </c>
      <c r="GB2090" s="8">
        <v>3.7950603088886989</v>
      </c>
      <c r="GC2090" s="8">
        <v>1.2470652718003281</v>
      </c>
      <c r="GD2090" s="8">
        <v>1.5384086626857987</v>
      </c>
      <c r="GE2090" s="8">
        <v>1.9085853893129214</v>
      </c>
      <c r="GF2090" s="8">
        <v>3.709463201834569</v>
      </c>
      <c r="GG2090" s="8">
        <v>2.6215896014336257</v>
      </c>
      <c r="GH2090" s="8">
        <v>0.17282465026292085</v>
      </c>
      <c r="GI2090" s="8">
        <v>5.5823737095535728</v>
      </c>
    </row>
    <row r="2091" spans="182:191">
      <c r="FZ2091" s="8">
        <v>6.0863832787662604</v>
      </c>
      <c r="GA2091" s="8">
        <v>14.176814653761188</v>
      </c>
      <c r="GB2091" s="8">
        <v>4.653209563503216</v>
      </c>
      <c r="GC2091" s="8">
        <v>0.28449834141483132</v>
      </c>
      <c r="GD2091" s="8">
        <v>0.12263945217883274</v>
      </c>
      <c r="GE2091" s="8">
        <v>1.0061829503172277</v>
      </c>
      <c r="GF2091" s="8">
        <v>6.9649988047626445</v>
      </c>
      <c r="GG2091" s="8">
        <v>5.3108051065115749</v>
      </c>
      <c r="GH2091" s="8">
        <v>0.40861888541082891</v>
      </c>
      <c r="GI2091" s="8">
        <v>5.0092192062674519</v>
      </c>
    </row>
    <row r="2092" spans="182:191">
      <c r="FZ2092" s="8">
        <v>4.3673453320919977</v>
      </c>
      <c r="GA2092" s="8">
        <v>6.6147134678043713</v>
      </c>
      <c r="GB2092" s="8">
        <v>0.70939618297614437</v>
      </c>
      <c r="GC2092" s="8">
        <v>0.34234923216493601</v>
      </c>
      <c r="GD2092" s="8">
        <v>0.37304461448077114</v>
      </c>
      <c r="GE2092" s="8">
        <v>0.8231130732816716</v>
      </c>
      <c r="GF2092" s="8">
        <v>2.0906818521587525</v>
      </c>
      <c r="GG2092" s="8">
        <v>1.3641019447390237</v>
      </c>
      <c r="GH2092" s="8">
        <v>0.40861888541082891</v>
      </c>
      <c r="GI2092" s="8">
        <v>2.8309234695516166</v>
      </c>
    </row>
    <row r="2093" spans="182:191">
      <c r="FZ2093" s="8">
        <v>7.5410363457418477</v>
      </c>
      <c r="GA2093" s="8">
        <v>15.632466670531434</v>
      </c>
      <c r="GB2093" s="8">
        <v>5.0491895353881606</v>
      </c>
      <c r="GC2093" s="8">
        <v>0.70578070213179522</v>
      </c>
      <c r="GD2093" s="8">
        <v>0.69653168483370109</v>
      </c>
      <c r="GE2093" s="8">
        <v>1.9761241273661263</v>
      </c>
      <c r="GF2093" s="8">
        <v>5.9839391204553953</v>
      </c>
      <c r="GG2093" s="8">
        <v>3.6196086286432112</v>
      </c>
      <c r="GH2093" s="8">
        <v>0.40861888541082891</v>
      </c>
      <c r="GI2093" s="8">
        <v>5.0314975307844705</v>
      </c>
    </row>
    <row r="2094" spans="182:191">
      <c r="FZ2094" s="8">
        <v>4.9677789176162044</v>
      </c>
      <c r="GA2094" s="8">
        <v>9.3833720827987079</v>
      </c>
      <c r="GB2094" s="8">
        <v>1.6198960816227803</v>
      </c>
      <c r="GC2094" s="8">
        <v>1.0735144989425021</v>
      </c>
      <c r="GD2094" s="8">
        <v>1.2609443280704002</v>
      </c>
      <c r="GE2094" s="8">
        <v>1.6308902670180148</v>
      </c>
      <c r="GF2094" s="8">
        <v>1.8731929848858384</v>
      </c>
      <c r="GG2094" s="8">
        <v>1.2937904762934096</v>
      </c>
      <c r="GH2094" s="8">
        <v>0.47158847029581613</v>
      </c>
      <c r="GI2094" s="8">
        <v>3.6596266404572355</v>
      </c>
    </row>
    <row r="2095" spans="182:191">
      <c r="FZ2095" s="8">
        <v>0.88215720358861527</v>
      </c>
      <c r="GA2095" s="8">
        <v>5.7142877728671042</v>
      </c>
      <c r="GB2095" s="8">
        <v>1.5908732162307737</v>
      </c>
      <c r="GC2095" s="8">
        <v>0.68956788895987142</v>
      </c>
      <c r="GD2095" s="8">
        <v>0.83574188450450937</v>
      </c>
      <c r="GE2095" s="8">
        <v>1.6922092915921669</v>
      </c>
      <c r="GF2095" s="8">
        <v>1.1311932392560737</v>
      </c>
      <c r="GG2095" s="8">
        <v>0</v>
      </c>
      <c r="GH2095" s="8">
        <v>0.3456493005258417</v>
      </c>
      <c r="GI2095" s="8">
        <v>2.5918197490139887</v>
      </c>
    </row>
    <row r="2096" spans="182:191">
      <c r="FZ2096" s="8">
        <v>3.0578881997582497</v>
      </c>
      <c r="GA2096" s="8">
        <v>17.426804170803521</v>
      </c>
      <c r="GB2096" s="8">
        <v>5.7190183732944426</v>
      </c>
      <c r="GC2096" s="8">
        <v>0.98040320426979033</v>
      </c>
      <c r="GD2096" s="8">
        <v>1.3081822654491801</v>
      </c>
      <c r="GE2096" s="8">
        <v>1.4549647263940426</v>
      </c>
      <c r="GF2096" s="8">
        <v>3.0157961891627396</v>
      </c>
      <c r="GG2096" s="8">
        <v>2.5027439088398373</v>
      </c>
      <c r="GH2096" s="8">
        <v>0.17282465026292085</v>
      </c>
      <c r="GI2096" s="8">
        <v>4.4795781183318084</v>
      </c>
    </row>
    <row r="2097" spans="182:191">
      <c r="FZ2097" s="8">
        <v>8.0260474934133388</v>
      </c>
      <c r="GA2097" s="8">
        <v>12.308581733704118</v>
      </c>
      <c r="GB2097" s="8">
        <v>3.2601662726862841</v>
      </c>
      <c r="GC2097" s="8">
        <v>0.69928781678942598</v>
      </c>
      <c r="GD2097" s="8">
        <v>0.83866374720059844</v>
      </c>
      <c r="GE2097" s="8">
        <v>1.2898065446150557</v>
      </c>
      <c r="GF2097" s="8">
        <v>2.3479992218459342</v>
      </c>
      <c r="GG2097" s="8">
        <v>1.5628049455265007</v>
      </c>
      <c r="GH2097" s="8">
        <v>0</v>
      </c>
      <c r="GI2097" s="8">
        <v>3.6466027220216861</v>
      </c>
    </row>
    <row r="2098" spans="182:191">
      <c r="FZ2098" s="8">
        <v>9.5715714072696443</v>
      </c>
      <c r="GA2098" s="8">
        <v>10.137936047592643</v>
      </c>
      <c r="GB2098" s="8">
        <v>2.686827701023943</v>
      </c>
      <c r="GC2098" s="8">
        <v>0.66169892246608164</v>
      </c>
      <c r="GD2098" s="8">
        <v>0.83964127003326339</v>
      </c>
      <c r="GE2098" s="8">
        <v>1.1968314087662626</v>
      </c>
      <c r="GF2098" s="8">
        <v>5.6725763790786043</v>
      </c>
      <c r="GG2098" s="8">
        <v>4.8866421250858876</v>
      </c>
      <c r="GH2098" s="8">
        <v>0</v>
      </c>
      <c r="GI2098" s="8">
        <v>4.8647043748357701</v>
      </c>
    </row>
    <row r="2099" spans="182:191">
      <c r="FZ2099" s="8">
        <v>0.97002229534298157</v>
      </c>
      <c r="GA2099" s="8">
        <v>5.6938682658997468</v>
      </c>
      <c r="GB2099" s="8">
        <v>2.6741322406993726</v>
      </c>
      <c r="GC2099" s="8">
        <v>0.27430973735805347</v>
      </c>
      <c r="GD2099" s="8">
        <v>0.69503892599137052</v>
      </c>
      <c r="GE2099" s="8">
        <v>1.8053765386781429</v>
      </c>
      <c r="GF2099" s="8">
        <v>3.2968475554388172</v>
      </c>
      <c r="GG2099" s="8">
        <v>2.2555066839041871</v>
      </c>
      <c r="GH2099" s="8">
        <v>0</v>
      </c>
      <c r="GI2099" s="8">
        <v>3.0580966183881562</v>
      </c>
    </row>
    <row r="2100" spans="182:191">
      <c r="FZ2100" s="8">
        <v>8.8923213572492248</v>
      </c>
      <c r="GA2100" s="8">
        <v>19.324216794169068</v>
      </c>
      <c r="GB2100" s="8">
        <v>5.6189840009453214</v>
      </c>
      <c r="GC2100" s="8">
        <v>0.3661302150358911</v>
      </c>
      <c r="GD2100" s="8">
        <v>0.98584032288659373</v>
      </c>
      <c r="GE2100" s="8">
        <v>2.1584693996503574</v>
      </c>
      <c r="GF2100" s="8">
        <v>5.5421362589843213</v>
      </c>
      <c r="GG2100" s="8">
        <v>4.559547591956548</v>
      </c>
      <c r="GH2100" s="8">
        <v>0.58144353567374973</v>
      </c>
      <c r="GI2100" s="8">
        <v>6.9651638834373193</v>
      </c>
    </row>
    <row r="2101" spans="182:191">
      <c r="FZ2101" s="8">
        <v>3.4554146317142589</v>
      </c>
      <c r="GA2101" s="8">
        <v>9.0381727096944218</v>
      </c>
      <c r="GB2101" s="8">
        <v>3.3648675607505218</v>
      </c>
      <c r="GC2101" s="8">
        <v>0.51816887423256885</v>
      </c>
      <c r="GD2101" s="8">
        <v>0.74763684383288243</v>
      </c>
      <c r="GE2101" s="8">
        <v>1.6152998122467672</v>
      </c>
      <c r="GF2101" s="8">
        <v>6.344179149553498</v>
      </c>
      <c r="GG2101" s="8">
        <v>5.3108051065115749</v>
      </c>
      <c r="GH2101" s="8">
        <v>0.40861888541082891</v>
      </c>
      <c r="GI2101" s="8">
        <v>4.3354323194777722</v>
      </c>
    </row>
    <row r="2102" spans="182:191">
      <c r="FZ2102" s="8">
        <v>9.9988713360147763</v>
      </c>
      <c r="GA2102" s="8">
        <v>15.632466670531434</v>
      </c>
      <c r="GB2102" s="8">
        <v>4.980599324926291</v>
      </c>
      <c r="GC2102" s="8">
        <v>0.92771558149918243</v>
      </c>
      <c r="GD2102" s="8">
        <v>1.2351151795593038</v>
      </c>
      <c r="GE2102" s="8">
        <v>1.4890386084395189</v>
      </c>
      <c r="GF2102" s="8">
        <v>3.3367875995107408</v>
      </c>
      <c r="GG2102" s="8">
        <v>2.9269068902655246</v>
      </c>
      <c r="GH2102" s="8">
        <v>0.40861888541082891</v>
      </c>
      <c r="GI2102" s="8">
        <v>5.7585209165546392</v>
      </c>
    </row>
    <row r="2103" spans="182:191">
      <c r="FZ2103" s="8">
        <v>4.3375718353028745</v>
      </c>
      <c r="GA2103" s="8">
        <v>12.58181479645005</v>
      </c>
      <c r="GB2103" s="8">
        <v>3.9311179202025022</v>
      </c>
      <c r="GC2103" s="8">
        <v>0.65632012184837285</v>
      </c>
      <c r="GD2103" s="8">
        <v>0.56833990566602122</v>
      </c>
      <c r="GE2103" s="8">
        <v>0.96207175935718725</v>
      </c>
      <c r="GF2103" s="8">
        <v>2.3804357035079535</v>
      </c>
      <c r="GG2103" s="8">
        <v>1.669419233570923</v>
      </c>
      <c r="GH2103" s="8">
        <v>0.64441312055873701</v>
      </c>
      <c r="GI2103" s="8">
        <v>3.2347146828289968</v>
      </c>
    </row>
    <row r="2104" spans="182:191">
      <c r="FZ2104" s="8">
        <v>9.3312952923399788</v>
      </c>
      <c r="GA2104" s="8">
        <v>9.656922342856685</v>
      </c>
      <c r="GB2104" s="8">
        <v>0.99896162028112334</v>
      </c>
      <c r="GC2104" s="8">
        <v>0.54875550722583466</v>
      </c>
      <c r="GD2104" s="8">
        <v>0.65768305718255204</v>
      </c>
      <c r="GE2104" s="8">
        <v>1.4448099240714241</v>
      </c>
      <c r="GF2104" s="8">
        <v>4.971737939247606</v>
      </c>
      <c r="GG2104" s="8">
        <v>3.5710744044950373</v>
      </c>
      <c r="GH2104" s="8">
        <v>0.17282465026292085</v>
      </c>
      <c r="GI2104" s="8">
        <v>3.7647257956759521</v>
      </c>
    </row>
    <row r="2105" spans="182:191">
      <c r="FZ2105" s="8">
        <v>6.2018057166189768</v>
      </c>
      <c r="GA2105" s="8">
        <v>20.425909241493915</v>
      </c>
      <c r="GB2105" s="8">
        <v>8.0512345326567178</v>
      </c>
      <c r="GC2105" s="8">
        <v>1.0136509713812889</v>
      </c>
      <c r="GD2105" s="8">
        <v>0.87314163449858651</v>
      </c>
      <c r="GE2105" s="8">
        <v>0.86175547602749047</v>
      </c>
      <c r="GF2105" s="8">
        <v>5.7005489135291594</v>
      </c>
      <c r="GG2105" s="8">
        <v>4.6298590604021621</v>
      </c>
      <c r="GH2105" s="8">
        <v>0.17282465026292085</v>
      </c>
      <c r="GI2105" s="8">
        <v>6.1743348741061999</v>
      </c>
    </row>
    <row r="2106" spans="182:191">
      <c r="FZ2106" s="8">
        <v>1.9374480639563048</v>
      </c>
      <c r="GA2106" s="8">
        <v>7.64251049534424</v>
      </c>
      <c r="GB2106" s="8">
        <v>2.6879505106338786</v>
      </c>
      <c r="GC2106" s="8">
        <v>0.66263936373021526</v>
      </c>
      <c r="GD2106" s="8">
        <v>0.57797493501724473</v>
      </c>
      <c r="GE2106" s="8">
        <v>0.84246335933183047</v>
      </c>
      <c r="GF2106" s="8">
        <v>3.3692240811727601</v>
      </c>
      <c r="GG2106" s="8">
        <v>2.8565954218199106</v>
      </c>
      <c r="GH2106" s="8">
        <v>0.99006242108457876</v>
      </c>
      <c r="GI2106" s="8">
        <v>2.8912196347288246</v>
      </c>
    </row>
    <row r="2107" spans="182:191">
      <c r="FZ2107" s="8">
        <v>11.992037436181104</v>
      </c>
      <c r="GA2107" s="8">
        <v>17.447540875082925</v>
      </c>
      <c r="GB2107" s="8">
        <v>3.4136740986774603</v>
      </c>
      <c r="GC2107" s="8">
        <v>0.41881783780649895</v>
      </c>
      <c r="GD2107" s="8">
        <v>0.88927676602884775</v>
      </c>
      <c r="GE2107" s="8">
        <v>2.2864973245495159</v>
      </c>
      <c r="GF2107" s="8">
        <v>5.6417100603848613</v>
      </c>
      <c r="GG2107" s="8">
        <v>4.2424746108563749</v>
      </c>
      <c r="GH2107" s="8">
        <v>0.40861888541082891</v>
      </c>
      <c r="GI2107" s="8">
        <v>5.4469242773936655</v>
      </c>
    </row>
    <row r="2108" spans="182:191">
      <c r="FZ2108" s="8">
        <v>15.195501946620078</v>
      </c>
      <c r="GA2108" s="8">
        <v>23.266851364158647</v>
      </c>
      <c r="GB2108" s="8">
        <v>5.2689541139836473</v>
      </c>
      <c r="GC2108" s="8">
        <v>0.76323932797347394</v>
      </c>
      <c r="GD2108" s="8">
        <v>1.043909301939298</v>
      </c>
      <c r="GE2108" s="8">
        <v>2.1485114083970585</v>
      </c>
      <c r="GF2108" s="8">
        <v>4.314463858107862</v>
      </c>
      <c r="GG2108" s="8">
        <v>2.8080611976717367</v>
      </c>
      <c r="GH2108" s="8">
        <v>0.58144353567374973</v>
      </c>
      <c r="GI2108" s="8">
        <v>6.2374830127262362</v>
      </c>
    </row>
    <row r="2109" spans="182:191">
      <c r="FZ2109" s="8">
        <v>10.098410434114763</v>
      </c>
      <c r="GA2109" s="8">
        <v>20.919216651480202</v>
      </c>
      <c r="GB2109" s="8">
        <v>6.2923569449567838</v>
      </c>
      <c r="GC2109" s="8">
        <v>0.65133358613908987</v>
      </c>
      <c r="GD2109" s="8">
        <v>0.90250869628420194</v>
      </c>
      <c r="GE2109" s="8">
        <v>2.0762284868809573</v>
      </c>
      <c r="GF2109" s="8">
        <v>5.1122747919174563</v>
      </c>
      <c r="GG2109" s="8">
        <v>3.1954456472175239</v>
      </c>
      <c r="GH2109" s="8">
        <v>0.3456493005258417</v>
      </c>
      <c r="GI2109" s="8">
        <v>5.678438245045923</v>
      </c>
    </row>
    <row r="2110" spans="182:191">
      <c r="FZ2110" s="8">
        <v>4.8644108621479933</v>
      </c>
      <c r="GA2110" s="8">
        <v>8.3886314611091013</v>
      </c>
      <c r="GB2110" s="8">
        <v>2.891475522799615</v>
      </c>
      <c r="GC2110" s="8">
        <v>0.63124832198254355</v>
      </c>
      <c r="GD2110" s="8">
        <v>0.83936636203946735</v>
      </c>
      <c r="GE2110" s="8">
        <v>2.4712262866593449</v>
      </c>
      <c r="GF2110" s="8">
        <v>5.397923986126278</v>
      </c>
      <c r="GG2110" s="8">
        <v>2.8198168899400109</v>
      </c>
      <c r="GH2110" s="8">
        <v>0.3456493005258417</v>
      </c>
      <c r="GI2110" s="8">
        <v>3.8267313871301862</v>
      </c>
    </row>
    <row r="2111" spans="182:191">
      <c r="FZ2111" s="8">
        <v>9.5138601883432852</v>
      </c>
      <c r="GA2111" s="8">
        <v>4.4440677816928957</v>
      </c>
      <c r="GB2111" s="8">
        <v>0.31055975808753272</v>
      </c>
      <c r="GC2111" s="8">
        <v>0.42290582142933364</v>
      </c>
      <c r="GD2111" s="8">
        <v>0.64239093318268337</v>
      </c>
      <c r="GE2111" s="8">
        <v>1.1589976954418755</v>
      </c>
      <c r="GF2111" s="8">
        <v>3.5329150467673434</v>
      </c>
      <c r="GG2111" s="8">
        <v>2.8198168899400109</v>
      </c>
      <c r="GH2111" s="8">
        <v>0.51847395078876257</v>
      </c>
      <c r="GI2111" s="8">
        <v>3.2300693544640051</v>
      </c>
    </row>
    <row r="2112" spans="182:191">
      <c r="FZ2112" s="8">
        <v>6.6011679232268747</v>
      </c>
      <c r="GA2112" s="8">
        <v>9.1636149328703951</v>
      </c>
      <c r="GB2112" s="8">
        <v>2.6007872758847004</v>
      </c>
      <c r="GC2112" s="8">
        <v>0.17840127605738121</v>
      </c>
      <c r="GD2112" s="8">
        <v>0.53726927165506</v>
      </c>
      <c r="GE2112" s="8">
        <v>1.6157331755219606</v>
      </c>
      <c r="GF2112" s="8">
        <v>2.95281357382374</v>
      </c>
      <c r="GG2112" s="8">
        <v>1.8585763946103251</v>
      </c>
      <c r="GH2112" s="8">
        <v>0.40861888541082891</v>
      </c>
      <c r="GI2112" s="8">
        <v>3.4609863818918845</v>
      </c>
    </row>
    <row r="2113" spans="182:191">
      <c r="FZ2113" s="8">
        <v>6.8040750767950726</v>
      </c>
      <c r="GA2113" s="8">
        <v>11.26036519919689</v>
      </c>
      <c r="GB2113" s="8">
        <v>2.8125233098707341</v>
      </c>
      <c r="GC2113" s="8">
        <v>0.8202680779559276</v>
      </c>
      <c r="GD2113" s="8">
        <v>1.0537592066009063</v>
      </c>
      <c r="GE2113" s="8">
        <v>2.3773304131601609</v>
      </c>
      <c r="GF2113" s="8">
        <v>3.7411076587219325</v>
      </c>
      <c r="GG2113" s="8">
        <v>1.9869679269521878</v>
      </c>
      <c r="GH2113" s="8">
        <v>0.23579423514790807</v>
      </c>
      <c r="GI2113" s="8">
        <v>4.7680482992155859</v>
      </c>
    </row>
    <row r="2114" spans="182:191">
      <c r="FZ2114" s="8">
        <v>1.8521794989315969</v>
      </c>
      <c r="GA2114" s="8">
        <v>6.3123007017499644</v>
      </c>
      <c r="GB2114" s="8">
        <v>1.7210532635818374</v>
      </c>
      <c r="GC2114" s="8">
        <v>1.215969262819353</v>
      </c>
      <c r="GD2114" s="8">
        <v>1.2468758090787742</v>
      </c>
      <c r="GE2114" s="8">
        <v>1.2682725050953396</v>
      </c>
      <c r="GF2114" s="8">
        <v>3.6968042668913812</v>
      </c>
      <c r="GG2114" s="8">
        <v>2.8198168899400109</v>
      </c>
      <c r="GH2114" s="8">
        <v>0</v>
      </c>
      <c r="GI2114" s="8">
        <v>3.564357745144437</v>
      </c>
    </row>
    <row r="2115" spans="182:191">
      <c r="FZ2115" s="8">
        <v>5.4316870556450345</v>
      </c>
      <c r="GA2115" s="8">
        <v>25.297514815105149</v>
      </c>
      <c r="GB2115" s="8">
        <v>8.1709647389030842</v>
      </c>
      <c r="GC2115" s="8">
        <v>1.0437093069564012</v>
      </c>
      <c r="GD2115" s="8">
        <v>0.90970522744939641</v>
      </c>
      <c r="GE2115" s="8">
        <v>0.71990381744899423</v>
      </c>
      <c r="GF2115" s="8">
        <v>2.5987165955555231</v>
      </c>
      <c r="GG2115" s="8">
        <v>2.1271151515623243</v>
      </c>
      <c r="GH2115" s="8">
        <v>0.17282465026292085</v>
      </c>
      <c r="GI2115" s="8">
        <v>5.5916853242691147</v>
      </c>
    </row>
    <row r="2116" spans="182:191">
      <c r="FZ2116" s="8">
        <v>2.8338758006201989</v>
      </c>
      <c r="GA2116" s="8">
        <v>12.729922833332054</v>
      </c>
      <c r="GB2116" s="8">
        <v>3.8811007340279415</v>
      </c>
      <c r="GC2116" s="8">
        <v>0.53189728555647375</v>
      </c>
      <c r="GD2116" s="8">
        <v>0.66969713658937158</v>
      </c>
      <c r="GE2116" s="8">
        <v>1.6707751276583582</v>
      </c>
      <c r="GF2116" s="8">
        <v>1.9786750785399971</v>
      </c>
      <c r="GG2116" s="8">
        <v>0.67140020636133779</v>
      </c>
      <c r="GH2116" s="8">
        <v>0.40861888541082891</v>
      </c>
      <c r="GI2116" s="8">
        <v>3.4362824156941199</v>
      </c>
    </row>
    <row r="2117" spans="182:191">
      <c r="FZ2117" s="8">
        <v>2.7761645816938412</v>
      </c>
      <c r="GA2117" s="8">
        <v>16.253145413120322</v>
      </c>
      <c r="GB2117" s="8">
        <v>5.7039016164746279</v>
      </c>
      <c r="GC2117" s="8">
        <v>0.29374959301716275</v>
      </c>
      <c r="GD2117" s="8">
        <v>0.9330705130796183</v>
      </c>
      <c r="GE2117" s="8">
        <v>2.3129603711426219</v>
      </c>
      <c r="GF2117" s="8">
        <v>3.4062583907675235</v>
      </c>
      <c r="GG2117" s="8">
        <v>2.4809666645423967</v>
      </c>
      <c r="GH2117" s="8">
        <v>0.64441312055873701</v>
      </c>
      <c r="GI2117" s="8">
        <v>5.0062480966426683</v>
      </c>
    </row>
    <row r="2118" spans="182:191">
      <c r="FZ2118" s="8">
        <v>6.8531180445021604</v>
      </c>
      <c r="GA2118" s="8">
        <v>4.5179632014778752</v>
      </c>
      <c r="GB2118" s="8">
        <v>0.791892502010206</v>
      </c>
      <c r="GC2118" s="8">
        <v>0.79085515087825264</v>
      </c>
      <c r="GD2118" s="8">
        <v>1.4713290248442492</v>
      </c>
      <c r="GE2118" s="8">
        <v>2.37114987100792</v>
      </c>
      <c r="GF2118" s="8">
        <v>2.1053317345398161</v>
      </c>
      <c r="GG2118" s="8">
        <v>1.7179534577190969</v>
      </c>
      <c r="GH2118" s="8">
        <v>0.70738270544372439</v>
      </c>
      <c r="GI2118" s="8">
        <v>4.7070748575707473</v>
      </c>
    </row>
    <row r="2119" spans="182:191">
      <c r="FZ2119" s="8">
        <v>3.4554146317142589</v>
      </c>
      <c r="GA2119" s="8">
        <v>18.055925912421486</v>
      </c>
      <c r="GB2119" s="8">
        <v>7.3231774867555792</v>
      </c>
      <c r="GC2119" s="8">
        <v>0.68049336962775386</v>
      </c>
      <c r="GD2119" s="8">
        <v>1.0465850985145235</v>
      </c>
      <c r="GE2119" s="8">
        <v>1.6124068397437867</v>
      </c>
      <c r="GF2119" s="8">
        <v>3.2877857802946084</v>
      </c>
      <c r="GG2119" s="8">
        <v>2.7282038894780474</v>
      </c>
      <c r="GH2119" s="8">
        <v>0.64441312055873701</v>
      </c>
      <c r="GI2119" s="8">
        <v>5.0550978587610631</v>
      </c>
    </row>
    <row r="2120" spans="182:191">
      <c r="FZ2120" s="8">
        <v>8.2621142749358949</v>
      </c>
      <c r="GA2120" s="8">
        <v>22.721997150781366</v>
      </c>
      <c r="GB2120" s="8">
        <v>8.1908362500757033</v>
      </c>
      <c r="GC2120" s="8">
        <v>1.26636909494971</v>
      </c>
      <c r="GD2120" s="8">
        <v>0.85253008125661978</v>
      </c>
      <c r="GE2120" s="8">
        <v>1.2520521489519341</v>
      </c>
      <c r="GF2120" s="8">
        <v>3.4393639586877396</v>
      </c>
      <c r="GG2120" s="8">
        <v>1.4344134131846378</v>
      </c>
      <c r="GH2120" s="8">
        <v>0.17282465026292085</v>
      </c>
      <c r="GI2120" s="8">
        <v>5.6588912501899573</v>
      </c>
    </row>
    <row r="2121" spans="182:191">
      <c r="FZ2121" s="8">
        <v>5.7711218926357992E-2</v>
      </c>
      <c r="GA2121" s="8">
        <v>6.0925435518216524</v>
      </c>
      <c r="GB2121" s="8">
        <v>2.7717453165532491</v>
      </c>
      <c r="GC2121" s="8">
        <v>0.30282411234928031</v>
      </c>
      <c r="GD2121" s="8">
        <v>0.23259268978540779</v>
      </c>
      <c r="GE2121" s="8">
        <v>0.78427385946653316</v>
      </c>
      <c r="GF2121" s="8">
        <v>3.6635757604547052</v>
      </c>
      <c r="GG2121" s="8">
        <v>2.5027439088398373</v>
      </c>
      <c r="GH2121" s="8">
        <v>0</v>
      </c>
      <c r="GI2121" s="8">
        <v>3.0822020324844952</v>
      </c>
    </row>
    <row r="2122" spans="182:191">
      <c r="FZ2122" s="8">
        <v>6.5713944264377515</v>
      </c>
      <c r="GA2122" s="8">
        <v>5.9136254158280579</v>
      </c>
      <c r="GB2122" s="8">
        <v>1.4675989038792268</v>
      </c>
      <c r="GC2122" s="8">
        <v>0.9311581566245799</v>
      </c>
      <c r="GD2122" s="8">
        <v>1.2705481666111451</v>
      </c>
      <c r="GE2122" s="8">
        <v>2.2242783054338409</v>
      </c>
      <c r="GF2122" s="8">
        <v>2.4765462258307922</v>
      </c>
      <c r="GG2122" s="8">
        <v>1.1168647198033732</v>
      </c>
      <c r="GH2122" s="8">
        <v>0.40861888541082891</v>
      </c>
      <c r="GI2122" s="8">
        <v>4.0454915426369631</v>
      </c>
    </row>
    <row r="2123" spans="182:191">
      <c r="FZ2123" s="8">
        <v>3.3188869482916896</v>
      </c>
      <c r="GA2123" s="8">
        <v>20.99311207126518</v>
      </c>
      <c r="GB2123" s="8">
        <v>6.8783909769436953</v>
      </c>
      <c r="GC2123" s="8">
        <v>0.65761093884324695</v>
      </c>
      <c r="GD2123" s="8">
        <v>1.1009890408824314</v>
      </c>
      <c r="GE2123" s="8">
        <v>1.40431277988107</v>
      </c>
      <c r="GF2123" s="8">
        <v>3.2599247875017099</v>
      </c>
      <c r="GG2123" s="8">
        <v>3.1741441152011753</v>
      </c>
      <c r="GH2123" s="8">
        <v>0.23579423514790807</v>
      </c>
      <c r="GI2123" s="8">
        <v>5.0592690383153869</v>
      </c>
    </row>
    <row r="2124" spans="182:191">
      <c r="FZ2124" s="8">
        <v>3.0582685757971344</v>
      </c>
      <c r="GA2124" s="8">
        <v>8.0638515949721761</v>
      </c>
      <c r="GB2124" s="8">
        <v>3.2078156286541653</v>
      </c>
      <c r="GC2124" s="8">
        <v>0.53125187705903665</v>
      </c>
      <c r="GD2124" s="8">
        <v>0.6685007438472842</v>
      </c>
      <c r="GE2124" s="8">
        <v>1.3448484967514533</v>
      </c>
      <c r="GF2124" s="8">
        <v>6.5878592552273503</v>
      </c>
      <c r="GG2124" s="8">
        <v>5.429650799105362</v>
      </c>
      <c r="GH2124" s="8">
        <v>0.40861888541082891</v>
      </c>
      <c r="GI2124" s="8">
        <v>3.9032196518158453</v>
      </c>
    </row>
    <row r="2125" spans="182:191">
      <c r="FZ2125" s="8">
        <v>7.9226794379451286</v>
      </c>
      <c r="GA2125" s="8">
        <v>9.6053755394656903</v>
      </c>
      <c r="GB2125" s="8">
        <v>2.1420946575006257</v>
      </c>
      <c r="GC2125" s="8">
        <v>0.63817108318413773</v>
      </c>
      <c r="GD2125" s="8">
        <v>0.76900226893625767</v>
      </c>
      <c r="GE2125" s="8">
        <v>0.96163799088409485</v>
      </c>
      <c r="GF2125" s="8">
        <v>0.58556664166399841</v>
      </c>
      <c r="GG2125" s="8">
        <v>0.24723722493565062</v>
      </c>
      <c r="GH2125" s="8">
        <v>0.17282465026292085</v>
      </c>
      <c r="GI2125" s="8">
        <v>3.787357172321264</v>
      </c>
    </row>
    <row r="2126" spans="182:191">
      <c r="FZ2126" s="8">
        <v>1.3671683512601061</v>
      </c>
      <c r="GA2126" s="8">
        <v>18.255263555382442</v>
      </c>
      <c r="GB2126" s="8">
        <v>7.6138657336704938</v>
      </c>
      <c r="GC2126" s="8">
        <v>0.41408444568622726</v>
      </c>
      <c r="GD2126" s="8">
        <v>0.38915784828237632</v>
      </c>
      <c r="GE2126" s="8">
        <v>1.264316267945008</v>
      </c>
      <c r="GF2126" s="8">
        <v>1.937065280076113</v>
      </c>
      <c r="GG2126" s="8">
        <v>1.0252517193414108</v>
      </c>
      <c r="GH2126" s="8">
        <v>0.88020735570664521</v>
      </c>
      <c r="GI2126" s="8">
        <v>3.8195519242402782</v>
      </c>
    </row>
    <row r="2127" spans="182:191">
      <c r="FZ2127" s="8">
        <v>9.0375172918910636</v>
      </c>
      <c r="GA2127" s="8">
        <v>25.342864926205742</v>
      </c>
      <c r="GB2127" s="8">
        <v>7.6127429240605577</v>
      </c>
      <c r="GC2127" s="8">
        <v>1.1531725361204517</v>
      </c>
      <c r="GD2127" s="8">
        <v>1.4908612292097876</v>
      </c>
      <c r="GE2127" s="8">
        <v>1.9075070119200235</v>
      </c>
      <c r="GF2127" s="8">
        <v>2.6438120121607311</v>
      </c>
      <c r="GG2127" s="8">
        <v>1.6816506381202889</v>
      </c>
      <c r="GH2127" s="8">
        <v>0.51847395078876257</v>
      </c>
      <c r="GI2127" s="8">
        <v>6.5955722210023096</v>
      </c>
    </row>
    <row r="2128" spans="182:191">
      <c r="FZ2128" s="8">
        <v>11.805013622365635</v>
      </c>
      <c r="GA2128" s="8">
        <v>11.280784706164249</v>
      </c>
      <c r="GB2128" s="8">
        <v>1.3465702107475521</v>
      </c>
      <c r="GC2128" s="8">
        <v>0.49886505108318724</v>
      </c>
      <c r="GD2128" s="8">
        <v>0.85177863359029393</v>
      </c>
      <c r="GE2128" s="8">
        <v>1.3858297578047403</v>
      </c>
      <c r="GF2128" s="8">
        <v>5.2138869870075037</v>
      </c>
      <c r="GG2128" s="8">
        <v>4.8648648807884465</v>
      </c>
      <c r="GH2128" s="8">
        <v>0.47158847029581613</v>
      </c>
      <c r="GI2128" s="8">
        <v>5.5511367841331269</v>
      </c>
    </row>
    <row r="2129" spans="182:191">
      <c r="FZ2129" s="8">
        <v>10.098410434114763</v>
      </c>
      <c r="GA2129" s="8">
        <v>10.884057013357506</v>
      </c>
      <c r="GB2129" s="8">
        <v>2.9763931383289215</v>
      </c>
      <c r="GC2129" s="8">
        <v>0.68956788895987142</v>
      </c>
      <c r="GD2129" s="8">
        <v>0.73606479125269275</v>
      </c>
      <c r="GE2129" s="8">
        <v>0.77397299966233368</v>
      </c>
      <c r="GF2129" s="8">
        <v>1.0069238781871948</v>
      </c>
      <c r="GG2129" s="8">
        <v>0.74171167480695199</v>
      </c>
      <c r="GH2129" s="8">
        <v>0</v>
      </c>
      <c r="GI2129" s="8">
        <v>2.9647634798238798</v>
      </c>
    </row>
    <row r="2130" spans="182:191">
      <c r="FZ2130" s="8">
        <v>3.4554146317142589</v>
      </c>
      <c r="GA2130" s="8">
        <v>5.9136254158280579</v>
      </c>
      <c r="GB2130" s="8">
        <v>1.5885397583732153</v>
      </c>
      <c r="GC2130" s="8">
        <v>1.8523808527813932</v>
      </c>
      <c r="GD2130" s="8">
        <v>1.8249423352561929</v>
      </c>
      <c r="GE2130" s="8">
        <v>2.1180188425535751</v>
      </c>
      <c r="GF2130" s="8">
        <v>3.2855267930120222</v>
      </c>
      <c r="GG2130" s="8">
        <v>1.7397307020165371</v>
      </c>
      <c r="GH2130" s="8">
        <v>0.40861888541082891</v>
      </c>
      <c r="GI2130" s="8">
        <v>3.7651062016635741</v>
      </c>
    </row>
    <row r="2131" spans="182:191">
      <c r="FZ2131" s="8">
        <v>1.3094571323337481</v>
      </c>
      <c r="GA2131" s="8">
        <v>7.2662023095048536</v>
      </c>
      <c r="GB2131" s="8">
        <v>2.9926327047586723</v>
      </c>
      <c r="GC2131" s="8">
        <v>0.32032774251607832</v>
      </c>
      <c r="GD2131" s="8">
        <v>0.37997265644629014</v>
      </c>
      <c r="GE2131" s="8">
        <v>0.74958769387104596</v>
      </c>
      <c r="GF2131" s="8">
        <v>1.9945713298359136</v>
      </c>
      <c r="GG2131" s="8">
        <v>1.5628049455265007</v>
      </c>
      <c r="GH2131" s="8">
        <v>0.17282465026292085</v>
      </c>
      <c r="GI2131" s="8">
        <v>2.2195789478840497</v>
      </c>
    </row>
    <row r="2132" spans="182:191">
      <c r="FZ2132" s="8">
        <v>7.3381291921736516</v>
      </c>
      <c r="GA2132" s="8">
        <v>6.6886088875893508</v>
      </c>
      <c r="GB2132" s="8">
        <v>1.3838919365975428</v>
      </c>
      <c r="GC2132" s="8">
        <v>0.83601221490062816</v>
      </c>
      <c r="GD2132" s="8">
        <v>1.0406443202112103</v>
      </c>
      <c r="GE2132" s="8">
        <v>1.9351217180060727</v>
      </c>
      <c r="GF2132" s="8">
        <v>5.6081326527067521</v>
      </c>
      <c r="GG2132" s="8">
        <v>3.9467031617725512</v>
      </c>
      <c r="GH2132" s="8">
        <v>0.17282465026292085</v>
      </c>
      <c r="GI2132" s="8">
        <v>4.1707755543671636</v>
      </c>
    </row>
    <row r="2133" spans="182:191">
      <c r="FZ2133" s="8">
        <v>6.7463638578687144</v>
      </c>
      <c r="GA2133" s="8">
        <v>16.000331857341749</v>
      </c>
      <c r="GB2133" s="8">
        <v>3.9184224598779318</v>
      </c>
      <c r="GC2133" s="8">
        <v>0.62411002814273742</v>
      </c>
      <c r="GD2133" s="8">
        <v>0.94678618826441907</v>
      </c>
      <c r="GE2133" s="8">
        <v>2.2954975571046923</v>
      </c>
      <c r="GF2133" s="8">
        <v>3.9100431994438329</v>
      </c>
      <c r="GG2133" s="8">
        <v>2.0572793953978019</v>
      </c>
      <c r="GH2133" s="8">
        <v>0</v>
      </c>
      <c r="GI2133" s="8">
        <v>4.4995509452785338</v>
      </c>
    </row>
    <row r="2134" spans="182:191">
      <c r="FZ2134" s="8">
        <v>8.4650214285040928</v>
      </c>
      <c r="GA2134" s="8">
        <v>18.569652829375134</v>
      </c>
      <c r="GB2134" s="8">
        <v>4.4846728193299121</v>
      </c>
      <c r="GC2134" s="8">
        <v>0.49172675724338094</v>
      </c>
      <c r="GD2134" s="8">
        <v>1.2456355351514281</v>
      </c>
      <c r="GE2134" s="8">
        <v>1.9983311248669526</v>
      </c>
      <c r="GF2134" s="8">
        <v>2.0358609432830335</v>
      </c>
      <c r="GG2134" s="8">
        <v>1.9869679269521878</v>
      </c>
      <c r="GH2134" s="8">
        <v>0.23579423514790807</v>
      </c>
      <c r="GI2134" s="8">
        <v>5.319187069200197</v>
      </c>
    </row>
    <row r="2135" spans="182:191">
      <c r="FZ2135" s="8">
        <v>9.7171477179503682</v>
      </c>
      <c r="GA2135" s="8">
        <v>11.533598261942824</v>
      </c>
      <c r="GB2135" s="8">
        <v>3.3089728106132226</v>
      </c>
      <c r="GC2135" s="8">
        <v>0.36329543745713155</v>
      </c>
      <c r="GD2135" s="8">
        <v>0.54069301535162229</v>
      </c>
      <c r="GE2135" s="8">
        <v>1.1487639806558905</v>
      </c>
      <c r="GF2135" s="8">
        <v>8.5363225500903219</v>
      </c>
      <c r="GG2135" s="8">
        <v>7.6947033227576238</v>
      </c>
      <c r="GH2135" s="8">
        <v>0.23579423514790807</v>
      </c>
      <c r="GI2135" s="8">
        <v>5.1860670908866835</v>
      </c>
    </row>
    <row r="2136" spans="182:191">
      <c r="FZ2136" s="8">
        <v>5.6892372228491359</v>
      </c>
      <c r="GA2136" s="8">
        <v>4.9393043011058113</v>
      </c>
      <c r="GB2136" s="8">
        <v>1.5897504066208377</v>
      </c>
      <c r="GC2136" s="8">
        <v>0.44772447770615187</v>
      </c>
      <c r="GD2136" s="8">
        <v>1.0627319552508954</v>
      </c>
      <c r="GE2136" s="8">
        <v>2.4477258626640337</v>
      </c>
      <c r="GF2136" s="8">
        <v>2.4441097441687729</v>
      </c>
      <c r="GG2136" s="8">
        <v>1.5410277012290603</v>
      </c>
      <c r="GH2136" s="8">
        <v>0.64441312055873701</v>
      </c>
      <c r="GI2136" s="8">
        <v>4.0217305968804142</v>
      </c>
    </row>
    <row r="2137" spans="182:191">
      <c r="FZ2137" s="8">
        <v>6.1734876184428575</v>
      </c>
      <c r="GA2137" s="8">
        <v>15.202682571874426</v>
      </c>
      <c r="GB2137" s="8">
        <v>3.615988462595574</v>
      </c>
      <c r="GC2137" s="8">
        <v>0.90211548421519938</v>
      </c>
      <c r="GD2137" s="8">
        <v>1.0360423198435873</v>
      </c>
      <c r="GE2137" s="8">
        <v>1.2132305529589422</v>
      </c>
      <c r="GF2137" s="8">
        <v>4.7523810630532761</v>
      </c>
      <c r="GG2137" s="8">
        <v>4.1353846105308607</v>
      </c>
      <c r="GH2137" s="8">
        <v>0.17282465026292085</v>
      </c>
      <c r="GI2137" s="8">
        <v>4.6520041901304054</v>
      </c>
    </row>
    <row r="2138" spans="182:191">
      <c r="FZ2138" s="8">
        <v>2.2794794276767298</v>
      </c>
      <c r="GA2138" s="8">
        <v>6.6681893806219925</v>
      </c>
      <c r="GB2138" s="8">
        <v>2.6043313819898808</v>
      </c>
      <c r="GC2138" s="8">
        <v>0.37800190099596914</v>
      </c>
      <c r="GD2138" s="8">
        <v>0.61583032795978521</v>
      </c>
      <c r="GE2138" s="8">
        <v>1.3276402579394426</v>
      </c>
      <c r="GF2138" s="8">
        <v>2.9602055945759886</v>
      </c>
      <c r="GG2138" s="8">
        <v>2.2342051518878385</v>
      </c>
      <c r="GH2138" s="8">
        <v>0.23579423514790807</v>
      </c>
      <c r="GI2138" s="8">
        <v>3.396704262717444</v>
      </c>
    </row>
    <row r="2139" spans="182:191">
      <c r="FZ2139" s="8">
        <v>5.0673180157161912</v>
      </c>
      <c r="GA2139" s="8">
        <v>6.962159147647327</v>
      </c>
      <c r="GB2139" s="8">
        <v>0.81288682279275992</v>
      </c>
      <c r="GC2139" s="8">
        <v>0.24579536236682659</v>
      </c>
      <c r="GD2139" s="8">
        <v>0.3219261004723975</v>
      </c>
      <c r="GE2139" s="8">
        <v>0.7718309524241852</v>
      </c>
      <c r="GF2139" s="8">
        <v>2.1543335537559489</v>
      </c>
      <c r="GG2139" s="8">
        <v>1.9166564585065737</v>
      </c>
      <c r="GH2139" s="8">
        <v>0.64441312055873701</v>
      </c>
      <c r="GI2139" s="8">
        <v>2.913741192804709</v>
      </c>
    </row>
    <row r="2140" spans="182:191">
      <c r="FZ2140" s="8">
        <v>8.4650214285040928</v>
      </c>
      <c r="GA2140" s="8">
        <v>13.63034852826932</v>
      </c>
      <c r="GB2140" s="8">
        <v>3.1031143405899275</v>
      </c>
      <c r="GC2140" s="8">
        <v>0.39646370444014578</v>
      </c>
      <c r="GD2140" s="8">
        <v>0.7949284703584889</v>
      </c>
      <c r="GE2140" s="8">
        <v>1.9219343264580118</v>
      </c>
      <c r="GF2140" s="8">
        <v>4.3551067243604082</v>
      </c>
      <c r="GG2140" s="8">
        <v>3.3505941594101207</v>
      </c>
      <c r="GH2140" s="8">
        <v>1.0530320059695661</v>
      </c>
      <c r="GI2140" s="8">
        <v>5.6772174203501438</v>
      </c>
    </row>
    <row r="2141" spans="182:191">
      <c r="FZ2141" s="8">
        <v>7.4376682902736375</v>
      </c>
      <c r="GA2141" s="8">
        <v>10.559277147220579</v>
      </c>
      <c r="GB2141" s="8">
        <v>3.205482170796607</v>
      </c>
      <c r="GC2141" s="8">
        <v>0.32506113463635011</v>
      </c>
      <c r="GD2141" s="8">
        <v>0.6833285964512793</v>
      </c>
      <c r="GE2141" s="8">
        <v>1.4686828218986085</v>
      </c>
      <c r="GF2141" s="8">
        <v>1.0424970767491057</v>
      </c>
      <c r="GG2141" s="8">
        <v>0.60108873791572359</v>
      </c>
      <c r="GH2141" s="8">
        <v>0.47158847029581613</v>
      </c>
      <c r="GI2141" s="8">
        <v>3.853004242210174</v>
      </c>
    </row>
    <row r="2142" spans="182:191">
      <c r="FZ2142" s="8">
        <v>5.2042260751776457</v>
      </c>
      <c r="GA2142" s="8">
        <v>10.633172567005557</v>
      </c>
      <c r="GB2142" s="8">
        <v>3.8962174908477563</v>
      </c>
      <c r="GC2142" s="8">
        <v>0.58763521854405321</v>
      </c>
      <c r="GD2142" s="8">
        <v>0.47656837721238876</v>
      </c>
      <c r="GE2142" s="8">
        <v>0.93940984507650238</v>
      </c>
      <c r="GF2142" s="8">
        <v>2.1675446641677834</v>
      </c>
      <c r="GG2142" s="8">
        <v>0.93993896331333671</v>
      </c>
      <c r="GH2142" s="8">
        <v>0.17282465026292085</v>
      </c>
      <c r="GI2142" s="8">
        <v>3.0424210033222456</v>
      </c>
    </row>
    <row r="2143" spans="182:191">
      <c r="FZ2143" s="8">
        <v>9.2317561942399919</v>
      </c>
      <c r="GA2143" s="8">
        <v>11.280784706164249</v>
      </c>
      <c r="GB2143" s="8">
        <v>1.5036221428439089</v>
      </c>
      <c r="GC2143" s="8">
        <v>0.70965315311641775</v>
      </c>
      <c r="GD2143" s="8">
        <v>0.60572793838319261</v>
      </c>
      <c r="GE2143" s="8">
        <v>1.4275439211028136</v>
      </c>
      <c r="GF2143" s="8">
        <v>4.5956267660415948</v>
      </c>
      <c r="GG2143" s="8">
        <v>2.749981133775488</v>
      </c>
      <c r="GH2143" s="8">
        <v>0.51847395078876257</v>
      </c>
      <c r="GI2143" s="8">
        <v>3.8721702606298747</v>
      </c>
    </row>
    <row r="2144" spans="182:191">
      <c r="FZ2144" s="8">
        <v>7.7352752480907752</v>
      </c>
      <c r="GA2144" s="8">
        <v>7.6629300023115965</v>
      </c>
      <c r="GB2144" s="8">
        <v>1.4536927953070349</v>
      </c>
      <c r="GC2144" s="8">
        <v>0.26329899253362465</v>
      </c>
      <c r="GD2144" s="8">
        <v>0.87929433856704564</v>
      </c>
      <c r="GE2144" s="8">
        <v>2.1354174516757864</v>
      </c>
      <c r="GF2144" s="8">
        <v>3.4727266242478469</v>
      </c>
      <c r="GG2144" s="8">
        <v>2.8565954218199106</v>
      </c>
      <c r="GH2144" s="8">
        <v>0.81723777082165783</v>
      </c>
      <c r="GI2144" s="8">
        <v>4.2613570120466306</v>
      </c>
    </row>
    <row r="2145" spans="182:191">
      <c r="FZ2145" s="8">
        <v>7.5247726299502338</v>
      </c>
      <c r="GA2145" s="8">
        <v>18.495757409590155</v>
      </c>
      <c r="GB2145" s="8">
        <v>3.8799779244180055</v>
      </c>
      <c r="GC2145" s="8">
        <v>0.318175984385555</v>
      </c>
      <c r="GD2145" s="8">
        <v>0.52137326210138613</v>
      </c>
      <c r="GE2145" s="8">
        <v>1.8238272353846778</v>
      </c>
      <c r="GF2145" s="8">
        <v>3.6966813283749209</v>
      </c>
      <c r="GG2145" s="8">
        <v>1.9869679269521878</v>
      </c>
      <c r="GH2145" s="8">
        <v>0.23579423514790807</v>
      </c>
      <c r="GI2145" s="8">
        <v>4.6932309993109254</v>
      </c>
    </row>
    <row r="2146" spans="182:191">
      <c r="FZ2146" s="8">
        <v>9.3312952923399788</v>
      </c>
      <c r="GA2146" s="8">
        <v>12.781469636723049</v>
      </c>
      <c r="GB2146" s="8">
        <v>2.8101898520131758</v>
      </c>
      <c r="GC2146" s="8">
        <v>0.72371420815781839</v>
      </c>
      <c r="GD2146" s="8">
        <v>1.1515577389032132</v>
      </c>
      <c r="GE2146" s="8">
        <v>2.5478988086009715</v>
      </c>
      <c r="GF2146" s="8">
        <v>5.0490715829853787</v>
      </c>
      <c r="GG2146" s="8">
        <v>3.3723714037075605</v>
      </c>
      <c r="GH2146" s="8">
        <v>0.40861888541082891</v>
      </c>
      <c r="GI2146" s="8">
        <v>4.9217890420203387</v>
      </c>
    </row>
    <row r="2147" spans="182:191">
      <c r="FZ2147" s="8">
        <v>4.8644108621479933</v>
      </c>
      <c r="GA2147" s="8">
        <v>14.082499727008848</v>
      </c>
      <c r="GB2147" s="8">
        <v>5.2701647622312695</v>
      </c>
      <c r="GC2147" s="8">
        <v>0.58892603553892742</v>
      </c>
      <c r="GD2147" s="8">
        <v>0.53530780719560933</v>
      </c>
      <c r="GE2147" s="8">
        <v>0.80462964600744336</v>
      </c>
      <c r="GF2147" s="8">
        <v>6.0393045840944914</v>
      </c>
      <c r="GG2147" s="8">
        <v>5.3108051065115749</v>
      </c>
      <c r="GH2147" s="8">
        <v>0.23579423514790807</v>
      </c>
      <c r="GI2147" s="8">
        <v>4.3802997323453372</v>
      </c>
    </row>
    <row r="2148" spans="182:191">
      <c r="FZ2148" s="8">
        <v>0.82444598466225738</v>
      </c>
      <c r="GA2148" s="8">
        <v>11.607493681727803</v>
      </c>
      <c r="GB2148" s="8">
        <v>3.8276272803858866</v>
      </c>
      <c r="GC2148" s="8">
        <v>0.22441928121540605</v>
      </c>
      <c r="GD2148" s="8">
        <v>0.66640973178247265</v>
      </c>
      <c r="GE2148" s="8">
        <v>1.2672997351722817</v>
      </c>
      <c r="GF2148" s="8">
        <v>4.2486016235088613</v>
      </c>
      <c r="GG2148" s="8">
        <v>3.818311629430688</v>
      </c>
      <c r="GH2148" s="8">
        <v>0.17282465026292085</v>
      </c>
      <c r="GI2148" s="8">
        <v>3.4534493745011288</v>
      </c>
    </row>
    <row r="2149" spans="182:191">
      <c r="FZ2149" s="8">
        <v>2.7761645816938412</v>
      </c>
      <c r="GA2149" s="8">
        <v>7.9899561751871957</v>
      </c>
      <c r="GB2149" s="8">
        <v>2.6717109442041282</v>
      </c>
      <c r="GC2149" s="8">
        <v>1.4066721006960372</v>
      </c>
      <c r="GD2149" s="8">
        <v>1.1521044660613096</v>
      </c>
      <c r="GE2149" s="8">
        <v>1.2836083846406678</v>
      </c>
      <c r="GF2149" s="8">
        <v>2.5318052385419763</v>
      </c>
      <c r="GG2149" s="8">
        <v>1.165874656232639</v>
      </c>
      <c r="GH2149" s="8">
        <v>0.40861888541082891</v>
      </c>
      <c r="GI2149" s="8">
        <v>3.5188907374473493</v>
      </c>
    </row>
    <row r="2150" spans="182:191">
      <c r="FZ2150" s="8">
        <v>2.7761645816938412</v>
      </c>
      <c r="GA2150" s="8">
        <v>10.559277147220579</v>
      </c>
      <c r="GB2150" s="8">
        <v>3.1693710931942385</v>
      </c>
      <c r="GC2150" s="8">
        <v>0.52497452435487957</v>
      </c>
      <c r="GD2150" s="8">
        <v>1.0058102670709768</v>
      </c>
      <c r="GE2150" s="8">
        <v>2.1609870460070995</v>
      </c>
      <c r="GF2150" s="8">
        <v>2.3863831008158938</v>
      </c>
      <c r="GG2150" s="8">
        <v>1.2937904762934096</v>
      </c>
      <c r="GH2150" s="8">
        <v>0.99006242108457876</v>
      </c>
      <c r="GI2150" s="8">
        <v>3.6506280638278263</v>
      </c>
    </row>
    <row r="2151" spans="182:191">
      <c r="FZ2151" s="8">
        <v>6.9406027602176419</v>
      </c>
      <c r="GA2151" s="8">
        <v>26.265639237536995</v>
      </c>
      <c r="GB2151" s="8">
        <v>8.9267461633109217</v>
      </c>
      <c r="GC2151" s="8">
        <v>0.33976759817518765</v>
      </c>
      <c r="GD2151" s="8">
        <v>0.3209485776397325</v>
      </c>
      <c r="GE2151" s="8">
        <v>1.4908933498840542</v>
      </c>
      <c r="GF2151" s="8">
        <v>4.5581439637817125</v>
      </c>
      <c r="GG2151" s="8">
        <v>2.749981133775488</v>
      </c>
      <c r="GH2151" s="8">
        <v>0</v>
      </c>
      <c r="GI2151" s="8">
        <v>6.1418562785138775</v>
      </c>
    </row>
    <row r="2152" spans="182:191">
      <c r="FZ2152" s="8">
        <v>7.7650487448798984</v>
      </c>
      <c r="GA2152" s="8">
        <v>15.852223820459745</v>
      </c>
      <c r="GB2152" s="8">
        <v>3.8101770657085137</v>
      </c>
      <c r="GC2152" s="8">
        <v>0.88819046168352678</v>
      </c>
      <c r="GD2152" s="8">
        <v>1.6082280050782769</v>
      </c>
      <c r="GE2152" s="8">
        <v>2.8094019238137768</v>
      </c>
      <c r="GF2152" s="8">
        <v>7.7453209852444251</v>
      </c>
      <c r="GG2152" s="8">
        <v>6.3791356021667731</v>
      </c>
      <c r="GH2152" s="8">
        <v>0.92709283619959149</v>
      </c>
      <c r="GI2152" s="8">
        <v>6.8938879667112394</v>
      </c>
    </row>
    <row r="2153" spans="182:191">
      <c r="FZ2153" s="8">
        <v>1.3671683512601061</v>
      </c>
      <c r="GA2153" s="8">
        <v>15.130716261516074</v>
      </c>
      <c r="GB2153" s="8">
        <v>5.7015681586170697</v>
      </c>
      <c r="GC2153" s="8">
        <v>1.0281042913311154</v>
      </c>
      <c r="GD2153" s="8">
        <v>1.2200724516449242</v>
      </c>
      <c r="GE2153" s="8">
        <v>1.7534498089008512</v>
      </c>
      <c r="GF2153" s="8">
        <v>2.2856970896239339</v>
      </c>
      <c r="GG2153" s="8">
        <v>1.2937904762934096</v>
      </c>
      <c r="GH2153" s="8">
        <v>0.47158847029581613</v>
      </c>
      <c r="GI2153" s="8">
        <v>4.7607638513107604</v>
      </c>
    </row>
    <row r="2154" spans="182:191">
      <c r="FZ2154" s="8">
        <v>10.43784527110553</v>
      </c>
      <c r="GA2154" s="8">
        <v>21.694200123241497</v>
      </c>
      <c r="GB2154" s="8">
        <v>6.3993916908785797</v>
      </c>
      <c r="GC2154" s="8">
        <v>0.32660509522023545</v>
      </c>
      <c r="GD2154" s="8">
        <v>0.62391617996491833</v>
      </c>
      <c r="GE2154" s="8">
        <v>2.1202607653776315</v>
      </c>
      <c r="GF2154" s="8">
        <v>6.0168532933503833</v>
      </c>
      <c r="GG2154" s="8">
        <v>4.3123103670208973</v>
      </c>
      <c r="GH2154" s="8">
        <v>0.23579423514790807</v>
      </c>
      <c r="GI2154" s="8">
        <v>6.2505855976468521</v>
      </c>
    </row>
    <row r="2155" spans="182:191">
      <c r="FZ2155" s="8">
        <v>8.747125422607386</v>
      </c>
      <c r="GA2155" s="8">
        <v>3.4697466669706492</v>
      </c>
      <c r="GB2155" s="8">
        <v>0.13605761131380295</v>
      </c>
      <c r="GC2155" s="8">
        <v>0.49646014936365274</v>
      </c>
      <c r="GD2155" s="8">
        <v>1.0547095332221301</v>
      </c>
      <c r="GE2155" s="8">
        <v>2.5717971452149615</v>
      </c>
      <c r="GF2155" s="8">
        <v>3.7949392963226907</v>
      </c>
      <c r="GG2155" s="8">
        <v>1.8798779266266734</v>
      </c>
      <c r="GH2155" s="8">
        <v>0</v>
      </c>
      <c r="GI2155" s="8">
        <v>4.1770782299197649</v>
      </c>
    </row>
    <row r="2156" spans="182:191">
      <c r="FZ2156" s="8">
        <v>9.1740449753136328</v>
      </c>
      <c r="GA2156" s="8">
        <v>14.804007285952522</v>
      </c>
      <c r="GB2156" s="8">
        <v>3.3264230252905955</v>
      </c>
      <c r="GC2156" s="8">
        <v>0.33133848734050719</v>
      </c>
      <c r="GD2156" s="8">
        <v>0.35398067611014428</v>
      </c>
      <c r="GE2156" s="8">
        <v>0.98639889579397622</v>
      </c>
      <c r="GF2156" s="8">
        <v>2.8850125369589179</v>
      </c>
      <c r="GG2156" s="8">
        <v>1.8100421704621514</v>
      </c>
      <c r="GH2156" s="8">
        <v>0.17282465026292085</v>
      </c>
      <c r="GI2156" s="8">
        <v>4.0419617046207383</v>
      </c>
    </row>
    <row r="2157" spans="182:191">
      <c r="FZ2157" s="8">
        <v>9.5134798123044</v>
      </c>
      <c r="GA2157" s="8">
        <v>15.778328400674766</v>
      </c>
      <c r="GB2157" s="8">
        <v>3.4136740986774603</v>
      </c>
      <c r="GC2157" s="8">
        <v>0.46956923508479564</v>
      </c>
      <c r="GD2157" s="8">
        <v>0.55376013733456264</v>
      </c>
      <c r="GE2157" s="8">
        <v>1.6859469267020601</v>
      </c>
      <c r="GF2157" s="8">
        <v>4.6354552684558623</v>
      </c>
      <c r="GG2157" s="8">
        <v>2.8783726661173508</v>
      </c>
      <c r="GH2157" s="8">
        <v>0.17282465026292085</v>
      </c>
      <c r="GI2157" s="8">
        <v>4.4734193081301132</v>
      </c>
    </row>
    <row r="2158" spans="182:191">
      <c r="FZ2158" s="8">
        <v>2.7761645816938412</v>
      </c>
      <c r="GA2158" s="8">
        <v>21.947013679020074</v>
      </c>
      <c r="GB2158" s="8">
        <v>8.2546717061847694</v>
      </c>
      <c r="GC2158" s="8">
        <v>0.68418908834216263</v>
      </c>
      <c r="GD2158" s="8">
        <v>0.42404463352627708</v>
      </c>
      <c r="GE2158" s="8">
        <v>0.63411472424319371</v>
      </c>
      <c r="GF2158" s="8">
        <v>3.3790664842328217</v>
      </c>
      <c r="GG2158" s="8">
        <v>2.3045166203334526</v>
      </c>
      <c r="GH2158" s="8">
        <v>0.3456493005258417</v>
      </c>
      <c r="GI2158" s="8">
        <v>5.0376585677532946</v>
      </c>
    </row>
    <row r="2159" spans="182:191">
      <c r="FZ2159" s="8">
        <v>5.6311456278838934</v>
      </c>
      <c r="GA2159" s="8">
        <v>5.8397299960430775</v>
      </c>
      <c r="GB2159" s="8">
        <v>0.84545379428994738</v>
      </c>
      <c r="GC2159" s="8">
        <v>0.90458000712566444</v>
      </c>
      <c r="GD2159" s="8">
        <v>0.81962223190878336</v>
      </c>
      <c r="GE2159" s="8">
        <v>1.1631912951938792</v>
      </c>
      <c r="GF2159" s="8">
        <v>2.8758392201570535</v>
      </c>
      <c r="GG2159" s="8">
        <v>1.5628049455265007</v>
      </c>
      <c r="GH2159" s="8">
        <v>0</v>
      </c>
      <c r="GI2159" s="8">
        <v>3.6103848658639786</v>
      </c>
    </row>
    <row r="2160" spans="182:191">
      <c r="FZ2160" s="8">
        <v>2.718453362767483</v>
      </c>
      <c r="GA2160" s="8">
        <v>4.6660712383598781</v>
      </c>
      <c r="GB2160" s="8">
        <v>0.93261702903912591</v>
      </c>
      <c r="GC2160" s="8">
        <v>0.73124476690605045</v>
      </c>
      <c r="GD2160" s="8">
        <v>0.5736914988164723</v>
      </c>
      <c r="GE2160" s="8">
        <v>0.63517839408844412</v>
      </c>
      <c r="GF2160" s="8">
        <v>0.78975519593104504</v>
      </c>
      <c r="GG2160" s="8">
        <v>0.24723722493565062</v>
      </c>
      <c r="GH2160" s="8">
        <v>0.3456493005258417</v>
      </c>
      <c r="GI2160" s="8">
        <v>2.1807118474321681</v>
      </c>
    </row>
    <row r="2161" spans="182:191">
      <c r="FZ2161" s="8">
        <v>8.6894142036810287</v>
      </c>
      <c r="GA2161" s="8">
        <v>3.6690843099316024</v>
      </c>
      <c r="GB2161" s="8">
        <v>0.35815564776684838</v>
      </c>
      <c r="GC2161" s="8">
        <v>0.5092303874101789</v>
      </c>
      <c r="GD2161" s="8">
        <v>0.5752679476315401</v>
      </c>
      <c r="GE2161" s="8">
        <v>1.5411445314639838</v>
      </c>
      <c r="GF2161" s="8">
        <v>8.4379753795485204</v>
      </c>
      <c r="GG2161" s="8">
        <v>6.7547643594442874</v>
      </c>
      <c r="GH2161" s="8">
        <v>0.23579423514790807</v>
      </c>
      <c r="GI2161" s="8">
        <v>3.8819880980985486</v>
      </c>
    </row>
    <row r="2162" spans="182:191">
      <c r="FZ2162" s="8">
        <v>5.3494220098194845</v>
      </c>
      <c r="GA2162" s="8">
        <v>7.2353922103932602</v>
      </c>
      <c r="GB2162" s="8">
        <v>1.4152482598471079</v>
      </c>
      <c r="GC2162" s="8">
        <v>0.71029856161385485</v>
      </c>
      <c r="GD2162" s="8">
        <v>0.75128538217893892</v>
      </c>
      <c r="GE2162" s="8">
        <v>1.454334825021885</v>
      </c>
      <c r="GF2162" s="8">
        <v>6.5702812993055035</v>
      </c>
      <c r="GG2162" s="8">
        <v>4.8866421250858876</v>
      </c>
      <c r="GH2162" s="8">
        <v>0.17282465026292085</v>
      </c>
      <c r="GI2162" s="8">
        <v>3.4042814489323705</v>
      </c>
    </row>
    <row r="2163" spans="182:191">
      <c r="FZ2163" s="8">
        <v>5.4648444476722009</v>
      </c>
      <c r="GA2163" s="8">
        <v>16.05380777015937</v>
      </c>
      <c r="GB2163" s="8">
        <v>5.7261065855048034</v>
      </c>
      <c r="GC2163" s="8">
        <v>0.71503195373412676</v>
      </c>
      <c r="GD2163" s="8">
        <v>0.82737138367603902</v>
      </c>
      <c r="GE2163" s="8">
        <v>1.1018718654218285</v>
      </c>
      <c r="GF2163" s="8">
        <v>3.4182259003888924</v>
      </c>
      <c r="GG2163" s="8">
        <v>2.8783726661173508</v>
      </c>
      <c r="GH2163" s="8">
        <v>0</v>
      </c>
      <c r="GI2163" s="8">
        <v>5.0632083204756455</v>
      </c>
    </row>
    <row r="2164" spans="182:191">
      <c r="FZ2164" s="8">
        <v>2.4642870908014243</v>
      </c>
      <c r="GA2164" s="8">
        <v>19.377692706986693</v>
      </c>
      <c r="GB2164" s="8">
        <v>7.4254574783245726</v>
      </c>
      <c r="GC2164" s="8">
        <v>0.25293365620663288</v>
      </c>
      <c r="GD2164" s="8">
        <v>0.36600449634650511</v>
      </c>
      <c r="GE2164" s="8">
        <v>1.7156950080398303</v>
      </c>
      <c r="GF2164" s="8">
        <v>4.9140336349583507</v>
      </c>
      <c r="GG2164" s="8">
        <v>2.9967426464300475</v>
      </c>
      <c r="GH2164" s="8">
        <v>0.58144353567374973</v>
      </c>
      <c r="GI2164" s="8">
        <v>4.9099232869272331</v>
      </c>
    </row>
    <row r="2165" spans="182:191">
      <c r="FZ2165" s="8">
        <v>7.1555642961703434</v>
      </c>
      <c r="GA2165" s="8">
        <v>7.3608344335692344</v>
      </c>
      <c r="GB2165" s="8">
        <v>0.92916076157163141</v>
      </c>
      <c r="GC2165" s="8">
        <v>0.30153329535440609</v>
      </c>
      <c r="GD2165" s="8">
        <v>0.58691648492755011</v>
      </c>
      <c r="GE2165" s="8">
        <v>1.5808506040550527</v>
      </c>
      <c r="GF2165" s="8">
        <v>3.5467729043737508</v>
      </c>
      <c r="GG2165" s="8">
        <v>2.6093581968842599</v>
      </c>
      <c r="GH2165" s="8">
        <v>0.47158847029581613</v>
      </c>
      <c r="GI2165" s="8">
        <v>4.076474470645298</v>
      </c>
    </row>
    <row r="2166" spans="182:191">
      <c r="FZ2166" s="8">
        <v>3.1155994186846074</v>
      </c>
      <c r="GA2166" s="8">
        <v>3.8684219528925556</v>
      </c>
      <c r="GB2166" s="8">
        <v>0.66871540585438116</v>
      </c>
      <c r="GC2166" s="8">
        <v>1.3539844779254295</v>
      </c>
      <c r="GD2166" s="8">
        <v>1.7811846353352716</v>
      </c>
      <c r="GE2166" s="8">
        <v>2.37114987100792</v>
      </c>
      <c r="GF2166" s="8">
        <v>2.4633351154189578</v>
      </c>
      <c r="GG2166" s="8">
        <v>1.7397307020165371</v>
      </c>
      <c r="GH2166" s="8">
        <v>0.40861888541082891</v>
      </c>
      <c r="GI2166" s="8">
        <v>3.7379305055446688</v>
      </c>
    </row>
    <row r="2167" spans="182:191">
      <c r="FZ2167" s="8">
        <v>6.7954068255758022</v>
      </c>
      <c r="GA2167" s="8">
        <v>2.1479798724054464</v>
      </c>
      <c r="GB2167" s="8">
        <v>0.2582091140554138</v>
      </c>
      <c r="GC2167" s="8">
        <v>0.57856069921193565</v>
      </c>
      <c r="GD2167" s="8">
        <v>1.0021569476630861</v>
      </c>
      <c r="GE2167" s="8">
        <v>2.0252013464472891</v>
      </c>
      <c r="GF2167" s="8">
        <v>1.7017898135222436</v>
      </c>
      <c r="GG2167" s="8">
        <v>0.67140020636133779</v>
      </c>
      <c r="GH2167" s="8">
        <v>0.40861888541082891</v>
      </c>
      <c r="GI2167" s="8">
        <v>3.1821509738335827</v>
      </c>
    </row>
    <row r="2168" spans="182:191">
      <c r="FZ2168" s="8">
        <v>5.2917107908931271</v>
      </c>
      <c r="GA2168" s="8">
        <v>10.359939504259625</v>
      </c>
      <c r="GB2168" s="8">
        <v>3.1566756328696686</v>
      </c>
      <c r="GC2168" s="8">
        <v>9.7199278295546462E-2</v>
      </c>
      <c r="GD2168" s="8">
        <v>0.4866156936769726</v>
      </c>
      <c r="GE2168" s="8">
        <v>1.4011652321521697</v>
      </c>
      <c r="GF2168" s="8">
        <v>3.0335827884436952</v>
      </c>
      <c r="GG2168" s="8">
        <v>2.4324324403942232</v>
      </c>
      <c r="GH2168" s="8">
        <v>0.75426818593667067</v>
      </c>
      <c r="GI2168" s="8">
        <v>3.7718994432439787</v>
      </c>
    </row>
    <row r="2169" spans="182:191">
      <c r="FZ2169" s="8">
        <v>3.9400454033468648</v>
      </c>
      <c r="GA2169" s="8">
        <v>27.418878488252837</v>
      </c>
      <c r="GB2169" s="8">
        <v>10.162302365523074</v>
      </c>
      <c r="GC2169" s="8">
        <v>0.66572728489798583</v>
      </c>
      <c r="GD2169" s="8">
        <v>0.8500843465175667</v>
      </c>
      <c r="GE2169" s="8">
        <v>2.105912363303009</v>
      </c>
      <c r="GF2169" s="8">
        <v>7.5278544570351347</v>
      </c>
      <c r="GG2169" s="8">
        <v>5.9817296005918204</v>
      </c>
      <c r="GH2169" s="8">
        <v>0.70738270544372439</v>
      </c>
      <c r="GI2169" s="8">
        <v>6.7360820641423516</v>
      </c>
    </row>
    <row r="2170" spans="182:191">
      <c r="FZ2170" s="8">
        <v>2.2794794276767298</v>
      </c>
      <c r="GA2170" s="8">
        <v>7.0668646665438999</v>
      </c>
      <c r="GB2170" s="8">
        <v>2.806645745907995</v>
      </c>
      <c r="GC2170" s="8">
        <v>0.4846679635320591</v>
      </c>
      <c r="GD2170" s="8">
        <v>0.54176515897113431</v>
      </c>
      <c r="GE2170" s="8">
        <v>0.74958769387104596</v>
      </c>
      <c r="GF2170" s="8">
        <v>4.7237280454857213</v>
      </c>
      <c r="GG2170" s="8">
        <v>4.193940386708201</v>
      </c>
      <c r="GH2170" s="8">
        <v>0</v>
      </c>
      <c r="GI2170" s="8">
        <v>3.2357507929502556</v>
      </c>
    </row>
    <row r="2171" spans="182:191">
      <c r="FZ2171" s="8">
        <v>6.4555916125461508</v>
      </c>
      <c r="GA2171" s="8">
        <v>4.6434054246538494</v>
      </c>
      <c r="GB2171" s="8">
        <v>0.49896801343345465</v>
      </c>
      <c r="GC2171" s="8">
        <v>0.58057642483273142</v>
      </c>
      <c r="GD2171" s="8">
        <v>0.91103463704572685</v>
      </c>
      <c r="GE2171" s="8">
        <v>1.8433739273062573</v>
      </c>
      <c r="GF2171" s="8">
        <v>5.3557343039982293</v>
      </c>
      <c r="GG2171" s="8">
        <v>4.3123103670208973</v>
      </c>
      <c r="GH2171" s="8">
        <v>0.40861888541082891</v>
      </c>
      <c r="GI2171" s="8">
        <v>3.3406355053285597</v>
      </c>
    </row>
    <row r="2172" spans="182:191">
      <c r="FZ2172" s="8">
        <v>7.5410363457418477</v>
      </c>
      <c r="GA2172" s="8">
        <v>12.507919376665072</v>
      </c>
      <c r="GB2172" s="8">
        <v>3.3450838882155907</v>
      </c>
      <c r="GC2172" s="8">
        <v>0.14579891744331971</v>
      </c>
      <c r="GD2172" s="8">
        <v>0.30138275826863259</v>
      </c>
      <c r="GE2172" s="8">
        <v>1.6176206475341897</v>
      </c>
      <c r="GF2172" s="8">
        <v>4.2774518875767207</v>
      </c>
      <c r="GG2172" s="8">
        <v>2.5027439088398373</v>
      </c>
      <c r="GH2172" s="8">
        <v>0.3456493005258417</v>
      </c>
      <c r="GI2172" s="8">
        <v>3.4193226982617633</v>
      </c>
    </row>
    <row r="2173" spans="182:191">
      <c r="FZ2173" s="8">
        <v>3.0578881997582497</v>
      </c>
      <c r="GA2173" s="8">
        <v>11.334260618981871</v>
      </c>
      <c r="GB2173" s="8">
        <v>3.1542543363744242</v>
      </c>
      <c r="GC2173" s="8">
        <v>0.2877253839020168</v>
      </c>
      <c r="GD2173" s="8">
        <v>0.5365378149432587</v>
      </c>
      <c r="GE2173" s="8">
        <v>1.2867559323695679</v>
      </c>
      <c r="GF2173" s="8">
        <v>5.2064949662552564</v>
      </c>
      <c r="GG2173" s="8">
        <v>4.1353846105308607</v>
      </c>
      <c r="GH2173" s="8">
        <v>0.17282465026292085</v>
      </c>
      <c r="GI2173" s="8">
        <v>3.901788092439018</v>
      </c>
    </row>
    <row r="2174" spans="182:191">
      <c r="FZ2174" s="8">
        <v>2.4733379539867713</v>
      </c>
      <c r="GA2174" s="8">
        <v>9.0155068959883913</v>
      </c>
      <c r="GB2174" s="8">
        <v>2.8541537969496242</v>
      </c>
      <c r="GC2174" s="8">
        <v>0.63124832198254355</v>
      </c>
      <c r="GD2174" s="8">
        <v>0.90920812751075752</v>
      </c>
      <c r="GE2174" s="8">
        <v>1.9026422097623519</v>
      </c>
      <c r="GF2174" s="8">
        <v>4.0229287107090439</v>
      </c>
      <c r="GG2174" s="8">
        <v>3.1619127106518099</v>
      </c>
      <c r="GH2174" s="8">
        <v>0.70738270544372439</v>
      </c>
      <c r="GI2174" s="8">
        <v>3.7916934343097397</v>
      </c>
    </row>
    <row r="2175" spans="182:191">
      <c r="FZ2175" s="8">
        <v>3.94042577938575</v>
      </c>
      <c r="GA2175" s="8">
        <v>6.6681893806219925</v>
      </c>
      <c r="GB2175" s="8">
        <v>2.4984194456780209</v>
      </c>
      <c r="GC2175" s="8">
        <v>0.1231320192970249</v>
      </c>
      <c r="GD2175" s="8">
        <v>0.21295038569848751</v>
      </c>
      <c r="GE2175" s="8">
        <v>0.70661949041752126</v>
      </c>
      <c r="GF2175" s="8">
        <v>2.9891564580966836</v>
      </c>
      <c r="GG2175" s="8">
        <v>2.2555066839041871</v>
      </c>
      <c r="GH2175" s="8">
        <v>0.69129860105168339</v>
      </c>
      <c r="GI2175" s="8">
        <v>3.6100111642019828</v>
      </c>
    </row>
    <row r="2176" spans="182:191">
      <c r="FZ2176" s="8">
        <v>3.2310218565373234</v>
      </c>
      <c r="GA2176" s="8">
        <v>5.8397299960430775</v>
      </c>
      <c r="GB2176" s="8">
        <v>0.94773378585894041</v>
      </c>
      <c r="GC2176" s="8">
        <v>0.78956433388337832</v>
      </c>
      <c r="GD2176" s="8">
        <v>0.99938410610593087</v>
      </c>
      <c r="GE2176" s="8">
        <v>1.659298954977849</v>
      </c>
      <c r="GF2176" s="8">
        <v>2.0224323226288119</v>
      </c>
      <c r="GG2176" s="8">
        <v>1.1168647198033732</v>
      </c>
      <c r="GH2176" s="8">
        <v>0.40861888541082891</v>
      </c>
      <c r="GI2176" s="8">
        <v>3.119296863245328</v>
      </c>
    </row>
    <row r="2177" spans="182:191">
      <c r="FZ2177" s="8">
        <v>4.2010441518803052</v>
      </c>
      <c r="GA2177" s="8">
        <v>5.6403923530821247</v>
      </c>
      <c r="GB2177" s="8">
        <v>0.76053617876064095</v>
      </c>
      <c r="GC2177" s="8">
        <v>0.46178553274755219</v>
      </c>
      <c r="GD2177" s="8">
        <v>0.72529982063691378</v>
      </c>
      <c r="GE2177" s="8">
        <v>1.5964410588263007</v>
      </c>
      <c r="GF2177" s="8">
        <v>1.3514986384121144</v>
      </c>
      <c r="GG2177" s="8">
        <v>0.24723722493565062</v>
      </c>
      <c r="GH2177" s="8">
        <v>0.3456493005258417</v>
      </c>
      <c r="GI2177" s="8">
        <v>2.5854889739029892</v>
      </c>
    </row>
    <row r="2178" spans="182:191">
      <c r="FZ2178" s="8">
        <v>6.6588791421532321</v>
      </c>
      <c r="GA2178" s="8">
        <v>8.6083886110374124</v>
      </c>
      <c r="GB2178" s="8">
        <v>1.8058830404734576</v>
      </c>
      <c r="GC2178" s="8">
        <v>0.72715678328321576</v>
      </c>
      <c r="GD2178" s="8">
        <v>0.46457339884896032</v>
      </c>
      <c r="GE2178" s="8">
        <v>1.1316350595051454</v>
      </c>
      <c r="GF2178" s="8">
        <v>4.5316548794276343</v>
      </c>
      <c r="GG2178" s="8">
        <v>3.5062183838838079</v>
      </c>
      <c r="GH2178" s="8">
        <v>1.1789711757395405</v>
      </c>
      <c r="GI2178" s="8">
        <v>3.2723119853785354</v>
      </c>
    </row>
    <row r="2179" spans="182:191">
      <c r="FZ2179" s="8">
        <v>0.11542243785271598</v>
      </c>
      <c r="GA2179" s="8">
        <v>19.451588126771671</v>
      </c>
      <c r="GB2179" s="8">
        <v>8.1210353913662114</v>
      </c>
      <c r="GC2179" s="8">
        <v>0.62716033835970897</v>
      </c>
      <c r="GD2179" s="8">
        <v>0.68059034299755949</v>
      </c>
      <c r="GE2179" s="8">
        <v>1.1772843116467842</v>
      </c>
      <c r="GF2179" s="8">
        <v>2.1053317345398161</v>
      </c>
      <c r="GG2179" s="8">
        <v>1.1871761882489873</v>
      </c>
      <c r="GH2179" s="8">
        <v>0.3456493005258417</v>
      </c>
      <c r="GI2179" s="8">
        <v>4.4462918818422041</v>
      </c>
    </row>
    <row r="2180" spans="182:191">
      <c r="FZ2180" s="8">
        <v>4.3677257081308829</v>
      </c>
      <c r="GA2180" s="8">
        <v>18.653938841304345</v>
      </c>
      <c r="GB2180" s="8">
        <v>7.6964498913422412</v>
      </c>
      <c r="GC2180" s="8">
        <v>0.2542244732015071</v>
      </c>
      <c r="GD2180" s="8">
        <v>0.43849321652008821</v>
      </c>
      <c r="GE2180" s="8">
        <v>1.156105128136794</v>
      </c>
      <c r="GF2180" s="8">
        <v>4.1212982203144684</v>
      </c>
      <c r="GG2180" s="8">
        <v>3.2439798713656982</v>
      </c>
      <c r="GH2180" s="8">
        <v>0.40861888541082891</v>
      </c>
      <c r="GI2180" s="8">
        <v>4.9452810305366155</v>
      </c>
    </row>
    <row r="2181" spans="182:191">
      <c r="FZ2181" s="8">
        <v>2.2911534340223501</v>
      </c>
      <c r="GA2181" s="8">
        <v>24.316997008092503</v>
      </c>
      <c r="GB2181" s="8">
        <v>8.7721155277098095</v>
      </c>
      <c r="GC2181" s="8">
        <v>0.23543002603983487</v>
      </c>
      <c r="GD2181" s="8">
        <v>0.68107076589158555</v>
      </c>
      <c r="GE2181" s="8">
        <v>2.0504370478914176</v>
      </c>
      <c r="GF2181" s="8">
        <v>4.521580485915691</v>
      </c>
      <c r="GG2181" s="8">
        <v>2.9972183587111387</v>
      </c>
      <c r="GH2181" s="8">
        <v>0.3456493005258417</v>
      </c>
      <c r="GI2181" s="8">
        <v>5.6724895882154023</v>
      </c>
    </row>
    <row r="2182" spans="182:191">
      <c r="FZ2182" s="8">
        <v>3.882334184420507</v>
      </c>
      <c r="GA2182" s="8">
        <v>14.877902705737501</v>
      </c>
      <c r="GB2182" s="8">
        <v>3.9311179202025022</v>
      </c>
      <c r="GC2182" s="8">
        <v>0.36763656466897737</v>
      </c>
      <c r="GD2182" s="8">
        <v>0.84996252951927875</v>
      </c>
      <c r="GE2182" s="8">
        <v>2.3073863499515279</v>
      </c>
      <c r="GF2182" s="8">
        <v>6.5730978311886306</v>
      </c>
      <c r="GG2182" s="8">
        <v>5.0635678815759242</v>
      </c>
      <c r="GH2182" s="8">
        <v>0.58144353567374973</v>
      </c>
      <c r="GI2182" s="8">
        <v>4.473633808584955</v>
      </c>
    </row>
    <row r="2183" spans="182:191">
      <c r="FZ2183" s="8">
        <v>10.92285641877702</v>
      </c>
      <c r="GA2183" s="8">
        <v>19.722892080090972</v>
      </c>
      <c r="GB2183" s="8">
        <v>5.7689477208313162</v>
      </c>
      <c r="GC2183" s="8">
        <v>0.31405038981192124</v>
      </c>
      <c r="GD2183" s="8">
        <v>0.40073486855947749</v>
      </c>
      <c r="GE2183" s="8">
        <v>0.75692884135194949</v>
      </c>
      <c r="GF2183" s="8">
        <v>3.7538671931179577</v>
      </c>
      <c r="GG2183" s="8">
        <v>3.1256098910530015</v>
      </c>
      <c r="GH2183" s="8">
        <v>0.51847395078876257</v>
      </c>
      <c r="GI2183" s="8">
        <v>5.1214116374223204</v>
      </c>
    </row>
    <row r="2184" spans="182:191">
      <c r="FZ2184" s="8">
        <v>8.8346101383228675</v>
      </c>
      <c r="GA2184" s="8">
        <v>19.324216794169068</v>
      </c>
      <c r="GB2184" s="8">
        <v>5.6887848596548132</v>
      </c>
      <c r="GC2184" s="8">
        <v>0.70965315311641775</v>
      </c>
      <c r="GD2184" s="8">
        <v>1.0248742054416033</v>
      </c>
      <c r="GE2184" s="8">
        <v>2.3817204187835848</v>
      </c>
      <c r="GF2184" s="8">
        <v>4.1131141747875635</v>
      </c>
      <c r="GG2184" s="8">
        <v>2.1271151515623243</v>
      </c>
      <c r="GH2184" s="8">
        <v>0</v>
      </c>
      <c r="GI2184" s="8">
        <v>5.0827219311035963</v>
      </c>
    </row>
    <row r="2185" spans="182:191">
      <c r="FZ2185" s="8">
        <v>4.4827677699447133</v>
      </c>
      <c r="GA2185" s="8">
        <v>20.372433328676291</v>
      </c>
      <c r="GB2185" s="8">
        <v>6.0690482602561158</v>
      </c>
      <c r="GC2185" s="8">
        <v>0.25164283921175867</v>
      </c>
      <c r="GD2185" s="8">
        <v>0.33323660006798339</v>
      </c>
      <c r="GE2185" s="8">
        <v>0.61588627739278412</v>
      </c>
      <c r="GF2185" s="8">
        <v>2.0312854544139123</v>
      </c>
      <c r="GG2185" s="8">
        <v>1.6113391696746744</v>
      </c>
      <c r="GH2185" s="8">
        <v>0.23579423514790807</v>
      </c>
      <c r="GI2185" s="8">
        <v>5.0363674104026046</v>
      </c>
    </row>
    <row r="2186" spans="182:191">
      <c r="FZ2186" s="8">
        <v>4.0437938348539602</v>
      </c>
      <c r="GA2186" s="8">
        <v>2.9229633441667389</v>
      </c>
      <c r="GB2186" s="8">
        <v>0.27920343483796767</v>
      </c>
      <c r="GC2186" s="8">
        <v>0.5151185640155973</v>
      </c>
      <c r="GD2186" s="8">
        <v>0.58534003611248242</v>
      </c>
      <c r="GE2186" s="8">
        <v>1.6462261465633432</v>
      </c>
      <c r="GF2186" s="8">
        <v>2.6216585673697632</v>
      </c>
      <c r="GG2186" s="8">
        <v>1.1168647198033732</v>
      </c>
      <c r="GH2186" s="8">
        <v>0.75426818593667067</v>
      </c>
      <c r="GI2186" s="8">
        <v>2.5637787376416017</v>
      </c>
    </row>
    <row r="2187" spans="182:191">
      <c r="FZ2187" s="8">
        <v>6.9108292634285178</v>
      </c>
      <c r="GA2187" s="8">
        <v>10.012493824416669</v>
      </c>
      <c r="GB2187" s="8">
        <v>3.3636569125028997</v>
      </c>
      <c r="GC2187" s="8">
        <v>0.54453149109327237</v>
      </c>
      <c r="GD2187" s="8">
        <v>0.30347775700327723</v>
      </c>
      <c r="GE2187" s="8">
        <v>1.2898858622763212</v>
      </c>
      <c r="GF2187" s="8">
        <v>2.4918651944700532</v>
      </c>
      <c r="GG2187" s="8">
        <v>1.0252517193414108</v>
      </c>
      <c r="GH2187" s="8">
        <v>0.70738270544372439</v>
      </c>
      <c r="GI2187" s="8">
        <v>2.774931300843293</v>
      </c>
    </row>
    <row r="2188" spans="182:191">
      <c r="FZ2188" s="8">
        <v>5.7465680657366089</v>
      </c>
      <c r="GA2188" s="8">
        <v>3.2704090240096959</v>
      </c>
      <c r="GB2188" s="8">
        <v>0.15705193209635682</v>
      </c>
      <c r="GC2188" s="8">
        <v>0.21190218675789091</v>
      </c>
      <c r="GD2188" s="8">
        <v>0.56104875371398</v>
      </c>
      <c r="GE2188" s="8">
        <v>1.6288063891343656</v>
      </c>
      <c r="GF2188" s="8">
        <v>2.3580736153578767</v>
      </c>
      <c r="GG2188" s="8">
        <v>1.5410277012290603</v>
      </c>
      <c r="GH2188" s="8">
        <v>0.64441312055873701</v>
      </c>
      <c r="GI2188" s="8">
        <v>2.5890231464351818</v>
      </c>
    </row>
    <row r="2189" spans="182:191">
      <c r="FZ2189" s="8">
        <v>7.3377488161347646</v>
      </c>
      <c r="GA2189" s="8">
        <v>13.482240491387318</v>
      </c>
      <c r="GB2189" s="8">
        <v>3.3613234546453414</v>
      </c>
      <c r="GC2189" s="8">
        <v>0.26394440103106176</v>
      </c>
      <c r="GD2189" s="8">
        <v>0.16582587800571508</v>
      </c>
      <c r="GE2189" s="8">
        <v>1.3010863114241447</v>
      </c>
      <c r="GF2189" s="8">
        <v>7.5869306697632091</v>
      </c>
      <c r="GG2189" s="8">
        <v>5.4509523311217114</v>
      </c>
      <c r="GH2189" s="8">
        <v>0.17282465026292085</v>
      </c>
      <c r="GI2189" s="8">
        <v>4.9347551637210714</v>
      </c>
    </row>
    <row r="2190" spans="182:191">
      <c r="FZ2190" s="8">
        <v>8.7467450465685008</v>
      </c>
      <c r="GA2190" s="8">
        <v>22.668521237963741</v>
      </c>
      <c r="GB2190" s="8">
        <v>6.1713282518251091</v>
      </c>
      <c r="GC2190" s="8">
        <v>0.53404904368699713</v>
      </c>
      <c r="GD2190" s="8">
        <v>0.34912619082753671</v>
      </c>
      <c r="GE2190" s="8">
        <v>1.1315768901506464</v>
      </c>
      <c r="GF2190" s="8">
        <v>3.3761607497556616</v>
      </c>
      <c r="GG2190" s="8">
        <v>1.9651906826547476</v>
      </c>
      <c r="GH2190" s="8">
        <v>0.88020735570664521</v>
      </c>
      <c r="GI2190" s="8">
        <v>4.6179161587926227</v>
      </c>
    </row>
    <row r="2191" spans="182:191">
      <c r="FZ2191" s="8">
        <v>1.7944682800052389</v>
      </c>
      <c r="GA2191" s="8">
        <v>16.148122696911706</v>
      </c>
      <c r="GB2191" s="8">
        <v>4.9683390211101432</v>
      </c>
      <c r="GC2191" s="8">
        <v>0.7478874559371993</v>
      </c>
      <c r="GD2191" s="8">
        <v>0.9213537647454062</v>
      </c>
      <c r="GE2191" s="8">
        <v>1.9455776826481832</v>
      </c>
      <c r="GF2191" s="8">
        <v>4.3850814268558098</v>
      </c>
      <c r="GG2191" s="8">
        <v>2.5027439088398373</v>
      </c>
      <c r="GH2191" s="8">
        <v>0.17282465026292085</v>
      </c>
      <c r="GI2191" s="8">
        <v>4.776146356657053</v>
      </c>
    </row>
    <row r="2192" spans="182:191">
      <c r="FZ2192" s="8">
        <v>1.3671683512601061</v>
      </c>
      <c r="GA2192" s="8">
        <v>12.561395289482693</v>
      </c>
      <c r="GB2192" s="8">
        <v>5.1527680138424623</v>
      </c>
      <c r="GC2192" s="8">
        <v>0.914299934955219</v>
      </c>
      <c r="GD2192" s="8">
        <v>0.81984110181820591</v>
      </c>
      <c r="GE2192" s="8">
        <v>1.0212814672608841</v>
      </c>
      <c r="GF2192" s="8">
        <v>2.4679329433517019</v>
      </c>
      <c r="GG2192" s="8">
        <v>1.9651906826547476</v>
      </c>
      <c r="GH2192" s="8">
        <v>1.0530320059695661</v>
      </c>
      <c r="GI2192" s="8">
        <v>3.5635133962635051</v>
      </c>
    </row>
    <row r="2193" spans="182:191">
      <c r="FZ2193" s="8">
        <v>0.82444598466225738</v>
      </c>
      <c r="GA2193" s="8">
        <v>9.0381727096944218</v>
      </c>
      <c r="GB2193" s="8">
        <v>3.2252658433315382</v>
      </c>
      <c r="GC2193" s="8">
        <v>0.35206915999449062</v>
      </c>
      <c r="GD2193" s="8">
        <v>1.2394725649032723</v>
      </c>
      <c r="GE2193" s="8">
        <v>2.9684945517719763</v>
      </c>
      <c r="GF2193" s="8">
        <v>5.6466057342707456</v>
      </c>
      <c r="GG2193" s="8">
        <v>4.3708661431982385</v>
      </c>
      <c r="GH2193" s="8">
        <v>0.40861888541082891</v>
      </c>
      <c r="GI2193" s="8">
        <v>6.3315494863312249</v>
      </c>
    </row>
    <row r="2194" spans="182:191">
      <c r="FZ2194" s="8">
        <v>0.97002229534298157</v>
      </c>
      <c r="GA2194" s="8">
        <v>11.587074174760446</v>
      </c>
      <c r="GB2194" s="8">
        <v>5.1876684431972082</v>
      </c>
      <c r="GC2194" s="8">
        <v>0.6005821888607934</v>
      </c>
      <c r="GD2194" s="8">
        <v>0.91037567837991262</v>
      </c>
      <c r="GE2194" s="8">
        <v>1.7370502595102724</v>
      </c>
      <c r="GF2194" s="8">
        <v>5.0194292941428635</v>
      </c>
      <c r="GG2194" s="8">
        <v>4.1236289182625878</v>
      </c>
      <c r="GH2194" s="8">
        <v>0.23579423514790807</v>
      </c>
      <c r="GI2194" s="8">
        <v>4.7451333844665378</v>
      </c>
    </row>
    <row r="2195" spans="182:191">
      <c r="FZ2195" s="8">
        <v>5.8344331574909756</v>
      </c>
      <c r="GA2195" s="8">
        <v>10.359939504259625</v>
      </c>
      <c r="GB2195" s="8">
        <v>3.1729151992994193</v>
      </c>
      <c r="GC2195" s="8">
        <v>0.55976625205026354</v>
      </c>
      <c r="GD2195" s="8">
        <v>0.61409843921166285</v>
      </c>
      <c r="GE2195" s="8">
        <v>0.78742140719543308</v>
      </c>
      <c r="GF2195" s="8">
        <v>4.3433625764565038</v>
      </c>
      <c r="GG2195" s="8">
        <v>4.2206973665589356</v>
      </c>
      <c r="GH2195" s="8">
        <v>0.70738270544372439</v>
      </c>
      <c r="GI2195" s="8">
        <v>4.4557332426037872</v>
      </c>
    </row>
    <row r="2196" spans="182:191">
      <c r="FZ2196" s="8">
        <v>2.6886798659783597</v>
      </c>
      <c r="GA2196" s="8">
        <v>8.0638515949721761</v>
      </c>
      <c r="GB2196" s="8">
        <v>3.2264764915791604</v>
      </c>
      <c r="GC2196" s="8">
        <v>0.82066034286435363</v>
      </c>
      <c r="GD2196" s="8">
        <v>1.0372370748533886</v>
      </c>
      <c r="GE2196" s="8">
        <v>1.7052825052045715</v>
      </c>
      <c r="GF2196" s="8">
        <v>2.4541617986170929</v>
      </c>
      <c r="GG2196" s="8">
        <v>1.3155677205908503</v>
      </c>
      <c r="GH2196" s="8">
        <v>0</v>
      </c>
      <c r="GI2196" s="8">
        <v>3.7581401949210109</v>
      </c>
    </row>
    <row r="2197" spans="182:191">
      <c r="FZ2197" s="8">
        <v>7.3381291921736516</v>
      </c>
      <c r="GA2197" s="8">
        <v>12.58181479645005</v>
      </c>
      <c r="GB2197" s="8">
        <v>4.1242809299012269</v>
      </c>
      <c r="GC2197" s="8">
        <v>0.57206781386956662</v>
      </c>
      <c r="GD2197" s="8">
        <v>0.73738543311735594</v>
      </c>
      <c r="GE2197" s="8">
        <v>1.3378739727254279</v>
      </c>
      <c r="GF2197" s="8">
        <v>0.84883140865912055</v>
      </c>
      <c r="GG2197" s="8">
        <v>0.24723722493565062</v>
      </c>
      <c r="GH2197" s="8">
        <v>0.17282465026292085</v>
      </c>
      <c r="GI2197" s="8">
        <v>3.9061158756550984</v>
      </c>
    </row>
    <row r="2198" spans="182:191">
      <c r="FZ2198" s="8">
        <v>7.9226794379451286</v>
      </c>
      <c r="GA2198" s="8">
        <v>16.452483056081277</v>
      </c>
      <c r="GB2198" s="8">
        <v>5.8411698760360533</v>
      </c>
      <c r="GC2198" s="8">
        <v>0.69993322528686319</v>
      </c>
      <c r="GD2198" s="8">
        <v>1.2276997784846868</v>
      </c>
      <c r="GE2198" s="8">
        <v>2.350794084467009</v>
      </c>
      <c r="GF2198" s="8">
        <v>3.8233379843747404</v>
      </c>
      <c r="GG2198" s="8">
        <v>2.8565954218199106</v>
      </c>
      <c r="GH2198" s="8">
        <v>0.81723777082165783</v>
      </c>
      <c r="GI2198" s="8">
        <v>5.970400761205771</v>
      </c>
    </row>
    <row r="2199" spans="182:191">
      <c r="FZ2199" s="8">
        <v>6.8157490831406919</v>
      </c>
      <c r="GA2199" s="8">
        <v>7.4862766567452095</v>
      </c>
      <c r="GB2199" s="8">
        <v>0.42441240037115952</v>
      </c>
      <c r="GC2199" s="8">
        <v>0.63124832198254355</v>
      </c>
      <c r="GD2199" s="8">
        <v>0.96005173352533513</v>
      </c>
      <c r="GE2199" s="8">
        <v>2.297803684844467</v>
      </c>
      <c r="GF2199" s="8">
        <v>6.6663918216283431</v>
      </c>
      <c r="GG2199" s="8">
        <v>4.6879391242984099</v>
      </c>
      <c r="GH2199" s="8">
        <v>0.40861888541082891</v>
      </c>
      <c r="GI2199" s="8">
        <v>3.821267873353511</v>
      </c>
    </row>
    <row r="2200" spans="182:191">
      <c r="FZ2200" s="8">
        <v>6.6011679232268747</v>
      </c>
      <c r="GA2200" s="8">
        <v>9.1636149328703951</v>
      </c>
      <c r="GB2200" s="8">
        <v>2.6519272716691966</v>
      </c>
      <c r="GC2200" s="8">
        <v>0.21968588909513428</v>
      </c>
      <c r="GD2200" s="8">
        <v>0.76655176106457534</v>
      </c>
      <c r="GE2200" s="8">
        <v>2.0712261977075217</v>
      </c>
      <c r="GF2200" s="8">
        <v>4.1222651525258058</v>
      </c>
      <c r="GG2200" s="8">
        <v>2.8783726661173508</v>
      </c>
      <c r="GH2200" s="8">
        <v>0</v>
      </c>
      <c r="GI2200" s="8">
        <v>4.5650675302199009</v>
      </c>
    </row>
    <row r="2201" spans="182:191">
      <c r="FZ2201" s="8">
        <v>3.5428993474297403</v>
      </c>
      <c r="GA2201" s="8">
        <v>13.704243948054298</v>
      </c>
      <c r="GB2201" s="8">
        <v>3.8823113822755637</v>
      </c>
      <c r="GC2201" s="8">
        <v>0.66733086667280173</v>
      </c>
      <c r="GD2201" s="8">
        <v>0.84080882090241871</v>
      </c>
      <c r="GE2201" s="8">
        <v>1.9320711057605851</v>
      </c>
      <c r="GF2201" s="8">
        <v>4.3588901884548727</v>
      </c>
      <c r="GG2201" s="8">
        <v>2.6311354411817005</v>
      </c>
      <c r="GH2201" s="8">
        <v>0</v>
      </c>
      <c r="GI2201" s="8">
        <v>4.1129399402752558</v>
      </c>
    </row>
    <row r="2202" spans="182:191">
      <c r="FZ2202" s="8">
        <v>14.377890674452392</v>
      </c>
      <c r="GA2202" s="8">
        <v>23.768284575861966</v>
      </c>
      <c r="GB2202" s="8">
        <v>5.7026909682270048</v>
      </c>
      <c r="GC2202" s="8">
        <v>0.22033129759257142</v>
      </c>
      <c r="GD2202" s="8">
        <v>0.56735066555645031</v>
      </c>
      <c r="GE2202" s="8">
        <v>1.6922092915921669</v>
      </c>
      <c r="GF2202" s="8">
        <v>5.1434900118526334</v>
      </c>
      <c r="GG2202" s="8">
        <v>4.3490888989007974</v>
      </c>
      <c r="GH2202" s="8">
        <v>0.88020735570664521</v>
      </c>
      <c r="GI2202" s="8">
        <v>6.5132062492165597</v>
      </c>
    </row>
    <row r="2203" spans="182:191">
      <c r="FZ2203" s="8">
        <v>8.8625478604601007</v>
      </c>
      <c r="GA2203" s="8">
        <v>9.1636149328703951</v>
      </c>
      <c r="GB2203" s="8">
        <v>2.5646761982823318</v>
      </c>
      <c r="GC2203" s="8">
        <v>0.3710791397943749</v>
      </c>
      <c r="GD2203" s="8">
        <v>0.48509431797391345</v>
      </c>
      <c r="GE2203" s="8">
        <v>0.96791546851974808</v>
      </c>
      <c r="GF2203" s="8">
        <v>4.476485069310483</v>
      </c>
      <c r="GG2203" s="8">
        <v>3.4426828721531746</v>
      </c>
      <c r="GH2203" s="8">
        <v>0.17282465026292085</v>
      </c>
      <c r="GI2203" s="8">
        <v>4.0764449329362566</v>
      </c>
    </row>
    <row r="2204" spans="182:191">
      <c r="FZ2204" s="8">
        <v>4.222149397450158</v>
      </c>
      <c r="GA2204" s="8">
        <v>7.0872841735112573</v>
      </c>
      <c r="GB2204" s="8">
        <v>1.4977445788811696</v>
      </c>
      <c r="GC2204" s="8">
        <v>1.1479297680124705</v>
      </c>
      <c r="GD2204" s="8">
        <v>1.0616428736704344</v>
      </c>
      <c r="GE2204" s="8">
        <v>0.64718753265769946</v>
      </c>
      <c r="GF2204" s="8">
        <v>4.5978634142605577</v>
      </c>
      <c r="GG2204" s="8">
        <v>4.7732518803264847</v>
      </c>
      <c r="GH2204" s="8">
        <v>0.94317694059163226</v>
      </c>
      <c r="GI2204" s="8">
        <v>3.8161432583723123</v>
      </c>
    </row>
    <row r="2205" spans="182:191">
      <c r="FZ2205" s="8">
        <v>2.2911534340223501</v>
      </c>
      <c r="GA2205" s="8">
        <v>12.729922833332054</v>
      </c>
      <c r="GB2205" s="8">
        <v>3.7788207424589482</v>
      </c>
      <c r="GC2205" s="8">
        <v>0.98040320426979033</v>
      </c>
      <c r="GD2205" s="8">
        <v>0.90057607369768355</v>
      </c>
      <c r="GE2205" s="8">
        <v>1.0398230638896111</v>
      </c>
      <c r="GF2205" s="8">
        <v>3.2968475554388172</v>
      </c>
      <c r="GG2205" s="8">
        <v>2.6093581968842599</v>
      </c>
      <c r="GH2205" s="8">
        <v>0.47158847029581613</v>
      </c>
      <c r="GI2205" s="8">
        <v>4.0500426894808097</v>
      </c>
    </row>
    <row r="2206" spans="182:191">
      <c r="FZ2206" s="8">
        <v>9.613399286443272</v>
      </c>
      <c r="GA2206" s="8">
        <v>4.7915134615358523</v>
      </c>
      <c r="GB2206" s="8">
        <v>0.32679932451728327</v>
      </c>
      <c r="GC2206" s="8">
        <v>0.92771558149918243</v>
      </c>
      <c r="GD2206" s="8">
        <v>0.83475794287772365</v>
      </c>
      <c r="GE2206" s="8">
        <v>1.4194522535549772</v>
      </c>
      <c r="GF2206" s="8">
        <v>6.2713541311544372</v>
      </c>
      <c r="GG2206" s="8">
        <v>4.5110133678083741</v>
      </c>
      <c r="GH2206" s="8">
        <v>0.17282465026292085</v>
      </c>
      <c r="GI2206" s="8">
        <v>3.6878166483685817</v>
      </c>
    </row>
    <row r="2207" spans="182:191">
      <c r="FZ2207" s="8">
        <v>5.7711218926357992E-2</v>
      </c>
      <c r="GA2207" s="8">
        <v>5.6938682658997468</v>
      </c>
      <c r="GB2207" s="8">
        <v>2.5146590121077712</v>
      </c>
      <c r="GC2207" s="8">
        <v>0.62917606398050474</v>
      </c>
      <c r="GD2207" s="8">
        <v>0.94754882785749484</v>
      </c>
      <c r="GE2207" s="8">
        <v>1.9166382907318447</v>
      </c>
      <c r="GF2207" s="8">
        <v>4.5701338124667048</v>
      </c>
      <c r="GG2207" s="8">
        <v>2.9972183587111387</v>
      </c>
      <c r="GH2207" s="8">
        <v>0</v>
      </c>
      <c r="GI2207" s="8">
        <v>3.5863645082986402</v>
      </c>
    </row>
    <row r="2208" spans="182:191">
      <c r="FZ2208" s="8">
        <v>9.6292826261960016</v>
      </c>
      <c r="GA2208" s="8">
        <v>9.9385984046316889</v>
      </c>
      <c r="GB2208" s="8">
        <v>2.6043313819898808</v>
      </c>
      <c r="GC2208" s="8">
        <v>0.19375314809365582</v>
      </c>
      <c r="GD2208" s="8">
        <v>0.90622525903338302</v>
      </c>
      <c r="GE2208" s="8">
        <v>2.6816440920839835</v>
      </c>
      <c r="GF2208" s="8">
        <v>5.264779154208675</v>
      </c>
      <c r="GG2208" s="8">
        <v>3.5710744044950373</v>
      </c>
      <c r="GH2208" s="8">
        <v>0.3456493005258417</v>
      </c>
      <c r="GI2208" s="8">
        <v>5.3524044482195423</v>
      </c>
    </row>
    <row r="2209" spans="182:191">
      <c r="FZ2209" s="8">
        <v>2.3070367737750797</v>
      </c>
      <c r="GA2209" s="8">
        <v>18.076345419388844</v>
      </c>
      <c r="GB2209" s="8">
        <v>6.2934797545667198</v>
      </c>
      <c r="GC2209" s="8">
        <v>0.44668680430028873</v>
      </c>
      <c r="GD2209" s="8">
        <v>0.70356008569106132</v>
      </c>
      <c r="GE2209" s="8">
        <v>1.4961247754966038</v>
      </c>
      <c r="GF2209" s="8">
        <v>3.1119067114855787</v>
      </c>
      <c r="GG2209" s="8">
        <v>2.4809666645423967</v>
      </c>
      <c r="GH2209" s="8">
        <v>0.47158847029581613</v>
      </c>
      <c r="GI2209" s="8">
        <v>3.9549552838341433</v>
      </c>
    </row>
    <row r="2210" spans="182:191">
      <c r="FZ2210" s="8">
        <v>3.6583217852824563</v>
      </c>
      <c r="GA2210" s="8">
        <v>12.750342340299412</v>
      </c>
      <c r="GB2210" s="8">
        <v>2.730462147345095</v>
      </c>
      <c r="GC2210" s="8">
        <v>0.35511947021146228</v>
      </c>
      <c r="GD2210" s="8">
        <v>1.140423239506791</v>
      </c>
      <c r="GE2210" s="8">
        <v>3.228140015265748</v>
      </c>
      <c r="GF2210" s="8">
        <v>2.1146141032771038</v>
      </c>
      <c r="GG2210" s="8">
        <v>0.60108873791572359</v>
      </c>
      <c r="GH2210" s="8">
        <v>0.47158847029581613</v>
      </c>
      <c r="GI2210" s="8">
        <v>5.1772878818048067</v>
      </c>
    </row>
    <row r="2211" spans="182:191">
      <c r="FZ2211" s="8">
        <v>9.7744785608378404</v>
      </c>
      <c r="GA2211" s="8">
        <v>12.234686313919138</v>
      </c>
      <c r="GB2211" s="8">
        <v>2.534530523280389</v>
      </c>
      <c r="GC2211" s="8">
        <v>1.0518852742020703</v>
      </c>
      <c r="GD2211" s="8">
        <v>1.4992317300382574</v>
      </c>
      <c r="GE2211" s="8">
        <v>2.4488684449726499</v>
      </c>
      <c r="GF2211" s="8">
        <v>3.811348135689749</v>
      </c>
      <c r="GG2211" s="8">
        <v>2.2555066839041871</v>
      </c>
      <c r="GH2211" s="8">
        <v>0</v>
      </c>
      <c r="GI2211" s="8">
        <v>5.2648116669210143</v>
      </c>
    </row>
    <row r="2212" spans="182:191">
      <c r="FZ2212" s="8">
        <v>8.9500325761755821</v>
      </c>
      <c r="GA2212" s="8">
        <v>11.459702842157846</v>
      </c>
      <c r="GB2212" s="8">
        <v>2.7566285597334348</v>
      </c>
      <c r="GC2212" s="8">
        <v>0.50209209357037266</v>
      </c>
      <c r="GD2212" s="8">
        <v>0.58992898174065322</v>
      </c>
      <c r="GE2212" s="8">
        <v>1.4204577540457286</v>
      </c>
      <c r="GF2212" s="8">
        <v>6.6525339640219343</v>
      </c>
      <c r="GG2212" s="8">
        <v>5.7830265998043426</v>
      </c>
      <c r="GH2212" s="8">
        <v>0.94317694059163226</v>
      </c>
      <c r="GI2212" s="8">
        <v>5.0554916952861921</v>
      </c>
    </row>
    <row r="2213" spans="182:191">
      <c r="FZ2213" s="8">
        <v>10.056202178902248</v>
      </c>
      <c r="GA2213" s="8">
        <v>13.408345071602337</v>
      </c>
      <c r="GB2213" s="8">
        <v>2.7205174821310663</v>
      </c>
      <c r="GC2213" s="8">
        <v>0.87101947523422407</v>
      </c>
      <c r="GD2213" s="8">
        <v>0.98616553085976877</v>
      </c>
      <c r="GE2213" s="8">
        <v>1.1397055787462154</v>
      </c>
      <c r="GF2213" s="8">
        <v>4.0444354083054375</v>
      </c>
      <c r="GG2213" s="8">
        <v>3.4912170963013489</v>
      </c>
      <c r="GH2213" s="8">
        <v>0.40861888541082891</v>
      </c>
      <c r="GI2213" s="8">
        <v>4.4175356430781294</v>
      </c>
    </row>
    <row r="2214" spans="182:191">
      <c r="FZ2214" s="8">
        <v>3.4554146317142589</v>
      </c>
      <c r="GA2214" s="8">
        <v>16.546797982833617</v>
      </c>
      <c r="GB2214" s="8">
        <v>5.3987168240817285</v>
      </c>
      <c r="GC2214" s="8">
        <v>0.30974687355087455</v>
      </c>
      <c r="GD2214" s="8">
        <v>0.58081530692347583</v>
      </c>
      <c r="GE2214" s="8">
        <v>1.5091979891090084</v>
      </c>
      <c r="GF2214" s="8">
        <v>4.1583101908456088</v>
      </c>
      <c r="GG2214" s="8">
        <v>3.5492971601975971</v>
      </c>
      <c r="GH2214" s="8">
        <v>0.47158847029581613</v>
      </c>
      <c r="GI2214" s="8">
        <v>5.0039834509181302</v>
      </c>
    </row>
    <row r="2215" spans="182:191">
      <c r="FZ2215" s="8">
        <v>6.6170512629796043</v>
      </c>
      <c r="GA2215" s="8">
        <v>16.880020847999614</v>
      </c>
      <c r="GB2215" s="8">
        <v>5.6864514017972549</v>
      </c>
      <c r="GC2215" s="8">
        <v>0.55847543505538932</v>
      </c>
      <c r="GD2215" s="8">
        <v>1.206178913448257</v>
      </c>
      <c r="GE2215" s="8">
        <v>2.2089424258885129</v>
      </c>
      <c r="GF2215" s="8">
        <v>2.0860840242260084</v>
      </c>
      <c r="GG2215" s="8">
        <v>1.3155677205908503</v>
      </c>
      <c r="GH2215" s="8">
        <v>0.17282465026292085</v>
      </c>
      <c r="GI2215" s="8">
        <v>5.243038309349429</v>
      </c>
    </row>
    <row r="2216" spans="182:191">
      <c r="FZ2216" s="8">
        <v>1.3094571323337481</v>
      </c>
      <c r="GA2216" s="8">
        <v>5.9136254158280579</v>
      </c>
      <c r="GB2216" s="8">
        <v>1.4838384703089775</v>
      </c>
      <c r="GC2216" s="8">
        <v>0.47150546057710685</v>
      </c>
      <c r="GD2216" s="8">
        <v>1.0391696974399067</v>
      </c>
      <c r="GE2216" s="8">
        <v>2.8581815110600681</v>
      </c>
      <c r="GF2216" s="8">
        <v>5.1076993030483351</v>
      </c>
      <c r="GG2216" s="8">
        <v>2.9967426464300475</v>
      </c>
      <c r="GH2216" s="8">
        <v>0.23579423514790807</v>
      </c>
      <c r="GI2216" s="8">
        <v>3.6378892540548837</v>
      </c>
    </row>
    <row r="2217" spans="182:191">
      <c r="FZ2217" s="8">
        <v>2.8338758006201989</v>
      </c>
      <c r="GA2217" s="8">
        <v>12.929260476293006</v>
      </c>
      <c r="GB2217" s="8">
        <v>4.0021294271596162</v>
      </c>
      <c r="GC2217" s="8">
        <v>0.37215442415103706</v>
      </c>
      <c r="GD2217" s="8">
        <v>0.69531383398516677</v>
      </c>
      <c r="GE2217" s="8">
        <v>2.0720352923268521</v>
      </c>
      <c r="GF2217" s="8">
        <v>3.9418105948476558</v>
      </c>
      <c r="GG2217" s="8">
        <v>2.2555066839041871</v>
      </c>
      <c r="GH2217" s="8">
        <v>0.3456493005258417</v>
      </c>
      <c r="GI2217" s="8">
        <v>4.4548022909033218</v>
      </c>
    </row>
    <row r="2218" spans="182:191">
      <c r="FZ2218" s="8">
        <v>11.660198063762682</v>
      </c>
      <c r="GA2218" s="8">
        <v>3.3443044437946754</v>
      </c>
      <c r="GB2218" s="8">
        <v>0.63959532426665244</v>
      </c>
      <c r="GC2218" s="8">
        <v>0.21254759525532801</v>
      </c>
      <c r="GD2218" s="8">
        <v>0.7415373035610946</v>
      </c>
      <c r="GE2218" s="8">
        <v>1.9598675101704077</v>
      </c>
      <c r="GF2218" s="8">
        <v>4.8152630789394397</v>
      </c>
      <c r="GG2218" s="8">
        <v>3.6196086286432112</v>
      </c>
      <c r="GH2218" s="8">
        <v>0.23579423514790807</v>
      </c>
      <c r="GI2218" s="8">
        <v>4.6358839584856879</v>
      </c>
    </row>
    <row r="2219" spans="182:191">
      <c r="FZ2219" s="8">
        <v>2.7463910849047179</v>
      </c>
      <c r="GA2219" s="8">
        <v>4.9393043011058113</v>
      </c>
      <c r="GB2219" s="8">
        <v>1.6222295394803388</v>
      </c>
      <c r="GC2219" s="8">
        <v>1.0901195770228518</v>
      </c>
      <c r="GD2219" s="8">
        <v>1.2922879015569975</v>
      </c>
      <c r="GE2219" s="8">
        <v>1.6851231245350817</v>
      </c>
      <c r="GF2219" s="8">
        <v>3.7272274620519013</v>
      </c>
      <c r="GG2219" s="8">
        <v>3.0552984226073874</v>
      </c>
      <c r="GH2219" s="8">
        <v>0.23579423514790807</v>
      </c>
      <c r="GI2219" s="8">
        <v>4.4995852243867578</v>
      </c>
    </row>
    <row r="2220" spans="182:191">
      <c r="FZ2220" s="8">
        <v>8.0678753725869683</v>
      </c>
      <c r="GA2220" s="8">
        <v>18.748570965368728</v>
      </c>
      <c r="GB2220" s="8">
        <v>5.8574094424658032</v>
      </c>
      <c r="GC2220" s="8">
        <v>0.76234077588702576</v>
      </c>
      <c r="GD2220" s="8">
        <v>0.8941381954557317</v>
      </c>
      <c r="GE2220" s="8">
        <v>1.5890004409573881</v>
      </c>
      <c r="GF2220" s="8">
        <v>4.8445628437015671</v>
      </c>
      <c r="GG2220" s="8">
        <v>3.6196086286432112</v>
      </c>
      <c r="GH2220" s="8">
        <v>0.40861888541082891</v>
      </c>
      <c r="GI2220" s="8">
        <v>5.3221143594047398</v>
      </c>
    </row>
    <row r="2221" spans="182:191">
      <c r="FZ2221" s="8">
        <v>7.8649682190187704</v>
      </c>
      <c r="GA2221" s="8">
        <v>14.082499727008848</v>
      </c>
      <c r="GB2221" s="8">
        <v>5.2190247664467737</v>
      </c>
      <c r="GC2221" s="8">
        <v>0.85967608669229989</v>
      </c>
      <c r="GD2221" s="8">
        <v>1.1673708449469458</v>
      </c>
      <c r="GE2221" s="8">
        <v>1.8290586609972275</v>
      </c>
      <c r="GF2221" s="8">
        <v>0.9673040191320359</v>
      </c>
      <c r="GG2221" s="8">
        <v>0.1769257564900365</v>
      </c>
      <c r="GH2221" s="8">
        <v>0.40861888541082891</v>
      </c>
      <c r="GI2221" s="8">
        <v>4.1500666862545579</v>
      </c>
    </row>
    <row r="2222" spans="182:191">
      <c r="FZ2222" s="8">
        <v>0.54272236659784878</v>
      </c>
      <c r="GA2222" s="8">
        <v>0</v>
      </c>
      <c r="GB2222" s="8">
        <v>8.6040425139242482E-2</v>
      </c>
      <c r="GC2222" s="8">
        <v>0.60772048270059964</v>
      </c>
      <c r="GD2222" s="8">
        <v>0.8660981863996956</v>
      </c>
      <c r="GE2222" s="8">
        <v>1.3409887898866346</v>
      </c>
      <c r="GF2222" s="8">
        <v>2.3182227738799863</v>
      </c>
      <c r="GG2222" s="8">
        <v>1.7397307020165371</v>
      </c>
      <c r="GH2222" s="8">
        <v>0.23579423514790807</v>
      </c>
      <c r="GI2222" s="8">
        <v>1.7902090089170759</v>
      </c>
    </row>
    <row r="2223" spans="182:191">
      <c r="FZ2223" s="8">
        <v>5.4067528527069575</v>
      </c>
      <c r="GA2223" s="8">
        <v>19.324216794169068</v>
      </c>
      <c r="GB2223" s="8">
        <v>5.6027444345155706</v>
      </c>
      <c r="GC2223" s="8">
        <v>0.41688161231418769</v>
      </c>
      <c r="GD2223" s="8">
        <v>0.83891623211558286</v>
      </c>
      <c r="GE2223" s="8">
        <v>2.2427617327080696</v>
      </c>
      <c r="GF2223" s="8">
        <v>6.2619488239006911</v>
      </c>
      <c r="GG2223" s="8">
        <v>4.7950291246239249</v>
      </c>
      <c r="GH2223" s="8">
        <v>0.64441312055873701</v>
      </c>
      <c r="GI2223" s="8">
        <v>5.7396032420561314</v>
      </c>
    </row>
    <row r="2224" spans="182:191">
      <c r="FZ2224" s="8">
        <v>7.5251530059891198</v>
      </c>
      <c r="GA2224" s="8">
        <v>7.1614967906082807</v>
      </c>
      <c r="GB2224" s="8">
        <v>0.82800357961257443</v>
      </c>
      <c r="GC2224" s="8">
        <v>0.68113877812519097</v>
      </c>
      <c r="GD2224" s="8">
        <v>0.84640648017373354</v>
      </c>
      <c r="GE2224" s="8">
        <v>1.7910285418014196</v>
      </c>
      <c r="GF2224" s="8">
        <v>4.8305820475786998</v>
      </c>
      <c r="GG2224" s="8">
        <v>2.9972183587111387</v>
      </c>
      <c r="GH2224" s="8">
        <v>0.3456493005258417</v>
      </c>
      <c r="GI2224" s="8">
        <v>3.9921526159289726</v>
      </c>
    </row>
    <row r="2225" spans="182:191">
      <c r="FZ2225" s="8">
        <v>1.3671683512601061</v>
      </c>
      <c r="GA2225" s="8">
        <v>9.2375103526553755</v>
      </c>
      <c r="GB2225" s="8">
        <v>3.2403826001513529</v>
      </c>
      <c r="GC2225" s="8">
        <v>0.64724560251625529</v>
      </c>
      <c r="GD2225" s="8">
        <v>0.66207622061452476</v>
      </c>
      <c r="GE2225" s="8">
        <v>0.97230547414317248</v>
      </c>
      <c r="GF2225" s="8">
        <v>6.7662001032029977</v>
      </c>
      <c r="GG2225" s="8">
        <v>6.277501049675644</v>
      </c>
      <c r="GH2225" s="8">
        <v>0.94317694059163226</v>
      </c>
      <c r="GI2225" s="8">
        <v>3.9761264345629188</v>
      </c>
    </row>
    <row r="2226" spans="182:191">
      <c r="FZ2226" s="8">
        <v>6.6007875471879895</v>
      </c>
      <c r="GA2226" s="8">
        <v>17.373328257985904</v>
      </c>
      <c r="GB2226" s="8">
        <v>3.9287844623449431</v>
      </c>
      <c r="GC2226" s="8">
        <v>0.53254269405391086</v>
      </c>
      <c r="GD2226" s="8">
        <v>0.55123101296072452</v>
      </c>
      <c r="GE2226" s="8">
        <v>1.4982344973649577</v>
      </c>
      <c r="GF2226" s="8">
        <v>5.129741206181647</v>
      </c>
      <c r="GG2226" s="8">
        <v>3.3723714037075605</v>
      </c>
      <c r="GH2226" s="8">
        <v>0.58144353567374973</v>
      </c>
      <c r="GI2226" s="8">
        <v>4.3623922864664459</v>
      </c>
    </row>
    <row r="2227" spans="182:191">
      <c r="FZ2227" s="8">
        <v>3.1039254123389872</v>
      </c>
      <c r="GA2227" s="8">
        <v>9.0585922166617809</v>
      </c>
      <c r="GB2227" s="8">
        <v>1.9699259685844543</v>
      </c>
      <c r="GC2227" s="8">
        <v>1.4163920285255918</v>
      </c>
      <c r="GD2227" s="8">
        <v>1.048802895274535</v>
      </c>
      <c r="GE2227" s="8">
        <v>1.1234852226028098</v>
      </c>
      <c r="GF2227" s="8">
        <v>4.6798815988028739</v>
      </c>
      <c r="GG2227" s="8">
        <v>3.0552984226073874</v>
      </c>
      <c r="GH2227" s="8">
        <v>0.58144353567374973</v>
      </c>
      <c r="GI2227" s="8">
        <v>3.7536585579611508</v>
      </c>
    </row>
    <row r="2228" spans="182:191">
      <c r="FZ2228" s="8">
        <v>1.3671683512601061</v>
      </c>
      <c r="GA2228" s="8">
        <v>3.5436420867556286</v>
      </c>
      <c r="GB2228" s="8">
        <v>0.77565293558045545</v>
      </c>
      <c r="GC2228" s="8">
        <v>0.40553822377226334</v>
      </c>
      <c r="GD2228" s="8">
        <v>0.27968358247261843</v>
      </c>
      <c r="GE2228" s="8">
        <v>0.62216375502843735</v>
      </c>
      <c r="GF2228" s="8">
        <v>3.3559237681668934</v>
      </c>
      <c r="GG2228" s="8">
        <v>2.2555066839041871</v>
      </c>
      <c r="GH2228" s="8">
        <v>0.3456493005258417</v>
      </c>
      <c r="GI2228" s="8">
        <v>1.4763432205628817</v>
      </c>
    </row>
    <row r="2229" spans="182:191">
      <c r="FZ2229" s="8">
        <v>7.5251530059891198</v>
      </c>
      <c r="GA2229" s="8">
        <v>20.919216651480202</v>
      </c>
      <c r="GB2229" s="8">
        <v>6.2562458673544157</v>
      </c>
      <c r="GC2229" s="8">
        <v>0.97566981214951842</v>
      </c>
      <c r="GD2229" s="8">
        <v>0.88273572428058533</v>
      </c>
      <c r="GE2229" s="8">
        <v>1.2010250085182661</v>
      </c>
      <c r="GF2229" s="8">
        <v>1.8469021550612146</v>
      </c>
      <c r="GG2229" s="8">
        <v>1.0252517193414108</v>
      </c>
      <c r="GH2229" s="8">
        <v>0.88020735570664521</v>
      </c>
      <c r="GI2229" s="8">
        <v>4.7524346267362434</v>
      </c>
    </row>
    <row r="2230" spans="182:191">
      <c r="FZ2230" s="8">
        <v>3.1039254123389872</v>
      </c>
      <c r="GA2230" s="8">
        <v>7.64251049534424</v>
      </c>
      <c r="GB2230" s="8">
        <v>2.7252722364838693</v>
      </c>
      <c r="GC2230" s="8">
        <v>1.0853861849025801</v>
      </c>
      <c r="GD2230" s="8">
        <v>1.3223692954583877</v>
      </c>
      <c r="GE2230" s="8">
        <v>2.0363436262406136</v>
      </c>
      <c r="GF2230" s="8">
        <v>2.4587596265498366</v>
      </c>
      <c r="GG2230" s="8">
        <v>1.3641019447390237</v>
      </c>
      <c r="GH2230" s="8">
        <v>0.23579423514790807</v>
      </c>
      <c r="GI2230" s="8">
        <v>4.2820016751815064</v>
      </c>
    </row>
    <row r="2231" spans="182:191">
      <c r="FZ2231" s="8">
        <v>8.0678753725869683</v>
      </c>
      <c r="GA2231" s="8">
        <v>5.3895263904187116</v>
      </c>
      <c r="GB2231" s="8">
        <v>0.82343388009317953</v>
      </c>
      <c r="GC2231" s="8">
        <v>0.71158937860872917</v>
      </c>
      <c r="GD2231" s="8">
        <v>1.0255768202804725</v>
      </c>
      <c r="GE2231" s="8">
        <v>2.1617957354285315</v>
      </c>
      <c r="GF2231" s="8">
        <v>4.282027376445841</v>
      </c>
      <c r="GG2231" s="8">
        <v>2.8783726661173508</v>
      </c>
      <c r="GH2231" s="8">
        <v>0</v>
      </c>
      <c r="GI2231" s="8">
        <v>3.4273028383579844</v>
      </c>
    </row>
    <row r="2232" spans="182:191">
      <c r="FZ2232" s="8">
        <v>12.671287486201521</v>
      </c>
      <c r="GA2232" s="8">
        <v>14.353803680328156</v>
      </c>
      <c r="GB2232" s="8">
        <v>2.8519081777297521</v>
      </c>
      <c r="GC2232" s="8">
        <v>0.74290092022791643</v>
      </c>
      <c r="GD2232" s="8">
        <v>1.1461379426437643</v>
      </c>
      <c r="GE2232" s="8">
        <v>1.5839981517839528</v>
      </c>
      <c r="GF2232" s="8">
        <v>1.9368446864830349</v>
      </c>
      <c r="GG2232" s="8">
        <v>1.3155677205908503</v>
      </c>
      <c r="GH2232" s="8">
        <v>0.3456493005258417</v>
      </c>
      <c r="GI2232" s="8">
        <v>5.3421575182492171</v>
      </c>
    </row>
    <row r="2233" spans="182:191">
      <c r="FZ2233" s="8">
        <v>1.3671683512601061</v>
      </c>
      <c r="GA2233" s="8">
        <v>12.9600705754046</v>
      </c>
      <c r="GB2233" s="8">
        <v>5.1980304456642195</v>
      </c>
      <c r="GC2233" s="8">
        <v>0.69365587258270611</v>
      </c>
      <c r="GD2233" s="8">
        <v>0.78671836923078042</v>
      </c>
      <c r="GE2233" s="8">
        <v>1.4215361314386266</v>
      </c>
      <c r="GF2233" s="8">
        <v>4.9750253028594749</v>
      </c>
      <c r="GG2233" s="8">
        <v>3.4426828721531746</v>
      </c>
      <c r="GH2233" s="8">
        <v>0.17282465026292085</v>
      </c>
      <c r="GI2233" s="8">
        <v>4.1919348100557796</v>
      </c>
    </row>
    <row r="2234" spans="182:191">
      <c r="FZ2234" s="8">
        <v>12.584183146524925</v>
      </c>
      <c r="GA2234" s="8">
        <v>7.0360545674323074</v>
      </c>
      <c r="GB2234" s="8">
        <v>1.2605297856083095</v>
      </c>
      <c r="GC2234" s="8">
        <v>0.1777558675599441</v>
      </c>
      <c r="GD2234" s="8">
        <v>0.61968438120607194</v>
      </c>
      <c r="GE2234" s="8">
        <v>1.5644510546644743</v>
      </c>
      <c r="GF2234" s="8">
        <v>8.2122167619060527</v>
      </c>
      <c r="GG2234" s="8">
        <v>7.3676087896282851</v>
      </c>
      <c r="GH2234" s="8">
        <v>0.64441312055873701</v>
      </c>
      <c r="GI2234" s="8">
        <v>6.1269605560870453</v>
      </c>
    </row>
    <row r="2235" spans="182:191">
      <c r="FZ2235" s="8">
        <v>6.0863832787662604</v>
      </c>
      <c r="GA2235" s="8">
        <v>1.1736587576831998</v>
      </c>
      <c r="GB2235" s="8">
        <v>0.39781083147439761</v>
      </c>
      <c r="GC2235" s="8">
        <v>0.80186589570268141</v>
      </c>
      <c r="GD2235" s="8">
        <v>0.92787290876501261</v>
      </c>
      <c r="GE2235" s="8">
        <v>1.6573267201252588</v>
      </c>
      <c r="GF2235" s="8">
        <v>3.919426167633957</v>
      </c>
      <c r="GG2235" s="8">
        <v>2.9849869541617733</v>
      </c>
      <c r="GH2235" s="8">
        <v>0.47158847029581613</v>
      </c>
      <c r="GI2235" s="8">
        <v>3.3509160664463717</v>
      </c>
    </row>
    <row r="2236" spans="182:191">
      <c r="FZ2236" s="8">
        <v>8.2044030560095376</v>
      </c>
      <c r="GA2236" s="8">
        <v>9.1636149328703951</v>
      </c>
      <c r="GB2236" s="8">
        <v>2.7217281303786889</v>
      </c>
      <c r="GC2236" s="8">
        <v>0.24450454537195243</v>
      </c>
      <c r="GD2236" s="8">
        <v>0.47244679973879156</v>
      </c>
      <c r="GE2236" s="8">
        <v>1.599334031329281</v>
      </c>
      <c r="GF2236" s="8">
        <v>4.0498886267918639</v>
      </c>
      <c r="GG2236" s="8">
        <v>2.9849869541617733</v>
      </c>
      <c r="GH2236" s="8">
        <v>0.81723777082165783</v>
      </c>
      <c r="GI2236" s="8">
        <v>3.8409551263609272</v>
      </c>
    </row>
    <row r="2237" spans="182:191">
      <c r="FZ2237" s="8">
        <v>7.5247726299502338</v>
      </c>
      <c r="GA2237" s="8">
        <v>16.325111723478678</v>
      </c>
      <c r="GB2237" s="8">
        <v>3.3589899967877828</v>
      </c>
      <c r="GC2237" s="8">
        <v>0.31534120680679545</v>
      </c>
      <c r="GD2237" s="8">
        <v>0.77482521691111572</v>
      </c>
      <c r="GE2237" s="8">
        <v>1.9977012234947948</v>
      </c>
      <c r="GF2237" s="8">
        <v>4.2257676956008936</v>
      </c>
      <c r="GG2237" s="8">
        <v>3.0552984226073874</v>
      </c>
      <c r="GH2237" s="8">
        <v>0.58144353567374973</v>
      </c>
      <c r="GI2237" s="8">
        <v>4.5478372157455249</v>
      </c>
    </row>
    <row r="2238" spans="182:191">
      <c r="FZ2238" s="8">
        <v>4.9681592936550896</v>
      </c>
      <c r="GA2238" s="8">
        <v>1.1736587576831998</v>
      </c>
      <c r="GB2238" s="8">
        <v>0.29310954341015977</v>
      </c>
      <c r="GC2238" s="8">
        <v>0.6174404105301543</v>
      </c>
      <c r="GD2238" s="8">
        <v>1.0171026305955362</v>
      </c>
      <c r="GE2238" s="8">
        <v>1.8588007067737777</v>
      </c>
      <c r="GF2238" s="8">
        <v>4.8963811948008269</v>
      </c>
      <c r="GG2238" s="8">
        <v>3.818311629430688</v>
      </c>
      <c r="GH2238" s="8">
        <v>0</v>
      </c>
      <c r="GI2238" s="8">
        <v>3.2634644449055066</v>
      </c>
    </row>
    <row r="2239" spans="182:191">
      <c r="FZ2239" s="8">
        <v>2.718453362767483</v>
      </c>
      <c r="GA2239" s="8">
        <v>13.128598119253958</v>
      </c>
      <c r="GB2239" s="8">
        <v>4.1195261755484234</v>
      </c>
      <c r="GC2239" s="8">
        <v>0.90900063446599466</v>
      </c>
      <c r="GD2239" s="8">
        <v>1.0341144783189034</v>
      </c>
      <c r="GE2239" s="8">
        <v>1.7952070288078765</v>
      </c>
      <c r="GF2239" s="8">
        <v>1.6160738697281121</v>
      </c>
      <c r="GG2239" s="8">
        <v>0.42416298142568709</v>
      </c>
      <c r="GH2239" s="8">
        <v>0.58144353567374973</v>
      </c>
      <c r="GI2239" s="8">
        <v>4.7014341865321132</v>
      </c>
    </row>
    <row r="2240" spans="182:191">
      <c r="FZ2240" s="8">
        <v>2.2334422150959923</v>
      </c>
      <c r="GA2240" s="8">
        <v>7.9899561751871957</v>
      </c>
      <c r="GB2240" s="8">
        <v>2.5844598708172635</v>
      </c>
      <c r="GC2240" s="8">
        <v>0.98883231510447067</v>
      </c>
      <c r="GD2240" s="8">
        <v>1.1231681999502625</v>
      </c>
      <c r="GE2240" s="8">
        <v>1.8371115624161509</v>
      </c>
      <c r="GF2240" s="8">
        <v>4.1991279645348376</v>
      </c>
      <c r="GG2240" s="8">
        <v>2.6311354411817005</v>
      </c>
      <c r="GH2240" s="8">
        <v>0.3456493005258417</v>
      </c>
      <c r="GI2240" s="8">
        <v>3.3968274925172</v>
      </c>
    </row>
    <row r="2241" spans="182:191">
      <c r="FZ2241" s="8">
        <v>6.7165903610795912</v>
      </c>
      <c r="GA2241" s="8">
        <v>13.903581591015254</v>
      </c>
      <c r="GB2241" s="8">
        <v>4.0370298565143621</v>
      </c>
      <c r="GC2241" s="8">
        <v>0.75696197526931697</v>
      </c>
      <c r="GD2241" s="8">
        <v>0.63366425858276276</v>
      </c>
      <c r="GE2241" s="8">
        <v>1.1060654651738322</v>
      </c>
      <c r="GF2241" s="8">
        <v>3.9768549650336937</v>
      </c>
      <c r="GG2241" s="8">
        <v>2.7985153579236619</v>
      </c>
      <c r="GH2241" s="8">
        <v>0.58144353567374973</v>
      </c>
      <c r="GI2241" s="8">
        <v>4.4697211665252876</v>
      </c>
    </row>
    <row r="2242" spans="182:191">
      <c r="FZ2242" s="8">
        <v>6.9406027602176419</v>
      </c>
      <c r="GA2242" s="8">
        <v>12.507919376665072</v>
      </c>
      <c r="GB2242" s="8">
        <v>3.2915225959358496</v>
      </c>
      <c r="GC2242" s="8">
        <v>0.53598526917930833</v>
      </c>
      <c r="GD2242" s="8">
        <v>0.5577501569803307</v>
      </c>
      <c r="GE2242" s="8">
        <v>1.6429787232485353</v>
      </c>
      <c r="GF2242" s="8">
        <v>3.5354521419469558</v>
      </c>
      <c r="GG2242" s="8">
        <v>1.5628049455265007</v>
      </c>
      <c r="GH2242" s="8">
        <v>0.17282465026292085</v>
      </c>
      <c r="GI2242" s="8">
        <v>3.4153536755250129</v>
      </c>
    </row>
    <row r="2243" spans="182:191">
      <c r="FZ2243" s="8">
        <v>7.9226794379451286</v>
      </c>
      <c r="GA2243" s="8">
        <v>14.082499727008848</v>
      </c>
      <c r="GB2243" s="8">
        <v>5.3050651915860154</v>
      </c>
      <c r="GC2243" s="8">
        <v>0.79020974238081554</v>
      </c>
      <c r="GD2243" s="8">
        <v>0.70430325967976848</v>
      </c>
      <c r="GE2243" s="8">
        <v>1.178781749965127</v>
      </c>
      <c r="GF2243" s="8">
        <v>4.5117380828556293</v>
      </c>
      <c r="GG2243" s="8">
        <v>3.1954456472175239</v>
      </c>
      <c r="GH2243" s="8">
        <v>0</v>
      </c>
      <c r="GI2243" s="8">
        <v>5.035188157449527</v>
      </c>
    </row>
    <row r="2244" spans="182:191">
      <c r="FZ2244" s="8">
        <v>11.805393998404522</v>
      </c>
      <c r="GA2244" s="8">
        <v>11.334260618981871</v>
      </c>
      <c r="GB2244" s="8">
        <v>3.2427160580089112</v>
      </c>
      <c r="GC2244" s="8">
        <v>0.92900639849405664</v>
      </c>
      <c r="GD2244" s="8">
        <v>0.92338873872584426</v>
      </c>
      <c r="GE2244" s="8">
        <v>1.3633319240256816</v>
      </c>
      <c r="GF2244" s="8">
        <v>2.8021131250479137</v>
      </c>
      <c r="GG2244" s="8">
        <v>1.5628049455265007</v>
      </c>
      <c r="GH2244" s="8">
        <v>0.17282465026292085</v>
      </c>
      <c r="GI2244" s="8">
        <v>4.8615973627421791</v>
      </c>
    </row>
    <row r="2245" spans="182:191">
      <c r="FZ2245" s="8">
        <v>8.2044030560095376</v>
      </c>
      <c r="GA2245" s="8">
        <v>20.352013821708937</v>
      </c>
      <c r="GB2245" s="8">
        <v>7.4453289894971899</v>
      </c>
      <c r="GC2245" s="8">
        <v>0.31189863168139781</v>
      </c>
      <c r="GD2245" s="8">
        <v>0.4028799422612977</v>
      </c>
      <c r="GE2245" s="8">
        <v>1.0510235130374346</v>
      </c>
      <c r="GF2245" s="8">
        <v>3.7492917042488365</v>
      </c>
      <c r="GG2245" s="8">
        <v>2.749981133775488</v>
      </c>
      <c r="GH2245" s="8">
        <v>0</v>
      </c>
      <c r="GI2245" s="8">
        <v>4.7717478642816635</v>
      </c>
    </row>
    <row r="2246" spans="182:191">
      <c r="FZ2246" s="8">
        <v>8.5231130234693353</v>
      </c>
      <c r="GA2246" s="8">
        <v>12.729922833332054</v>
      </c>
      <c r="GB2246" s="8">
        <v>3.7439203131042023</v>
      </c>
      <c r="GC2246" s="8">
        <v>0.9311581566245799</v>
      </c>
      <c r="GD2246" s="8">
        <v>0.91140350119195701</v>
      </c>
      <c r="GE2246" s="8">
        <v>1.6882530544418348</v>
      </c>
      <c r="GF2246" s="8">
        <v>4.8577739541134015</v>
      </c>
      <c r="GG2246" s="8">
        <v>2.9967426464300475</v>
      </c>
      <c r="GH2246" s="8">
        <v>0.58144353567374973</v>
      </c>
      <c r="GI2246" s="8">
        <v>5.0722267385005759</v>
      </c>
    </row>
    <row r="2247" spans="182:191">
      <c r="FZ2247" s="8">
        <v>3.5432797234686255</v>
      </c>
      <c r="GA2247" s="8">
        <v>5.8932059088606996</v>
      </c>
      <c r="GB2247" s="8">
        <v>2.7566285597334348</v>
      </c>
      <c r="GC2247" s="8">
        <v>0.34669035937678178</v>
      </c>
      <c r="GD2247" s="8">
        <v>0.5064275791689361</v>
      </c>
      <c r="GE2247" s="8">
        <v>1.8362034026067102</v>
      </c>
      <c r="GF2247" s="8">
        <v>3.8201120648808162</v>
      </c>
      <c r="GG2247" s="8">
        <v>2.2337294396067464</v>
      </c>
      <c r="GH2247" s="8">
        <v>0.64441312055873701</v>
      </c>
      <c r="GI2247" s="8">
        <v>3.5927052306137064</v>
      </c>
    </row>
    <row r="2248" spans="182:191">
      <c r="FZ2248" s="8">
        <v>11.668485938943066</v>
      </c>
      <c r="GA2248" s="8">
        <v>18.296419766629199</v>
      </c>
      <c r="GB2248" s="8">
        <v>3.760159879533953</v>
      </c>
      <c r="GC2248" s="8">
        <v>0.35985286233173402</v>
      </c>
      <c r="GD2248" s="8">
        <v>0.68861440275861119</v>
      </c>
      <c r="GE2248" s="8">
        <v>2.00478739055188</v>
      </c>
      <c r="GF2248" s="8">
        <v>6.3720401423463979</v>
      </c>
      <c r="GG2248" s="8">
        <v>4.5110133678083741</v>
      </c>
      <c r="GH2248" s="8">
        <v>0.3456493005258417</v>
      </c>
      <c r="GI2248" s="8">
        <v>5.3459236204921075</v>
      </c>
    </row>
    <row r="2249" spans="182:191">
      <c r="FZ2249" s="8">
        <v>8.9500325761755821</v>
      </c>
      <c r="GA2249" s="8">
        <v>13.63034852826932</v>
      </c>
      <c r="GB2249" s="8">
        <v>3.3113062684707808</v>
      </c>
      <c r="GC2249" s="8">
        <v>0.5707769968746923</v>
      </c>
      <c r="GD2249" s="8">
        <v>0.68464281952182171</v>
      </c>
      <c r="GE2249" s="8">
        <v>1.6186261480249411</v>
      </c>
      <c r="GF2249" s="8">
        <v>2.7269200674308447</v>
      </c>
      <c r="GG2249" s="8">
        <v>1.4924934770808866</v>
      </c>
      <c r="GH2249" s="8">
        <v>0.40861888541082891</v>
      </c>
      <c r="GI2249" s="8">
        <v>4.450873289974508</v>
      </c>
    </row>
    <row r="2250" spans="182:191">
      <c r="FZ2250" s="8">
        <v>4.4250565510183559</v>
      </c>
      <c r="GA2250" s="8">
        <v>14.678565062776546</v>
      </c>
      <c r="GB2250" s="8">
        <v>3.8125105235660719</v>
      </c>
      <c r="GC2250" s="8">
        <v>0.25013648957867241</v>
      </c>
      <c r="GD2250" s="8">
        <v>0.45460645032169344</v>
      </c>
      <c r="GE2250" s="8">
        <v>1.3448484967514533</v>
      </c>
      <c r="GF2250" s="8">
        <v>3.4866960235119109</v>
      </c>
      <c r="GG2250" s="8">
        <v>3.0122196462935986</v>
      </c>
      <c r="GH2250" s="8">
        <v>1.1160015908545531</v>
      </c>
      <c r="GI2250" s="8">
        <v>4.3996380302431835</v>
      </c>
    </row>
    <row r="2251" spans="182:191">
      <c r="FZ2251" s="8">
        <v>13.699401376509748</v>
      </c>
      <c r="GA2251" s="8">
        <v>12.100801091714093</v>
      </c>
      <c r="GB2251" s="8">
        <v>2.1722403325025681</v>
      </c>
      <c r="GC2251" s="8">
        <v>0.47422312707658298</v>
      </c>
      <c r="GD2251" s="8">
        <v>0.43054564147485697</v>
      </c>
      <c r="GE2251" s="8">
        <v>1.3999051564354985</v>
      </c>
      <c r="GF2251" s="8">
        <v>5.4332662022654574</v>
      </c>
      <c r="GG2251" s="8">
        <v>3.6196086286432112</v>
      </c>
      <c r="GH2251" s="8">
        <v>0.58144353567374973</v>
      </c>
      <c r="GI2251" s="8">
        <v>4.8049117051567265</v>
      </c>
    </row>
    <row r="2252" spans="182:191">
      <c r="FZ2252" s="8">
        <v>4.9518955778634757</v>
      </c>
      <c r="GA2252" s="8">
        <v>7.5601720765301881</v>
      </c>
      <c r="GB2252" s="8">
        <v>1.0465575099604392</v>
      </c>
      <c r="GC2252" s="8">
        <v>0.92208363729246234</v>
      </c>
      <c r="GD2252" s="8">
        <v>1.1164029898097927</v>
      </c>
      <c r="GE2252" s="8">
        <v>1.8527020171873985</v>
      </c>
      <c r="GF2252" s="8">
        <v>6.111591907234402</v>
      </c>
      <c r="GG2252" s="8">
        <v>4.5110133678083741</v>
      </c>
      <c r="GH2252" s="8">
        <v>0</v>
      </c>
      <c r="GI2252" s="8">
        <v>3.9421449654317833</v>
      </c>
    </row>
    <row r="2253" spans="182:191">
      <c r="FZ2253" s="8">
        <v>5.4648444476722009</v>
      </c>
      <c r="GA2253" s="8">
        <v>7.2353922103932602</v>
      </c>
      <c r="GB2253" s="8">
        <v>1.4314878262768584</v>
      </c>
      <c r="GC2253" s="8">
        <v>0.65068817764165277</v>
      </c>
      <c r="GD2253" s="8">
        <v>0.7021112080339893</v>
      </c>
      <c r="GE2253" s="8">
        <v>1.3109861333229449</v>
      </c>
      <c r="GF2253" s="8">
        <v>3.4559292962418526</v>
      </c>
      <c r="GG2253" s="8">
        <v>2.2342051518878385</v>
      </c>
      <c r="GH2253" s="8">
        <v>0.23579423514790807</v>
      </c>
      <c r="GI2253" s="8">
        <v>3.5986341107317288</v>
      </c>
    </row>
    <row r="2254" spans="182:191">
      <c r="FZ2254" s="8">
        <v>9.0288490406717941</v>
      </c>
      <c r="GA2254" s="8">
        <v>12.308581733704118</v>
      </c>
      <c r="GB2254" s="8">
        <v>3.487019063492133</v>
      </c>
      <c r="GC2254" s="8">
        <v>1.4498929392261015</v>
      </c>
      <c r="GD2254" s="8">
        <v>1.0956524949735114</v>
      </c>
      <c r="GE2254" s="8">
        <v>1.5472104904826696</v>
      </c>
      <c r="GF2254" s="8">
        <v>4.4857674380477697</v>
      </c>
      <c r="GG2254" s="8">
        <v>2.5027439088398373</v>
      </c>
      <c r="GH2254" s="8">
        <v>0</v>
      </c>
      <c r="GI2254" s="8">
        <v>4.8141746294688019</v>
      </c>
    </row>
    <row r="2255" spans="182:191">
      <c r="FZ2255" s="8">
        <v>5.6311456278838934</v>
      </c>
      <c r="GA2255" s="8">
        <v>11.732935904903778</v>
      </c>
      <c r="GB2255" s="8">
        <v>3.3240895674330369</v>
      </c>
      <c r="GC2255" s="8">
        <v>0.20368860856142257</v>
      </c>
      <c r="GD2255" s="8">
        <v>0.33031473737189421</v>
      </c>
      <c r="GE2255" s="8">
        <v>1.5188018025228356</v>
      </c>
      <c r="GF2255" s="8">
        <v>6.4311163550744723</v>
      </c>
      <c r="GG2255" s="8">
        <v>4.5110133678083741</v>
      </c>
      <c r="GH2255" s="8">
        <v>0.3456493005258417</v>
      </c>
      <c r="GI2255" s="8">
        <v>3.9300066884352471</v>
      </c>
    </row>
    <row r="2256" spans="182:191">
      <c r="FZ2256" s="8">
        <v>0.88215720358861527</v>
      </c>
      <c r="GA2256" s="8">
        <v>12.760732932443645</v>
      </c>
      <c r="GB2256" s="8">
        <v>5.2178141181991506</v>
      </c>
      <c r="GC2256" s="8">
        <v>0.19310773959621874</v>
      </c>
      <c r="GD2256" s="8">
        <v>0.62971457307462919</v>
      </c>
      <c r="GE2256" s="8">
        <v>1.4163223236482239</v>
      </c>
      <c r="GF2256" s="8">
        <v>0.68906918473908529</v>
      </c>
      <c r="GG2256" s="8">
        <v>0.42416298142568709</v>
      </c>
      <c r="GH2256" s="8">
        <v>0.23579423514790807</v>
      </c>
      <c r="GI2256" s="8">
        <v>3.3115989207714724</v>
      </c>
    </row>
    <row r="2257" spans="182:191">
      <c r="FZ2257" s="8">
        <v>5.7763415625257331</v>
      </c>
      <c r="GA2257" s="8">
        <v>8.1358179053305282</v>
      </c>
      <c r="GB2257" s="8">
        <v>1.0512244256755559</v>
      </c>
      <c r="GC2257" s="8">
        <v>0.92707017300174543</v>
      </c>
      <c r="GD2257" s="8">
        <v>0.84678176311408437</v>
      </c>
      <c r="GE2257" s="8">
        <v>0.82606380994125184</v>
      </c>
      <c r="GF2257" s="8">
        <v>3.0157961891627396</v>
      </c>
      <c r="GG2257" s="8">
        <v>2.5027439088398373</v>
      </c>
      <c r="GH2257" s="8">
        <v>0</v>
      </c>
      <c r="GI2257" s="8">
        <v>3.0911004741055597</v>
      </c>
    </row>
    <row r="2258" spans="182:191">
      <c r="FZ2258" s="8">
        <v>9.6289022501571164</v>
      </c>
      <c r="GA2258" s="8">
        <v>13.209007428641385</v>
      </c>
      <c r="GB2258" s="8">
        <v>2.5333198750327668</v>
      </c>
      <c r="GC2258" s="8">
        <v>0.99919765143146244</v>
      </c>
      <c r="GD2258" s="8">
        <v>0.74523450415424375</v>
      </c>
      <c r="GE2258" s="8">
        <v>0.77307341031870958</v>
      </c>
      <c r="GF2258" s="8">
        <v>2.95281357382374</v>
      </c>
      <c r="GG2258" s="8">
        <v>2.0355021511003617</v>
      </c>
      <c r="GH2258" s="8">
        <v>0.47158847029581613</v>
      </c>
      <c r="GI2258" s="8">
        <v>3.4651455740739889</v>
      </c>
    </row>
    <row r="2259" spans="182:191">
      <c r="FZ2259" s="8">
        <v>6.8531180445021604</v>
      </c>
      <c r="GA2259" s="8">
        <v>6.8879465305503036</v>
      </c>
      <c r="GB2259" s="8">
        <v>1.4314878262768584</v>
      </c>
      <c r="GC2259" s="8">
        <v>1.1505114020022189</v>
      </c>
      <c r="GD2259" s="8">
        <v>1.6417102334725735</v>
      </c>
      <c r="GE2259" s="8">
        <v>1.9482914619039908</v>
      </c>
      <c r="GF2259" s="8">
        <v>2.4403039410106846</v>
      </c>
      <c r="GG2259" s="8">
        <v>1.8798779266266734</v>
      </c>
      <c r="GH2259" s="8">
        <v>0</v>
      </c>
      <c r="GI2259" s="8">
        <v>4.5512099829912618</v>
      </c>
    </row>
    <row r="2260" spans="182:191">
      <c r="FZ2260" s="8">
        <v>0.173133656779074</v>
      </c>
      <c r="GA2260" s="8">
        <v>11.587074174760446</v>
      </c>
      <c r="GB2260" s="8">
        <v>5.0643062922079753</v>
      </c>
      <c r="GC2260" s="8">
        <v>1.4893009479624737</v>
      </c>
      <c r="GD2260" s="8">
        <v>1.2957974983087395</v>
      </c>
      <c r="GE2260" s="8">
        <v>1.451284212776397</v>
      </c>
      <c r="GF2260" s="8">
        <v>4.2330255572297091</v>
      </c>
      <c r="GG2260" s="8">
        <v>2.5027439088398373</v>
      </c>
      <c r="GH2260" s="8">
        <v>0.17282465026292085</v>
      </c>
      <c r="GI2260" s="8">
        <v>5.1344290399336678</v>
      </c>
    </row>
    <row r="2261" spans="182:191">
      <c r="FZ2261" s="8">
        <v>4.6977293058974166</v>
      </c>
      <c r="GA2261" s="8">
        <v>9.3321424767197563</v>
      </c>
      <c r="GB2261" s="8">
        <v>1.5373119239510324</v>
      </c>
      <c r="GC2261" s="8">
        <v>0.65976269697377032</v>
      </c>
      <c r="GD2261" s="8">
        <v>0.5830395224776076</v>
      </c>
      <c r="GE2261" s="8">
        <v>0.93447176081878536</v>
      </c>
      <c r="GF2261" s="8">
        <v>3.6873989596376342</v>
      </c>
      <c r="GG2261" s="8">
        <v>2.749981133775488</v>
      </c>
      <c r="GH2261" s="8">
        <v>0.17282465026292085</v>
      </c>
      <c r="GI2261" s="8">
        <v>3.7796210506907713</v>
      </c>
    </row>
    <row r="2262" spans="182:191">
      <c r="FZ2262" s="8">
        <v>6.9406027602176419</v>
      </c>
      <c r="GA2262" s="8">
        <v>14.877902705737501</v>
      </c>
      <c r="GB2262" s="8">
        <v>4.000918778911994</v>
      </c>
      <c r="GC2262" s="8">
        <v>0.99855224293402545</v>
      </c>
      <c r="GD2262" s="8">
        <v>1.1428582684439381</v>
      </c>
      <c r="GE2262" s="8">
        <v>1.9206591379957942</v>
      </c>
      <c r="GF2262" s="8">
        <v>2.9998999378668234</v>
      </c>
      <c r="GG2262" s="8">
        <v>1.4344134131846378</v>
      </c>
      <c r="GH2262" s="8">
        <v>0.17282465026292085</v>
      </c>
      <c r="GI2262" s="8">
        <v>5.2053539551870678</v>
      </c>
    </row>
    <row r="2263" spans="182:191">
      <c r="FZ2263" s="8">
        <v>3.6009909423949833</v>
      </c>
      <c r="GA2263" s="8">
        <v>13.757719860871923</v>
      </c>
      <c r="GB2263" s="8">
        <v>5.5865048680858198</v>
      </c>
      <c r="GC2263" s="8">
        <v>0.54505978851142589</v>
      </c>
      <c r="GD2263" s="8">
        <v>1.0096536145153574</v>
      </c>
      <c r="GE2263" s="8">
        <v>2.3497304146217584</v>
      </c>
      <c r="GF2263" s="8">
        <v>5.2249506517944084</v>
      </c>
      <c r="GG2263" s="8">
        <v>3.4426828721531746</v>
      </c>
      <c r="GH2263" s="8">
        <v>0.17282465026292085</v>
      </c>
      <c r="GI2263" s="8">
        <v>5.121000844064282</v>
      </c>
    </row>
    <row r="2264" spans="182:191">
      <c r="FZ2264" s="8">
        <v>4.8527368558023731</v>
      </c>
      <c r="GA2264" s="8">
        <v>9.2375103526553755</v>
      </c>
      <c r="GB2264" s="8">
        <v>3.1693710931942385</v>
      </c>
      <c r="GC2264" s="8">
        <v>1.3215976519495798</v>
      </c>
      <c r="GD2264" s="8">
        <v>1.2101221801622699</v>
      </c>
      <c r="GE2264" s="8">
        <v>0.48893672988652359</v>
      </c>
      <c r="GF2264" s="8">
        <v>0.61220637273005429</v>
      </c>
      <c r="GG2264" s="8">
        <v>0.49447444987130124</v>
      </c>
      <c r="GH2264" s="8">
        <v>0</v>
      </c>
      <c r="GI2264" s="8">
        <v>4.2397745121130548</v>
      </c>
    </row>
    <row r="2265" spans="182:191">
      <c r="FZ2265" s="8">
        <v>7.9800102808326017</v>
      </c>
      <c r="GA2265" s="8">
        <v>13.829686171230275</v>
      </c>
      <c r="GB2265" s="8">
        <v>3.3613234546453414</v>
      </c>
      <c r="GC2265" s="8">
        <v>0.73149791049506163</v>
      </c>
      <c r="GD2265" s="8">
        <v>0.89403450659926564</v>
      </c>
      <c r="GE2265" s="8">
        <v>1.566757182404249</v>
      </c>
      <c r="GF2265" s="8">
        <v>3.0436571819556386</v>
      </c>
      <c r="GG2265" s="8">
        <v>2.0568036831167102</v>
      </c>
      <c r="GH2265" s="8">
        <v>0.75426818593667067</v>
      </c>
      <c r="GI2265" s="8">
        <v>4.6582652908062565</v>
      </c>
    </row>
    <row r="2266" spans="182:191">
      <c r="FZ2266" s="8">
        <v>6.1157763995164993</v>
      </c>
      <c r="GA2266" s="8">
        <v>15.003344928913474</v>
      </c>
      <c r="GB2266" s="8">
        <v>3.4113406408199016</v>
      </c>
      <c r="GC2266" s="8">
        <v>1.2851635421113818</v>
      </c>
      <c r="GD2266" s="8">
        <v>1.0556305622934989</v>
      </c>
      <c r="GE2266" s="8">
        <v>1.1326987293503956</v>
      </c>
      <c r="GF2266" s="8">
        <v>3.6649253298299023</v>
      </c>
      <c r="GG2266" s="8">
        <v>2.7862839533742965</v>
      </c>
      <c r="GH2266" s="8">
        <v>0.70738270544372439</v>
      </c>
      <c r="GI2266" s="8">
        <v>4.653660129836938</v>
      </c>
    </row>
    <row r="2267" spans="182:191">
      <c r="FZ2267" s="8">
        <v>10.15612165304112</v>
      </c>
      <c r="GA2267" s="8">
        <v>12.656027413547076</v>
      </c>
      <c r="GB2267" s="8">
        <v>3.2589556244386619</v>
      </c>
      <c r="GC2267" s="8">
        <v>1.1339858240503533</v>
      </c>
      <c r="GD2267" s="8">
        <v>1.2048806946624053</v>
      </c>
      <c r="GE2267" s="8">
        <v>1.1783479814920343</v>
      </c>
      <c r="GF2267" s="8">
        <v>2.0682974249450532</v>
      </c>
      <c r="GG2267" s="8">
        <v>1.5628049455265007</v>
      </c>
      <c r="GH2267" s="8">
        <v>0.51847395078876257</v>
      </c>
      <c r="GI2267" s="8">
        <v>4.4253340013550684</v>
      </c>
    </row>
    <row r="2268" spans="182:191">
      <c r="FZ2268" s="8">
        <v>3.6583217852824563</v>
      </c>
      <c r="GA2268" s="8">
        <v>3.4697466669706492</v>
      </c>
      <c r="GB2268" s="8">
        <v>0.41526104615177062</v>
      </c>
      <c r="GC2268" s="8">
        <v>1.0367865457548069</v>
      </c>
      <c r="GD2268" s="8">
        <v>1.1905611418530042</v>
      </c>
      <c r="GE2268" s="8">
        <v>2.1247711167234753</v>
      </c>
      <c r="GF2268" s="8">
        <v>3.5076134882176802</v>
      </c>
      <c r="GG2268" s="8">
        <v>1.6816506381202889</v>
      </c>
      <c r="GH2268" s="8">
        <v>0</v>
      </c>
      <c r="GI2268" s="8">
        <v>3.420113195696679</v>
      </c>
    </row>
    <row r="2269" spans="182:191">
      <c r="FZ2269" s="8">
        <v>0.54272236659784878</v>
      </c>
      <c r="GA2269" s="8">
        <v>8.4625268808940817</v>
      </c>
      <c r="GB2269" s="8">
        <v>3.4077086960770346</v>
      </c>
      <c r="GC2269" s="8">
        <v>0.8999261151338771</v>
      </c>
      <c r="GD2269" s="8">
        <v>1.0792468817414962</v>
      </c>
      <c r="GE2269" s="8">
        <v>1.7597268813386053</v>
      </c>
      <c r="GF2269" s="8">
        <v>3.9638524979809682</v>
      </c>
      <c r="GG2269" s="8">
        <v>3.1619127106518099</v>
      </c>
      <c r="GH2269" s="8">
        <v>0.88020735570664521</v>
      </c>
      <c r="GI2269" s="8">
        <v>3.7415250629578196</v>
      </c>
    </row>
    <row r="2270" spans="182:191">
      <c r="FZ2270" s="8">
        <v>6.1161567755553836</v>
      </c>
      <c r="GA2270" s="8">
        <v>11.533598261942824</v>
      </c>
      <c r="GB2270" s="8">
        <v>3.2554115183334806</v>
      </c>
      <c r="GC2270" s="8">
        <v>0.63623485769182642</v>
      </c>
      <c r="GD2270" s="8">
        <v>1.112498636584127</v>
      </c>
      <c r="GE2270" s="8">
        <v>2.2507000509934376</v>
      </c>
      <c r="GF2270" s="8">
        <v>2.6226488466738744</v>
      </c>
      <c r="GG2270" s="8">
        <v>1.3641019447390237</v>
      </c>
      <c r="GH2270" s="8">
        <v>0.23579423514790807</v>
      </c>
      <c r="GI2270" s="8">
        <v>4.4437622731023696</v>
      </c>
    </row>
    <row r="2271" spans="182:191">
      <c r="FZ2271" s="8">
        <v>1.482590789112822</v>
      </c>
      <c r="GA2271" s="8">
        <v>1.1736587576831998</v>
      </c>
      <c r="GB2271" s="8">
        <v>0.20585847002329485</v>
      </c>
      <c r="GC2271" s="8">
        <v>7.6468605641562978E-2</v>
      </c>
      <c r="GD2271" s="8">
        <v>0.32421355936781976</v>
      </c>
      <c r="GE2271" s="8">
        <v>1.3225057678103054</v>
      </c>
      <c r="GF2271" s="8">
        <v>5.1018802133887489</v>
      </c>
      <c r="GG2271" s="8">
        <v>3.818311629430688</v>
      </c>
      <c r="GH2271" s="8">
        <v>0</v>
      </c>
      <c r="GI2271" s="8">
        <v>2.6291602152330844</v>
      </c>
    </row>
    <row r="2272" spans="182:191">
      <c r="FZ2272" s="8">
        <v>5.5312261537450222</v>
      </c>
      <c r="GA2272" s="8">
        <v>17.581108899975931</v>
      </c>
      <c r="GB2272" s="8">
        <v>5.034160617206032</v>
      </c>
      <c r="GC2272" s="8">
        <v>1.7106699189609083</v>
      </c>
      <c r="GD2272" s="8">
        <v>1.8087730633702139</v>
      </c>
      <c r="GE2272" s="8">
        <v>2.0629768904171772</v>
      </c>
      <c r="GF2272" s="8">
        <v>2.6999601513480243</v>
      </c>
      <c r="GG2272" s="8">
        <v>1.3155677205908503</v>
      </c>
      <c r="GH2272" s="8">
        <v>0</v>
      </c>
      <c r="GI2272" s="8">
        <v>5.3996209187555655</v>
      </c>
    </row>
    <row r="2273" spans="182:191">
      <c r="FZ2273" s="8">
        <v>12.62983998306678</v>
      </c>
      <c r="GA2273" s="8">
        <v>9.1840344398377525</v>
      </c>
      <c r="GB2273" s="8">
        <v>1.7293521240398215</v>
      </c>
      <c r="GC2273" s="8">
        <v>0.69214952294961984</v>
      </c>
      <c r="GD2273" s="8">
        <v>1.3509867723903799</v>
      </c>
      <c r="GE2273" s="8">
        <v>3.228140015265748</v>
      </c>
      <c r="GF2273" s="8">
        <v>4.2092023580467801</v>
      </c>
      <c r="GG2273" s="8">
        <v>2.2555066839041871</v>
      </c>
      <c r="GH2273" s="8">
        <v>0</v>
      </c>
      <c r="GI2273" s="8">
        <v>5.4215824587078956</v>
      </c>
    </row>
    <row r="2274" spans="182:191">
      <c r="FZ2274" s="8">
        <v>6.1165371515942688</v>
      </c>
      <c r="GA2274" s="8">
        <v>2.3699833290724288</v>
      </c>
      <c r="GB2274" s="8">
        <v>0.90013789617962481</v>
      </c>
      <c r="GC2274" s="8">
        <v>1.4226693812297491</v>
      </c>
      <c r="GD2274" s="8">
        <v>1.3382860824293821</v>
      </c>
      <c r="GE2274" s="8">
        <v>1.8481543718214668</v>
      </c>
      <c r="GF2274" s="8">
        <v>3.3715629218229184</v>
      </c>
      <c r="GG2274" s="8">
        <v>1.7397307020165371</v>
      </c>
      <c r="GH2274" s="8">
        <v>0.75426818593667067</v>
      </c>
      <c r="GI2274" s="8">
        <v>3.9240955719939361</v>
      </c>
    </row>
    <row r="2275" spans="182:191">
      <c r="FZ2275" s="8">
        <v>10.777660484135183</v>
      </c>
      <c r="GA2275" s="8">
        <v>14.658145555809188</v>
      </c>
      <c r="GB2275" s="8">
        <v>4.9456988955715451</v>
      </c>
      <c r="GC2275" s="8">
        <v>0.58071245734245913</v>
      </c>
      <c r="GD2275" s="8">
        <v>0.58086560690285505</v>
      </c>
      <c r="GE2275" s="8">
        <v>1.1446496985651522</v>
      </c>
      <c r="GF2275" s="8">
        <v>5.2295261406635287</v>
      </c>
      <c r="GG2275" s="8">
        <v>4.3490888989007974</v>
      </c>
      <c r="GH2275" s="8">
        <v>0.70738270544372439</v>
      </c>
      <c r="GI2275" s="8">
        <v>5.3281200354986051</v>
      </c>
    </row>
    <row r="2276" spans="182:191">
      <c r="FZ2276" s="8">
        <v>2.718453362767483</v>
      </c>
      <c r="GA2276" s="8">
        <v>10.559277147220579</v>
      </c>
      <c r="GB2276" s="8">
        <v>3.2927332441834718</v>
      </c>
      <c r="GC2276" s="8">
        <v>0.3799381264882804</v>
      </c>
      <c r="GD2276" s="8">
        <v>0.59103474036572701</v>
      </c>
      <c r="GE2276" s="8">
        <v>1.757584834100457</v>
      </c>
      <c r="GF2276" s="8">
        <v>3.4883657779038719</v>
      </c>
      <c r="GG2276" s="8">
        <v>1.8100421704621514</v>
      </c>
      <c r="GH2276" s="8">
        <v>0</v>
      </c>
      <c r="GI2276" s="8">
        <v>3.0128104639983171</v>
      </c>
    </row>
    <row r="2277" spans="182:191">
      <c r="FZ2277" s="8">
        <v>14.817625361620918</v>
      </c>
      <c r="GA2277" s="8">
        <v>16.378587636296299</v>
      </c>
      <c r="GB2277" s="8">
        <v>5.1131128301349129</v>
      </c>
      <c r="GC2277" s="8">
        <v>0.94216890144900867</v>
      </c>
      <c r="GD2277" s="8">
        <v>1.1879906718665312</v>
      </c>
      <c r="GE2277" s="8">
        <v>1.3112407085488647</v>
      </c>
      <c r="GF2277" s="8">
        <v>2.0536475425639891</v>
      </c>
      <c r="GG2277" s="8">
        <v>1.5628049455265007</v>
      </c>
      <c r="GH2277" s="8">
        <v>0.69129860105168339</v>
      </c>
      <c r="GI2277" s="8">
        <v>6.039867385797792</v>
      </c>
    </row>
    <row r="2278" spans="182:191">
      <c r="FZ2278" s="8">
        <v>2.6886798659783597</v>
      </c>
      <c r="GA2278" s="8">
        <v>13.757719860871923</v>
      </c>
      <c r="GB2278" s="8">
        <v>5.5503937904834517</v>
      </c>
      <c r="GC2278" s="8">
        <v>0.5097397633978884</v>
      </c>
      <c r="GD2278" s="8">
        <v>0.96597836242745461</v>
      </c>
      <c r="GE2278" s="8">
        <v>2.0066597498185619</v>
      </c>
      <c r="GF2278" s="8">
        <v>4.1369150349068704</v>
      </c>
      <c r="GG2278" s="8">
        <v>2.8783726661173508</v>
      </c>
      <c r="GH2278" s="8">
        <v>0.51847395078876257</v>
      </c>
      <c r="GI2278" s="8">
        <v>5.1105488485933712</v>
      </c>
    </row>
    <row r="2279" spans="182:191">
      <c r="FZ2279" s="8">
        <v>7.6405754438418345</v>
      </c>
      <c r="GA2279" s="8">
        <v>12.855365056508028</v>
      </c>
      <c r="GB2279" s="8">
        <v>3.3252123770429729</v>
      </c>
      <c r="GC2279" s="8">
        <v>0.56884077138238098</v>
      </c>
      <c r="GD2279" s="8">
        <v>0.50157309388632854</v>
      </c>
      <c r="GE2279" s="8">
        <v>1.0191975893772345</v>
      </c>
      <c r="GF2279" s="8">
        <v>2.3996834138217613</v>
      </c>
      <c r="GG2279" s="8">
        <v>1.5410277012290603</v>
      </c>
      <c r="GH2279" s="8">
        <v>0.47158847029581613</v>
      </c>
      <c r="GI2279" s="8">
        <v>3.5808990840092418</v>
      </c>
    </row>
    <row r="2280" spans="182:191">
      <c r="FZ2280" s="8">
        <v>6.455971988585036</v>
      </c>
      <c r="GA2280" s="8">
        <v>12.561395289482693</v>
      </c>
      <c r="GB2280" s="8">
        <v>5.0119556481758565</v>
      </c>
      <c r="GC2280" s="8">
        <v>0.45349245442259944</v>
      </c>
      <c r="GD2280" s="8">
        <v>0.5321670745900976</v>
      </c>
      <c r="GE2280" s="8">
        <v>1.8034714488437673</v>
      </c>
      <c r="GF2280" s="8">
        <v>4.3266743003859309</v>
      </c>
      <c r="GG2280" s="8">
        <v>2.0572793953978019</v>
      </c>
      <c r="GH2280" s="8">
        <v>0</v>
      </c>
      <c r="GI2280" s="8">
        <v>4.2942360364909202</v>
      </c>
    </row>
    <row r="2281" spans="182:191">
      <c r="FZ2281" s="8">
        <v>8.8923213572492248</v>
      </c>
      <c r="GA2281" s="8">
        <v>25.018085060068813</v>
      </c>
      <c r="GB2281" s="8">
        <v>8.0500238844090966</v>
      </c>
      <c r="GC2281" s="8">
        <v>0.61374469181574565</v>
      </c>
      <c r="GD2281" s="8">
        <v>1.1281757762283782</v>
      </c>
      <c r="GE2281" s="8">
        <v>1.6155543874726868</v>
      </c>
      <c r="GF2281" s="8">
        <v>3.1238742211069477</v>
      </c>
      <c r="GG2281" s="8">
        <v>3.0552984226073874</v>
      </c>
      <c r="GH2281" s="8">
        <v>0.23579423514790807</v>
      </c>
      <c r="GI2281" s="8">
        <v>7.7588001256550081</v>
      </c>
    </row>
    <row r="2282" spans="182:191">
      <c r="FZ2282" s="8">
        <v>9.5715714072696443</v>
      </c>
      <c r="GA2282" s="8">
        <v>15.632466670531434</v>
      </c>
      <c r="GB2282" s="8">
        <v>5.1202010423452746</v>
      </c>
      <c r="GC2282" s="8">
        <v>0.6234646196453002</v>
      </c>
      <c r="GD2282" s="8">
        <v>0.7880390110954435</v>
      </c>
      <c r="GE2282" s="8">
        <v>1.6832507652683995</v>
      </c>
      <c r="GF2282" s="8">
        <v>6.5969210303715586</v>
      </c>
      <c r="GG2282" s="8">
        <v>5.3108051065115749</v>
      </c>
      <c r="GH2282" s="8">
        <v>0.58144353567374973</v>
      </c>
      <c r="GI2282" s="8">
        <v>5.9540772679718676</v>
      </c>
    </row>
    <row r="2283" spans="182:191">
      <c r="FZ2283" s="8">
        <v>3.1159797947234926</v>
      </c>
      <c r="GA2283" s="8">
        <v>16.127703189944352</v>
      </c>
      <c r="GB2283" s="8">
        <v>6.0341478309013699</v>
      </c>
      <c r="GC2283" s="8">
        <v>0.54570519700886311</v>
      </c>
      <c r="GD2283" s="8">
        <v>0.82469558710081348</v>
      </c>
      <c r="GE2283" s="8">
        <v>1.6298265971727643</v>
      </c>
      <c r="GF2283" s="8">
        <v>3.827935812307484</v>
      </c>
      <c r="GG2283" s="8">
        <v>2.7282038894780474</v>
      </c>
      <c r="GH2283" s="8">
        <v>0.64441312055873701</v>
      </c>
      <c r="GI2283" s="8">
        <v>4.8733281811892688</v>
      </c>
    </row>
    <row r="2284" spans="182:191">
      <c r="FZ2284" s="8">
        <v>6.2613527101972233</v>
      </c>
      <c r="GA2284" s="8">
        <v>19.324216794169068</v>
      </c>
      <c r="GB2284" s="8">
        <v>5.6214052974405657</v>
      </c>
      <c r="GC2284" s="8">
        <v>0.57856069921193565</v>
      </c>
      <c r="GD2284" s="8">
        <v>0.83208856509661866</v>
      </c>
      <c r="GE2284" s="8">
        <v>1.7411852847098785</v>
      </c>
      <c r="GF2284" s="8">
        <v>5.3109644415416808</v>
      </c>
      <c r="GG2284" s="8">
        <v>3.9467031617725512</v>
      </c>
      <c r="GH2284" s="8">
        <v>0.17282465026292085</v>
      </c>
      <c r="GI2284" s="8">
        <v>4.6906514980954483</v>
      </c>
    </row>
    <row r="2285" spans="182:191">
      <c r="FZ2285" s="8">
        <v>5.2917107908931271</v>
      </c>
      <c r="GA2285" s="8">
        <v>17.669227134437865</v>
      </c>
      <c r="GB2285" s="8">
        <v>5.1928583540584334</v>
      </c>
      <c r="GC2285" s="8">
        <v>1.5163884734490987</v>
      </c>
      <c r="GD2285" s="8">
        <v>1.6734505319512545</v>
      </c>
      <c r="GE2285" s="8">
        <v>2.2814041354538883</v>
      </c>
      <c r="GF2285" s="8">
        <v>3.4883657779038719</v>
      </c>
      <c r="GG2285" s="8">
        <v>1.9869679269521878</v>
      </c>
      <c r="GH2285" s="8">
        <v>0.23579423514790807</v>
      </c>
      <c r="GI2285" s="8">
        <v>6.0246840724802926</v>
      </c>
    </row>
    <row r="2286" spans="182:191">
      <c r="FZ2286" s="8">
        <v>0.60043358552420678</v>
      </c>
      <c r="GA2286" s="8">
        <v>8.263189237933128</v>
      </c>
      <c r="GB2286" s="8">
        <v>3.2927332441834718</v>
      </c>
      <c r="GC2286" s="8">
        <v>0.20347307592321048</v>
      </c>
      <c r="GD2286" s="8">
        <v>0.11544720802142362</v>
      </c>
      <c r="GE2286" s="8">
        <v>1.5430962083919311</v>
      </c>
      <c r="GF2286" s="8">
        <v>5.6447126181613196</v>
      </c>
      <c r="GG2286" s="8">
        <v>3.4209056278557344</v>
      </c>
      <c r="GH2286" s="8">
        <v>0.81723777082165783</v>
      </c>
      <c r="GI2286" s="8">
        <v>3.6479545023846223</v>
      </c>
    </row>
    <row r="2287" spans="182:191">
      <c r="FZ2287" s="8">
        <v>5.1917913167542542</v>
      </c>
      <c r="GA2287" s="8">
        <v>16.806125428214635</v>
      </c>
      <c r="GB2287" s="8">
        <v>5.1341071509174672</v>
      </c>
      <c r="GC2287" s="8">
        <v>0.68113877812519097</v>
      </c>
      <c r="GD2287" s="8">
        <v>0.87337598334254429</v>
      </c>
      <c r="GE2287" s="8">
        <v>1.4234084907053088</v>
      </c>
      <c r="GF2287" s="8">
        <v>3.7464751723657095</v>
      </c>
      <c r="GG2287" s="8">
        <v>2.9269068902655246</v>
      </c>
      <c r="GH2287" s="8">
        <v>0.58144353567374973</v>
      </c>
      <c r="GI2287" s="8">
        <v>4.6287789909740829</v>
      </c>
    </row>
    <row r="2288" spans="182:191">
      <c r="FZ2288" s="8">
        <v>3.2611757293653318</v>
      </c>
      <c r="GA2288" s="8">
        <v>13.883162084047894</v>
      </c>
      <c r="GB2288" s="8">
        <v>5.0480667257782246</v>
      </c>
      <c r="GC2288" s="8">
        <v>1.2226388804319361</v>
      </c>
      <c r="GD2288" s="8">
        <v>1.2546473839248415</v>
      </c>
      <c r="GE2288" s="8">
        <v>1.2296301023495209</v>
      </c>
      <c r="GF2288" s="8">
        <v>3.0112207002936189</v>
      </c>
      <c r="GG2288" s="8">
        <v>2.1271151515623243</v>
      </c>
      <c r="GH2288" s="8">
        <v>0.3456493005258417</v>
      </c>
      <c r="GI2288" s="8">
        <v>4.6605258434118211</v>
      </c>
    </row>
    <row r="2289" spans="182:191">
      <c r="FZ2289" s="8">
        <v>6.455971988585036</v>
      </c>
      <c r="GA2289" s="8">
        <v>9.0381727096944218</v>
      </c>
      <c r="GB2289" s="8">
        <v>3.0868747741601767</v>
      </c>
      <c r="GC2289" s="8">
        <v>0.8838493344716809</v>
      </c>
      <c r="GD2289" s="8">
        <v>1.0862927540354701</v>
      </c>
      <c r="GE2289" s="8">
        <v>1.9617549821826368</v>
      </c>
      <c r="GF2289" s="8">
        <v>4.6798815988028739</v>
      </c>
      <c r="GG2289" s="8">
        <v>2.8783726661173508</v>
      </c>
      <c r="GH2289" s="8">
        <v>0.3456493005258417</v>
      </c>
      <c r="GI2289" s="8">
        <v>4.2769658208770736</v>
      </c>
    </row>
    <row r="2290" spans="182:191">
      <c r="FZ2290" s="8">
        <v>3.1159797947234926</v>
      </c>
      <c r="GA2290" s="8">
        <v>10.832510209966511</v>
      </c>
      <c r="GB2290" s="8">
        <v>4.1905376825055383</v>
      </c>
      <c r="GC2290" s="8">
        <v>0.47279627757198117</v>
      </c>
      <c r="GD2290" s="8">
        <v>0.36077472812354666</v>
      </c>
      <c r="GE2290" s="8">
        <v>1.3020918119148961</v>
      </c>
      <c r="GF2290" s="8">
        <v>4.2183756748486454</v>
      </c>
      <c r="GG2290" s="8">
        <v>2.6796696653298739</v>
      </c>
      <c r="GH2290" s="8">
        <v>0.40861888541082891</v>
      </c>
      <c r="GI2290" s="8">
        <v>3.3313943827247008</v>
      </c>
    </row>
    <row r="2291" spans="182:191">
      <c r="FZ2291" s="8">
        <v>1.3094571323337481</v>
      </c>
      <c r="GA2291" s="8">
        <v>9.0381727096944218</v>
      </c>
      <c r="GB2291" s="8">
        <v>3.1380147699446734</v>
      </c>
      <c r="GC2291" s="8">
        <v>1.5717937627191825</v>
      </c>
      <c r="GD2291" s="8">
        <v>1.8315857283983747</v>
      </c>
      <c r="GE2291" s="8">
        <v>2.2996760441111492</v>
      </c>
      <c r="GF2291" s="8">
        <v>6.5258549689584919</v>
      </c>
      <c r="GG2291" s="8">
        <v>5.0635678815759242</v>
      </c>
      <c r="GH2291" s="8">
        <v>0.40861888541082891</v>
      </c>
      <c r="GI2291" s="8">
        <v>5.1988005869281526</v>
      </c>
    </row>
    <row r="2292" spans="182:191">
      <c r="FZ2292" s="8">
        <v>6.1165371515942688</v>
      </c>
      <c r="GA2292" s="8">
        <v>2.7686586149943353</v>
      </c>
      <c r="GB2292" s="8">
        <v>0.96285054267875492</v>
      </c>
      <c r="GC2292" s="8">
        <v>1.2580760166247571</v>
      </c>
      <c r="GD2292" s="8">
        <v>1.3317397421983346</v>
      </c>
      <c r="GE2292" s="8">
        <v>1.6157331755219606</v>
      </c>
      <c r="GF2292" s="8">
        <v>2.7576867947009029</v>
      </c>
      <c r="GG2292" s="8">
        <v>2.0935822149966103</v>
      </c>
      <c r="GH2292" s="8">
        <v>0.70738270544372439</v>
      </c>
      <c r="GI2292" s="8">
        <v>3.8631857011454138</v>
      </c>
    </row>
    <row r="2293" spans="182:191">
      <c r="FZ2293" s="8">
        <v>4.9518955778634757</v>
      </c>
      <c r="GA2293" s="8">
        <v>4.7915134615358523</v>
      </c>
      <c r="GB2293" s="8">
        <v>0.32679932451728327</v>
      </c>
      <c r="GC2293" s="8">
        <v>0.30587442256625197</v>
      </c>
      <c r="GD2293" s="8">
        <v>0.79909008163176865</v>
      </c>
      <c r="GE2293" s="8">
        <v>2.1239620221041444</v>
      </c>
      <c r="GF2293" s="8">
        <v>3.8649477828386249</v>
      </c>
      <c r="GG2293" s="8">
        <v>2.6796696653298739</v>
      </c>
      <c r="GH2293" s="8">
        <v>0.40861888541082891</v>
      </c>
      <c r="GI2293" s="8">
        <v>3.0479908570251366</v>
      </c>
    </row>
    <row r="2294" spans="182:191">
      <c r="FZ2294" s="8">
        <v>4.9518955778634757</v>
      </c>
      <c r="GA2294" s="8">
        <v>9.53148011968071</v>
      </c>
      <c r="GB2294" s="8">
        <v>1.6559193205874625</v>
      </c>
      <c r="GC2294" s="8">
        <v>1.016818392677544</v>
      </c>
      <c r="GD2294" s="8">
        <v>1.0389641825396765</v>
      </c>
      <c r="GE2294" s="8">
        <v>1.6186843173794399</v>
      </c>
      <c r="GF2294" s="8">
        <v>6.9835774288182559</v>
      </c>
      <c r="GG2294" s="8">
        <v>5.8048038441017837</v>
      </c>
      <c r="GH2294" s="8">
        <v>0.64441312055873701</v>
      </c>
      <c r="GI2294" s="8">
        <v>4.8114603295172866</v>
      </c>
    </row>
    <row r="2295" spans="182:191">
      <c r="FZ2295" s="8">
        <v>12.526471927598568</v>
      </c>
      <c r="GA2295" s="8">
        <v>7.0360545674323074</v>
      </c>
      <c r="GB2295" s="8">
        <v>1.5908732162307737</v>
      </c>
      <c r="GC2295" s="8">
        <v>0.82155889495080181</v>
      </c>
      <c r="GD2295" s="8">
        <v>1.2141965544151878</v>
      </c>
      <c r="GE2295" s="8">
        <v>2.7258547534320323</v>
      </c>
      <c r="GF2295" s="8">
        <v>5.2455537829584902</v>
      </c>
      <c r="GG2295" s="8">
        <v>3.3723714037075605</v>
      </c>
      <c r="GH2295" s="8">
        <v>0.40861888541082891</v>
      </c>
      <c r="GI2295" s="8">
        <v>5.3222854910755233</v>
      </c>
    </row>
    <row r="2296" spans="182:191">
      <c r="FZ2296" s="8">
        <v>4.4827677699447133</v>
      </c>
      <c r="GA2296" s="8">
        <v>4.4440677816928957</v>
      </c>
      <c r="GB2296" s="8">
        <v>0.29310954341015977</v>
      </c>
      <c r="GC2296" s="8">
        <v>0.83317743732186877</v>
      </c>
      <c r="GD2296" s="8">
        <v>1.215305643004887</v>
      </c>
      <c r="GE2296" s="8">
        <v>2.4293213478531714</v>
      </c>
      <c r="GF2296" s="8">
        <v>5.783855223328727</v>
      </c>
      <c r="GG2296" s="8">
        <v>4.1236289182625878</v>
      </c>
      <c r="GH2296" s="8">
        <v>0.40861888541082891</v>
      </c>
      <c r="GI2296" s="8">
        <v>3.9240999499280376</v>
      </c>
    </row>
    <row r="2297" spans="182:191">
      <c r="FZ2297" s="8">
        <v>3.4554146317142589</v>
      </c>
      <c r="GA2297" s="8">
        <v>6.8675270235829462</v>
      </c>
      <c r="GB2297" s="8">
        <v>2.7728681261631851</v>
      </c>
      <c r="GC2297" s="8">
        <v>1.0333439706294092</v>
      </c>
      <c r="GD2297" s="8">
        <v>1.0530229767564754</v>
      </c>
      <c r="GE2297" s="8">
        <v>1.2674638156739078</v>
      </c>
      <c r="GF2297" s="8">
        <v>4.8743169526038912</v>
      </c>
      <c r="GG2297" s="8">
        <v>4.1236289182625878</v>
      </c>
      <c r="GH2297" s="8">
        <v>0.23579423514790807</v>
      </c>
      <c r="GI2297" s="8">
        <v>4.3186535072096648</v>
      </c>
    </row>
    <row r="2298" spans="182:191">
      <c r="FZ2298" s="8">
        <v>2.7343367025202121</v>
      </c>
      <c r="GA2298" s="8">
        <v>4.5179632014778752</v>
      </c>
      <c r="GB2298" s="8">
        <v>0.94894443410656282</v>
      </c>
      <c r="GC2298" s="8">
        <v>0.40002339064482678</v>
      </c>
      <c r="GD2298" s="8">
        <v>0.39183364485760197</v>
      </c>
      <c r="GE2298" s="8">
        <v>1.6637040733468196</v>
      </c>
      <c r="GF2298" s="8">
        <v>5.4053160068785253</v>
      </c>
      <c r="GG2298" s="8">
        <v>3.7262229166876337</v>
      </c>
      <c r="GH2298" s="8">
        <v>1.0530320059695661</v>
      </c>
      <c r="GI2298" s="8">
        <v>3.4757443840336508</v>
      </c>
    </row>
    <row r="2299" spans="182:191">
      <c r="FZ2299" s="8">
        <v>2.1916143359223637</v>
      </c>
      <c r="GA2299" s="8">
        <v>4.5179632014778752</v>
      </c>
      <c r="GB2299" s="8">
        <v>0.82800357961257443</v>
      </c>
      <c r="GC2299" s="8">
        <v>1.1287461447520593</v>
      </c>
      <c r="GD2299" s="8">
        <v>1.5272717390942938</v>
      </c>
      <c r="GE2299" s="8">
        <v>1.7010889054525677</v>
      </c>
      <c r="GF2299" s="8">
        <v>1.6512178313378361</v>
      </c>
      <c r="GG2299" s="8">
        <v>1.1871761882489873</v>
      </c>
      <c r="GH2299" s="8">
        <v>0</v>
      </c>
      <c r="GI2299" s="8">
        <v>3.2650011662267393</v>
      </c>
    </row>
    <row r="2300" spans="182:191">
      <c r="FZ2300" s="8">
        <v>6.2319595894469852</v>
      </c>
      <c r="GA2300" s="8">
        <v>8.4625268808940817</v>
      </c>
      <c r="GB2300" s="8">
        <v>3.3403291338627872</v>
      </c>
      <c r="GC2300" s="8">
        <v>0.42290582142933364</v>
      </c>
      <c r="GD2300" s="8">
        <v>0.46127625321252025</v>
      </c>
      <c r="GE2300" s="8">
        <v>0.68421255656065461</v>
      </c>
      <c r="GF2300" s="8">
        <v>4.4838770900627303</v>
      </c>
      <c r="GG2300" s="8">
        <v>4.1721631424107617</v>
      </c>
      <c r="GH2300" s="8">
        <v>0.81723777082165783</v>
      </c>
      <c r="GI2300" s="8">
        <v>4.4310313211348147</v>
      </c>
    </row>
    <row r="2301" spans="182:191">
      <c r="FZ2301" s="8">
        <v>3.9400454033468648</v>
      </c>
      <c r="GA2301" s="8">
        <v>12.707257019626024</v>
      </c>
      <c r="GB2301" s="8">
        <v>3.5148312806365167</v>
      </c>
      <c r="GC2301" s="8">
        <v>0.35013293450217942</v>
      </c>
      <c r="GD2301" s="8">
        <v>0.36118362606945931</v>
      </c>
      <c r="GE2301" s="8">
        <v>1.2551996966808341</v>
      </c>
      <c r="GF2301" s="8">
        <v>5.2071640525134519</v>
      </c>
      <c r="GG2301" s="8">
        <v>4.0437716100688981</v>
      </c>
      <c r="GH2301" s="8">
        <v>0.47158847029581613</v>
      </c>
      <c r="GI2301" s="8">
        <v>3.2513402524445412</v>
      </c>
    </row>
    <row r="2302" spans="182:191">
      <c r="FZ2302" s="8">
        <v>3.0578881997582497</v>
      </c>
      <c r="GA2302" s="8">
        <v>13.903581591015254</v>
      </c>
      <c r="GB2302" s="8">
        <v>3.8962174908477563</v>
      </c>
      <c r="GC2302" s="8">
        <v>0.66040810547120743</v>
      </c>
      <c r="GD2302" s="8">
        <v>0.68354104756658107</v>
      </c>
      <c r="GE2302" s="8">
        <v>1.0324819164087076</v>
      </c>
      <c r="GF2302" s="8">
        <v>3.1786951299826667</v>
      </c>
      <c r="GG2302" s="8">
        <v>2.2555066839041871</v>
      </c>
      <c r="GH2302" s="8">
        <v>0.51847395078876257</v>
      </c>
      <c r="GI2302" s="8">
        <v>3.4843763765485898</v>
      </c>
    </row>
    <row r="2303" spans="182:191">
      <c r="FZ2303" s="8">
        <v>7.0560251980703566</v>
      </c>
      <c r="GA2303" s="8">
        <v>18.002449999603861</v>
      </c>
      <c r="GB2303" s="8">
        <v>5.6376448638703165</v>
      </c>
      <c r="GC2303" s="8">
        <v>0.49374248286417666</v>
      </c>
      <c r="GD2303" s="8">
        <v>0.66315314529587077</v>
      </c>
      <c r="GE2303" s="8">
        <v>1.2867559323695679</v>
      </c>
      <c r="GF2303" s="8">
        <v>7.4822068649612792</v>
      </c>
      <c r="GG2303" s="8">
        <v>6.497981294760562</v>
      </c>
      <c r="GH2303" s="8">
        <v>0.40861888541082891</v>
      </c>
      <c r="GI2303" s="8">
        <v>6.0325015593849116</v>
      </c>
    </row>
    <row r="2304" spans="182:191">
      <c r="FZ2304" s="8">
        <v>8.3202058699011392</v>
      </c>
      <c r="GA2304" s="8">
        <v>10.633172567005557</v>
      </c>
      <c r="GB2304" s="8">
        <v>4.0695089893738627</v>
      </c>
      <c r="GC2304" s="8">
        <v>0.38901264582039796</v>
      </c>
      <c r="GD2304" s="8">
        <v>0.37276970648697511</v>
      </c>
      <c r="GE2304" s="8">
        <v>1.5205772263061057</v>
      </c>
      <c r="GF2304" s="8">
        <v>3.6914367532476033</v>
      </c>
      <c r="GG2304" s="8">
        <v>2.2337294396067464</v>
      </c>
      <c r="GH2304" s="8">
        <v>0.47158847029581613</v>
      </c>
      <c r="GI2304" s="8">
        <v>4.3129147631767166</v>
      </c>
    </row>
    <row r="2305" spans="182:191">
      <c r="FZ2305" s="8">
        <v>10.396017391931899</v>
      </c>
      <c r="GA2305" s="8">
        <v>19.176108757287064</v>
      </c>
      <c r="GB2305" s="8">
        <v>5.7911526898614927</v>
      </c>
      <c r="GC2305" s="8">
        <v>0.59993678036335629</v>
      </c>
      <c r="GD2305" s="8">
        <v>0.78898769205517594</v>
      </c>
      <c r="GE2305" s="8">
        <v>1.7545281862937492</v>
      </c>
      <c r="GF2305" s="8">
        <v>3.9859167401779025</v>
      </c>
      <c r="GG2305" s="8">
        <v>2.6796696653298739</v>
      </c>
      <c r="GH2305" s="8">
        <v>0.58144353567374973</v>
      </c>
      <c r="GI2305" s="8">
        <v>5.6413183313154089</v>
      </c>
    </row>
    <row r="2306" spans="182:191">
      <c r="FZ2306" s="8">
        <v>8.6890338276421435</v>
      </c>
      <c r="GA2306" s="8">
        <v>12.633361599841045</v>
      </c>
      <c r="GB2306" s="8">
        <v>2.8553644451972469</v>
      </c>
      <c r="GC2306" s="8">
        <v>0.37301536528668622</v>
      </c>
      <c r="GD2306" s="8">
        <v>0.74569250396945819</v>
      </c>
      <c r="GE2306" s="8">
        <v>2.0535518650526243</v>
      </c>
      <c r="GF2306" s="8">
        <v>5.161276611133589</v>
      </c>
      <c r="GG2306" s="8">
        <v>3.9249259174751105</v>
      </c>
      <c r="GH2306" s="8">
        <v>0.99006242108457876</v>
      </c>
      <c r="GI2306" s="8">
        <v>5.5112903745879018</v>
      </c>
    </row>
    <row r="2307" spans="182:191">
      <c r="FZ2307" s="8">
        <v>6.9406027602176419</v>
      </c>
      <c r="GA2307" s="8">
        <v>4.4440677816928957</v>
      </c>
      <c r="GB2307" s="8">
        <v>0.30934910983991037</v>
      </c>
      <c r="GC2307" s="8">
        <v>0.50338291056524698</v>
      </c>
      <c r="GD2307" s="8">
        <v>0.79470960044906658</v>
      </c>
      <c r="GE2307" s="8">
        <v>2.292604989799611</v>
      </c>
      <c r="GF2307" s="8">
        <v>4.9518711899347423</v>
      </c>
      <c r="GG2307" s="8">
        <v>2.9269068902655246</v>
      </c>
      <c r="GH2307" s="8">
        <v>0.58144353567374973</v>
      </c>
      <c r="GI2307" s="8">
        <v>3.4731342534861693</v>
      </c>
    </row>
    <row r="2308" spans="182:191">
      <c r="FZ2308" s="8">
        <v>7.3381291921736516</v>
      </c>
      <c r="GA2308" s="8">
        <v>12.58181479645005</v>
      </c>
      <c r="GB2308" s="8">
        <v>3.911246409029884</v>
      </c>
      <c r="GC2308" s="8">
        <v>1.0032856350542971</v>
      </c>
      <c r="GD2308" s="8">
        <v>1.4608752425580405</v>
      </c>
      <c r="GE2308" s="8">
        <v>2.612042624453895</v>
      </c>
      <c r="GF2308" s="8">
        <v>4.9161473446608532</v>
      </c>
      <c r="GG2308" s="8">
        <v>3.3025356475430381</v>
      </c>
      <c r="GH2308" s="8">
        <v>0.23579423514790807</v>
      </c>
      <c r="GI2308" s="8">
        <v>5.805029285380404</v>
      </c>
    </row>
    <row r="2309" spans="182:191">
      <c r="FZ2309" s="8">
        <v>8.319825493862254</v>
      </c>
      <c r="GA2309" s="8">
        <v>8.9642772899094414</v>
      </c>
      <c r="GB2309" s="8">
        <v>2.4821798792482701</v>
      </c>
      <c r="GC2309" s="8">
        <v>0.85903067819486278</v>
      </c>
      <c r="GD2309" s="8">
        <v>1.4080493867374866</v>
      </c>
      <c r="GE2309" s="8">
        <v>2.9605816722734137</v>
      </c>
      <c r="GF2309" s="8">
        <v>3.4155407595048106</v>
      </c>
      <c r="GG2309" s="8">
        <v>1.1871761882489873</v>
      </c>
      <c r="GH2309" s="8">
        <v>0.3456493005258417</v>
      </c>
      <c r="GI2309" s="8">
        <v>5.374246549920576</v>
      </c>
    </row>
    <row r="2310" spans="182:191">
      <c r="FZ2310" s="8">
        <v>0.48501114767149078</v>
      </c>
      <c r="GA2310" s="8">
        <v>6.0925435518216524</v>
      </c>
      <c r="GB2310" s="8">
        <v>2.8042244494127502</v>
      </c>
      <c r="GC2310" s="8">
        <v>0.40651627598719592</v>
      </c>
      <c r="GD2310" s="8">
        <v>0.60500290046551197</v>
      </c>
      <c r="GE2310" s="8">
        <v>1.4472486579647996</v>
      </c>
      <c r="GF2310" s="8">
        <v>6.7137238864525122</v>
      </c>
      <c r="GG2310" s="8">
        <v>5.3811165749571881</v>
      </c>
      <c r="GH2310" s="8">
        <v>0</v>
      </c>
      <c r="GI2310" s="8">
        <v>3.6993265347484701</v>
      </c>
    </row>
    <row r="2311" spans="182:191">
      <c r="FZ2311" s="8">
        <v>4.7071605451216492</v>
      </c>
      <c r="GA2311" s="8">
        <v>12.781152439411002</v>
      </c>
      <c r="GB2311" s="8">
        <v>3.9101235994199479</v>
      </c>
      <c r="GC2311" s="8">
        <v>0.69864240829198898</v>
      </c>
      <c r="GD2311" s="8">
        <v>1.3469903339504912</v>
      </c>
      <c r="GE2311" s="8">
        <v>3.0235512114560215</v>
      </c>
      <c r="GF2311" s="8">
        <v>3.5991261826077752</v>
      </c>
      <c r="GG2311" s="8">
        <v>1.9651906826547476</v>
      </c>
      <c r="GH2311" s="8">
        <v>0.88020735570664521</v>
      </c>
      <c r="GI2311" s="8">
        <v>4.6520079070578628</v>
      </c>
    </row>
    <row r="2312" spans="182:191">
      <c r="FZ2312" s="8">
        <v>0.54272236659784878</v>
      </c>
      <c r="GA2312" s="8">
        <v>8.263189237933128</v>
      </c>
      <c r="GB2312" s="8">
        <v>3.428703016859588</v>
      </c>
      <c r="GC2312" s="8">
        <v>1.1346312325477903</v>
      </c>
      <c r="GD2312" s="8">
        <v>1.1422321383208895</v>
      </c>
      <c r="GE2312" s="8">
        <v>1.4643570211909023</v>
      </c>
      <c r="GF2312" s="8">
        <v>4.3638092094335308</v>
      </c>
      <c r="GG2312" s="8">
        <v>3.1954456472175239</v>
      </c>
      <c r="GH2312" s="8">
        <v>0.3456493005258417</v>
      </c>
      <c r="GI2312" s="8">
        <v>3.647570137328473</v>
      </c>
    </row>
    <row r="2313" spans="182:191">
      <c r="FZ2313" s="8">
        <v>4.8644108621479933</v>
      </c>
      <c r="GA2313" s="8">
        <v>10.758614790181531</v>
      </c>
      <c r="GB2313" s="8">
        <v>3.4438197736794027</v>
      </c>
      <c r="GC2313" s="8">
        <v>0.68057286975623821</v>
      </c>
      <c r="GD2313" s="8">
        <v>0.86683199204904349</v>
      </c>
      <c r="GE2313" s="8">
        <v>1.5102181971474076</v>
      </c>
      <c r="GF2313" s="8">
        <v>2.9804539730235606</v>
      </c>
      <c r="GG2313" s="8">
        <v>1.8798779266266734</v>
      </c>
      <c r="GH2313" s="8">
        <v>0.17282465026292085</v>
      </c>
      <c r="GI2313" s="8">
        <v>3.6399046320950132</v>
      </c>
    </row>
    <row r="2314" spans="182:191">
      <c r="FZ2314" s="8">
        <v>3.0582685757971344</v>
      </c>
      <c r="GA2314" s="8">
        <v>2.5693209720333821</v>
      </c>
      <c r="GB2314" s="8">
        <v>0.89780443832206624</v>
      </c>
      <c r="GC2314" s="8">
        <v>0.56332593825494437</v>
      </c>
      <c r="GD2314" s="8">
        <v>0.79203779054367396</v>
      </c>
      <c r="GE2314" s="8">
        <v>1.6981528763406353</v>
      </c>
      <c r="GF2314" s="8">
        <v>5.9225240670771617</v>
      </c>
      <c r="GG2314" s="8">
        <v>4.3826218354665114</v>
      </c>
      <c r="GH2314" s="8">
        <v>0.3456493005258417</v>
      </c>
      <c r="GI2314" s="8">
        <v>4.1097551025636117</v>
      </c>
    </row>
    <row r="2315" spans="182:191">
      <c r="FZ2315" s="8">
        <v>2.7761645816938412</v>
      </c>
      <c r="GA2315" s="8">
        <v>8.1892938181481494</v>
      </c>
      <c r="GB2315" s="8">
        <v>2.7391783450560618</v>
      </c>
      <c r="GC2315" s="8">
        <v>0.39439144643810675</v>
      </c>
      <c r="GD2315" s="8">
        <v>0.77852617916189437</v>
      </c>
      <c r="GE2315" s="8">
        <v>1.7389373263246024</v>
      </c>
      <c r="GF2315" s="8">
        <v>4.7306880611613966</v>
      </c>
      <c r="GG2315" s="8">
        <v>3.7384543212369992</v>
      </c>
      <c r="GH2315" s="8">
        <v>0.40861888541082891</v>
      </c>
      <c r="GI2315" s="8">
        <v>3.5756117033616843</v>
      </c>
    </row>
    <row r="2316" spans="182:191">
      <c r="FZ2316" s="8">
        <v>1.3671683512601061</v>
      </c>
      <c r="GA2316" s="8">
        <v>14.931378618555122</v>
      </c>
      <c r="GB2316" s="8">
        <v>5.6527616206901312</v>
      </c>
      <c r="GC2316" s="8">
        <v>0.77614868733941511</v>
      </c>
      <c r="GD2316" s="8">
        <v>1.4441134555545747</v>
      </c>
      <c r="GE2316" s="8">
        <v>2.5294006737790955</v>
      </c>
      <c r="GF2316" s="8">
        <v>3.996400521300643</v>
      </c>
      <c r="GG2316" s="8">
        <v>3.1038326467555613</v>
      </c>
      <c r="GH2316" s="8">
        <v>0.64441312055873701</v>
      </c>
      <c r="GI2316" s="8">
        <v>5.9985841484299289</v>
      </c>
    </row>
    <row r="2317" spans="182:191">
      <c r="FZ2317" s="8">
        <v>6.1738679944817427</v>
      </c>
      <c r="GA2317" s="8">
        <v>11.533598261942824</v>
      </c>
      <c r="GB2317" s="8">
        <v>3.2391719519037303</v>
      </c>
      <c r="GC2317" s="8">
        <v>0.86642520443336735</v>
      </c>
      <c r="GD2317" s="8">
        <v>0.61025266757219931</v>
      </c>
      <c r="GE2317" s="8">
        <v>0.51681245195761161</v>
      </c>
      <c r="GF2317" s="8">
        <v>4.023040252366699</v>
      </c>
      <c r="GG2317" s="8">
        <v>3.1741441152011753</v>
      </c>
      <c r="GH2317" s="8">
        <v>0.40861888541082891</v>
      </c>
      <c r="GI2317" s="8">
        <v>3.4783729012619267</v>
      </c>
    </row>
    <row r="2318" spans="182:191">
      <c r="FZ2318" s="8">
        <v>0.82444598466225738</v>
      </c>
      <c r="GA2318" s="8">
        <v>9.0381727096944218</v>
      </c>
      <c r="GB2318" s="8">
        <v>3.2427160580089112</v>
      </c>
      <c r="GC2318" s="8">
        <v>0.12571365328677331</v>
      </c>
      <c r="GD2318" s="8">
        <v>0.32017178864546342</v>
      </c>
      <c r="GE2318" s="8">
        <v>0.73613928633794656</v>
      </c>
      <c r="GF2318" s="8">
        <v>3.1238742211069477</v>
      </c>
      <c r="GG2318" s="8">
        <v>3.0552984226073874</v>
      </c>
      <c r="GH2318" s="8">
        <v>0.40861888541082891</v>
      </c>
      <c r="GI2318" s="8">
        <v>2.6347408707173798</v>
      </c>
    </row>
    <row r="2319" spans="182:191">
      <c r="FZ2319" s="8">
        <v>3.1159797947234926</v>
      </c>
      <c r="GA2319" s="8">
        <v>2.5693209720333821</v>
      </c>
      <c r="GB2319" s="8">
        <v>0.95015508235418533</v>
      </c>
      <c r="GC2319" s="8">
        <v>1.9836093391956031</v>
      </c>
      <c r="GD2319" s="8">
        <v>1.8508718587138446</v>
      </c>
      <c r="GE2319" s="8">
        <v>1.4909260804517477</v>
      </c>
      <c r="GF2319" s="8">
        <v>2.208834277614903</v>
      </c>
      <c r="GG2319" s="8">
        <v>1.5410277012290603</v>
      </c>
      <c r="GH2319" s="8">
        <v>0.81723777082165783</v>
      </c>
      <c r="GI2319" s="8">
        <v>3.5026320491475618</v>
      </c>
    </row>
    <row r="2320" spans="182:191">
      <c r="FZ2320" s="8">
        <v>6.2617330862361094</v>
      </c>
      <c r="GA2320" s="8">
        <v>7.0360545674323074</v>
      </c>
      <c r="GB2320" s="8">
        <v>1.2966408632106781</v>
      </c>
      <c r="GC2320" s="8">
        <v>6.8039494806882539E-2</v>
      </c>
      <c r="GD2320" s="8">
        <v>4.8680396241730907E-2</v>
      </c>
      <c r="GE2320" s="8">
        <v>0.53616273800777048</v>
      </c>
      <c r="GF2320" s="8">
        <v>3.3838739635538246</v>
      </c>
      <c r="GG2320" s="8">
        <v>3.0335211783099472</v>
      </c>
      <c r="GH2320" s="8">
        <v>0.88020735570664521</v>
      </c>
      <c r="GI2320" s="8">
        <v>3.092193294921012</v>
      </c>
    </row>
    <row r="2321" spans="182:191">
      <c r="FZ2321" s="8">
        <v>4.9798333000007098</v>
      </c>
      <c r="GA2321" s="8">
        <v>8.1892938181481494</v>
      </c>
      <c r="GB2321" s="8">
        <v>2.8089792037655537</v>
      </c>
      <c r="GC2321" s="8">
        <v>0.58569899305174189</v>
      </c>
      <c r="GD2321" s="8">
        <v>0.72941312443289252</v>
      </c>
      <c r="GE2321" s="8">
        <v>1.8444527098970542</v>
      </c>
      <c r="GF2321" s="8">
        <v>3.1478288112889219</v>
      </c>
      <c r="GG2321" s="8">
        <v>1.4344134131846378</v>
      </c>
      <c r="GH2321" s="8">
        <v>0</v>
      </c>
      <c r="GI2321" s="8">
        <v>3.796521300509391</v>
      </c>
    </row>
    <row r="2322" spans="182:191">
      <c r="FZ2322" s="8">
        <v>4.4254369270572411</v>
      </c>
      <c r="GA2322" s="8">
        <v>9.4368479956163291</v>
      </c>
      <c r="GB2322" s="8">
        <v>3.6207432169483775</v>
      </c>
      <c r="GC2322" s="8">
        <v>0.94701940464856416</v>
      </c>
      <c r="GD2322" s="8">
        <v>0.77204759429212633</v>
      </c>
      <c r="GE2322" s="8">
        <v>1.0815802837966366</v>
      </c>
      <c r="GF2322" s="8">
        <v>4.7218125903126724</v>
      </c>
      <c r="GG2322" s="8">
        <v>3.5710744044950373</v>
      </c>
      <c r="GH2322" s="8">
        <v>0</v>
      </c>
      <c r="GI2322" s="8">
        <v>4.2129184861305946</v>
      </c>
    </row>
    <row r="2323" spans="182:191">
      <c r="FZ2323" s="8">
        <v>6.2315792134081001</v>
      </c>
      <c r="GA2323" s="8">
        <v>8.9642772899094414</v>
      </c>
      <c r="GB2323" s="8">
        <v>2.5844598708172635</v>
      </c>
      <c r="GC2323" s="8">
        <v>0.73533275052888525</v>
      </c>
      <c r="GD2323" s="8">
        <v>1.144914353690236</v>
      </c>
      <c r="GE2323" s="8">
        <v>2.3132942640298073</v>
      </c>
      <c r="GF2323" s="8">
        <v>4.2284277292969659</v>
      </c>
      <c r="GG2323" s="8">
        <v>3.1619127106518099</v>
      </c>
      <c r="GH2323" s="8">
        <v>0.88020735570664521</v>
      </c>
      <c r="GI2323" s="8">
        <v>4.6328127537454113</v>
      </c>
    </row>
    <row r="2324" spans="182:191">
      <c r="FZ2324" s="8">
        <v>6.9983139791439992</v>
      </c>
      <c r="GA2324" s="8">
        <v>12.507919376665072</v>
      </c>
      <c r="GB2324" s="8">
        <v>3.2915225959358496</v>
      </c>
      <c r="GC2324" s="8">
        <v>0.31318944867627208</v>
      </c>
      <c r="GD2324" s="8">
        <v>0.91790596023774573</v>
      </c>
      <c r="GE2324" s="8">
        <v>2.2884695594021061</v>
      </c>
      <c r="GF2324" s="8">
        <v>2.7381412384339527</v>
      </c>
      <c r="GG2324" s="8">
        <v>1.6113391696746744</v>
      </c>
      <c r="GH2324" s="8">
        <v>0.75426818593667067</v>
      </c>
      <c r="GI2324" s="8">
        <v>5.1293774528901013</v>
      </c>
    </row>
    <row r="2325" spans="182:191">
      <c r="FZ2325" s="8">
        <v>5.4071332287458427</v>
      </c>
      <c r="GA2325" s="8">
        <v>7.0360545674323074</v>
      </c>
      <c r="GB2325" s="8">
        <v>1.381470640102298</v>
      </c>
      <c r="GC2325" s="8">
        <v>0.64161365830953532</v>
      </c>
      <c r="GD2325" s="8">
        <v>0.67319736500175442</v>
      </c>
      <c r="GE2325" s="8">
        <v>1.4877785327228474</v>
      </c>
      <c r="GF2325" s="8">
        <v>3.3653176785618357</v>
      </c>
      <c r="GG2325" s="8">
        <v>1.8585763946103251</v>
      </c>
      <c r="GH2325" s="8">
        <v>0.40861888541082891</v>
      </c>
      <c r="GI2325" s="8">
        <v>3.9148683912978859</v>
      </c>
    </row>
    <row r="2326" spans="182:191">
      <c r="FZ2326" s="8">
        <v>5.921917873206457</v>
      </c>
      <c r="GA2326" s="8">
        <v>9.53148011968071</v>
      </c>
      <c r="GB2326" s="8">
        <v>1.5897504066208377</v>
      </c>
      <c r="GC2326" s="8">
        <v>0.56105706904513775</v>
      </c>
      <c r="GD2326" s="8">
        <v>0.75113472330771835</v>
      </c>
      <c r="GE2326" s="8">
        <v>1.8074276859940992</v>
      </c>
      <c r="GF2326" s="8">
        <v>5.3564033902564265</v>
      </c>
      <c r="GG2326" s="8">
        <v>4.0437716100688981</v>
      </c>
      <c r="GH2326" s="8">
        <v>0.99006242108457876</v>
      </c>
      <c r="GI2326" s="8">
        <v>4.0214388181925482</v>
      </c>
    </row>
    <row r="2327" spans="182:191">
      <c r="FZ2327" s="8">
        <v>4.0856217140275888</v>
      </c>
      <c r="GA2327" s="8">
        <v>19.398112213954047</v>
      </c>
      <c r="GB2327" s="8">
        <v>6.206228681179855</v>
      </c>
      <c r="GC2327" s="8">
        <v>1.2477106802977653</v>
      </c>
      <c r="GD2327" s="8">
        <v>1.3842634858844463</v>
      </c>
      <c r="GE2327" s="8">
        <v>2.0434297932976988</v>
      </c>
      <c r="GF2327" s="8">
        <v>5.3210388350536242</v>
      </c>
      <c r="GG2327" s="8">
        <v>3.7480001609850739</v>
      </c>
      <c r="GH2327" s="8">
        <v>0.23579423514790807</v>
      </c>
      <c r="GI2327" s="8">
        <v>5.9007992439556993</v>
      </c>
    </row>
    <row r="2328" spans="182:191">
      <c r="FZ2328" s="8">
        <v>4.5245956491183428</v>
      </c>
      <c r="GA2328" s="8">
        <v>21.873118259235092</v>
      </c>
      <c r="GB2328" s="8">
        <v>7.5813866008109931</v>
      </c>
      <c r="GC2328" s="8">
        <v>0.87004142301929166</v>
      </c>
      <c r="GD2328" s="8">
        <v>1.0594474999892349</v>
      </c>
      <c r="GE2328" s="8">
        <v>1.4632144388822859</v>
      </c>
      <c r="GF2328" s="8">
        <v>0.98342086402103024</v>
      </c>
      <c r="GG2328" s="8">
        <v>0.24723722493565062</v>
      </c>
      <c r="GH2328" s="8">
        <v>0.17282465026292085</v>
      </c>
      <c r="GI2328" s="8">
        <v>5.2517634371789086</v>
      </c>
    </row>
    <row r="2329" spans="182:191">
      <c r="FZ2329" s="8">
        <v>6.0286720598399031</v>
      </c>
      <c r="GA2329" s="8">
        <v>20.625246884454871</v>
      </c>
      <c r="GB2329" s="8">
        <v>8.2035317104002718</v>
      </c>
      <c r="GC2329" s="8">
        <v>0.95124342078112645</v>
      </c>
      <c r="GD2329" s="8">
        <v>1.3630223099036463</v>
      </c>
      <c r="GE2329" s="8">
        <v>2.7532967070300276</v>
      </c>
      <c r="GF2329" s="8">
        <v>1.9240851520870101</v>
      </c>
      <c r="GG2329" s="8">
        <v>0.1769257564900365</v>
      </c>
      <c r="GH2329" s="8">
        <v>0.23579423514790807</v>
      </c>
      <c r="GI2329" s="8">
        <v>6.0101437117137326</v>
      </c>
    </row>
    <row r="2330" spans="182:191">
      <c r="FZ2330" s="8">
        <v>9.3686642537014464</v>
      </c>
      <c r="GA2330" s="8">
        <v>10.012493824416669</v>
      </c>
      <c r="GB2330" s="8">
        <v>3.1741258475470415</v>
      </c>
      <c r="GC2330" s="8">
        <v>0.21319300375276518</v>
      </c>
      <c r="GD2330" s="8">
        <v>0.65960593893952923</v>
      </c>
      <c r="GE2330" s="8">
        <v>1.9667421586105256</v>
      </c>
      <c r="GF2330" s="8">
        <v>2.2870075539448096</v>
      </c>
      <c r="GG2330" s="8">
        <v>1.1168647198033732</v>
      </c>
      <c r="GH2330" s="8">
        <v>0.23579423514790807</v>
      </c>
      <c r="GI2330" s="8">
        <v>4.7235906265518608</v>
      </c>
    </row>
    <row r="2331" spans="182:191">
      <c r="FZ2331" s="8">
        <v>1.3094571323337481</v>
      </c>
      <c r="GA2331" s="8">
        <v>17.102024304666596</v>
      </c>
      <c r="GB2331" s="8">
        <v>6.1550886853953584</v>
      </c>
      <c r="GC2331" s="8">
        <v>0.64401856002906976</v>
      </c>
      <c r="GD2331" s="8">
        <v>0.85260306542745112</v>
      </c>
      <c r="GE2331" s="8">
        <v>1.3128584925896269</v>
      </c>
      <c r="GF2331" s="8">
        <v>4.4988471574605597</v>
      </c>
      <c r="GG2331" s="8">
        <v>3.7480001609850739</v>
      </c>
      <c r="GH2331" s="8">
        <v>0.40861888541082891</v>
      </c>
      <c r="GI2331" s="8">
        <v>4.4371937053271777</v>
      </c>
    </row>
    <row r="2332" spans="182:191">
      <c r="FZ2332" s="8">
        <v>0.93986842251497327</v>
      </c>
      <c r="GA2332" s="8">
        <v>6.6681893806219925</v>
      </c>
      <c r="GB2332" s="8">
        <v>2.6741322406993726</v>
      </c>
      <c r="GC2332" s="8">
        <v>0.69150411445218263</v>
      </c>
      <c r="GD2332" s="8">
        <v>0.82469558710081348</v>
      </c>
      <c r="GE2332" s="8">
        <v>1.5808506040550527</v>
      </c>
      <c r="GF2332" s="8">
        <v>3.7418996834965887</v>
      </c>
      <c r="GG2332" s="8">
        <v>2.3743523764979746</v>
      </c>
      <c r="GH2332" s="8">
        <v>0</v>
      </c>
      <c r="GI2332" s="8">
        <v>2.8925137323655772</v>
      </c>
    </row>
    <row r="2333" spans="182:191">
      <c r="FZ2333" s="8">
        <v>6.9983139791439992</v>
      </c>
      <c r="GA2333" s="8">
        <v>22.74241665774872</v>
      </c>
      <c r="GB2333" s="8">
        <v>6.7248831509525182</v>
      </c>
      <c r="GC2333" s="8">
        <v>0.6146056329513947</v>
      </c>
      <c r="GD2333" s="8">
        <v>0.65150460799986076</v>
      </c>
      <c r="GE2333" s="8">
        <v>1.3941583827563497</v>
      </c>
      <c r="GF2333" s="8">
        <v>4.1323395460377492</v>
      </c>
      <c r="GG2333" s="8">
        <v>2.6796696653298739</v>
      </c>
      <c r="GH2333" s="8">
        <v>0.23579423514790807</v>
      </c>
      <c r="GI2333" s="8">
        <v>5.1122134580627998</v>
      </c>
    </row>
    <row r="2334" spans="182:191">
      <c r="FZ2334" s="8">
        <v>7.0564055741092417</v>
      </c>
      <c r="GA2334" s="8">
        <v>6.8675270235829462</v>
      </c>
      <c r="GB2334" s="8">
        <v>2.6182374905620733</v>
      </c>
      <c r="GC2334" s="8">
        <v>0.42570298805729417</v>
      </c>
      <c r="GD2334" s="8">
        <v>0.53380355608857677</v>
      </c>
      <c r="GE2334" s="8">
        <v>1.4246509485998333</v>
      </c>
      <c r="GF2334" s="8">
        <v>4.9029585733126426</v>
      </c>
      <c r="GG2334" s="8">
        <v>3.421381340136826</v>
      </c>
      <c r="GH2334" s="8">
        <v>0.40861888541082891</v>
      </c>
      <c r="GI2334" s="8">
        <v>3.477655170012401</v>
      </c>
    </row>
    <row r="2335" spans="182:191">
      <c r="FZ2335" s="8">
        <v>2.7343367025202121</v>
      </c>
      <c r="GA2335" s="8">
        <v>10.012493824416669</v>
      </c>
      <c r="GB2335" s="8">
        <v>3.312516916718403</v>
      </c>
      <c r="GC2335" s="8">
        <v>0.39937798214738973</v>
      </c>
      <c r="GD2335" s="8">
        <v>1.2110622406037967</v>
      </c>
      <c r="GE2335" s="8">
        <v>3.1426054972858664</v>
      </c>
      <c r="GF2335" s="8">
        <v>4.2358420891128361</v>
      </c>
      <c r="GG2335" s="8">
        <v>2.6796696653298739</v>
      </c>
      <c r="GH2335" s="8">
        <v>0.23579423514790807</v>
      </c>
      <c r="GI2335" s="8">
        <v>4.4423793707623753</v>
      </c>
    </row>
    <row r="2336" spans="182:191">
      <c r="FZ2336" s="8">
        <v>4.4250565510183559</v>
      </c>
      <c r="GA2336" s="8">
        <v>9.9385984046316889</v>
      </c>
      <c r="GB2336" s="8">
        <v>2.7938624469457389</v>
      </c>
      <c r="GC2336" s="8">
        <v>1.1067622660540009</v>
      </c>
      <c r="GD2336" s="8">
        <v>1.0265660603900435</v>
      </c>
      <c r="GE2336" s="8">
        <v>1.3826822100758405</v>
      </c>
      <c r="GF2336" s="8">
        <v>1.3514986384121144</v>
      </c>
      <c r="GG2336" s="8">
        <v>0.42416298142568709</v>
      </c>
      <c r="GH2336" s="8">
        <v>0.40861888541082891</v>
      </c>
      <c r="GI2336" s="8">
        <v>2.9776253564227417</v>
      </c>
    </row>
    <row r="2337" spans="182:191">
      <c r="FZ2337" s="8">
        <v>3.94042577938575</v>
      </c>
      <c r="GA2337" s="8">
        <v>8.2836087449004872</v>
      </c>
      <c r="GB2337" s="8">
        <v>2.1420946575006257</v>
      </c>
      <c r="GC2337" s="8">
        <v>0.69559209807501743</v>
      </c>
      <c r="GD2337" s="8">
        <v>0.58961470458158738</v>
      </c>
      <c r="GE2337" s="8">
        <v>1.1141571327216686</v>
      </c>
      <c r="GF2337" s="8">
        <v>5.6466057342707456</v>
      </c>
      <c r="GG2337" s="8">
        <v>4.3708661431982385</v>
      </c>
      <c r="GH2337" s="8">
        <v>0.40861888541082891</v>
      </c>
      <c r="GI2337" s="8">
        <v>4.0821300178133759</v>
      </c>
    </row>
    <row r="2338" spans="182:191">
      <c r="FZ2338" s="8">
        <v>5.1465148562512875</v>
      </c>
      <c r="GA2338" s="8">
        <v>0.1993376429609533</v>
      </c>
      <c r="GB2338" s="8">
        <v>0.30934910983991037</v>
      </c>
      <c r="GC2338" s="8">
        <v>1.0998395048524063</v>
      </c>
      <c r="GD2338" s="8">
        <v>0.9061737329689985</v>
      </c>
      <c r="GE2338" s="8">
        <v>1.3480753621416186</v>
      </c>
      <c r="GF2338" s="8">
        <v>3.4806535721348597</v>
      </c>
      <c r="GG2338" s="8">
        <v>1.8585763946103251</v>
      </c>
      <c r="GH2338" s="8">
        <v>0.40861888541082891</v>
      </c>
      <c r="GI2338" s="8">
        <v>2.9142108468175829</v>
      </c>
    </row>
    <row r="2339" spans="182:191">
      <c r="FZ2339" s="8">
        <v>3.8827145604593918</v>
      </c>
      <c r="GA2339" s="8">
        <v>9.0381727096944218</v>
      </c>
      <c r="GB2339" s="8">
        <v>3.3100956202231582</v>
      </c>
      <c r="GC2339" s="8">
        <v>0.45142019642056053</v>
      </c>
      <c r="GD2339" s="8">
        <v>0.96877840812525573</v>
      </c>
      <c r="GE2339" s="8">
        <v>2.5020707684100585</v>
      </c>
      <c r="GF2339" s="8">
        <v>3.552720301681692</v>
      </c>
      <c r="GG2339" s="8">
        <v>1.8798779266266734</v>
      </c>
      <c r="GH2339" s="8">
        <v>0</v>
      </c>
      <c r="GI2339" s="8">
        <v>4.4247117909673088</v>
      </c>
    </row>
    <row r="2340" spans="182:191">
      <c r="FZ2340" s="8">
        <v>4.5129216427727226</v>
      </c>
      <c r="GA2340" s="8">
        <v>3.4697466669706492</v>
      </c>
      <c r="GB2340" s="8">
        <v>0.37672867205415744</v>
      </c>
      <c r="GC2340" s="8">
        <v>0.5313313771875211</v>
      </c>
      <c r="GD2340" s="8">
        <v>0.3227975102535135</v>
      </c>
      <c r="GE2340" s="8">
        <v>0.65265632087192083</v>
      </c>
      <c r="GF2340" s="8">
        <v>4.1265427954417859</v>
      </c>
      <c r="GG2340" s="8">
        <v>2.9972183587111387</v>
      </c>
      <c r="GH2340" s="8">
        <v>0</v>
      </c>
      <c r="GI2340" s="8">
        <v>2.0740703294801865</v>
      </c>
    </row>
    <row r="2341" spans="182:191">
      <c r="FZ2341" s="8">
        <v>0.93986842251497327</v>
      </c>
      <c r="GA2341" s="8">
        <v>6.6681893806219925</v>
      </c>
      <c r="GB2341" s="8">
        <v>2.6368105148493823</v>
      </c>
      <c r="GC2341" s="8">
        <v>0.84152704802806477</v>
      </c>
      <c r="GD2341" s="8">
        <v>1.0180465384226394</v>
      </c>
      <c r="GE2341" s="8">
        <v>1.4093150690545051</v>
      </c>
      <c r="GF2341" s="8">
        <v>2.5947878538809759</v>
      </c>
      <c r="GG2341" s="8">
        <v>2.340819439932261</v>
      </c>
      <c r="GH2341" s="8">
        <v>0.70738270544372439</v>
      </c>
      <c r="GI2341" s="8">
        <v>3.0845203574675195</v>
      </c>
    </row>
    <row r="2342" spans="182:191">
      <c r="FZ2342" s="8">
        <v>6.1738679944817427</v>
      </c>
      <c r="GA2342" s="8">
        <v>3.4697466669706492</v>
      </c>
      <c r="GB2342" s="8">
        <v>0.32679932451728327</v>
      </c>
      <c r="GC2342" s="8">
        <v>0.66604004967792751</v>
      </c>
      <c r="GD2342" s="8">
        <v>0.92224640762076548</v>
      </c>
      <c r="GE2342" s="8">
        <v>1.56006104904105</v>
      </c>
      <c r="GF2342" s="8">
        <v>3.7464751723657095</v>
      </c>
      <c r="GG2342" s="8">
        <v>2.9269068902655246</v>
      </c>
      <c r="GH2342" s="8">
        <v>0.40861888541082891</v>
      </c>
      <c r="GI2342" s="8">
        <v>3.2518557286213277</v>
      </c>
    </row>
    <row r="2343" spans="182:191">
      <c r="FZ2343" s="8">
        <v>5.2917107908931271</v>
      </c>
      <c r="GA2343" s="8">
        <v>19.377692706986693</v>
      </c>
      <c r="GB2343" s="8">
        <v>7.3755281307876981</v>
      </c>
      <c r="GC2343" s="8">
        <v>1.1659427741669779</v>
      </c>
      <c r="GD2343" s="8">
        <v>1.6137014152270162</v>
      </c>
      <c r="GE2343" s="8">
        <v>2.4183116742134478</v>
      </c>
      <c r="GF2343" s="8">
        <v>7.7440105209235499</v>
      </c>
      <c r="GG2343" s="8">
        <v>6.2022098456767374</v>
      </c>
      <c r="GH2343" s="8">
        <v>0.3456493005258417</v>
      </c>
      <c r="GI2343" s="8">
        <v>7.3305350653495838</v>
      </c>
    </row>
    <row r="2344" spans="182:191">
      <c r="FZ2344" s="8">
        <v>4.0279104951012314</v>
      </c>
      <c r="GA2344" s="8">
        <v>9.5622902187923025</v>
      </c>
      <c r="GB2344" s="8">
        <v>3.0985446410705322</v>
      </c>
      <c r="GC2344" s="8">
        <v>0.73945834510251884</v>
      </c>
      <c r="GD2344" s="8">
        <v>1.2413832897611348</v>
      </c>
      <c r="GE2344" s="8">
        <v>3.0135143077393565</v>
      </c>
      <c r="GF2344" s="8">
        <v>3.9869060114528638</v>
      </c>
      <c r="GG2344" s="8">
        <v>1.9869679269521878</v>
      </c>
      <c r="GH2344" s="8">
        <v>0.40861888541082891</v>
      </c>
      <c r="GI2344" s="8">
        <v>5.0116782134785911</v>
      </c>
    </row>
    <row r="2345" spans="182:191">
      <c r="FZ2345" s="8">
        <v>5.6888568468102516</v>
      </c>
      <c r="GA2345" s="8">
        <v>5.8397299960430775</v>
      </c>
      <c r="GB2345" s="8">
        <v>1.0025057263863042</v>
      </c>
      <c r="GC2345" s="8">
        <v>0.40002339064482684</v>
      </c>
      <c r="GD2345" s="8">
        <v>0.4327713081261978</v>
      </c>
      <c r="GE2345" s="8">
        <v>1.5871280816907063</v>
      </c>
      <c r="GF2345" s="8">
        <v>8.4302631737795082</v>
      </c>
      <c r="GG2345" s="8">
        <v>6.6263728271024238</v>
      </c>
      <c r="GH2345" s="8">
        <v>0.40861888541082891</v>
      </c>
      <c r="GI2345" s="8">
        <v>3.9334557950042308</v>
      </c>
    </row>
    <row r="2346" spans="182:191">
      <c r="FZ2346" s="8">
        <v>10.92285641877702</v>
      </c>
      <c r="GA2346" s="8">
        <v>17.153571108057591</v>
      </c>
      <c r="GB2346" s="8">
        <v>5.1702182285198353</v>
      </c>
      <c r="GC2346" s="8">
        <v>1.2221105830137822</v>
      </c>
      <c r="GD2346" s="8">
        <v>1.2041780798235364</v>
      </c>
      <c r="GE2346" s="8">
        <v>1.109213012902732</v>
      </c>
      <c r="GF2346" s="8">
        <v>4.9149598188564383</v>
      </c>
      <c r="GG2346" s="8">
        <v>4.489236123510933</v>
      </c>
      <c r="GH2346" s="8">
        <v>0.64441312055873701</v>
      </c>
      <c r="GI2346" s="8">
        <v>5.5899815455349398</v>
      </c>
    </row>
    <row r="2347" spans="182:191">
      <c r="FZ2347" s="8">
        <v>2.5732574281256437</v>
      </c>
      <c r="GA2347" s="8">
        <v>8.263189237933128</v>
      </c>
      <c r="GB2347" s="8">
        <v>3.3962238840000873</v>
      </c>
      <c r="GC2347" s="8">
        <v>0.35077834299961647</v>
      </c>
      <c r="GD2347" s="8">
        <v>0.55800264189531501</v>
      </c>
      <c r="GE2347" s="8">
        <v>0.87610347290421386</v>
      </c>
      <c r="GF2347" s="8">
        <v>5.9076212728075478E-2</v>
      </c>
      <c r="GG2347" s="8">
        <v>0.353851512980073</v>
      </c>
      <c r="GH2347" s="8">
        <v>0.99006242108457876</v>
      </c>
      <c r="GI2347" s="8">
        <v>2.9821061375835667</v>
      </c>
    </row>
    <row r="2348" spans="182:191">
      <c r="FZ2348" s="8">
        <v>3.5432797234686255</v>
      </c>
      <c r="GA2348" s="8">
        <v>13.20249353903894</v>
      </c>
      <c r="GB2348" s="8">
        <v>4.6020695677187193</v>
      </c>
      <c r="GC2348" s="8">
        <v>1.2665051274594377</v>
      </c>
      <c r="GD2348" s="8">
        <v>1.1792639972666106</v>
      </c>
      <c r="GE2348" s="8">
        <v>1.429685968340962</v>
      </c>
      <c r="GF2348" s="8">
        <v>1.8885119535250992</v>
      </c>
      <c r="GG2348" s="8">
        <v>0.84832596285137418</v>
      </c>
      <c r="GH2348" s="8">
        <v>0.81723777082165783</v>
      </c>
      <c r="GI2348" s="8">
        <v>4.1503153954252117</v>
      </c>
    </row>
    <row r="2349" spans="182:191">
      <c r="FZ2349" s="8">
        <v>7.8649682190187704</v>
      </c>
      <c r="GA2349" s="8">
        <v>16.05380777015937</v>
      </c>
      <c r="GB2349" s="8">
        <v>5.7050244260845631</v>
      </c>
      <c r="GC2349" s="8">
        <v>0.61245387482087144</v>
      </c>
      <c r="GD2349" s="8">
        <v>0.63654078899638433</v>
      </c>
      <c r="GE2349" s="8">
        <v>1.2397668816520939</v>
      </c>
      <c r="GF2349" s="8">
        <v>3.3055723795755636</v>
      </c>
      <c r="GG2349" s="8">
        <v>2.6578924210324333</v>
      </c>
      <c r="GH2349" s="8">
        <v>0.88020735570664521</v>
      </c>
      <c r="GI2349" s="8">
        <v>4.8087165640316343</v>
      </c>
    </row>
    <row r="2350" spans="182:191">
      <c r="FZ2350" s="8">
        <v>5.8340527814520904</v>
      </c>
      <c r="GA2350" s="8">
        <v>27.388068389141242</v>
      </c>
      <c r="GB2350" s="8">
        <v>8.5325672765793925</v>
      </c>
      <c r="GC2350" s="8">
        <v>0.17237706694223526</v>
      </c>
      <c r="GD2350" s="8">
        <v>0.94144101390808854</v>
      </c>
      <c r="GE2350" s="8">
        <v>2.2660682559085603</v>
      </c>
      <c r="GF2350" s="8">
        <v>2.6584618945417953</v>
      </c>
      <c r="GG2350" s="8">
        <v>2.2124279075903983</v>
      </c>
      <c r="GH2350" s="8">
        <v>0.70738270544372439</v>
      </c>
      <c r="GI2350" s="8">
        <v>5.9679248579363744</v>
      </c>
    </row>
    <row r="2351" spans="182:191">
      <c r="FZ2351" s="8">
        <v>8.0381018757978442</v>
      </c>
      <c r="GA2351" s="8">
        <v>7.434729853354213</v>
      </c>
      <c r="GB2351" s="8">
        <v>1.7233867214393959</v>
      </c>
      <c r="GC2351" s="8">
        <v>1.4123040449027573</v>
      </c>
      <c r="GD2351" s="8">
        <v>1.1645932223279565</v>
      </c>
      <c r="GE2351" s="8">
        <v>1.3420094031229326</v>
      </c>
      <c r="GF2351" s="8">
        <v>1.4214179223340162</v>
      </c>
      <c r="GG2351" s="8">
        <v>0.353851512980073</v>
      </c>
      <c r="GH2351" s="8">
        <v>0.81723777082165783</v>
      </c>
      <c r="GI2351" s="8">
        <v>3.365689804927416</v>
      </c>
    </row>
    <row r="2352" spans="182:191">
      <c r="FZ2352" s="8">
        <v>10.785948359315565</v>
      </c>
      <c r="GA2352" s="8">
        <v>12.727993723905426</v>
      </c>
      <c r="GB2352" s="8">
        <v>0.96518400053631337</v>
      </c>
      <c r="GC2352" s="8">
        <v>0.60500281620112362</v>
      </c>
      <c r="GD2352" s="8">
        <v>0.35315381214869973</v>
      </c>
      <c r="GE2352" s="8">
        <v>1.3820523087036825</v>
      </c>
      <c r="GF2352" s="8">
        <v>6.189123805501632</v>
      </c>
      <c r="GG2352" s="8">
        <v>3.9952373859207246</v>
      </c>
      <c r="GH2352" s="8">
        <v>0.40861888541082891</v>
      </c>
      <c r="GI2352" s="8">
        <v>4.6029527945353861</v>
      </c>
    </row>
    <row r="2353" spans="182:191">
      <c r="FZ2353" s="8">
        <v>8.0674949965480831</v>
      </c>
      <c r="GA2353" s="8">
        <v>21.620304703456519</v>
      </c>
      <c r="GB2353" s="8">
        <v>5.6027444345155706</v>
      </c>
      <c r="GC2353" s="8">
        <v>0.77076988672170621</v>
      </c>
      <c r="GD2353" s="8">
        <v>0.9531622742622895</v>
      </c>
      <c r="GE2353" s="8">
        <v>1.6342747721506878</v>
      </c>
      <c r="GF2353" s="8">
        <v>6.868888282439805</v>
      </c>
      <c r="GG2353" s="8">
        <v>5.6864338637890874</v>
      </c>
      <c r="GH2353" s="8">
        <v>0.40861888541082891</v>
      </c>
      <c r="GI2353" s="8">
        <v>5.6095258872514586</v>
      </c>
    </row>
    <row r="2354" spans="182:191">
      <c r="FZ2354" s="8">
        <v>5.1921716927931403</v>
      </c>
      <c r="GA2354" s="8">
        <v>18.275683062349795</v>
      </c>
      <c r="GB2354" s="8">
        <v>6.3085965113865345</v>
      </c>
      <c r="GC2354" s="8">
        <v>0.84931075036530812</v>
      </c>
      <c r="GD2354" s="8">
        <v>1.1372606091726232</v>
      </c>
      <c r="GE2354" s="8">
        <v>1.8381752322614013</v>
      </c>
      <c r="GF2354" s="8">
        <v>4.8106652510066947</v>
      </c>
      <c r="GG2354" s="8">
        <v>3.5710744044950373</v>
      </c>
      <c r="GH2354" s="8">
        <v>0.17282465026292085</v>
      </c>
      <c r="GI2354" s="8">
        <v>5.3430497255904061</v>
      </c>
    </row>
    <row r="2355" spans="182:191">
      <c r="FZ2355" s="8">
        <v>7.0978530772439861</v>
      </c>
      <c r="GA2355" s="8">
        <v>12.656027413547076</v>
      </c>
      <c r="GB2355" s="8">
        <v>3.1392254181922956</v>
      </c>
      <c r="GC2355" s="8">
        <v>0.69928781678942609</v>
      </c>
      <c r="GD2355" s="8">
        <v>1.3284201734830827</v>
      </c>
      <c r="GE2355" s="8">
        <v>1.7870895172753358</v>
      </c>
      <c r="GF2355" s="8">
        <v>0.33564129272906484</v>
      </c>
      <c r="GG2355" s="8">
        <v>0.60108873791572359</v>
      </c>
      <c r="GH2355" s="8">
        <v>0.64441312055873701</v>
      </c>
      <c r="GI2355" s="8">
        <v>4.0215498736373467</v>
      </c>
    </row>
    <row r="2356" spans="182:191">
      <c r="FZ2356" s="8">
        <v>0.82444598466225738</v>
      </c>
      <c r="GA2356" s="8">
        <v>14.732040975594169</v>
      </c>
      <c r="GB2356" s="8">
        <v>5.7934861477190509</v>
      </c>
      <c r="GC2356" s="8">
        <v>0.3846715186085522</v>
      </c>
      <c r="GD2356" s="8">
        <v>0.73194321377909566</v>
      </c>
      <c r="GE2356" s="8">
        <v>1.9027416801503603</v>
      </c>
      <c r="GF2356" s="8">
        <v>1.0602836760300609</v>
      </c>
      <c r="GG2356" s="8">
        <v>0.1769257564900365</v>
      </c>
      <c r="GH2356" s="8">
        <v>0.23579423514790807</v>
      </c>
      <c r="GI2356" s="8">
        <v>3.859882752570162</v>
      </c>
    </row>
    <row r="2357" spans="182:191">
      <c r="FZ2357" s="8">
        <v>13.011483075270057</v>
      </c>
      <c r="GA2357" s="8">
        <v>16.253145413120322</v>
      </c>
      <c r="GB2357" s="8">
        <v>5.7899420416138696</v>
      </c>
      <c r="GC2357" s="8">
        <v>1.1255567132156727</v>
      </c>
      <c r="GD2357" s="8">
        <v>0.90447545922643791</v>
      </c>
      <c r="GE2357" s="8">
        <v>1.2909495321215714</v>
      </c>
      <c r="GF2357" s="8">
        <v>6.1091242765927092</v>
      </c>
      <c r="GG2357" s="8">
        <v>4.6666375922820631</v>
      </c>
      <c r="GH2357" s="8">
        <v>0.47158847029581613</v>
      </c>
      <c r="GI2357" s="8">
        <v>6.4655505893849305</v>
      </c>
    </row>
    <row r="2358" spans="182:191">
      <c r="FZ2358" s="8">
        <v>6.6011679232268747</v>
      </c>
      <c r="GA2358" s="8">
        <v>22.921334793742322</v>
      </c>
      <c r="GB2358" s="8">
        <v>8.3094436467121326</v>
      </c>
      <c r="GC2358" s="8">
        <v>1.5183246989414099</v>
      </c>
      <c r="GD2358" s="8">
        <v>1.3130436948760644</v>
      </c>
      <c r="GE2358" s="8">
        <v>1.428607590948064</v>
      </c>
      <c r="GF2358" s="8">
        <v>3.8425856946885482</v>
      </c>
      <c r="GG2358" s="8">
        <v>2.5512781329880112</v>
      </c>
      <c r="GH2358" s="8">
        <v>0.40861888541082891</v>
      </c>
      <c r="GI2358" s="8">
        <v>6.3403697485013009</v>
      </c>
    </row>
    <row r="2359" spans="182:191">
      <c r="FZ2359" s="8">
        <v>3.882334184420507</v>
      </c>
      <c r="GA2359" s="8">
        <v>11.35468012594923</v>
      </c>
      <c r="GB2359" s="8">
        <v>2.0048263979392003</v>
      </c>
      <c r="GC2359" s="8">
        <v>0.80620702291452717</v>
      </c>
      <c r="GD2359" s="8">
        <v>0.87943857864414543</v>
      </c>
      <c r="GE2359" s="8">
        <v>1.4398080400958875</v>
      </c>
      <c r="GF2359" s="8">
        <v>3.8233379843747404</v>
      </c>
      <c r="GG2359" s="8">
        <v>2.5027439088398373</v>
      </c>
      <c r="GH2359" s="8">
        <v>0.17282465026292085</v>
      </c>
      <c r="GI2359" s="8">
        <v>4.5941519848520223</v>
      </c>
    </row>
    <row r="2360" spans="182:191">
      <c r="FZ2360" s="8">
        <v>10.098410434114763</v>
      </c>
      <c r="GA2360" s="8">
        <v>7.1614967906082807</v>
      </c>
      <c r="GB2360" s="8">
        <v>0.82800357961257443</v>
      </c>
      <c r="GC2360" s="8">
        <v>0.55912084355282643</v>
      </c>
      <c r="GD2360" s="8">
        <v>0.97204671188876346</v>
      </c>
      <c r="GE2360" s="8">
        <v>1.9443352247536587</v>
      </c>
      <c r="GF2360" s="8">
        <v>2.1405847480849634</v>
      </c>
      <c r="GG2360" s="8">
        <v>1.1168647198033732</v>
      </c>
      <c r="GH2360" s="8">
        <v>0.40861888541082891</v>
      </c>
      <c r="GI2360" s="8">
        <v>4.8749059995107489</v>
      </c>
    </row>
    <row r="2361" spans="182:191">
      <c r="FZ2361" s="8">
        <v>12.932286234734962</v>
      </c>
      <c r="GA2361" s="8">
        <v>7.6856142997061623</v>
      </c>
      <c r="GB2361" s="8">
        <v>0.62784957389920948</v>
      </c>
      <c r="GC2361" s="8">
        <v>0.56676851338034206</v>
      </c>
      <c r="GD2361" s="8">
        <v>0.74701071370983363</v>
      </c>
      <c r="GE2361" s="8">
        <v>1.3357900948417782</v>
      </c>
      <c r="GF2361" s="8">
        <v>3.786303674779977</v>
      </c>
      <c r="GG2361" s="8">
        <v>3.0552984226073874</v>
      </c>
      <c r="GH2361" s="8">
        <v>0.58144353567374973</v>
      </c>
      <c r="GI2361" s="8">
        <v>4.2069296526497819</v>
      </c>
    </row>
    <row r="2362" spans="182:191">
      <c r="FZ2362" s="8">
        <v>11.320382850733031</v>
      </c>
      <c r="GA2362" s="8">
        <v>8.6083886110374124</v>
      </c>
      <c r="GB2362" s="8">
        <v>1.8083043369687024</v>
      </c>
      <c r="GC2362" s="8">
        <v>0.7701244782242691</v>
      </c>
      <c r="GD2362" s="8">
        <v>0.96783304920094348</v>
      </c>
      <c r="GE2362" s="8">
        <v>1.6401184813132486</v>
      </c>
      <c r="GF2362" s="8">
        <v>2.2234841599959676</v>
      </c>
      <c r="GG2362" s="8">
        <v>1.3641019447390237</v>
      </c>
      <c r="GH2362" s="8">
        <v>0.40861888541082891</v>
      </c>
      <c r="GI2362" s="8">
        <v>3.6432357374234501</v>
      </c>
    </row>
    <row r="2363" spans="182:191">
      <c r="FZ2363" s="8">
        <v>8.8048366415337433</v>
      </c>
      <c r="GA2363" s="8">
        <v>20.750689107630844</v>
      </c>
      <c r="GB2363" s="8">
        <v>7.8221455001890341</v>
      </c>
      <c r="GC2363" s="8">
        <v>0.84444132573530861</v>
      </c>
      <c r="GD2363" s="8">
        <v>1.2645752243994792</v>
      </c>
      <c r="GE2363" s="8">
        <v>1.928941175853832</v>
      </c>
      <c r="GF2363" s="8">
        <v>1.7963301728768073</v>
      </c>
      <c r="GG2363" s="8">
        <v>1.3641019447390237</v>
      </c>
      <c r="GH2363" s="8">
        <v>0.23579423514790807</v>
      </c>
      <c r="GI2363" s="8">
        <v>5.8144191674031713</v>
      </c>
    </row>
    <row r="2364" spans="182:191">
      <c r="FZ2364" s="8">
        <v>9.6711105053696294</v>
      </c>
      <c r="GA2364" s="8">
        <v>10.286044084474646</v>
      </c>
      <c r="GB2364" s="8">
        <v>2.8450024427302356</v>
      </c>
      <c r="GC2364" s="8">
        <v>0.88637134727049893</v>
      </c>
      <c r="GD2364" s="8">
        <v>0.68280959085477977</v>
      </c>
      <c r="GE2364" s="8">
        <v>0.98639889579397622</v>
      </c>
      <c r="GF2364" s="8">
        <v>3.9730258147828326</v>
      </c>
      <c r="GG2364" s="8">
        <v>3.0552984226073874</v>
      </c>
      <c r="GH2364" s="8">
        <v>0.40861888541082891</v>
      </c>
      <c r="GI2364" s="8">
        <v>3.9924779379747157</v>
      </c>
    </row>
    <row r="2365" spans="182:191">
      <c r="FZ2365" s="8">
        <v>10.48350210764738</v>
      </c>
      <c r="GA2365" s="8">
        <v>18.90287569454113</v>
      </c>
      <c r="GB2365" s="8">
        <v>4.8945588997870484</v>
      </c>
      <c r="GC2365" s="8">
        <v>1.1947699139381465</v>
      </c>
      <c r="GD2365" s="8">
        <v>1.444482319700805</v>
      </c>
      <c r="GE2365" s="8">
        <v>1.6502405530681739</v>
      </c>
      <c r="GF2365" s="8">
        <v>3.1517352138998467</v>
      </c>
      <c r="GG2365" s="8">
        <v>2.6093581968842599</v>
      </c>
      <c r="GH2365" s="8">
        <v>0.64441312055873701</v>
      </c>
      <c r="GI2365" s="8">
        <v>5.8553542079274852</v>
      </c>
    </row>
    <row r="2366" spans="182:191">
      <c r="FZ2366" s="8">
        <v>8.2621142749358949</v>
      </c>
      <c r="GA2366" s="8">
        <v>11.732935904903778</v>
      </c>
      <c r="GB2366" s="8">
        <v>3.2891891380782909</v>
      </c>
      <c r="GC2366" s="8">
        <v>0.94844625415316586</v>
      </c>
      <c r="GD2366" s="8">
        <v>1.0689461825215905</v>
      </c>
      <c r="GE2366" s="8">
        <v>1.5615003180048939</v>
      </c>
      <c r="GF2366" s="8">
        <v>2.3679160184179384</v>
      </c>
      <c r="GG2366" s="8">
        <v>1.165874656232639</v>
      </c>
      <c r="GH2366" s="8">
        <v>0.23579423514790807</v>
      </c>
      <c r="GI2366" s="8">
        <v>4.330475126413841</v>
      </c>
    </row>
    <row r="2367" spans="182:191">
      <c r="FZ2367" s="8">
        <v>3.4554146317142589</v>
      </c>
      <c r="GA2367" s="8">
        <v>6.1129630587890107</v>
      </c>
      <c r="GB2367" s="8">
        <v>1.4466045830966729</v>
      </c>
      <c r="GC2367" s="8">
        <v>0.58738207495504213</v>
      </c>
      <c r="GD2367" s="8">
        <v>0.58863718174892243</v>
      </c>
      <c r="GE2367" s="8">
        <v>1.3920745048727001</v>
      </c>
      <c r="GF2367" s="8">
        <v>6.711808431279465</v>
      </c>
      <c r="GG2367" s="8">
        <v>4.9351763492340606</v>
      </c>
      <c r="GH2367" s="8">
        <v>0.23579423514790807</v>
      </c>
      <c r="GI2367" s="8">
        <v>4.0793566498620839</v>
      </c>
    </row>
    <row r="2368" spans="182:191">
      <c r="FZ2368" s="8">
        <v>2.2794794276767298</v>
      </c>
      <c r="GA2368" s="8">
        <v>28.48976083646609</v>
      </c>
      <c r="GB2368" s="8">
        <v>10.963607160043164</v>
      </c>
      <c r="GC2368" s="8">
        <v>0.95124342078112634</v>
      </c>
      <c r="GD2368" s="8">
        <v>0.83673112461408006</v>
      </c>
      <c r="GE2368" s="8">
        <v>1.4195164584706956</v>
      </c>
      <c r="GF2368" s="8">
        <v>2.7557713395278536</v>
      </c>
      <c r="GG2368" s="8">
        <v>1.2937904762934096</v>
      </c>
      <c r="GH2368" s="8">
        <v>0.47158847029581613</v>
      </c>
      <c r="GI2368" s="8">
        <v>5.8810717353557296</v>
      </c>
    </row>
    <row r="2369" spans="182:191">
      <c r="FZ2369" s="8">
        <v>5.1921716927931403</v>
      </c>
      <c r="GA2369" s="8">
        <v>4.717300844438828</v>
      </c>
      <c r="GB2369" s="8">
        <v>0.94540032800138196</v>
      </c>
      <c r="GC2369" s="8">
        <v>1.251153255423163</v>
      </c>
      <c r="GD2369" s="8">
        <v>1.1819397938418361</v>
      </c>
      <c r="GE2369" s="8">
        <v>1.0711243191545265</v>
      </c>
      <c r="GF2369" s="8">
        <v>4.1408437765814181</v>
      </c>
      <c r="GG2369" s="8">
        <v>3.5492971601975971</v>
      </c>
      <c r="GH2369" s="8">
        <v>0.81723777082165783</v>
      </c>
      <c r="GI2369" s="8">
        <v>3.2224759040808655</v>
      </c>
    </row>
    <row r="2370" spans="182:191">
      <c r="FZ2370" s="8">
        <v>5.2917107908931271</v>
      </c>
      <c r="GA2370" s="8">
        <v>2.6947631952093558</v>
      </c>
      <c r="GB2370" s="8">
        <v>0.4092956435513449</v>
      </c>
      <c r="GC2370" s="8">
        <v>0.62160789428147334</v>
      </c>
      <c r="GD2370" s="8">
        <v>0.98047724540064507</v>
      </c>
      <c r="GE2370" s="8">
        <v>1.8668923743216146</v>
      </c>
      <c r="GF2370" s="8">
        <v>3.3975335666307771</v>
      </c>
      <c r="GG2370" s="8">
        <v>2.6093581968842599</v>
      </c>
      <c r="GH2370" s="8">
        <v>0.99006242108457876</v>
      </c>
      <c r="GI2370" s="8">
        <v>3.4424714648757</v>
      </c>
    </row>
    <row r="2371" spans="182:191">
      <c r="FZ2371" s="8">
        <v>1.8521794989315969</v>
      </c>
      <c r="GA2371" s="8">
        <v>6.6681893806219925</v>
      </c>
      <c r="GB2371" s="8">
        <v>2.4821798792482701</v>
      </c>
      <c r="GC2371" s="8">
        <v>0.80401765383320478</v>
      </c>
      <c r="GD2371" s="8">
        <v>0.83737194720886787</v>
      </c>
      <c r="GE2371" s="8">
        <v>1.0324819164087076</v>
      </c>
      <c r="GF2371" s="8">
        <v>3.4552602099836562</v>
      </c>
      <c r="GG2371" s="8">
        <v>2.6796696653298739</v>
      </c>
      <c r="GH2371" s="8">
        <v>0.58144353567374973</v>
      </c>
      <c r="GI2371" s="8">
        <v>2.9965995005849253</v>
      </c>
    </row>
    <row r="2372" spans="182:191">
      <c r="FZ2372" s="8">
        <v>5.3494220098194845</v>
      </c>
      <c r="GA2372" s="8">
        <v>18.822466385153707</v>
      </c>
      <c r="GB2372" s="8">
        <v>6.44586477094796</v>
      </c>
      <c r="GC2372" s="8">
        <v>0.45640673212984345</v>
      </c>
      <c r="GD2372" s="8">
        <v>0.29453863128805469</v>
      </c>
      <c r="GE2372" s="8">
        <v>1.0448253530630467</v>
      </c>
      <c r="GF2372" s="8">
        <v>3.9148506787648358</v>
      </c>
      <c r="GG2372" s="8">
        <v>2.2555066839041871</v>
      </c>
      <c r="GH2372" s="8">
        <v>0</v>
      </c>
      <c r="GI2372" s="8">
        <v>4.1615373751410205</v>
      </c>
    </row>
    <row r="2373" spans="182:191">
      <c r="FZ2373" s="8">
        <v>10.980567637703377</v>
      </c>
      <c r="GA2373" s="8">
        <v>8.3351555482914801</v>
      </c>
      <c r="GB2373" s="8">
        <v>1.1024522600977387</v>
      </c>
      <c r="GC2373" s="8">
        <v>0.44733221279772578</v>
      </c>
      <c r="GD2373" s="8">
        <v>0.50338146735027123</v>
      </c>
      <c r="GE2373" s="8">
        <v>1.1089580324789134</v>
      </c>
      <c r="GF2373" s="8">
        <v>4.476485069310483</v>
      </c>
      <c r="GG2373" s="8">
        <v>3.6196086286432112</v>
      </c>
      <c r="GH2373" s="8">
        <v>0.40861888541082891</v>
      </c>
      <c r="GI2373" s="8">
        <v>3.9507755101931123</v>
      </c>
    </row>
    <row r="2374" spans="182:191">
      <c r="FZ2374" s="8">
        <v>6.0286720598399031</v>
      </c>
      <c r="GA2374" s="8">
        <v>6.8675270235829462</v>
      </c>
      <c r="GB2374" s="8">
        <v>2.7217281303786889</v>
      </c>
      <c r="GC2374" s="8">
        <v>0.78483094176310653</v>
      </c>
      <c r="GD2374" s="8">
        <v>0.54530837072843807</v>
      </c>
      <c r="GE2374" s="8">
        <v>0.8680329536631437</v>
      </c>
      <c r="GF2374" s="8">
        <v>3.9240239955667002</v>
      </c>
      <c r="GG2374" s="8">
        <v>2.8565954218199106</v>
      </c>
      <c r="GH2374" s="8">
        <v>0.47158847029581613</v>
      </c>
      <c r="GI2374" s="8">
        <v>3.3886863357014096</v>
      </c>
    </row>
    <row r="2375" spans="182:191">
      <c r="FZ2375" s="8">
        <v>5.792605278317347</v>
      </c>
      <c r="GA2375" s="8">
        <v>15.905699733277368</v>
      </c>
      <c r="GB2375" s="8">
        <v>5.6178611913353853</v>
      </c>
      <c r="GC2375" s="8">
        <v>0.60836589119803675</v>
      </c>
      <c r="GD2375" s="8">
        <v>1.0886903126522749</v>
      </c>
      <c r="GE2375" s="8">
        <v>1.8892932726172611</v>
      </c>
      <c r="GF2375" s="8">
        <v>2.9378435064259114</v>
      </c>
      <c r="GG2375" s="8">
        <v>1.9288878630559392</v>
      </c>
      <c r="GH2375" s="8">
        <v>0.3456493005258417</v>
      </c>
      <c r="GI2375" s="8">
        <v>5.5846797635097847</v>
      </c>
    </row>
    <row r="2376" spans="182:191">
      <c r="FZ2376" s="8">
        <v>8.2044030560095376</v>
      </c>
      <c r="GA2376" s="8">
        <v>14.658145555809188</v>
      </c>
      <c r="GB2376" s="8">
        <v>5.2224810339142671</v>
      </c>
      <c r="GC2376" s="8">
        <v>0.66105351396864465</v>
      </c>
      <c r="GD2376" s="8">
        <v>0.67913814330506739</v>
      </c>
      <c r="GE2376" s="8">
        <v>1.3745323731735051</v>
      </c>
      <c r="GF2376" s="8">
        <v>4.796015368625631</v>
      </c>
      <c r="GG2376" s="8">
        <v>4.1018516739651467</v>
      </c>
      <c r="GH2376" s="8">
        <v>0.88020735570664521</v>
      </c>
      <c r="GI2376" s="8">
        <v>5.3779472422254191</v>
      </c>
    </row>
    <row r="2377" spans="182:191">
      <c r="FZ2377" s="8">
        <v>8.0674949965480831</v>
      </c>
      <c r="GA2377" s="8">
        <v>21.620304703456519</v>
      </c>
      <c r="GB2377" s="8">
        <v>5.6388555121179387</v>
      </c>
      <c r="GC2377" s="8">
        <v>0.38363384520268917</v>
      </c>
      <c r="GD2377" s="8">
        <v>0.54930958230095617</v>
      </c>
      <c r="GE2377" s="8">
        <v>1.1865976939802776</v>
      </c>
      <c r="GF2377" s="8">
        <v>3.1370853315187821</v>
      </c>
      <c r="GG2377" s="8">
        <v>2.2555066839041871</v>
      </c>
      <c r="GH2377" s="8">
        <v>0</v>
      </c>
      <c r="GI2377" s="8">
        <v>5.1255973031339028</v>
      </c>
    </row>
    <row r="2378" spans="182:191">
      <c r="FZ2378" s="8">
        <v>5.6888568468102516</v>
      </c>
      <c r="GA2378" s="8">
        <v>14.857483198770142</v>
      </c>
      <c r="GB2378" s="8">
        <v>5.1341071509174672</v>
      </c>
      <c r="GC2378" s="8">
        <v>1.0061204126330567</v>
      </c>
      <c r="GD2378" s="8">
        <v>1.2091231992231577</v>
      </c>
      <c r="GE2378" s="8">
        <v>1.5633726772715761</v>
      </c>
      <c r="GF2378" s="8">
        <v>2.0462555218117409</v>
      </c>
      <c r="GG2378" s="8">
        <v>1.1871761882489873</v>
      </c>
      <c r="GH2378" s="8">
        <v>0.3456493005258417</v>
      </c>
      <c r="GI2378" s="8">
        <v>4.5487290123044479</v>
      </c>
    </row>
    <row r="2379" spans="182:191">
      <c r="FZ2379" s="8">
        <v>6.9983139791439992</v>
      </c>
      <c r="GA2379" s="8">
        <v>15.077240348698453</v>
      </c>
      <c r="GB2379" s="8">
        <v>4.0160355357318078</v>
      </c>
      <c r="GC2379" s="8">
        <v>0.96594988431996387</v>
      </c>
      <c r="GD2379" s="8">
        <v>1.0975851175600295</v>
      </c>
      <c r="GE2379" s="8">
        <v>1.3959665371073136</v>
      </c>
      <c r="GF2379" s="8">
        <v>1.0424970767491057</v>
      </c>
      <c r="GG2379" s="8">
        <v>0.24723722493565062</v>
      </c>
      <c r="GH2379" s="8">
        <v>0.3456493005258417</v>
      </c>
      <c r="GI2379" s="8">
        <v>3.7668649476453688</v>
      </c>
    </row>
    <row r="2380" spans="182:191">
      <c r="FZ2380" s="8">
        <v>7.3377488161347646</v>
      </c>
      <c r="GA2380" s="8">
        <v>10.912919519353935</v>
      </c>
      <c r="GB2380" s="8">
        <v>2.6554713777743775</v>
      </c>
      <c r="GC2380" s="8">
        <v>0.74853286443463629</v>
      </c>
      <c r="GD2380" s="8">
        <v>0.99790470227279271</v>
      </c>
      <c r="GE2380" s="8">
        <v>1.7065576936667888</v>
      </c>
      <c r="GF2380" s="8">
        <v>3.5510505472897305</v>
      </c>
      <c r="GG2380" s="8">
        <v>2.5512781329880112</v>
      </c>
      <c r="GH2380" s="8">
        <v>0.40861888541082891</v>
      </c>
      <c r="GI2380" s="8">
        <v>4.4817278531322398</v>
      </c>
    </row>
    <row r="2381" spans="182:191">
      <c r="FZ2381" s="8">
        <v>6.4555916125461508</v>
      </c>
      <c r="GA2381" s="8">
        <v>12.507919376665072</v>
      </c>
      <c r="GB2381" s="8">
        <v>3.2391719519037303</v>
      </c>
      <c r="GC2381" s="8">
        <v>0.78956433388337832</v>
      </c>
      <c r="GD2381" s="8">
        <v>0.65330656266968301</v>
      </c>
      <c r="GE2381" s="8">
        <v>0.82291626221235203</v>
      </c>
      <c r="GF2381" s="8">
        <v>2.2545710722827899</v>
      </c>
      <c r="GG2381" s="8">
        <v>1.1871761882489873</v>
      </c>
      <c r="GH2381" s="8">
        <v>0.17282465026292085</v>
      </c>
      <c r="GI2381" s="8">
        <v>3.1209609012041177</v>
      </c>
    </row>
    <row r="2382" spans="182:191">
      <c r="FZ2382" s="8">
        <v>4.3673453320919977</v>
      </c>
      <c r="GA2382" s="8">
        <v>8.9846967968768006</v>
      </c>
      <c r="GB2382" s="8">
        <v>1.4350319323820393</v>
      </c>
      <c r="GC2382" s="8">
        <v>1.2984620775760618</v>
      </c>
      <c r="GD2382" s="8">
        <v>1.2385053082503041</v>
      </c>
      <c r="GE2382" s="8">
        <v>1.4398080400958875</v>
      </c>
      <c r="GF2382" s="8">
        <v>8.6470829547942252</v>
      </c>
      <c r="GG2382" s="8">
        <v>7.6729260784601845</v>
      </c>
      <c r="GH2382" s="8">
        <v>1.0530320059695661</v>
      </c>
      <c r="GI2382" s="8">
        <v>6.0281080640087774</v>
      </c>
    </row>
    <row r="2383" spans="182:191">
      <c r="FZ2383" s="8">
        <v>9.7585952210851108</v>
      </c>
      <c r="GA2383" s="8">
        <v>12.226243314890066</v>
      </c>
      <c r="GB2383" s="8">
        <v>1.6175626237652221</v>
      </c>
      <c r="GC2383" s="8">
        <v>0.25960327381921589</v>
      </c>
      <c r="GD2383" s="8">
        <v>0.308953599276304</v>
      </c>
      <c r="GE2383" s="8">
        <v>0.77413708016395999</v>
      </c>
      <c r="GF2383" s="8">
        <v>4.2803576220538808</v>
      </c>
      <c r="GG2383" s="8">
        <v>3.3728471159886522</v>
      </c>
      <c r="GH2383" s="8">
        <v>0.17282465026292085</v>
      </c>
      <c r="GI2383" s="8">
        <v>3.7328739534759867</v>
      </c>
    </row>
    <row r="2384" spans="182:191">
      <c r="FZ2384" s="8">
        <v>6.1738679944817427</v>
      </c>
      <c r="GA2384" s="8">
        <v>9.3629525758313488</v>
      </c>
      <c r="GB2384" s="8">
        <v>2.7717453165532491</v>
      </c>
      <c r="GC2384" s="8">
        <v>0.89356926230123557</v>
      </c>
      <c r="GD2384" s="8">
        <v>0.86754397522727178</v>
      </c>
      <c r="GE2384" s="8">
        <v>1.2856922625243175</v>
      </c>
      <c r="GF2384" s="8">
        <v>4.5949576797833984</v>
      </c>
      <c r="GG2384" s="8">
        <v>3.1954456472175239</v>
      </c>
      <c r="GH2384" s="8">
        <v>0.3456493005258417</v>
      </c>
      <c r="GI2384" s="8">
        <v>3.3333429694448315</v>
      </c>
    </row>
    <row r="2385" spans="182:191">
      <c r="FZ2385" s="8">
        <v>2.6309686470520015</v>
      </c>
      <c r="GA2385" s="8">
        <v>3.1673339009162422</v>
      </c>
      <c r="GB2385" s="8">
        <v>1.165164906596869</v>
      </c>
      <c r="GC2385" s="8">
        <v>0.23069663391956313</v>
      </c>
      <c r="GD2385" s="8">
        <v>0.1106263377443778</v>
      </c>
      <c r="GE2385" s="8">
        <v>0.55464616528199862</v>
      </c>
      <c r="GF2385" s="8">
        <v>5.2655711789833317</v>
      </c>
      <c r="GG2385" s="8">
        <v>4.1353846105308607</v>
      </c>
      <c r="GH2385" s="8">
        <v>0.17282465026292085</v>
      </c>
      <c r="GI2385" s="8">
        <v>3.0827845630404695</v>
      </c>
    </row>
    <row r="2386" spans="182:191">
      <c r="FZ2386" s="8">
        <v>8.4069298335388485</v>
      </c>
      <c r="GA2386" s="8">
        <v>22.793963461139718</v>
      </c>
      <c r="GB2386" s="8">
        <v>5.7375913975817507</v>
      </c>
      <c r="GC2386" s="8">
        <v>0.67511456901004496</v>
      </c>
      <c r="GD2386" s="8">
        <v>0.7721430015417694</v>
      </c>
      <c r="GE2386" s="8">
        <v>1.4776417534202746</v>
      </c>
      <c r="GF2386" s="8">
        <v>4.8889891740485787</v>
      </c>
      <c r="GG2386" s="8">
        <v>3.6196086286432112</v>
      </c>
      <c r="GH2386" s="8">
        <v>0.75426818593667067</v>
      </c>
      <c r="GI2386" s="8">
        <v>6.3720744010948911</v>
      </c>
    </row>
    <row r="2387" spans="182:191">
      <c r="FZ2387" s="8">
        <v>8.465401804542978</v>
      </c>
      <c r="GA2387" s="8">
        <v>2.4954255522484026</v>
      </c>
      <c r="GB2387" s="8">
        <v>0.43028996433389877</v>
      </c>
      <c r="GC2387" s="8">
        <v>1.0957515212295719</v>
      </c>
      <c r="GD2387" s="8">
        <v>1.9164048153603117</v>
      </c>
      <c r="GE2387" s="8">
        <v>3.443549378624664</v>
      </c>
      <c r="GF2387" s="8">
        <v>5.7693559876596403</v>
      </c>
      <c r="GG2387" s="8">
        <v>4.4194003673464124</v>
      </c>
      <c r="GH2387" s="8">
        <v>0.64441312055873701</v>
      </c>
      <c r="GI2387" s="8">
        <v>5.4980690396227496</v>
      </c>
    </row>
    <row r="2388" spans="182:191">
      <c r="FZ2388" s="8">
        <v>2.2334422150959923</v>
      </c>
      <c r="GA2388" s="8">
        <v>2.4954255522484026</v>
      </c>
      <c r="GB2388" s="8">
        <v>0.50009082304339081</v>
      </c>
      <c r="GC2388" s="8">
        <v>1.0465064735843614</v>
      </c>
      <c r="GD2388" s="8">
        <v>0.81766718624345325</v>
      </c>
      <c r="GE2388" s="8">
        <v>1.1438991784982191</v>
      </c>
      <c r="GF2388" s="8">
        <v>3.840804398638932</v>
      </c>
      <c r="GG2388" s="8">
        <v>2.5027439088398373</v>
      </c>
      <c r="GH2388" s="8">
        <v>0.17282465026292085</v>
      </c>
      <c r="GI2388" s="8">
        <v>2.5221606047309715</v>
      </c>
    </row>
    <row r="2389" spans="182:191">
      <c r="FZ2389" s="8">
        <v>6.2892904323344574</v>
      </c>
      <c r="GA2389" s="8">
        <v>13.903581591015254</v>
      </c>
      <c r="GB2389" s="8">
        <v>4.0893805005464809</v>
      </c>
      <c r="GC2389" s="8">
        <v>0.40002339064482684</v>
      </c>
      <c r="GD2389" s="8">
        <v>0.4028799422612977</v>
      </c>
      <c r="GE2389" s="8">
        <v>1.5932935110974007</v>
      </c>
      <c r="GF2389" s="8">
        <v>5.056015111072508</v>
      </c>
      <c r="GG2389" s="8">
        <v>3.5492971601975971</v>
      </c>
      <c r="GH2389" s="8">
        <v>0.99006242108457876</v>
      </c>
      <c r="GI2389" s="8">
        <v>4.4603598540011165</v>
      </c>
    </row>
    <row r="2390" spans="182:191">
      <c r="FZ2390" s="8">
        <v>6.6588791421532321</v>
      </c>
      <c r="GA2390" s="8">
        <v>9.1636149328703951</v>
      </c>
      <c r="GB2390" s="8">
        <v>2.8426689848726774</v>
      </c>
      <c r="GC2390" s="8">
        <v>0.23783492775936943</v>
      </c>
      <c r="GD2390" s="8">
        <v>0.32834155563553757</v>
      </c>
      <c r="GE2390" s="8">
        <v>1.843389040051804</v>
      </c>
      <c r="GF2390" s="8">
        <v>2.9897363417608478</v>
      </c>
      <c r="GG2390" s="8">
        <v>1.1168647198033732</v>
      </c>
      <c r="GH2390" s="8">
        <v>0.23579423514790807</v>
      </c>
      <c r="GI2390" s="8">
        <v>2.9579438305549206</v>
      </c>
    </row>
    <row r="2391" spans="182:191">
      <c r="FZ2391" s="8">
        <v>4.1437133089928322</v>
      </c>
      <c r="GA2391" s="8">
        <v>2.5693209720333821</v>
      </c>
      <c r="GB2391" s="8">
        <v>0.89659379007444384</v>
      </c>
      <c r="GC2391" s="8">
        <v>0.36049827082917113</v>
      </c>
      <c r="GD2391" s="8">
        <v>0.60283969069266519</v>
      </c>
      <c r="GE2391" s="8">
        <v>1.8934287030147658</v>
      </c>
      <c r="GF2391" s="8">
        <v>2.6807347800978389</v>
      </c>
      <c r="GG2391" s="8">
        <v>1.4707162327834462</v>
      </c>
      <c r="GH2391" s="8">
        <v>0.88020735570664521</v>
      </c>
      <c r="GI2391" s="8">
        <v>2.4260671789283195</v>
      </c>
    </row>
    <row r="2392" spans="182:191">
      <c r="FZ2392" s="8">
        <v>3.0578881997582497</v>
      </c>
      <c r="GA2392" s="8">
        <v>9.1636149328703951</v>
      </c>
      <c r="GB2392" s="8">
        <v>2.6531379199168192</v>
      </c>
      <c r="GC2392" s="8">
        <v>0.45679899703826943</v>
      </c>
      <c r="GD2392" s="8">
        <v>0.50900796849451857</v>
      </c>
      <c r="GE2392" s="8">
        <v>1.4891179261007839</v>
      </c>
      <c r="GF2392" s="8">
        <v>2.927523412132881</v>
      </c>
      <c r="GG2392" s="8">
        <v>1.1871761882489873</v>
      </c>
      <c r="GH2392" s="8">
        <v>0</v>
      </c>
      <c r="GI2392" s="8">
        <v>3.135472750923519</v>
      </c>
    </row>
    <row r="2393" spans="182:191">
      <c r="FZ2393" s="8">
        <v>5.6771828404646314</v>
      </c>
      <c r="GA2393" s="8">
        <v>10.211831467377623</v>
      </c>
      <c r="GB2393" s="8">
        <v>3.3276336735382177</v>
      </c>
      <c r="GC2393" s="8">
        <v>0.94087808445413457</v>
      </c>
      <c r="GD2393" s="8">
        <v>1.1342144973539585</v>
      </c>
      <c r="GE2393" s="8">
        <v>2.0078380027973677</v>
      </c>
      <c r="GF2393" s="8">
        <v>4.5201193748828379</v>
      </c>
      <c r="GG2393" s="8">
        <v>3.232224179097424</v>
      </c>
      <c r="GH2393" s="8">
        <v>0.64441312055873701</v>
      </c>
      <c r="GI2393" s="8">
        <v>3.952065906429957</v>
      </c>
    </row>
    <row r="2394" spans="182:191">
      <c r="FZ2394" s="8">
        <v>7.5251530059891198</v>
      </c>
      <c r="GA2394" s="8">
        <v>9.53148011968071</v>
      </c>
      <c r="GB2394" s="8">
        <v>1.4501486892018538</v>
      </c>
      <c r="GC2394" s="8">
        <v>0.61102702531626951</v>
      </c>
      <c r="GD2394" s="8">
        <v>0.88029827114835568</v>
      </c>
      <c r="GE2394" s="8">
        <v>1.8230181407653472</v>
      </c>
      <c r="GF2394" s="8">
        <v>1.3248589073460586</v>
      </c>
      <c r="GG2394" s="8">
        <v>0</v>
      </c>
      <c r="GH2394" s="8">
        <v>0.3456493005258417</v>
      </c>
      <c r="GI2394" s="8">
        <v>3.3369106129475554</v>
      </c>
    </row>
    <row r="2395" spans="182:191">
      <c r="FZ2395" s="8">
        <v>10.056202178902248</v>
      </c>
      <c r="GA2395" s="8">
        <v>18.90287569454113</v>
      </c>
      <c r="GB2395" s="8">
        <v>5.0167104025286591</v>
      </c>
      <c r="GC2395" s="8">
        <v>1.1705966661587652</v>
      </c>
      <c r="GD2395" s="8">
        <v>1.7144178235555789</v>
      </c>
      <c r="GE2395" s="8">
        <v>2.212899068236744</v>
      </c>
      <c r="GF2395" s="8">
        <v>1.9368446864830349</v>
      </c>
      <c r="GG2395" s="8">
        <v>1.4924934770808866</v>
      </c>
      <c r="GH2395" s="8">
        <v>0.40861888541082891</v>
      </c>
      <c r="GI2395" s="8">
        <v>5.8678298143614347</v>
      </c>
    </row>
    <row r="2396" spans="182:191">
      <c r="FZ2396" s="8">
        <v>7.6703489406309577</v>
      </c>
      <c r="GA2396" s="8">
        <v>14.952115322834526</v>
      </c>
      <c r="GB2396" s="8">
        <v>3.1031143405899275</v>
      </c>
      <c r="GC2396" s="8">
        <v>0.96440592373607859</v>
      </c>
      <c r="GD2396" s="8">
        <v>1.043210017065054</v>
      </c>
      <c r="GE2396" s="8">
        <v>2.0770375815002877</v>
      </c>
      <c r="GF2396" s="8">
        <v>5.4709472590547925</v>
      </c>
      <c r="GG2396" s="8">
        <v>3.1256098910530015</v>
      </c>
      <c r="GH2396" s="8">
        <v>0.17282465026292085</v>
      </c>
      <c r="GI2396" s="8">
        <v>5.5463084012336186</v>
      </c>
    </row>
    <row r="2397" spans="182:191">
      <c r="FZ2397" s="8">
        <v>5.8344331574909756</v>
      </c>
      <c r="GA2397" s="8">
        <v>12.729922833332054</v>
      </c>
      <c r="GB2397" s="8">
        <v>3.7439203131042023</v>
      </c>
      <c r="GC2397" s="8">
        <v>0.60965670819291085</v>
      </c>
      <c r="GD2397" s="8">
        <v>0.48166415548323055</v>
      </c>
      <c r="GE2397" s="8">
        <v>0.40025466417774264</v>
      </c>
      <c r="GF2397" s="8">
        <v>1.972209241685837</v>
      </c>
      <c r="GG2397" s="8">
        <v>1.4344134131846378</v>
      </c>
      <c r="GH2397" s="8">
        <v>0.17282465026292085</v>
      </c>
      <c r="GI2397" s="8">
        <v>3.6010570927908945</v>
      </c>
    </row>
    <row r="2398" spans="182:191">
      <c r="FZ2398" s="8">
        <v>6.6588791421532321</v>
      </c>
      <c r="GA2398" s="8">
        <v>11.732935904903778</v>
      </c>
      <c r="GB2398" s="8">
        <v>3.4438197736794027</v>
      </c>
      <c r="GC2398" s="8">
        <v>0.33503420605491585</v>
      </c>
      <c r="GD2398" s="8">
        <v>0.8858423165303797</v>
      </c>
      <c r="GE2398" s="8">
        <v>2.5857325219253586</v>
      </c>
      <c r="GF2398" s="8">
        <v>3.0135595409437768</v>
      </c>
      <c r="GG2398" s="8">
        <v>1.5410277012290603</v>
      </c>
      <c r="GH2398" s="8">
        <v>0.99006242108457876</v>
      </c>
      <c r="GI2398" s="8">
        <v>4.1426178871744472</v>
      </c>
    </row>
    <row r="2399" spans="182:191">
      <c r="FZ2399" s="8">
        <v>7.0978530772439861</v>
      </c>
      <c r="GA2399" s="8">
        <v>7.1614967906082807</v>
      </c>
      <c r="GB2399" s="8">
        <v>0.81055336493520136</v>
      </c>
      <c r="GC2399" s="8">
        <v>0.2542244732015071</v>
      </c>
      <c r="GD2399" s="8">
        <v>0.43661465557057855</v>
      </c>
      <c r="GE2399" s="8">
        <v>1.3428762618988634</v>
      </c>
      <c r="GF2399" s="8">
        <v>4.2099943828214368</v>
      </c>
      <c r="GG2399" s="8">
        <v>2.9967426464300475</v>
      </c>
      <c r="GH2399" s="8">
        <v>0.40861888541082891</v>
      </c>
      <c r="GI2399" s="8">
        <v>3.1966422544666928</v>
      </c>
    </row>
    <row r="2400" spans="182:191">
      <c r="FZ2400" s="8">
        <v>5.3490416337806002</v>
      </c>
      <c r="GA2400" s="8">
        <v>22.092875409163401</v>
      </c>
      <c r="GB2400" s="8">
        <v>6.409753693345591</v>
      </c>
      <c r="GC2400" s="8">
        <v>0.91799565366962776</v>
      </c>
      <c r="GD2400" s="8">
        <v>1.1900592608525311</v>
      </c>
      <c r="GE2400" s="8">
        <v>2.1628266747060882</v>
      </c>
      <c r="GF2400" s="8">
        <v>1.8659992186630454</v>
      </c>
      <c r="GG2400" s="8">
        <v>0.42416298142568709</v>
      </c>
      <c r="GH2400" s="8">
        <v>0.40861888541082891</v>
      </c>
      <c r="GI2400" s="8">
        <v>5.3709129464551459</v>
      </c>
    </row>
    <row r="2401" spans="182:191">
      <c r="FZ2401" s="8">
        <v>6.1165371515942688</v>
      </c>
      <c r="GA2401" s="8">
        <v>8.0638515949721761</v>
      </c>
      <c r="GB2401" s="8">
        <v>3.29506670204103</v>
      </c>
      <c r="GC2401" s="8">
        <v>0.2482002640863612</v>
      </c>
      <c r="GD2401" s="8">
        <v>0.41577595874157075</v>
      </c>
      <c r="GE2401" s="8">
        <v>1.5112491364249647</v>
      </c>
      <c r="GF2401" s="8">
        <v>1.8335627370010261</v>
      </c>
      <c r="GG2401" s="8">
        <v>0.84832596285137418</v>
      </c>
      <c r="GH2401" s="8">
        <v>0.64441312055873701</v>
      </c>
      <c r="GI2401" s="8">
        <v>3.420596400974321</v>
      </c>
    </row>
    <row r="2402" spans="182:191">
      <c r="FZ2402" s="8">
        <v>3.6009909423949833</v>
      </c>
      <c r="GA2402" s="8">
        <v>11.387736531799494</v>
      </c>
      <c r="GB2402" s="8">
        <v>4.9107984662167983</v>
      </c>
      <c r="GC2402" s="8">
        <v>1.532914051400964</v>
      </c>
      <c r="GD2402" s="8">
        <v>1.3211617107895501</v>
      </c>
      <c r="GE2402" s="8">
        <v>0.88029707265621759</v>
      </c>
      <c r="GF2402" s="8">
        <v>4.7114403508475879</v>
      </c>
      <c r="GG2402" s="8">
        <v>3.6899200970888253</v>
      </c>
      <c r="GH2402" s="8">
        <v>0</v>
      </c>
      <c r="GI2402" s="8">
        <v>4.8776375354611341</v>
      </c>
    </row>
    <row r="2403" spans="182:191">
      <c r="FZ2403" s="8">
        <v>7.7439434993100456</v>
      </c>
      <c r="GA2403" s="8">
        <v>12.434023956880093</v>
      </c>
      <c r="GB2403" s="8">
        <v>2.8252187701953044</v>
      </c>
      <c r="GC2403" s="8">
        <v>0.75696197526931686</v>
      </c>
      <c r="GD2403" s="8">
        <v>1.3252794408775712</v>
      </c>
      <c r="GE2403" s="8">
        <v>2.2965608217520437</v>
      </c>
      <c r="GF2403" s="8">
        <v>1.3162456248669678</v>
      </c>
      <c r="GG2403" s="8">
        <v>0.49447444987130124</v>
      </c>
      <c r="GH2403" s="8">
        <v>0.3456493005258417</v>
      </c>
      <c r="GI2403" s="8">
        <v>4.080960546471637</v>
      </c>
    </row>
    <row r="2404" spans="182:191">
      <c r="FZ2404" s="8">
        <v>5.5316065297839057</v>
      </c>
      <c r="GA2404" s="8">
        <v>5.4922843162001209</v>
      </c>
      <c r="GB2404" s="8">
        <v>1.2269372206969082</v>
      </c>
      <c r="GC2404" s="8">
        <v>1.006765821130494</v>
      </c>
      <c r="GD2404" s="8">
        <v>0.85662192694615158</v>
      </c>
      <c r="GE2404" s="8">
        <v>1.213230958156841</v>
      </c>
      <c r="GF2404" s="8">
        <v>8.03915422498015</v>
      </c>
      <c r="GG2404" s="8">
        <v>6.9434458082025969</v>
      </c>
      <c r="GH2404" s="8">
        <v>0.58144353567374973</v>
      </c>
      <c r="GI2404" s="8">
        <v>4.6915789871016056</v>
      </c>
    </row>
    <row r="2405" spans="182:191">
      <c r="FZ2405" s="8">
        <v>5.7465680657366089</v>
      </c>
      <c r="GA2405" s="8">
        <v>11.732935904903778</v>
      </c>
      <c r="GB2405" s="8">
        <v>3.581000194603142</v>
      </c>
      <c r="GC2405" s="8">
        <v>1.0985486878575323</v>
      </c>
      <c r="GD2405" s="8">
        <v>1.3448116452431091</v>
      </c>
      <c r="GE2405" s="8">
        <v>2.1914796118505828</v>
      </c>
      <c r="GF2405" s="8">
        <v>2.6853102689669601</v>
      </c>
      <c r="GG2405" s="8">
        <v>1.4924934770808866</v>
      </c>
      <c r="GH2405" s="8">
        <v>0.40861888541082891</v>
      </c>
      <c r="GI2405" s="8">
        <v>4.0040598430715688</v>
      </c>
    </row>
    <row r="2406" spans="182:191">
      <c r="FZ2406" s="8">
        <v>12.331472273171869</v>
      </c>
      <c r="GA2406" s="8">
        <v>12.528656080944472</v>
      </c>
      <c r="GB2406" s="8">
        <v>0.84778725214750583</v>
      </c>
      <c r="GC2406" s="8">
        <v>0.72001848944340952</v>
      </c>
      <c r="GD2406" s="8">
        <v>0.75700729057282934</v>
      </c>
      <c r="GE2406" s="8">
        <v>1.0210699486439168</v>
      </c>
      <c r="GF2406" s="8">
        <v>2.177708260273759</v>
      </c>
      <c r="GG2406" s="8">
        <v>1.4344134131846378</v>
      </c>
      <c r="GH2406" s="8">
        <v>0.3456493005258417</v>
      </c>
      <c r="GI2406" s="8">
        <v>4.610584585905916</v>
      </c>
    </row>
    <row r="2407" spans="182:191">
      <c r="FZ2407" s="8">
        <v>7.425233531850246</v>
      </c>
      <c r="GA2407" s="8">
        <v>19.102213337502086</v>
      </c>
      <c r="GB2407" s="8">
        <v>5.186457794949586</v>
      </c>
      <c r="GC2407" s="8">
        <v>0.62088298565555178</v>
      </c>
      <c r="GD2407" s="8">
        <v>0.73718469927895991</v>
      </c>
      <c r="GE2407" s="8">
        <v>1.4850823712891867</v>
      </c>
      <c r="GF2407" s="8">
        <v>4.4156498995964135</v>
      </c>
      <c r="GG2407" s="8">
        <v>3.7747571408358076</v>
      </c>
      <c r="GH2407" s="8">
        <v>0.94317694059163226</v>
      </c>
      <c r="GI2407" s="8">
        <v>5.4079798777097219</v>
      </c>
    </row>
    <row r="2408" spans="182:191">
      <c r="FZ2408" s="8">
        <v>6.455971988585036</v>
      </c>
      <c r="GA2408" s="8">
        <v>3.5436420867556286</v>
      </c>
      <c r="GB2408" s="8">
        <v>1.1396861473100433</v>
      </c>
      <c r="GC2408" s="8">
        <v>0.75760738376675396</v>
      </c>
      <c r="GD2408" s="8">
        <v>0.64666560165178844</v>
      </c>
      <c r="GE2408" s="8">
        <v>1.3042338591530445</v>
      </c>
      <c r="GF2408" s="8">
        <v>3.8824141971028165</v>
      </c>
      <c r="GG2408" s="8">
        <v>2.6796696653298739</v>
      </c>
      <c r="GH2408" s="8">
        <v>0.40861888541082891</v>
      </c>
      <c r="GI2408" s="8">
        <v>3.5550697479883961</v>
      </c>
    </row>
    <row r="2409" spans="182:191">
      <c r="FZ2409" s="8">
        <v>2.2911534340223501</v>
      </c>
      <c r="GA2409" s="8">
        <v>18.423791099231799</v>
      </c>
      <c r="GB2409" s="8">
        <v>6.1550886853953584</v>
      </c>
      <c r="GC2409" s="8">
        <v>0.77790818056151245</v>
      </c>
      <c r="GD2409" s="8">
        <v>1.6380015406147221</v>
      </c>
      <c r="GE2409" s="8">
        <v>3.2539641848229808</v>
      </c>
      <c r="GF2409" s="8">
        <v>2.8268374009409207</v>
      </c>
      <c r="GG2409" s="8">
        <v>1.3641019447390237</v>
      </c>
      <c r="GH2409" s="8">
        <v>0.40861888541082891</v>
      </c>
      <c r="GI2409" s="8">
        <v>5.4443334177583864</v>
      </c>
    </row>
    <row r="2410" spans="182:191">
      <c r="FZ2410" s="8">
        <v>5.3494220098194845</v>
      </c>
      <c r="GA2410" s="8">
        <v>8.1892938181481494</v>
      </c>
      <c r="GB2410" s="8">
        <v>2.7391783450560618</v>
      </c>
      <c r="GC2410" s="8">
        <v>0.25551529019638125</v>
      </c>
      <c r="GD2410" s="8">
        <v>0.72612668459835827</v>
      </c>
      <c r="GE2410" s="8">
        <v>2.5971552209293067</v>
      </c>
      <c r="GF2410" s="8">
        <v>5.7820962663427338</v>
      </c>
      <c r="GG2410" s="8">
        <v>3.5710744044950373</v>
      </c>
      <c r="GH2410" s="8">
        <v>0.17282465026292085</v>
      </c>
      <c r="GI2410" s="8">
        <v>4.2945215993408077</v>
      </c>
    </row>
    <row r="2411" spans="182:191">
      <c r="FZ2411" s="8">
        <v>7.0857986948594807</v>
      </c>
      <c r="GA2411" s="8">
        <v>18.32722986574079</v>
      </c>
      <c r="GB2411" s="8">
        <v>5.1492239077372819</v>
      </c>
      <c r="GC2411" s="8">
        <v>0.55783002655795222</v>
      </c>
      <c r="GD2411" s="8">
        <v>1.0011794248304211</v>
      </c>
      <c r="GE2411" s="8">
        <v>1.5655147245097245</v>
      </c>
      <c r="GF2411" s="8">
        <v>3.7094408627709461</v>
      </c>
      <c r="GG2411" s="8">
        <v>3.4794614040330742</v>
      </c>
      <c r="GH2411" s="8">
        <v>0.64441312055873701</v>
      </c>
      <c r="GI2411" s="8">
        <v>5.6550608541116389</v>
      </c>
    </row>
    <row r="2412" spans="182:191">
      <c r="FZ2412" s="8">
        <v>5.3490416337806002</v>
      </c>
      <c r="GA2412" s="8">
        <v>16.598344786224612</v>
      </c>
      <c r="GB2412" s="8">
        <v>4.0973212065182478</v>
      </c>
      <c r="GC2412" s="8">
        <v>0.53774476240140578</v>
      </c>
      <c r="GD2412" s="8">
        <v>0.90045902983202497</v>
      </c>
      <c r="GE2412" s="8">
        <v>1.8381752322614013</v>
      </c>
      <c r="GF2412" s="8">
        <v>4.7292269501285435</v>
      </c>
      <c r="GG2412" s="8">
        <v>3.6196086286432112</v>
      </c>
      <c r="GH2412" s="8">
        <v>0.40861888541082891</v>
      </c>
      <c r="GI2412" s="8">
        <v>5.9260475041581238</v>
      </c>
    </row>
    <row r="2413" spans="182:191">
      <c r="FZ2413" s="8">
        <v>3.6006105663560986</v>
      </c>
      <c r="GA2413" s="8">
        <v>11.334260618981871</v>
      </c>
      <c r="GB2413" s="8">
        <v>3.0682139112351816</v>
      </c>
      <c r="GC2413" s="8">
        <v>0.20627024255117093</v>
      </c>
      <c r="GD2413" s="8">
        <v>0.44645481940264575</v>
      </c>
      <c r="GE2413" s="8">
        <v>1.1753972448324541</v>
      </c>
      <c r="GF2413" s="8">
        <v>6.3249314392396911</v>
      </c>
      <c r="GG2413" s="8">
        <v>5.79304815183351</v>
      </c>
      <c r="GH2413" s="8">
        <v>0.88020735570664521</v>
      </c>
      <c r="GI2413" s="8">
        <v>4.5564900966801369</v>
      </c>
    </row>
    <row r="2414" spans="182:191">
      <c r="FZ2414" s="8">
        <v>10.098030058075878</v>
      </c>
      <c r="GA2414" s="8">
        <v>12.801889143690406</v>
      </c>
      <c r="GB2414" s="8">
        <v>1.6408904024053343</v>
      </c>
      <c r="GC2414" s="8">
        <v>0.72435961665525539</v>
      </c>
      <c r="GD2414" s="8">
        <v>0.91232001824333686</v>
      </c>
      <c r="GE2414" s="8">
        <v>1.9125093010934588</v>
      </c>
      <c r="GF2414" s="8">
        <v>7.8089950259052436</v>
      </c>
      <c r="GG2414" s="8">
        <v>6.0738183133348738</v>
      </c>
      <c r="GH2414" s="8">
        <v>0.17282465026292085</v>
      </c>
      <c r="GI2414" s="8">
        <v>5.7483718903920176</v>
      </c>
    </row>
    <row r="2415" spans="182:191">
      <c r="FZ2415" s="8">
        <v>9.0865602595981514</v>
      </c>
      <c r="GA2415" s="8">
        <v>9.9385984046316889</v>
      </c>
      <c r="GB2415" s="8">
        <v>2.534530523280389</v>
      </c>
      <c r="GC2415" s="8">
        <v>0.65283993577217625</v>
      </c>
      <c r="GD2415" s="8">
        <v>0.73294219471820754</v>
      </c>
      <c r="GE2415" s="8">
        <v>1.0711243191545265</v>
      </c>
      <c r="GF2415" s="8">
        <v>3.1342687996356551</v>
      </c>
      <c r="GG2415" s="8">
        <v>2.4324324403942232</v>
      </c>
      <c r="GH2415" s="8">
        <v>0.75426818593667067</v>
      </c>
      <c r="GI2415" s="8">
        <v>3.5706450755361407</v>
      </c>
    </row>
    <row r="2416" spans="182:191">
      <c r="FZ2416" s="8">
        <v>4.3677257081308829</v>
      </c>
      <c r="GA2416" s="8">
        <v>15.130716261516074</v>
      </c>
      <c r="GB2416" s="8">
        <v>5.8237196613586804</v>
      </c>
      <c r="GC2416" s="8">
        <v>0.75889820076162817</v>
      </c>
      <c r="GD2416" s="8">
        <v>0.53231773346131805</v>
      </c>
      <c r="GE2416" s="8">
        <v>0.74338953389665796</v>
      </c>
      <c r="GF2416" s="8">
        <v>2.7132604643538913</v>
      </c>
      <c r="GG2416" s="8">
        <v>1.5628049455265007</v>
      </c>
      <c r="GH2416" s="8">
        <v>0.51847395078876257</v>
      </c>
      <c r="GI2416" s="8">
        <v>3.9602690951349571</v>
      </c>
    </row>
    <row r="2417" spans="182:191">
      <c r="FZ2417" s="8">
        <v>0.82444598466225738</v>
      </c>
      <c r="GA2417" s="8">
        <v>5.7142877728671042</v>
      </c>
      <c r="GB2417" s="8">
        <v>1.4338212841344169</v>
      </c>
      <c r="GC2417" s="8">
        <v>0.24949108108123536</v>
      </c>
      <c r="GD2417" s="8">
        <v>0.60108537886573121</v>
      </c>
      <c r="GE2417" s="8">
        <v>2.0159878396997035</v>
      </c>
      <c r="GF2417" s="8">
        <v>6.189915830276286</v>
      </c>
      <c r="GG2417" s="8">
        <v>4.3826218354665114</v>
      </c>
      <c r="GH2417" s="8">
        <v>0.3456493005258417</v>
      </c>
      <c r="GI2417" s="8">
        <v>3.3278772779882324</v>
      </c>
    </row>
    <row r="2418" spans="182:191">
      <c r="FZ2418" s="8">
        <v>2.6309686470520015</v>
      </c>
      <c r="GA2418" s="8">
        <v>8.263189237933128</v>
      </c>
      <c r="GB2418" s="8">
        <v>3.2578328148287259</v>
      </c>
      <c r="GC2418" s="8">
        <v>1.0991940963549696</v>
      </c>
      <c r="GD2418" s="8">
        <v>1.217900173802458</v>
      </c>
      <c r="GE2418" s="8">
        <v>1.3409887898866346</v>
      </c>
      <c r="GF2418" s="8">
        <v>2.6902292899456182</v>
      </c>
      <c r="GG2418" s="8">
        <v>2.0568036831167102</v>
      </c>
      <c r="GH2418" s="8">
        <v>0.58144353567374973</v>
      </c>
      <c r="GI2418" s="8">
        <v>4.0055040104108883</v>
      </c>
    </row>
    <row r="2419" spans="182:191">
      <c r="FZ2419" s="8">
        <v>10.92285641877702</v>
      </c>
      <c r="GA2419" s="8">
        <v>10.505801234402956</v>
      </c>
      <c r="GB2419" s="8">
        <v>1.4314878262768584</v>
      </c>
      <c r="GC2419" s="8">
        <v>0.26458980952849881</v>
      </c>
      <c r="GD2419" s="8">
        <v>0.52524545141869927</v>
      </c>
      <c r="GE2419" s="8">
        <v>1.4257146184450835</v>
      </c>
      <c r="GF2419" s="8">
        <v>5.7728138976054453</v>
      </c>
      <c r="GG2419" s="8">
        <v>4.5110133678083741</v>
      </c>
      <c r="GH2419" s="8">
        <v>0.17282465026292085</v>
      </c>
      <c r="GI2419" s="8">
        <v>4.4378921302324432</v>
      </c>
    </row>
    <row r="2420" spans="182:191">
      <c r="FZ2420" s="8">
        <v>5.4946179444613241</v>
      </c>
      <c r="GA2420" s="8">
        <v>7.3608344335692344</v>
      </c>
      <c r="GB2420" s="8">
        <v>0.91171054689425834</v>
      </c>
      <c r="GC2420" s="8">
        <v>0.28901620089689101</v>
      </c>
      <c r="GD2420" s="8">
        <v>0.77045114659332947</v>
      </c>
      <c r="GE2420" s="8">
        <v>2.0965842734218674</v>
      </c>
      <c r="GF2420" s="8">
        <v>1.6576836681919964</v>
      </c>
      <c r="GG2420" s="8">
        <v>0.42416298142568709</v>
      </c>
      <c r="GH2420" s="8">
        <v>0.40861888541082891</v>
      </c>
      <c r="GI2420" s="8">
        <v>2.9374242550787675</v>
      </c>
    </row>
    <row r="2421" spans="182:191">
      <c r="FZ2421" s="8">
        <v>5.3494220098194845</v>
      </c>
      <c r="GA2421" s="8">
        <v>4.6660712383598781</v>
      </c>
      <c r="GB2421" s="8">
        <v>0.74187531583564548</v>
      </c>
      <c r="GC2421" s="8">
        <v>0.83902491416680081</v>
      </c>
      <c r="GD2421" s="8">
        <v>1.1757725365858951</v>
      </c>
      <c r="GE2421" s="8">
        <v>2.1262681498439191</v>
      </c>
      <c r="GF2421" s="8">
        <v>3.7966982533086844</v>
      </c>
      <c r="GG2421" s="8">
        <v>2.4324324403942232</v>
      </c>
      <c r="GH2421" s="8">
        <v>0.58144353567374973</v>
      </c>
      <c r="GI2421" s="8">
        <v>4.694562235876214</v>
      </c>
    </row>
    <row r="2422" spans="182:191">
      <c r="FZ2422" s="8">
        <v>6.1161567755553836</v>
      </c>
      <c r="GA2422" s="8">
        <v>6.2384052819649849</v>
      </c>
      <c r="GB2422" s="8">
        <v>1.1325979350996815</v>
      </c>
      <c r="GC2422" s="8">
        <v>0.98560527261728526</v>
      </c>
      <c r="GD2422" s="8">
        <v>0.94318316883590758</v>
      </c>
      <c r="GE2422" s="8">
        <v>1.3235841452032033</v>
      </c>
      <c r="GF2422" s="8">
        <v>4.8029530452376825</v>
      </c>
      <c r="GG2422" s="8">
        <v>3.4426828721531746</v>
      </c>
      <c r="GH2422" s="8">
        <v>0</v>
      </c>
      <c r="GI2422" s="8">
        <v>3.2821119676449912</v>
      </c>
    </row>
    <row r="2423" spans="182:191">
      <c r="FZ2423" s="8">
        <v>7.4829447507766051</v>
      </c>
      <c r="GA2423" s="8">
        <v>21.870871952496419</v>
      </c>
      <c r="GB2423" s="8">
        <v>6.04339640131648</v>
      </c>
      <c r="GC2423" s="8">
        <v>0.75093776615417096</v>
      </c>
      <c r="GD2423" s="8">
        <v>0.81984587495083527</v>
      </c>
      <c r="GE2423" s="8">
        <v>0.80338718811291887</v>
      </c>
      <c r="GF2423" s="8">
        <v>2.7067946274997308</v>
      </c>
      <c r="GG2423" s="8">
        <v>2.5027439088398373</v>
      </c>
      <c r="GH2423" s="8">
        <v>0.17282465026292085</v>
      </c>
      <c r="GI2423" s="8">
        <v>5.220666435105664</v>
      </c>
    </row>
    <row r="2424" spans="182:191">
      <c r="FZ2424" s="8">
        <v>0.11542243785271598</v>
      </c>
      <c r="GA2424" s="8">
        <v>19.451588126771671</v>
      </c>
      <c r="GB2424" s="8">
        <v>8.1186140948709653</v>
      </c>
      <c r="GC2424" s="8">
        <v>0.66604004967792763</v>
      </c>
      <c r="GD2424" s="8">
        <v>0.79911250471058026</v>
      </c>
      <c r="GE2424" s="8">
        <v>1.0640381520974413</v>
      </c>
      <c r="GF2424" s="8">
        <v>1.459688212013978</v>
      </c>
      <c r="GG2424" s="8">
        <v>1.165874656232639</v>
      </c>
      <c r="GH2424" s="8">
        <v>0.23579423514790807</v>
      </c>
      <c r="GI2424" s="8">
        <v>4.1591565336575069</v>
      </c>
    </row>
    <row r="2425" spans="182:191">
      <c r="FZ2425" s="8">
        <v>6.4137637333725213</v>
      </c>
      <c r="GA2425" s="8">
        <v>12.160473696822114</v>
      </c>
      <c r="GB2425" s="8">
        <v>3.2716510847632314</v>
      </c>
      <c r="GC2425" s="8">
        <v>0.39718861306606734</v>
      </c>
      <c r="GD2425" s="8">
        <v>0.71351367920913567</v>
      </c>
      <c r="GE2425" s="8">
        <v>1.4346089398531323</v>
      </c>
      <c r="GF2425" s="8">
        <v>3.0926590011717714</v>
      </c>
      <c r="GG2425" s="8">
        <v>2.2555066839041871</v>
      </c>
      <c r="GH2425" s="8">
        <v>0</v>
      </c>
      <c r="GI2425" s="8">
        <v>4.0877287440013665</v>
      </c>
    </row>
    <row r="2426" spans="182:191">
      <c r="FZ2426" s="8">
        <v>8.0674949965480831</v>
      </c>
      <c r="GA2426" s="8">
        <v>20.865740738662584</v>
      </c>
      <c r="GB2426" s="8">
        <v>4.5707132444691547</v>
      </c>
      <c r="GC2426" s="8">
        <v>0.42226041293189653</v>
      </c>
      <c r="GD2426" s="8">
        <v>1.1292254967690785</v>
      </c>
      <c r="GE2426" s="8">
        <v>2.7636880615585202</v>
      </c>
      <c r="GF2426" s="8">
        <v>4.5701338124667048</v>
      </c>
      <c r="GG2426" s="8">
        <v>3.1741441152011753</v>
      </c>
      <c r="GH2426" s="8">
        <v>0.58144353567374973</v>
      </c>
      <c r="GI2426" s="8">
        <v>5.7976122677890514</v>
      </c>
    </row>
    <row r="2427" spans="182:191">
      <c r="FZ2427" s="8">
        <v>7.1555642961703434</v>
      </c>
      <c r="GA2427" s="8">
        <v>9.53148011968071</v>
      </c>
      <c r="GB2427" s="8">
        <v>1.517528251416101</v>
      </c>
      <c r="GC2427" s="8">
        <v>0.87919544247989356</v>
      </c>
      <c r="GD2427" s="8">
        <v>0.80265971106692202</v>
      </c>
      <c r="GE2427" s="8">
        <v>1.668902768391676</v>
      </c>
      <c r="GF2427" s="8">
        <v>3.4837902890347507</v>
      </c>
      <c r="GG2427" s="8">
        <v>1.788264926164711</v>
      </c>
      <c r="GH2427" s="8">
        <v>0.64441312055873701</v>
      </c>
      <c r="GI2427" s="8">
        <v>3.0677601052819452</v>
      </c>
    </row>
    <row r="2428" spans="182:191">
      <c r="FZ2428" s="8">
        <v>7.0857986948594807</v>
      </c>
      <c r="GA2428" s="8">
        <v>14.804007285952522</v>
      </c>
      <c r="GB2428" s="8">
        <v>3.2554115183334806</v>
      </c>
      <c r="GC2428" s="8">
        <v>0.20497942555629672</v>
      </c>
      <c r="GD2428" s="8">
        <v>0.91038209717403329</v>
      </c>
      <c r="GE2428" s="8">
        <v>2.1977419767406898</v>
      </c>
      <c r="GF2428" s="8">
        <v>5.5644983471343963</v>
      </c>
      <c r="GG2428" s="8">
        <v>4.6879391242984099</v>
      </c>
      <c r="GH2428" s="8">
        <v>0.23579423514790807</v>
      </c>
      <c r="GI2428" s="8">
        <v>6.1655965970858437</v>
      </c>
    </row>
    <row r="2429" spans="182:191">
      <c r="FZ2429" s="8">
        <v>6.2315792134081001</v>
      </c>
      <c r="GA2429" s="8">
        <v>17.227466527842569</v>
      </c>
      <c r="GB2429" s="8">
        <v>5.669001187119882</v>
      </c>
      <c r="GC2429" s="8">
        <v>0.2548698816989442</v>
      </c>
      <c r="GD2429" s="8">
        <v>0.94823506592149098</v>
      </c>
      <c r="GE2429" s="8">
        <v>2.2988669494918184</v>
      </c>
      <c r="GF2429" s="8">
        <v>3.9911559461733259</v>
      </c>
      <c r="GG2429" s="8">
        <v>2.8198168899400109</v>
      </c>
      <c r="GH2429" s="8">
        <v>0.51847395078876257</v>
      </c>
      <c r="GI2429" s="8">
        <v>5.4889459355423016</v>
      </c>
    </row>
    <row r="2430" spans="182:191">
      <c r="FZ2430" s="8">
        <v>5.949855595343692</v>
      </c>
      <c r="GA2430" s="8">
        <v>10.758614790181531</v>
      </c>
      <c r="GB2430" s="8">
        <v>3.356568700292538</v>
      </c>
      <c r="GC2430" s="8">
        <v>0.79992967021037009</v>
      </c>
      <c r="GD2430" s="8">
        <v>1.2136073692623262</v>
      </c>
      <c r="GE2430" s="8">
        <v>2.0475440753884371</v>
      </c>
      <c r="GF2430" s="8">
        <v>4.0806553540619213</v>
      </c>
      <c r="GG2430" s="8">
        <v>2.8783726661173508</v>
      </c>
      <c r="GH2430" s="8">
        <v>0.3456493005258417</v>
      </c>
      <c r="GI2430" s="8">
        <v>4.8060241819251033</v>
      </c>
    </row>
    <row r="2431" spans="182:191">
      <c r="FZ2431" s="8">
        <v>10.43784527110553</v>
      </c>
      <c r="GA2431" s="8">
        <v>14.228361457152182</v>
      </c>
      <c r="GB2431" s="8">
        <v>3.5287373892087093</v>
      </c>
      <c r="GC2431" s="8">
        <v>0.50080127657549844</v>
      </c>
      <c r="GD2431" s="8">
        <v>0.70147680423332237</v>
      </c>
      <c r="GE2431" s="8">
        <v>1.7391014068262285</v>
      </c>
      <c r="GF2431" s="8">
        <v>2.4321198954837806</v>
      </c>
      <c r="GG2431" s="8">
        <v>0.93993896331333671</v>
      </c>
      <c r="GH2431" s="8">
        <v>0.3456493005258417</v>
      </c>
      <c r="GI2431" s="8">
        <v>3.9424950559530512</v>
      </c>
    </row>
    <row r="2432" spans="182:191">
      <c r="FZ2432" s="8">
        <v>7.2709867340230598</v>
      </c>
      <c r="GA2432" s="8">
        <v>7.5601720765301881</v>
      </c>
      <c r="GB2432" s="8">
        <v>1.0652183728854343</v>
      </c>
      <c r="GC2432" s="8">
        <v>0.82908945369903408</v>
      </c>
      <c r="GD2432" s="8">
        <v>1.0760773072630521</v>
      </c>
      <c r="GE2432" s="8">
        <v>1.6468707554831485</v>
      </c>
      <c r="GF2432" s="8">
        <v>3.9730258147828326</v>
      </c>
      <c r="GG2432" s="8">
        <v>3.0552984226073874</v>
      </c>
      <c r="GH2432" s="8">
        <v>0.40861888541082891</v>
      </c>
      <c r="GI2432" s="8">
        <v>4.2064869301881433</v>
      </c>
    </row>
    <row r="2433" spans="182:191">
      <c r="FZ2433" s="8">
        <v>0.65814480445056478</v>
      </c>
      <c r="GA2433" s="8">
        <v>8.263189237933128</v>
      </c>
      <c r="GB2433" s="8">
        <v>3.3625341028929636</v>
      </c>
      <c r="GC2433" s="8">
        <v>0.28144803119785977</v>
      </c>
      <c r="GD2433" s="8">
        <v>0.26646978828829071</v>
      </c>
      <c r="GE2433" s="8">
        <v>1.4267352316813819</v>
      </c>
      <c r="GF2433" s="8">
        <v>5.7871425869405968</v>
      </c>
      <c r="GG2433" s="8">
        <v>4.3490888989007974</v>
      </c>
      <c r="GH2433" s="8">
        <v>1.0530320059695661</v>
      </c>
      <c r="GI2433" s="8">
        <v>3.0561407508404503</v>
      </c>
    </row>
    <row r="2434" spans="182:191">
      <c r="FZ2434" s="8">
        <v>5.7763415625257331</v>
      </c>
      <c r="GA2434" s="8">
        <v>11.26036519919689</v>
      </c>
      <c r="GB2434" s="8">
        <v>2.7090326700541185</v>
      </c>
      <c r="GC2434" s="8">
        <v>1.1309355138333816</v>
      </c>
      <c r="GD2434" s="8">
        <v>1.2361856854465292</v>
      </c>
      <c r="GE2434" s="8">
        <v>1.8256995946513599</v>
      </c>
      <c r="GF2434" s="8">
        <v>3.5701476108915613</v>
      </c>
      <c r="GG2434" s="8">
        <v>2.3040409080523605</v>
      </c>
      <c r="GH2434" s="8">
        <v>0.58144353567374973</v>
      </c>
      <c r="GI2434" s="8">
        <v>4.2887113145743303</v>
      </c>
    </row>
    <row r="2435" spans="182:191">
      <c r="FZ2435" s="8">
        <v>10.640752424673726</v>
      </c>
      <c r="GA2435" s="8">
        <v>24.944189640283835</v>
      </c>
      <c r="GB2435" s="8">
        <v>7.4453289894971899</v>
      </c>
      <c r="GC2435" s="8">
        <v>0.50338291056524698</v>
      </c>
      <c r="GD2435" s="8">
        <v>0.80101151229153689</v>
      </c>
      <c r="GE2435" s="8">
        <v>2.3181741789330252</v>
      </c>
      <c r="GF2435" s="8">
        <v>3.6659146011048627</v>
      </c>
      <c r="GG2435" s="8">
        <v>1.5628049455265007</v>
      </c>
      <c r="GH2435" s="8">
        <v>0</v>
      </c>
      <c r="GI2435" s="8">
        <v>6.3423956044997958</v>
      </c>
    </row>
    <row r="2436" spans="182:191">
      <c r="FZ2436" s="8">
        <v>8.8052170175726303</v>
      </c>
      <c r="GA2436" s="8">
        <v>5.6938682658997468</v>
      </c>
      <c r="GB2436" s="8">
        <v>2.6043313819898808</v>
      </c>
      <c r="GC2436" s="8">
        <v>0.61873122752502852</v>
      </c>
      <c r="GD2436" s="8">
        <v>0.42502215635894214</v>
      </c>
      <c r="GE2436" s="8">
        <v>0.8487408369674837</v>
      </c>
      <c r="GF2436" s="8">
        <v>2.2412707592769232</v>
      </c>
      <c r="GG2436" s="8">
        <v>0.93993896331333671</v>
      </c>
      <c r="GH2436" s="8">
        <v>0.17282465026292085</v>
      </c>
      <c r="GI2436" s="8">
        <v>3.1527575145137221</v>
      </c>
    </row>
    <row r="2437" spans="182:191">
      <c r="FZ2437" s="8">
        <v>2.7343367025202121</v>
      </c>
      <c r="GA2437" s="8">
        <v>13.735054047165892</v>
      </c>
      <c r="GB2437" s="8">
        <v>5.2340536846289014</v>
      </c>
      <c r="GC2437" s="8">
        <v>0.91864106216706487</v>
      </c>
      <c r="GD2437" s="8">
        <v>0.8694701790196695</v>
      </c>
      <c r="GE2437" s="8">
        <v>0.97911591766757144</v>
      </c>
      <c r="GF2437" s="8">
        <v>1.7280806433468672</v>
      </c>
      <c r="GG2437" s="8">
        <v>0.93993896331333671</v>
      </c>
      <c r="GH2437" s="8">
        <v>0</v>
      </c>
      <c r="GI2437" s="8">
        <v>3.6217016243215117</v>
      </c>
    </row>
    <row r="2438" spans="182:191">
      <c r="FZ2438" s="8">
        <v>12.911563601131187</v>
      </c>
      <c r="GA2438" s="8">
        <v>15.852223820459745</v>
      </c>
      <c r="GB2438" s="8">
        <v>3.9299072719548791</v>
      </c>
      <c r="GC2438" s="8">
        <v>0.68199971926084013</v>
      </c>
      <c r="GD2438" s="8">
        <v>0.99548472057717641</v>
      </c>
      <c r="GE2438" s="8">
        <v>1.9821107687235471</v>
      </c>
      <c r="GF2438" s="8">
        <v>4.0498886267918639</v>
      </c>
      <c r="GG2438" s="8">
        <v>2.9849869541617733</v>
      </c>
      <c r="GH2438" s="8">
        <v>0.81723777082165783</v>
      </c>
      <c r="GI2438" s="8">
        <v>6.0239641806702897</v>
      </c>
    </row>
    <row r="2439" spans="182:191">
      <c r="FZ2439" s="8">
        <v>10.056582554941134</v>
      </c>
      <c r="GA2439" s="8">
        <v>6.814051110765325</v>
      </c>
      <c r="GB2439" s="8">
        <v>1.0361955074934277</v>
      </c>
      <c r="GC2439" s="8">
        <v>0.73253558390092466</v>
      </c>
      <c r="GD2439" s="8">
        <v>0.48603822580101669</v>
      </c>
      <c r="GE2439" s="8">
        <v>0.91706711613535419</v>
      </c>
      <c r="GF2439" s="8">
        <v>3.4289693801590326</v>
      </c>
      <c r="GG2439" s="8">
        <v>2.4111309083778751</v>
      </c>
      <c r="GH2439" s="8">
        <v>0.47158847029581613</v>
      </c>
      <c r="GI2439" s="8">
        <v>2.7969251256752639</v>
      </c>
    </row>
    <row r="2440" spans="182:191">
      <c r="FZ2440" s="8">
        <v>5.009606796789833</v>
      </c>
      <c r="GA2440" s="8">
        <v>15.225348385580457</v>
      </c>
      <c r="GB2440" s="8">
        <v>3.8787672761703824</v>
      </c>
      <c r="GC2440" s="8">
        <v>0.28273884819273387</v>
      </c>
      <c r="GD2440" s="8">
        <v>0.43661465557057855</v>
      </c>
      <c r="GE2440" s="8">
        <v>1.1957677389210122</v>
      </c>
      <c r="GF2440" s="8">
        <v>4.9796007917285952</v>
      </c>
      <c r="GG2440" s="8">
        <v>3.9952373859207246</v>
      </c>
      <c r="GH2440" s="8">
        <v>0.40861888541082891</v>
      </c>
      <c r="GI2440" s="8">
        <v>3.9609698014382446</v>
      </c>
    </row>
    <row r="2441" spans="182:191">
      <c r="FZ2441" s="8">
        <v>6.0863832787662604</v>
      </c>
      <c r="GA2441" s="8">
        <v>22.795892570566345</v>
      </c>
      <c r="GB2441" s="8">
        <v>8.6547187793210032</v>
      </c>
      <c r="GC2441" s="8">
        <v>0.72281565607137011</v>
      </c>
      <c r="GD2441" s="8">
        <v>0.61852854761382248</v>
      </c>
      <c r="GE2441" s="8">
        <v>1.0191975893772345</v>
      </c>
      <c r="GF2441" s="8">
        <v>3.4876966916456755</v>
      </c>
      <c r="GG2441" s="8">
        <v>2.2555066839041871</v>
      </c>
      <c r="GH2441" s="8">
        <v>0.3456493005258417</v>
      </c>
      <c r="GI2441" s="8">
        <v>6.4472671452884063</v>
      </c>
    </row>
    <row r="2442" spans="182:191">
      <c r="FZ2442" s="8">
        <v>4.9221220810743525</v>
      </c>
      <c r="GA2442" s="8">
        <v>10.758614790181531</v>
      </c>
      <c r="GB2442" s="8">
        <v>3.4624806366043979</v>
      </c>
      <c r="GC2442" s="8">
        <v>0.56041166054770053</v>
      </c>
      <c r="GD2442" s="8">
        <v>0.54348827998758942</v>
      </c>
      <c r="GE2442" s="8">
        <v>1.8016960250604972</v>
      </c>
      <c r="GF2442" s="8">
        <v>5.7972169804525393</v>
      </c>
      <c r="GG2442" s="8">
        <v>3.4426828721531746</v>
      </c>
      <c r="GH2442" s="8">
        <v>0</v>
      </c>
      <c r="GI2442" s="8">
        <v>3.7116064047481458</v>
      </c>
    </row>
    <row r="2443" spans="182:191">
      <c r="FZ2443" s="8">
        <v>12.571748388101533</v>
      </c>
      <c r="GA2443" s="8">
        <v>12.454443463847447</v>
      </c>
      <c r="GB2443" s="8">
        <v>1.4326984745244808</v>
      </c>
      <c r="GC2443" s="8">
        <v>1.2872358001134212</v>
      </c>
      <c r="GD2443" s="8">
        <v>1.3385049523388046</v>
      </c>
      <c r="GE2443" s="8">
        <v>1.8259111132683274</v>
      </c>
      <c r="GF2443" s="8">
        <v>5.3063889526725596</v>
      </c>
      <c r="GG2443" s="8">
        <v>3.5710744044950373</v>
      </c>
      <c r="GH2443" s="8">
        <v>0</v>
      </c>
      <c r="GI2443" s="8">
        <v>4.7321277603160432</v>
      </c>
    </row>
    <row r="2444" spans="182:191">
      <c r="FZ2444" s="8">
        <v>6.5136832075113933</v>
      </c>
      <c r="GA2444" s="8">
        <v>5.7142877728671042</v>
      </c>
      <c r="GB2444" s="8">
        <v>1.3652310736725475</v>
      </c>
      <c r="GC2444" s="8">
        <v>0.44234567708844297</v>
      </c>
      <c r="GD2444" s="8">
        <v>0.86547683733848102</v>
      </c>
      <c r="GE2444" s="8">
        <v>2.4766799621280193</v>
      </c>
      <c r="GF2444" s="8">
        <v>7.0020331143574062</v>
      </c>
      <c r="GG2444" s="8">
        <v>4.758250592744024</v>
      </c>
      <c r="GH2444" s="8">
        <v>0</v>
      </c>
      <c r="GI2444" s="8">
        <v>4.9754519403179946</v>
      </c>
    </row>
    <row r="2445" spans="182:191">
      <c r="FZ2445" s="8">
        <v>2.5732574281256437</v>
      </c>
      <c r="GA2445" s="8">
        <v>16.127703189944352</v>
      </c>
      <c r="GB2445" s="8">
        <v>6.0690482602561158</v>
      </c>
      <c r="GC2445" s="8">
        <v>3.7588894323344391E-2</v>
      </c>
      <c r="GD2445" s="8">
        <v>0.47933625900183718</v>
      </c>
      <c r="GE2445" s="8">
        <v>1.6288063891343656</v>
      </c>
      <c r="GF2445" s="8">
        <v>4.6337855140639004</v>
      </c>
      <c r="GG2445" s="8">
        <v>3.5497728724786888</v>
      </c>
      <c r="GH2445" s="8">
        <v>0.40861888541082891</v>
      </c>
      <c r="GI2445" s="8">
        <v>6.3033591818451891</v>
      </c>
    </row>
    <row r="2446" spans="182:191">
      <c r="FZ2446" s="8">
        <v>0.60043358552420678</v>
      </c>
      <c r="GA2446" s="8">
        <v>2.5693209720333821</v>
      </c>
      <c r="GB2446" s="8">
        <v>1.0536457221708007</v>
      </c>
      <c r="GC2446" s="8">
        <v>1.0685279632332192</v>
      </c>
      <c r="GD2446" s="8">
        <v>1.1968533128659333</v>
      </c>
      <c r="GE2446" s="8">
        <v>1.3479960444803532</v>
      </c>
      <c r="GF2446" s="8">
        <v>2.7836574395087617</v>
      </c>
      <c r="GG2446" s="8">
        <v>2.2555066839041871</v>
      </c>
      <c r="GH2446" s="8">
        <v>0.17282465026292085</v>
      </c>
      <c r="GI2446" s="8">
        <v>3.1164185596128195</v>
      </c>
    </row>
    <row r="2447" spans="182:191">
      <c r="FZ2447" s="8">
        <v>4.9221220810743525</v>
      </c>
      <c r="GA2447" s="8">
        <v>17.669227134437865</v>
      </c>
      <c r="GB2447" s="8">
        <v>5.1392970617786924</v>
      </c>
      <c r="GC2447" s="8">
        <v>0.81236726453940089</v>
      </c>
      <c r="GD2447" s="8">
        <v>1.0031008554901892</v>
      </c>
      <c r="GE2447" s="8">
        <v>1.2050807160566068</v>
      </c>
      <c r="GF2447" s="8">
        <v>4.6422897446075693</v>
      </c>
      <c r="GG2447" s="8">
        <v>4.4194003673464124</v>
      </c>
      <c r="GH2447" s="8">
        <v>0.64441312055873701</v>
      </c>
      <c r="GI2447" s="8">
        <v>4.9717222373862215</v>
      </c>
    </row>
    <row r="2448" spans="182:191">
      <c r="FZ2448" s="8">
        <v>4.4254369270572411</v>
      </c>
      <c r="GA2448" s="8">
        <v>5.7142877728671042</v>
      </c>
      <c r="GB2448" s="8">
        <v>1.3303306443178016</v>
      </c>
      <c r="GC2448" s="8">
        <v>0.69993322528686319</v>
      </c>
      <c r="GD2448" s="8">
        <v>1.1405402833724496</v>
      </c>
      <c r="GE2448" s="8">
        <v>1.6003972959766328</v>
      </c>
      <c r="GF2448" s="8">
        <v>3.6643677852293615</v>
      </c>
      <c r="GG2448" s="8">
        <v>3.2439798713656982</v>
      </c>
      <c r="GH2448" s="8">
        <v>0.23579423514790807</v>
      </c>
      <c r="GI2448" s="8">
        <v>4.6004853993115802</v>
      </c>
    </row>
    <row r="2449" spans="182:191">
      <c r="FZ2449" s="8">
        <v>11.220843752633044</v>
      </c>
      <c r="GA2449" s="8">
        <v>17.079358490960569</v>
      </c>
      <c r="GB2449" s="8">
        <v>5.963321378777664</v>
      </c>
      <c r="GC2449" s="8">
        <v>0.39593540702199215</v>
      </c>
      <c r="GD2449" s="8">
        <v>0.6040072415618204</v>
      </c>
      <c r="GE2449" s="8">
        <v>2.0517376751404406</v>
      </c>
      <c r="GF2449" s="8">
        <v>3.1610175826371334</v>
      </c>
      <c r="GG2449" s="8">
        <v>1.3155677205908503</v>
      </c>
      <c r="GH2449" s="8">
        <v>0.17282465026292085</v>
      </c>
      <c r="GI2449" s="8">
        <v>5.7174488504594914</v>
      </c>
    </row>
    <row r="2450" spans="182:191">
      <c r="FZ2450" s="8">
        <v>8.747125422607386</v>
      </c>
      <c r="GA2450" s="8">
        <v>9.1636149328703951</v>
      </c>
      <c r="GB2450" s="8">
        <v>2.686827701023943</v>
      </c>
      <c r="GC2450" s="8">
        <v>0.57228334650777857</v>
      </c>
      <c r="GD2450" s="8">
        <v>1.0236217746151426</v>
      </c>
      <c r="GE2450" s="8">
        <v>1.9085853893129214</v>
      </c>
      <c r="GF2450" s="8">
        <v>3.1563330418325903</v>
      </c>
      <c r="GG2450" s="8">
        <v>2.1271151515623243</v>
      </c>
      <c r="GH2450" s="8">
        <v>0</v>
      </c>
      <c r="GI2450" s="8">
        <v>3.8160876481764037</v>
      </c>
    </row>
    <row r="2451" spans="182:191">
      <c r="FZ2451" s="8">
        <v>4.0279104951012314</v>
      </c>
      <c r="GA2451" s="8">
        <v>15.256158484692049</v>
      </c>
      <c r="GB2451" s="8">
        <v>5.1980304456642195</v>
      </c>
      <c r="GC2451" s="8">
        <v>0.32290937650582668</v>
      </c>
      <c r="GD2451" s="8">
        <v>0.9359923757757076</v>
      </c>
      <c r="GE2451" s="8">
        <v>3.2166849908920048</v>
      </c>
      <c r="GF2451" s="8">
        <v>5.0776016620364732</v>
      </c>
      <c r="GG2451" s="8">
        <v>2.3040409080523605</v>
      </c>
      <c r="GH2451" s="8">
        <v>0.40861888541082891</v>
      </c>
      <c r="GI2451" s="8">
        <v>5.878564718954757</v>
      </c>
    </row>
    <row r="2452" spans="182:191">
      <c r="FZ2452" s="8">
        <v>5.3494220098194845</v>
      </c>
      <c r="GA2452" s="8">
        <v>16.253145413120322</v>
      </c>
      <c r="GB2452" s="8">
        <v>5.7724918269364967</v>
      </c>
      <c r="GC2452" s="8">
        <v>0.66105351396864453</v>
      </c>
      <c r="GD2452" s="8">
        <v>0.93113789049310003</v>
      </c>
      <c r="GE2452" s="8">
        <v>1.6012063905959633</v>
      </c>
      <c r="GF2452" s="8">
        <v>5.1924918310687653</v>
      </c>
      <c r="GG2452" s="8">
        <v>4.3708661431982385</v>
      </c>
      <c r="GH2452" s="8">
        <v>0.40861888541082891</v>
      </c>
      <c r="GI2452" s="8">
        <v>5.555930326963801</v>
      </c>
    </row>
    <row r="2453" spans="182:191">
      <c r="FZ2453" s="8">
        <v>5.4369067255349659</v>
      </c>
      <c r="GA2453" s="8">
        <v>18.349895679446821</v>
      </c>
      <c r="GB2453" s="8">
        <v>5.6899955079024354</v>
      </c>
      <c r="GC2453" s="8">
        <v>0.44862302979259999</v>
      </c>
      <c r="GD2453" s="8">
        <v>0.42172501072250207</v>
      </c>
      <c r="GE2453" s="8">
        <v>1.2836083846406678</v>
      </c>
      <c r="GF2453" s="8">
        <v>5.4378416911345777</v>
      </c>
      <c r="GG2453" s="8">
        <v>3.818311629430688</v>
      </c>
      <c r="GH2453" s="8">
        <v>0.17282465026292085</v>
      </c>
      <c r="GI2453" s="8">
        <v>4.2865038478737416</v>
      </c>
    </row>
    <row r="2454" spans="182:191">
      <c r="FZ2454" s="8">
        <v>4.998313166483098</v>
      </c>
      <c r="GA2454" s="8">
        <v>10.633172567005557</v>
      </c>
      <c r="GB2454" s="8">
        <v>3.9984974824167487</v>
      </c>
      <c r="GC2454" s="8">
        <v>0.47520117929151562</v>
      </c>
      <c r="GD2454" s="8">
        <v>0.93747341734113232</v>
      </c>
      <c r="GE2454" s="8">
        <v>2.0569691007529904</v>
      </c>
      <c r="GF2454" s="8">
        <v>3.632488848167883</v>
      </c>
      <c r="GG2454" s="8">
        <v>2.6796696653298739</v>
      </c>
      <c r="GH2454" s="8">
        <v>0.40861888541082891</v>
      </c>
      <c r="GI2454" s="8">
        <v>4.8784836586760774</v>
      </c>
    </row>
    <row r="2455" spans="182:191">
      <c r="FZ2455" s="8">
        <v>6.1897513342344705</v>
      </c>
      <c r="GA2455" s="8">
        <v>21.42064986318352</v>
      </c>
      <c r="GB2455" s="8">
        <v>6.8121342243393839</v>
      </c>
      <c r="GC2455" s="8">
        <v>0.31727743229910671</v>
      </c>
      <c r="GD2455" s="8">
        <v>0.42147894460163843</v>
      </c>
      <c r="GE2455" s="8">
        <v>0.84454723721548008</v>
      </c>
      <c r="GF2455" s="8">
        <v>4.5254868885266148</v>
      </c>
      <c r="GG2455" s="8">
        <v>3.818311629430688</v>
      </c>
      <c r="GH2455" s="8">
        <v>0</v>
      </c>
      <c r="GI2455" s="8">
        <v>5.5492318309265718</v>
      </c>
    </row>
    <row r="2456" spans="182:191">
      <c r="FZ2456" s="8">
        <v>0.54272236659784878</v>
      </c>
      <c r="GA2456" s="8">
        <v>2.7686586149943353</v>
      </c>
      <c r="GB2456" s="8">
        <v>0.96406119092637732</v>
      </c>
      <c r="GC2456" s="8">
        <v>0.29873612872644562</v>
      </c>
      <c r="GD2456" s="8">
        <v>0.63411747733614299</v>
      </c>
      <c r="GE2456" s="8">
        <v>1.839317814570018</v>
      </c>
      <c r="GF2456" s="8">
        <v>4.0018770868798423</v>
      </c>
      <c r="GG2456" s="8">
        <v>2.5027439088398373</v>
      </c>
      <c r="GH2456" s="8">
        <v>0.17282465026292085</v>
      </c>
      <c r="GI2456" s="8">
        <v>2.6680758663308426</v>
      </c>
    </row>
    <row r="2457" spans="182:191">
      <c r="FZ2457" s="8">
        <v>15.078243734115475</v>
      </c>
      <c r="GA2457" s="8">
        <v>20.645983588734271</v>
      </c>
      <c r="GB2457" s="8">
        <v>5.5516044387310739</v>
      </c>
      <c r="GC2457" s="8">
        <v>0.63189373047998076</v>
      </c>
      <c r="GD2457" s="8">
        <v>0.83866374720059844</v>
      </c>
      <c r="GE2457" s="8">
        <v>1.7433277371459257</v>
      </c>
      <c r="GF2457" s="8">
        <v>2.9985894735459482</v>
      </c>
      <c r="GG2457" s="8">
        <v>1.6113391696746744</v>
      </c>
      <c r="GH2457" s="8">
        <v>0.23579423514790807</v>
      </c>
      <c r="GI2457" s="8">
        <v>6.7102074358763932</v>
      </c>
    </row>
    <row r="2458" spans="182:191">
      <c r="FZ2458" s="8">
        <v>6.6011679232268747</v>
      </c>
      <c r="GA2458" s="8">
        <v>3.4697466669706492</v>
      </c>
      <c r="GB2458" s="8">
        <v>0.49888017479576829</v>
      </c>
      <c r="GC2458" s="8">
        <v>0.41343903718879016</v>
      </c>
      <c r="GD2458" s="8">
        <v>0.52159213201080856</v>
      </c>
      <c r="GE2458" s="8">
        <v>1.3735656388116666</v>
      </c>
      <c r="GF2458" s="8">
        <v>3.9730258147828326</v>
      </c>
      <c r="GG2458" s="8">
        <v>2.8783726661173508</v>
      </c>
      <c r="GH2458" s="8">
        <v>0</v>
      </c>
      <c r="GI2458" s="8">
        <v>3.4989738437237241</v>
      </c>
    </row>
    <row r="2459" spans="182:191">
      <c r="FZ2459" s="8">
        <v>8.9500325761755821</v>
      </c>
      <c r="GA2459" s="8">
        <v>13.829686171230275</v>
      </c>
      <c r="GB2459" s="8">
        <v>3.2740723812584762</v>
      </c>
      <c r="GC2459" s="8">
        <v>0.21254759525532801</v>
      </c>
      <c r="GD2459" s="8">
        <v>0.53821795261479277</v>
      </c>
      <c r="GE2459" s="8">
        <v>1.3744324975875972</v>
      </c>
      <c r="GF2459" s="8">
        <v>4.7484523213787284</v>
      </c>
      <c r="GG2459" s="8">
        <v>4.3490888989007974</v>
      </c>
      <c r="GH2459" s="8">
        <v>0.88020735570664521</v>
      </c>
      <c r="GI2459" s="8">
        <v>4.2328365480446681</v>
      </c>
    </row>
    <row r="2460" spans="182:191">
      <c r="FZ2460" s="8">
        <v>3.2314022325762086</v>
      </c>
      <c r="GA2460" s="8">
        <v>5.6938682658997468</v>
      </c>
      <c r="GB2460" s="8">
        <v>2.5507700897101397</v>
      </c>
      <c r="GC2460" s="8">
        <v>0.2771069039860139</v>
      </c>
      <c r="GD2460" s="8">
        <v>0.52694372516125987</v>
      </c>
      <c r="GE2460" s="8">
        <v>1.5125243248871825</v>
      </c>
      <c r="GF2460" s="8">
        <v>6.552494700024547</v>
      </c>
      <c r="GG2460" s="8">
        <v>5.1338793500215374</v>
      </c>
      <c r="GH2460" s="8">
        <v>0.3456493005258417</v>
      </c>
      <c r="GI2460" s="8">
        <v>4.2111346855920653</v>
      </c>
    </row>
    <row r="2461" spans="182:191">
      <c r="FZ2461" s="8">
        <v>7.7443238753489307</v>
      </c>
      <c r="GA2461" s="8">
        <v>17.227466527842569</v>
      </c>
      <c r="GB2461" s="8">
        <v>5.6702118353675042</v>
      </c>
      <c r="GC2461" s="8">
        <v>0.34643721578777065</v>
      </c>
      <c r="GD2461" s="8">
        <v>0.51589742775756409</v>
      </c>
      <c r="GE2461" s="8">
        <v>1.1835470817347895</v>
      </c>
      <c r="GF2461" s="8">
        <v>2.440973027268881</v>
      </c>
      <c r="GG2461" s="8">
        <v>1.788264926164711</v>
      </c>
      <c r="GH2461" s="8">
        <v>0.64441312055873701</v>
      </c>
      <c r="GI2461" s="8">
        <v>4.6197757087103266</v>
      </c>
    </row>
    <row r="2462" spans="182:191">
      <c r="FZ2462" s="8">
        <v>4.222149397450158</v>
      </c>
      <c r="GA2462" s="8">
        <v>14.951798125522481</v>
      </c>
      <c r="GB2462" s="8">
        <v>4.5183626004370359</v>
      </c>
      <c r="GC2462" s="8">
        <v>0.98883231510447067</v>
      </c>
      <c r="GD2462" s="8">
        <v>1.2028598700831608</v>
      </c>
      <c r="GE2462" s="8">
        <v>1.6726474869250403</v>
      </c>
      <c r="GF2462" s="8">
        <v>4.2232946958273043</v>
      </c>
      <c r="GG2462" s="8">
        <v>3.0670541148756616</v>
      </c>
      <c r="GH2462" s="8">
        <v>0.3456493005258417</v>
      </c>
      <c r="GI2462" s="8">
        <v>5.2640369667884253</v>
      </c>
    </row>
    <row r="2463" spans="182:191">
      <c r="FZ2463" s="8">
        <v>6.1161567755553836</v>
      </c>
      <c r="GA2463" s="8">
        <v>20.551351464669892</v>
      </c>
      <c r="GB2463" s="8">
        <v>7.6848772406276087</v>
      </c>
      <c r="GC2463" s="8">
        <v>0.28402966518760819</v>
      </c>
      <c r="GD2463" s="8">
        <v>0.41342272093223392</v>
      </c>
      <c r="GE2463" s="8">
        <v>1.3448484967514533</v>
      </c>
      <c r="GF2463" s="8">
        <v>2.2989974026298015</v>
      </c>
      <c r="GG2463" s="8">
        <v>1.3641019447390237</v>
      </c>
      <c r="GH2463" s="8">
        <v>0.23579423514790807</v>
      </c>
      <c r="GI2463" s="8">
        <v>4.436225313348495</v>
      </c>
    </row>
    <row r="2464" spans="182:191">
      <c r="FZ2464" s="8">
        <v>5.7767219385646182</v>
      </c>
      <c r="GA2464" s="8">
        <v>12.729922833332054</v>
      </c>
      <c r="GB2464" s="8">
        <v>3.8648611675981908</v>
      </c>
      <c r="GC2464" s="8">
        <v>0.62931209649023234</v>
      </c>
      <c r="GD2464" s="8">
        <v>1.1252432077303829</v>
      </c>
      <c r="GE2464" s="8">
        <v>2.4704024844923662</v>
      </c>
      <c r="GF2464" s="8">
        <v>3.6642448467129016</v>
      </c>
      <c r="GG2464" s="8">
        <v>2.2342051518878385</v>
      </c>
      <c r="GH2464" s="8">
        <v>0.40861888541082891</v>
      </c>
      <c r="GI2464" s="8">
        <v>5.4043288936167082</v>
      </c>
    </row>
    <row r="2465" spans="182:191">
      <c r="FZ2465" s="8">
        <v>5.5312261537450222</v>
      </c>
      <c r="GA2465" s="8">
        <v>8.5633556972488645</v>
      </c>
      <c r="GB2465" s="8">
        <v>0.67449575362139846</v>
      </c>
      <c r="GC2465" s="8">
        <v>0.31164548809238679</v>
      </c>
      <c r="GD2465" s="8">
        <v>0.20832782506475492</v>
      </c>
      <c r="GE2465" s="8">
        <v>1.3820523087036825</v>
      </c>
      <c r="GF2465" s="8">
        <v>4.4665420667975848</v>
      </c>
      <c r="GG2465" s="8">
        <v>2.4809666645423967</v>
      </c>
      <c r="GH2465" s="8">
        <v>0.64441312055873701</v>
      </c>
      <c r="GI2465" s="8">
        <v>3.09653269137916</v>
      </c>
    </row>
    <row r="2466" spans="182:191">
      <c r="FZ2466" s="8">
        <v>7.9226794379451286</v>
      </c>
      <c r="GA2466" s="8">
        <v>13.683824441086943</v>
      </c>
      <c r="GB2466" s="8">
        <v>5.1563121199476427</v>
      </c>
      <c r="GC2466" s="8">
        <v>0.76388473647091115</v>
      </c>
      <c r="GD2466" s="8">
        <v>0.63196598484020217</v>
      </c>
      <c r="GE2466" s="8">
        <v>1.1671148017765174</v>
      </c>
      <c r="GF2466" s="8">
        <v>7.5240149179546192</v>
      </c>
      <c r="GG2466" s="8">
        <v>6.1809083136603888</v>
      </c>
      <c r="GH2466" s="8">
        <v>0.23579423514790807</v>
      </c>
      <c r="GI2466" s="8">
        <v>5.1582181796129616</v>
      </c>
    </row>
    <row r="2467" spans="182:191">
      <c r="FZ2467" s="8">
        <v>4.8225829829743656</v>
      </c>
      <c r="GA2467" s="8">
        <v>21.400230356216163</v>
      </c>
      <c r="GB2467" s="8">
        <v>8.1023745284412154</v>
      </c>
      <c r="GC2467" s="8">
        <v>0.82345750949231411</v>
      </c>
      <c r="GD2467" s="8">
        <v>0.61910691333011603</v>
      </c>
      <c r="GE2467" s="8">
        <v>1.4562222970341141</v>
      </c>
      <c r="GF2467" s="8">
        <v>5.002886295652373</v>
      </c>
      <c r="GG2467" s="8">
        <v>2.8198168899400109</v>
      </c>
      <c r="GH2467" s="8">
        <v>0.17282465026292085</v>
      </c>
      <c r="GI2467" s="8">
        <v>4.9173575869926163</v>
      </c>
    </row>
    <row r="2468" spans="182:191">
      <c r="FZ2468" s="8">
        <v>10.056202178902248</v>
      </c>
      <c r="GA2468" s="8">
        <v>24.596743960440879</v>
      </c>
      <c r="GB2468" s="8">
        <v>7.6360707027006702</v>
      </c>
      <c r="GC2468" s="8">
        <v>0.78741257575285506</v>
      </c>
      <c r="GD2468" s="8">
        <v>0.96102925635800007</v>
      </c>
      <c r="GE2468" s="8">
        <v>1.9219343264580118</v>
      </c>
      <c r="GF2468" s="8">
        <v>3.9831002082947755</v>
      </c>
      <c r="GG2468" s="8">
        <v>3.0335211783099472</v>
      </c>
      <c r="GH2468" s="8">
        <v>0.70738270544372439</v>
      </c>
      <c r="GI2468" s="8">
        <v>6.1732977602997154</v>
      </c>
    </row>
    <row r="2469" spans="182:191">
      <c r="FZ2469" s="8">
        <v>0.82444598466225738</v>
      </c>
      <c r="GA2469" s="8">
        <v>5.7142877728671042</v>
      </c>
      <c r="GB2469" s="8">
        <v>1.381470640102298</v>
      </c>
      <c r="GC2469" s="8">
        <v>1.00827217076358</v>
      </c>
      <c r="GD2469" s="8">
        <v>1.235693545275597</v>
      </c>
      <c r="GE2469" s="8">
        <v>2.1854390916187025</v>
      </c>
      <c r="GF2469" s="8">
        <v>3.6914367532476033</v>
      </c>
      <c r="GG2469" s="8">
        <v>1.8798779266266734</v>
      </c>
      <c r="GH2469" s="8">
        <v>0.17282465026292085</v>
      </c>
      <c r="GI2469" s="8">
        <v>2.9414869034966444</v>
      </c>
    </row>
    <row r="2470" spans="182:191">
      <c r="FZ2470" s="8">
        <v>5.6888568468102516</v>
      </c>
      <c r="GA2470" s="8">
        <v>16.273564920087683</v>
      </c>
      <c r="GB2470" s="8">
        <v>4.5358128151144088</v>
      </c>
      <c r="GC2470" s="8">
        <v>0.99317344231631655</v>
      </c>
      <c r="GD2470" s="8">
        <v>1.1992065506752703</v>
      </c>
      <c r="GE2470" s="8">
        <v>2.1017191687489039</v>
      </c>
      <c r="GF2470" s="8">
        <v>2.1682137504259797</v>
      </c>
      <c r="GG2470" s="8">
        <v>0.84832596285137418</v>
      </c>
      <c r="GH2470" s="8">
        <v>0.64441312055873701</v>
      </c>
      <c r="GI2470" s="8">
        <v>4.7475882008489272</v>
      </c>
    </row>
    <row r="2471" spans="182:191">
      <c r="FZ2471" s="8">
        <v>0.82444598466225738</v>
      </c>
      <c r="GA2471" s="8">
        <v>10.653592073972915</v>
      </c>
      <c r="GB2471" s="8">
        <v>2.779268685272033</v>
      </c>
      <c r="GC2471" s="8">
        <v>0.53352074626884349</v>
      </c>
      <c r="GD2471" s="8">
        <v>0.7064819483871505</v>
      </c>
      <c r="GE2471" s="8">
        <v>1.4858910607106184</v>
      </c>
      <c r="GF2471" s="8">
        <v>3.6635757604547052</v>
      </c>
      <c r="GG2471" s="8">
        <v>2.5027439088398373</v>
      </c>
      <c r="GH2471" s="8">
        <v>0.17282465026292085</v>
      </c>
      <c r="GI2471" s="8">
        <v>4.008662426701858</v>
      </c>
    </row>
    <row r="2472" spans="182:191">
      <c r="FZ2472" s="8">
        <v>3.0160603205846201</v>
      </c>
      <c r="GA2472" s="8">
        <v>9.0155068959883913</v>
      </c>
      <c r="GB2472" s="8">
        <v>2.7356342389508805</v>
      </c>
      <c r="GC2472" s="8">
        <v>0.4799345714117873</v>
      </c>
      <c r="GD2472" s="8">
        <v>0.94307107661244693</v>
      </c>
      <c r="GE2472" s="8">
        <v>1.5573648876073893</v>
      </c>
      <c r="GF2472" s="8">
        <v>1.4190790816838581</v>
      </c>
      <c r="GG2472" s="8">
        <v>1.1168647198033732</v>
      </c>
      <c r="GH2472" s="8">
        <v>0.40861888541082891</v>
      </c>
      <c r="GI2472" s="8">
        <v>3.5576893523960478</v>
      </c>
    </row>
    <row r="2473" spans="182:191">
      <c r="FZ2473" s="8">
        <v>3.5428993474297403</v>
      </c>
      <c r="GA2473" s="8">
        <v>9.1636149328703951</v>
      </c>
      <c r="GB2473" s="8">
        <v>2.8601191995500499</v>
      </c>
      <c r="GC2473" s="8">
        <v>0.49937442707089663</v>
      </c>
      <c r="GD2473" s="8">
        <v>0.67975012402692248</v>
      </c>
      <c r="GE2473" s="8">
        <v>1.9655148134615479</v>
      </c>
      <c r="GF2473" s="8">
        <v>2.9719497424798922</v>
      </c>
      <c r="GG2473" s="8">
        <v>1.3641019447390237</v>
      </c>
      <c r="GH2473" s="8">
        <v>0.40861888541082891</v>
      </c>
      <c r="GI2473" s="8">
        <v>3.2337086342257275</v>
      </c>
    </row>
    <row r="2474" spans="182:191">
      <c r="FZ2474" s="8">
        <v>7.8645878429798852</v>
      </c>
      <c r="GA2474" s="8">
        <v>22.847439373957339</v>
      </c>
      <c r="GB2474" s="8">
        <v>7.6349478930907342</v>
      </c>
      <c r="GC2474" s="8">
        <v>0.37929271799084335</v>
      </c>
      <c r="GD2474" s="8">
        <v>0.38673786658676013</v>
      </c>
      <c r="GE2474" s="8">
        <v>0.7525388357285252</v>
      </c>
      <c r="GF2474" s="8">
        <v>2.6658539152940435</v>
      </c>
      <c r="GG2474" s="8">
        <v>2.2342051518878385</v>
      </c>
      <c r="GH2474" s="8">
        <v>0.58144353567374973</v>
      </c>
      <c r="GI2474" s="8">
        <v>5.3578942546381407</v>
      </c>
    </row>
    <row r="2475" spans="182:191">
      <c r="FZ2475" s="8">
        <v>6.9409831362565262</v>
      </c>
      <c r="GA2475" s="8">
        <v>1.7716716865660598</v>
      </c>
      <c r="GB2475" s="8">
        <v>0.68141086617895086</v>
      </c>
      <c r="GC2475" s="8">
        <v>0.38363384520268917</v>
      </c>
      <c r="GD2475" s="8">
        <v>0.77309810129562284</v>
      </c>
      <c r="GE2475" s="8">
        <v>2.1075628779114646</v>
      </c>
      <c r="GF2475" s="8">
        <v>3.2576881392827466</v>
      </c>
      <c r="GG2475" s="8">
        <v>1.6816506381202889</v>
      </c>
      <c r="GH2475" s="8">
        <v>0</v>
      </c>
      <c r="GI2475" s="8">
        <v>3.4955819271463415</v>
      </c>
    </row>
    <row r="2476" spans="182:191">
      <c r="FZ2476" s="8">
        <v>6.5136832075113933</v>
      </c>
      <c r="GA2476" s="8">
        <v>9.0381727096944218</v>
      </c>
      <c r="GB2476" s="8">
        <v>3.2264764915791604</v>
      </c>
      <c r="GC2476" s="8">
        <v>0.92693414049201761</v>
      </c>
      <c r="GD2476" s="8">
        <v>0.99393710570583638</v>
      </c>
      <c r="GE2476" s="8">
        <v>1.599334031329281</v>
      </c>
      <c r="GF2476" s="8">
        <v>5.981600279805237</v>
      </c>
      <c r="GG2476" s="8">
        <v>4.3826218354665114</v>
      </c>
      <c r="GH2476" s="8">
        <v>0</v>
      </c>
      <c r="GI2476" s="8">
        <v>4.5301375081656055</v>
      </c>
    </row>
    <row r="2477" spans="182:191">
      <c r="FZ2477" s="8">
        <v>3.8827145604593918</v>
      </c>
      <c r="GA2477" s="8">
        <v>20.625246884454871</v>
      </c>
      <c r="GB2477" s="8">
        <v>8.1686312810455259</v>
      </c>
      <c r="GC2477" s="8">
        <v>0.66604004967792751</v>
      </c>
      <c r="GD2477" s="8">
        <v>0.60207461897530212</v>
      </c>
      <c r="GE2477" s="8">
        <v>1.3704180910827666</v>
      </c>
      <c r="GF2477" s="8">
        <v>6.9475323904984529</v>
      </c>
      <c r="GG2477" s="8">
        <v>5.1338793500215374</v>
      </c>
      <c r="GH2477" s="8">
        <v>0</v>
      </c>
      <c r="GI2477" s="8">
        <v>6.1432547430602575</v>
      </c>
    </row>
    <row r="2478" spans="182:191">
      <c r="FZ2478" s="8">
        <v>3.1159797947234926</v>
      </c>
      <c r="GA2478" s="8">
        <v>13.20249353903894</v>
      </c>
      <c r="GB2478" s="8">
        <v>4.7940219291698227</v>
      </c>
      <c r="GC2478" s="8">
        <v>1.2659768300412837</v>
      </c>
      <c r="GD2478" s="8">
        <v>1.560646948667499</v>
      </c>
      <c r="GE2478" s="8">
        <v>1.7656553533415273</v>
      </c>
      <c r="GF2478" s="8">
        <v>5.453737942430493</v>
      </c>
      <c r="GG2478" s="8">
        <v>5.2404936380659599</v>
      </c>
      <c r="GH2478" s="8">
        <v>0.64441312055873701</v>
      </c>
      <c r="GI2478" s="8">
        <v>6.169066953569593</v>
      </c>
    </row>
    <row r="2479" spans="182:191">
      <c r="FZ2479" s="8">
        <v>9.2321365702788754</v>
      </c>
      <c r="GA2479" s="8">
        <v>14.658145555809188</v>
      </c>
      <c r="GB2479" s="8">
        <v>4.963149110248918</v>
      </c>
      <c r="GC2479" s="8">
        <v>0.29654675964512323</v>
      </c>
      <c r="GD2479" s="8">
        <v>0.63946907048659418</v>
      </c>
      <c r="GE2479" s="8">
        <v>1.7218931680142182</v>
      </c>
      <c r="GF2479" s="8">
        <v>3.4653346034955992</v>
      </c>
      <c r="GG2479" s="8">
        <v>2.3040409080523605</v>
      </c>
      <c r="GH2479" s="8">
        <v>0.23579423514790807</v>
      </c>
      <c r="GI2479" s="8">
        <v>5.2061608712907415</v>
      </c>
    </row>
    <row r="2480" spans="182:191">
      <c r="FZ2480" s="8">
        <v>1.3671683512601061</v>
      </c>
      <c r="GA2480" s="8">
        <v>14.931378618555122</v>
      </c>
      <c r="GB2480" s="8">
        <v>5.6004109766580115</v>
      </c>
      <c r="GC2480" s="8">
        <v>0.77919899755638655</v>
      </c>
      <c r="GD2480" s="8">
        <v>0.87631598210966022</v>
      </c>
      <c r="GE2480" s="8">
        <v>1.8994364926789531</v>
      </c>
      <c r="GF2480" s="8">
        <v>5.307058038930756</v>
      </c>
      <c r="GG2480" s="8">
        <v>3.3025356475430381</v>
      </c>
      <c r="GH2480" s="8">
        <v>0.75426818593667067</v>
      </c>
      <c r="GI2480" s="8">
        <v>4.9155908965483492</v>
      </c>
    </row>
    <row r="2481" spans="182:191">
      <c r="FZ2481" s="8">
        <v>3.5432797234686255</v>
      </c>
      <c r="GA2481" s="8">
        <v>8.263189237933128</v>
      </c>
      <c r="GB2481" s="8">
        <v>3.2903119476882265</v>
      </c>
      <c r="GC2481" s="8">
        <v>0.62626178627326068</v>
      </c>
      <c r="GD2481" s="8">
        <v>1.0651280627704907</v>
      </c>
      <c r="GE2481" s="8">
        <v>2.643016396885812</v>
      </c>
      <c r="GF2481" s="8">
        <v>3.6687311329879897</v>
      </c>
      <c r="GG2481" s="8">
        <v>1.7397307020165371</v>
      </c>
      <c r="GH2481" s="8">
        <v>0.23579423514790807</v>
      </c>
      <c r="GI2481" s="8">
        <v>3.9333997174512065</v>
      </c>
    </row>
    <row r="2482" spans="182:191">
      <c r="FZ2482" s="8">
        <v>3.8827145604593918</v>
      </c>
      <c r="GA2482" s="8">
        <v>13.977477010800234</v>
      </c>
      <c r="GB2482" s="8">
        <v>4.7253438800702661</v>
      </c>
      <c r="GC2482" s="8">
        <v>1.0249148597947291</v>
      </c>
      <c r="GD2482" s="8">
        <v>0.80200075240110769</v>
      </c>
      <c r="GE2482" s="8">
        <v>0.64637884323626749</v>
      </c>
      <c r="GF2482" s="8">
        <v>3.694790980389882</v>
      </c>
      <c r="GG2482" s="8">
        <v>3.3025356475430381</v>
      </c>
      <c r="GH2482" s="8">
        <v>0.58144353567374973</v>
      </c>
      <c r="GI2482" s="8">
        <v>4.8281313745884109</v>
      </c>
    </row>
    <row r="2483" spans="182:191">
      <c r="FZ2483" s="8">
        <v>3.6006105663560986</v>
      </c>
      <c r="GA2483" s="8">
        <v>11.533598261942824</v>
      </c>
      <c r="GB2483" s="8">
        <v>3.2740723812584762</v>
      </c>
      <c r="GC2483" s="8">
        <v>0.75696197526931686</v>
      </c>
      <c r="GD2483" s="8">
        <v>1.3920462526572637</v>
      </c>
      <c r="GE2483" s="8">
        <v>2.8920331432494182</v>
      </c>
      <c r="GF2483" s="8">
        <v>7.0926447320374235</v>
      </c>
      <c r="GG2483" s="8">
        <v>5.1338793500215374</v>
      </c>
      <c r="GH2483" s="8">
        <v>0.17282465026292085</v>
      </c>
      <c r="GI2483" s="8">
        <v>5.0911242743705207</v>
      </c>
    </row>
    <row r="2484" spans="182:191">
      <c r="FZ2484" s="8">
        <v>10.495556490031888</v>
      </c>
      <c r="GA2484" s="8">
        <v>16.954233465096639</v>
      </c>
      <c r="GB2484" s="8">
        <v>5.0840899647429065</v>
      </c>
      <c r="GC2484" s="8">
        <v>0.39744175665507842</v>
      </c>
      <c r="GD2484" s="8">
        <v>0.44673946822598282</v>
      </c>
      <c r="GE2484" s="8">
        <v>1.4246509485998333</v>
      </c>
      <c r="GF2484" s="8">
        <v>6.8164231841459717</v>
      </c>
      <c r="GG2484" s="8">
        <v>5.2522493303342337</v>
      </c>
      <c r="GH2484" s="8">
        <v>0.23579423514790807</v>
      </c>
      <c r="GI2484" s="8">
        <v>4.7552983113030969</v>
      </c>
    </row>
    <row r="2485" spans="182:191">
      <c r="FZ2485" s="8">
        <v>9.7167673419114831</v>
      </c>
      <c r="GA2485" s="8">
        <v>11.280784706164249</v>
      </c>
      <c r="GB2485" s="8">
        <v>1.4512714988117899</v>
      </c>
      <c r="GC2485" s="8">
        <v>0.76194851097859984</v>
      </c>
      <c r="GD2485" s="8">
        <v>1.0091970657973521</v>
      </c>
      <c r="GE2485" s="8">
        <v>1.4429555878247873</v>
      </c>
      <c r="GF2485" s="8">
        <v>4.9425664821338318</v>
      </c>
      <c r="GG2485" s="8">
        <v>4.193940386708201</v>
      </c>
      <c r="GH2485" s="8">
        <v>0.17282465026292085</v>
      </c>
      <c r="GI2485" s="8">
        <v>5.3384303099531136</v>
      </c>
    </row>
    <row r="2486" spans="182:191">
      <c r="FZ2486" s="8">
        <v>4.3673453320919977</v>
      </c>
      <c r="GA2486" s="8">
        <v>10.137936047592643</v>
      </c>
      <c r="GB2486" s="8">
        <v>2.8763587659798007</v>
      </c>
      <c r="GC2486" s="8">
        <v>0.67511456901004518</v>
      </c>
      <c r="GD2486" s="8">
        <v>0.64783315252094376</v>
      </c>
      <c r="GE2486" s="8">
        <v>1.3050425485744763</v>
      </c>
      <c r="GF2486" s="8">
        <v>3.8603499549058813</v>
      </c>
      <c r="GG2486" s="8">
        <v>2.6311354411817005</v>
      </c>
      <c r="GH2486" s="8">
        <v>0</v>
      </c>
      <c r="GI2486" s="8">
        <v>3.7684028440688841</v>
      </c>
    </row>
    <row r="2487" spans="182:191">
      <c r="FZ2487" s="8">
        <v>5.7711218926357992E-2</v>
      </c>
      <c r="GA2487" s="8">
        <v>0.99668821480476666</v>
      </c>
      <c r="GB2487" s="8">
        <v>0.61048719785952288</v>
      </c>
      <c r="GC2487" s="8">
        <v>0.32290937650582668</v>
      </c>
      <c r="GD2487" s="8">
        <v>0.95115692861758006</v>
      </c>
      <c r="GE2487" s="8">
        <v>1.9741160366591224</v>
      </c>
      <c r="GF2487" s="8">
        <v>1.9735588110610338</v>
      </c>
      <c r="GG2487" s="8">
        <v>1.1871761882489873</v>
      </c>
      <c r="GH2487" s="8">
        <v>0.69129860105168339</v>
      </c>
      <c r="GI2487" s="8">
        <v>2.9871812494119654</v>
      </c>
    </row>
    <row r="2488" spans="182:191">
      <c r="FZ2488" s="8">
        <v>6.9406027602176419</v>
      </c>
      <c r="GA2488" s="8">
        <v>26.265639237536995</v>
      </c>
      <c r="GB2488" s="8">
        <v>8.7360044501074423</v>
      </c>
      <c r="GC2488" s="8">
        <v>0.4923721657408181</v>
      </c>
      <c r="GD2488" s="8">
        <v>0.82481983622338917</v>
      </c>
      <c r="GE2488" s="8">
        <v>1.9516182028800635</v>
      </c>
      <c r="GF2488" s="8">
        <v>5.4917902395248852</v>
      </c>
      <c r="GG2488" s="8">
        <v>4.2211730788400263</v>
      </c>
      <c r="GH2488" s="8">
        <v>0.64441312055873701</v>
      </c>
      <c r="GI2488" s="8">
        <v>6.93875203128104</v>
      </c>
    </row>
    <row r="2489" spans="182:191">
      <c r="FZ2489" s="8">
        <v>3.746186877036823</v>
      </c>
      <c r="GA2489" s="8">
        <v>5.0647465242817846</v>
      </c>
      <c r="GB2489" s="8">
        <v>0.91171054689425834</v>
      </c>
      <c r="GC2489" s="8">
        <v>0.86440947881257157</v>
      </c>
      <c r="GD2489" s="8">
        <v>1.0901361014798507</v>
      </c>
      <c r="GE2489" s="8">
        <v>2.2832916074661171</v>
      </c>
      <c r="GF2489" s="8">
        <v>4.8130040916568531</v>
      </c>
      <c r="GG2489" s="8">
        <v>2.6311354411817005</v>
      </c>
      <c r="GH2489" s="8">
        <v>0.51847395078876257</v>
      </c>
      <c r="GI2489" s="8">
        <v>3.371572291466157</v>
      </c>
    </row>
    <row r="2490" spans="182:191">
      <c r="FZ2490" s="8">
        <v>4.3375718353028745</v>
      </c>
      <c r="GA2490" s="8">
        <v>15.905699733277368</v>
      </c>
      <c r="GB2490" s="8">
        <v>5.6864514017972549</v>
      </c>
      <c r="GC2490" s="8">
        <v>0.52217735772691909</v>
      </c>
      <c r="GD2490" s="8">
        <v>0.52133964709582425</v>
      </c>
      <c r="GE2490" s="8">
        <v>1.3295919348673904</v>
      </c>
      <c r="GF2490" s="8">
        <v>5.235002706242728</v>
      </c>
      <c r="GG2490" s="8">
        <v>3.9249259174751105</v>
      </c>
      <c r="GH2490" s="8">
        <v>0.64441312055873701</v>
      </c>
      <c r="GI2490" s="8">
        <v>4.4647040275631324</v>
      </c>
    </row>
    <row r="2491" spans="182:191">
      <c r="FZ2491" s="8">
        <v>6.5136832075113933</v>
      </c>
      <c r="GA2491" s="8">
        <v>11.806831324688758</v>
      </c>
      <c r="GB2491" s="8">
        <v>4.1008653126234282</v>
      </c>
      <c r="GC2491" s="8">
        <v>0.7180822639510982</v>
      </c>
      <c r="GD2491" s="8">
        <v>1.1790193822429558</v>
      </c>
      <c r="GE2491" s="8">
        <v>2.8401064134721263</v>
      </c>
      <c r="GF2491" s="8">
        <v>7.3646343231692928</v>
      </c>
      <c r="GG2491" s="8">
        <v>5.3593393306597479</v>
      </c>
      <c r="GH2491" s="8">
        <v>0.64441312055873701</v>
      </c>
      <c r="GI2491" s="8">
        <v>5.8263332847390226</v>
      </c>
    </row>
    <row r="2492" spans="182:191">
      <c r="FZ2492" s="8">
        <v>3.5428993474297403</v>
      </c>
      <c r="GA2492" s="8">
        <v>8.9642772899094414</v>
      </c>
      <c r="GB2492" s="8">
        <v>2.4472794498935242</v>
      </c>
      <c r="GC2492" s="8">
        <v>1.2580760166247571</v>
      </c>
      <c r="GD2492" s="8">
        <v>1.3197159219619738</v>
      </c>
      <c r="GE2492" s="8">
        <v>1.8251024238468958</v>
      </c>
      <c r="GF2492" s="8">
        <v>4.4033165188018843</v>
      </c>
      <c r="GG2492" s="8">
        <v>3.1619127106518099</v>
      </c>
      <c r="GH2492" s="8">
        <v>0.70738270544372439</v>
      </c>
      <c r="GI2492" s="8">
        <v>3.775304194803494</v>
      </c>
    </row>
    <row r="2493" spans="182:191">
      <c r="FZ2493" s="8">
        <v>5.7711218926357992E-2</v>
      </c>
      <c r="GA2493" s="8">
        <v>5.6938682658997468</v>
      </c>
      <c r="GB2493" s="8">
        <v>2.7788335287636108</v>
      </c>
      <c r="GC2493" s="8">
        <v>1.0631491626155105</v>
      </c>
      <c r="GD2493" s="8">
        <v>1.161430066643633</v>
      </c>
      <c r="GE2493" s="8">
        <v>1.5563012177621389</v>
      </c>
      <c r="GF2493" s="8">
        <v>4.4618351869294184</v>
      </c>
      <c r="GG2493" s="8">
        <v>3.4426828721531746</v>
      </c>
      <c r="GH2493" s="8">
        <v>0.17282465026292085</v>
      </c>
      <c r="GI2493" s="8">
        <v>3.4410935059599925</v>
      </c>
    </row>
    <row r="2494" spans="182:191">
      <c r="FZ2494" s="8">
        <v>1.4248795701864641</v>
      </c>
      <c r="GA2494" s="8">
        <v>16.347460339872661</v>
      </c>
      <c r="GB2494" s="8">
        <v>5.2626592127679253</v>
      </c>
      <c r="GC2494" s="8">
        <v>0.39937798214738973</v>
      </c>
      <c r="GD2494" s="8">
        <v>0.23259268978540779</v>
      </c>
      <c r="GE2494" s="8">
        <v>1.0078003291600914</v>
      </c>
      <c r="GF2494" s="8">
        <v>2.6642586451377586</v>
      </c>
      <c r="GG2494" s="8">
        <v>1.5410277012290603</v>
      </c>
      <c r="GH2494" s="8">
        <v>0.64441312055873701</v>
      </c>
      <c r="GI2494" s="8">
        <v>3.3753861876503213</v>
      </c>
    </row>
    <row r="2495" spans="182:191">
      <c r="FZ2495" s="8">
        <v>12.389183492098228</v>
      </c>
      <c r="GA2495" s="8">
        <v>15.097977052977853</v>
      </c>
      <c r="GB2495" s="8">
        <v>1.4326984745244808</v>
      </c>
      <c r="GC2495" s="8">
        <v>1.1511568104996561</v>
      </c>
      <c r="GD2495" s="8">
        <v>1.4191181072199943</v>
      </c>
      <c r="GE2495" s="8">
        <v>1.9784091067991345</v>
      </c>
      <c r="GF2495" s="8">
        <v>3.0961446193130939</v>
      </c>
      <c r="GG2495" s="8">
        <v>1.8100421704621514</v>
      </c>
      <c r="GH2495" s="8">
        <v>0</v>
      </c>
      <c r="GI2495" s="8">
        <v>4.949348805277082</v>
      </c>
    </row>
    <row r="2496" spans="182:191">
      <c r="FZ2496" s="8">
        <v>9.5711910312307573</v>
      </c>
      <c r="GA2496" s="8">
        <v>9.8851224918140659</v>
      </c>
      <c r="GB2496" s="8">
        <v>0.86402681857725638</v>
      </c>
      <c r="GC2496" s="8">
        <v>0.37671108400109493</v>
      </c>
      <c r="GD2496" s="8">
        <v>0.80490661081250592</v>
      </c>
      <c r="GE2496" s="8">
        <v>3.0158351430267785</v>
      </c>
      <c r="GF2496" s="8">
        <v>7.3924953159621918</v>
      </c>
      <c r="GG2496" s="8">
        <v>4.559547591956548</v>
      </c>
      <c r="GH2496" s="8">
        <v>0.40861888541082891</v>
      </c>
      <c r="GI2496" s="8">
        <v>5.1662145921846525</v>
      </c>
    </row>
    <row r="2497" spans="182:191">
      <c r="FZ2497" s="8">
        <v>2.9492982384729149</v>
      </c>
      <c r="GA2497" s="8">
        <v>8.1892938181481494</v>
      </c>
      <c r="GB2497" s="8">
        <v>2.7927396373358029</v>
      </c>
      <c r="GC2497" s="8">
        <v>1.592857079090662</v>
      </c>
      <c r="GD2497" s="8">
        <v>1.5354367250225343</v>
      </c>
      <c r="GE2497" s="8">
        <v>1.7106927188663947</v>
      </c>
      <c r="GF2497" s="8">
        <v>5.841732513393584</v>
      </c>
      <c r="GG2497" s="8">
        <v>4.4897118357920256</v>
      </c>
      <c r="GH2497" s="8">
        <v>0.23579423514790807</v>
      </c>
      <c r="GI2497" s="8">
        <v>3.9932476798419874</v>
      </c>
    </row>
    <row r="2498" spans="182:191">
      <c r="FZ2498" s="8">
        <v>7.7352752480907752</v>
      </c>
      <c r="GA2498" s="8">
        <v>5.6916219591610737</v>
      </c>
      <c r="GB2498" s="8">
        <v>1.2408433292691003</v>
      </c>
      <c r="GC2498" s="8">
        <v>0.91872056229554933</v>
      </c>
      <c r="GD2498" s="8">
        <v>1.1099832476388674</v>
      </c>
      <c r="GE2498" s="8">
        <v>1.3389376425706783</v>
      </c>
      <c r="GF2498" s="8">
        <v>3.1829504338350234</v>
      </c>
      <c r="GG2498" s="8">
        <v>3.0552984226073874</v>
      </c>
      <c r="GH2498" s="8">
        <v>0.40861888541082891</v>
      </c>
      <c r="GI2498" s="8">
        <v>3.8522937122180032</v>
      </c>
    </row>
    <row r="2499" spans="182:191">
      <c r="FZ2499" s="8">
        <v>3.1039254123389872</v>
      </c>
      <c r="GA2499" s="8">
        <v>9.0585922166617809</v>
      </c>
      <c r="GB2499" s="8">
        <v>1.8838855434452118</v>
      </c>
      <c r="GC2499" s="8">
        <v>0.34514639879289644</v>
      </c>
      <c r="GD2499" s="8">
        <v>0.64239093318268337</v>
      </c>
      <c r="GE2499" s="8">
        <v>1.5727007671527173</v>
      </c>
      <c r="GF2499" s="8">
        <v>2.525548045046925</v>
      </c>
      <c r="GG2499" s="8">
        <v>1.4924934770808866</v>
      </c>
      <c r="GH2499" s="8">
        <v>0.40861888541082891</v>
      </c>
      <c r="GI2499" s="8">
        <v>3.1690454685543723</v>
      </c>
    </row>
    <row r="2500" spans="182:191">
      <c r="FZ2500" s="8">
        <v>3.1733106376109657</v>
      </c>
      <c r="GA2500" s="8">
        <v>9.1636149328703951</v>
      </c>
      <c r="GB2500" s="8">
        <v>2.6344770569918237</v>
      </c>
      <c r="GC2500" s="8">
        <v>0.10627379762766401</v>
      </c>
      <c r="GD2500" s="8">
        <v>0.74796182679385392</v>
      </c>
      <c r="GE2500" s="8">
        <v>2.767390128680832</v>
      </c>
      <c r="GF2500" s="8">
        <v>8.1760825209922174</v>
      </c>
      <c r="GG2500" s="8">
        <v>5.8265810883992248</v>
      </c>
      <c r="GH2500" s="8">
        <v>0</v>
      </c>
      <c r="GI2500" s="8">
        <v>4.7741053163433804</v>
      </c>
    </row>
    <row r="2501" spans="182:191">
      <c r="FZ2501" s="8">
        <v>5.7345136833521035</v>
      </c>
      <c r="GA2501" s="8">
        <v>18.222207149532174</v>
      </c>
      <c r="GB2501" s="8">
        <v>4.5532630297917818</v>
      </c>
      <c r="GC2501" s="8">
        <v>0.8616123121846111</v>
      </c>
      <c r="GD2501" s="8">
        <v>1.0028819855807667</v>
      </c>
      <c r="GE2501" s="8">
        <v>1.5858856237961818</v>
      </c>
      <c r="GF2501" s="8">
        <v>2.3685965015349386</v>
      </c>
      <c r="GG2501" s="8">
        <v>1.8948792142091335</v>
      </c>
      <c r="GH2501" s="8">
        <v>0.94317694059163226</v>
      </c>
      <c r="GI2501" s="8">
        <v>4.5162721851614265</v>
      </c>
    </row>
    <row r="2502" spans="182:191">
      <c r="FZ2502" s="8">
        <v>3.9400454033468648</v>
      </c>
      <c r="GA2502" s="8">
        <v>4.244730138731942</v>
      </c>
      <c r="GB2502" s="8">
        <v>0.25933192366534985</v>
      </c>
      <c r="GC2502" s="8">
        <v>0.2883707923994539</v>
      </c>
      <c r="GD2502" s="8">
        <v>0.7374190481229177</v>
      </c>
      <c r="GE2502" s="8">
        <v>2.1313031695850477</v>
      </c>
      <c r="GF2502" s="8">
        <v>3.7065351282937868</v>
      </c>
      <c r="GG2502" s="8">
        <v>2.4324324403942232</v>
      </c>
      <c r="GH2502" s="8">
        <v>0.40861888541082891</v>
      </c>
      <c r="GI2502" s="8">
        <v>2.5332279018801032</v>
      </c>
    </row>
    <row r="2503" spans="182:191">
      <c r="FZ2503" s="8">
        <v>1.7944682800052389</v>
      </c>
      <c r="GA2503" s="8">
        <v>13.977477010800234</v>
      </c>
      <c r="GB2503" s="8">
        <v>4.519573248684658</v>
      </c>
      <c r="GC2503" s="8">
        <v>0.79648709508497262</v>
      </c>
      <c r="GD2503" s="8">
        <v>0.96543216061951398</v>
      </c>
      <c r="GE2503" s="8">
        <v>1.8496514049419108</v>
      </c>
      <c r="GF2503" s="8">
        <v>6.1454894999292744</v>
      </c>
      <c r="GG2503" s="8">
        <v>4.7364733484465837</v>
      </c>
      <c r="GH2503" s="8">
        <v>0.64441312055873701</v>
      </c>
      <c r="GI2503" s="8">
        <v>4.6016833495484226</v>
      </c>
    </row>
    <row r="2504" spans="182:191">
      <c r="FZ2504" s="8">
        <v>2.8338758006201989</v>
      </c>
      <c r="GA2504" s="8">
        <v>4.8654088813208318</v>
      </c>
      <c r="GB2504" s="8">
        <v>1.0674639921053064</v>
      </c>
      <c r="GC2504" s="8">
        <v>1.392434313384423</v>
      </c>
      <c r="GD2504" s="8">
        <v>1.1949304311089561</v>
      </c>
      <c r="GE2504" s="8">
        <v>1.1089580324789134</v>
      </c>
      <c r="GF2504" s="8">
        <v>2.1867700354179687</v>
      </c>
      <c r="GG2504" s="8">
        <v>1.3155677205908503</v>
      </c>
      <c r="GH2504" s="8">
        <v>0</v>
      </c>
      <c r="GI2504" s="8">
        <v>3.0372085042140773</v>
      </c>
    </row>
    <row r="2505" spans="182:191">
      <c r="FZ2505" s="8">
        <v>6.377155524088824</v>
      </c>
      <c r="GA2505" s="8">
        <v>2.4954255522484026</v>
      </c>
      <c r="GB2505" s="8">
        <v>0.22209803645304543</v>
      </c>
      <c r="GC2505" s="8">
        <v>0.19719572321905338</v>
      </c>
      <c r="GD2505" s="8">
        <v>0.62854702220547398</v>
      </c>
      <c r="GE2505" s="8">
        <v>2.0149094623068051</v>
      </c>
      <c r="GF2505" s="8">
        <v>7.3999765393084713</v>
      </c>
      <c r="GG2505" s="8">
        <v>5.6283537998928388</v>
      </c>
      <c r="GH2505" s="8">
        <v>0.3456493005258417</v>
      </c>
      <c r="GI2505" s="8">
        <v>3.9604598474106156</v>
      </c>
    </row>
    <row r="2506" spans="182:191">
      <c r="FZ2506" s="8">
        <v>4.9221220810743525</v>
      </c>
      <c r="GA2506" s="8">
        <v>14.082499727008848</v>
      </c>
      <c r="GB2506" s="8">
        <v>5.3574158356181343</v>
      </c>
      <c r="GC2506" s="8">
        <v>0.92844049012510399</v>
      </c>
      <c r="GD2506" s="8">
        <v>0.91272649199416667</v>
      </c>
      <c r="GE2506" s="8">
        <v>1.9677627718468236</v>
      </c>
      <c r="GF2506" s="8">
        <v>4.5910512771724736</v>
      </c>
      <c r="GG2506" s="8">
        <v>2.7282038894780474</v>
      </c>
      <c r="GH2506" s="8">
        <v>0.81723777082165783</v>
      </c>
      <c r="GI2506" s="8">
        <v>4.7180566516233364</v>
      </c>
    </row>
    <row r="2507" spans="182:191">
      <c r="FZ2507" s="8">
        <v>0.88215720358861527</v>
      </c>
      <c r="GA2507" s="8">
        <v>6.8675270235829462</v>
      </c>
      <c r="GB2507" s="8">
        <v>2.7927396373358029</v>
      </c>
      <c r="GC2507" s="8">
        <v>0.44363649408331707</v>
      </c>
      <c r="GD2507" s="8">
        <v>0.59468805977361749</v>
      </c>
      <c r="GE2507" s="8">
        <v>2.2195133788620773</v>
      </c>
      <c r="GF2507" s="8">
        <v>4.2934795298716821</v>
      </c>
      <c r="GG2507" s="8">
        <v>1.8798779266266734</v>
      </c>
      <c r="GH2507" s="8">
        <v>0</v>
      </c>
      <c r="GI2507" s="8">
        <v>2.6202158603332504</v>
      </c>
    </row>
    <row r="2508" spans="182:191">
      <c r="FZ2508" s="8">
        <v>8.4442987949003161</v>
      </c>
      <c r="GA2508" s="8">
        <v>22.59430862086672</v>
      </c>
      <c r="GB2508" s="8">
        <v>7.0865829048245477</v>
      </c>
      <c r="GC2508" s="8">
        <v>0.37455932587057161</v>
      </c>
      <c r="GD2508" s="8">
        <v>0.44978558004464764</v>
      </c>
      <c r="GE2508" s="8">
        <v>1.531974486523249</v>
      </c>
      <c r="GF2508" s="8">
        <v>2.6968516249868331</v>
      </c>
      <c r="GG2508" s="8">
        <v>1.3641019447390237</v>
      </c>
      <c r="GH2508" s="8">
        <v>0.58144353567374973</v>
      </c>
      <c r="GI2508" s="8">
        <v>5.4148802819093325</v>
      </c>
    </row>
    <row r="2509" spans="182:191">
      <c r="FZ2509" s="8">
        <v>3.3765981672180478</v>
      </c>
      <c r="GA2509" s="8">
        <v>21.947013679020074</v>
      </c>
      <c r="GB2509" s="8">
        <v>8.0639299929812882</v>
      </c>
      <c r="GC2509" s="8">
        <v>0.10627379762766401</v>
      </c>
      <c r="GD2509" s="8">
        <v>0.43771642752581919</v>
      </c>
      <c r="GE2509" s="8">
        <v>1.656518030703827</v>
      </c>
      <c r="GF2509" s="8">
        <v>1.8469021550612146</v>
      </c>
      <c r="GG2509" s="8">
        <v>0.84832596285137418</v>
      </c>
      <c r="GH2509" s="8">
        <v>0.81723777082165783</v>
      </c>
      <c r="GI2509" s="8">
        <v>5.7337514060513444</v>
      </c>
    </row>
    <row r="2510" spans="182:191">
      <c r="FZ2510" s="8">
        <v>6.9406027602176419</v>
      </c>
      <c r="GA2510" s="8">
        <v>12.507919376665072</v>
      </c>
      <c r="GB2510" s="8">
        <v>3.4497851762798284</v>
      </c>
      <c r="GC2510" s="8">
        <v>1.1011303218472808</v>
      </c>
      <c r="GD2510" s="8">
        <v>0.95193226651464014</v>
      </c>
      <c r="GE2510" s="8">
        <v>1.4817767786198803</v>
      </c>
      <c r="GF2510" s="8">
        <v>9.5508244749230968</v>
      </c>
      <c r="GG2510" s="8">
        <v>7.6366232588613761</v>
      </c>
      <c r="GH2510" s="8">
        <v>0</v>
      </c>
      <c r="GI2510" s="8">
        <v>5.9630216815733323</v>
      </c>
    </row>
    <row r="2511" spans="182:191">
      <c r="FZ2511" s="8">
        <v>5.6892372228491359</v>
      </c>
      <c r="GA2511" s="8">
        <v>15.373139225150414</v>
      </c>
      <c r="GB2511" s="8">
        <v>5.1218468471013194</v>
      </c>
      <c r="GC2511" s="8">
        <v>0.25228824770919578</v>
      </c>
      <c r="GD2511" s="8">
        <v>0.14605932479621922</v>
      </c>
      <c r="GE2511" s="8">
        <v>0.72409741720099796</v>
      </c>
      <c r="GF2511" s="8">
        <v>4.5893591837168897</v>
      </c>
      <c r="GG2511" s="8">
        <v>3.3728471159886522</v>
      </c>
      <c r="GH2511" s="8">
        <v>0</v>
      </c>
      <c r="GI2511" s="8">
        <v>4.9202390306472434</v>
      </c>
    </row>
    <row r="2512" spans="182:191">
      <c r="FZ2512" s="8">
        <v>2.6766254835938543</v>
      </c>
      <c r="GA2512" s="8">
        <v>10.211831467377623</v>
      </c>
      <c r="GB2512" s="8">
        <v>3.3101834588608448</v>
      </c>
      <c r="GC2512" s="8">
        <v>0.47060690849065867</v>
      </c>
      <c r="GD2512" s="8">
        <v>0.71933020838987316</v>
      </c>
      <c r="GE2512" s="8">
        <v>1.5245334634564376</v>
      </c>
      <c r="GF2512" s="8">
        <v>3.8957145101086832</v>
      </c>
      <c r="GG2512" s="8">
        <v>2.749981133775488</v>
      </c>
      <c r="GH2512" s="8">
        <v>0.17282465026292085</v>
      </c>
      <c r="GI2512" s="8">
        <v>3.7340576046349634</v>
      </c>
    </row>
    <row r="2513" spans="182:191">
      <c r="FZ2513" s="8">
        <v>6.5136832075113933</v>
      </c>
      <c r="GA2513" s="8">
        <v>18.055925912421486</v>
      </c>
      <c r="GB2513" s="8">
        <v>7.4290894230674391</v>
      </c>
      <c r="GC2513" s="8">
        <v>0.37150901565359989</v>
      </c>
      <c r="GD2513" s="8">
        <v>1.0150018777011836</v>
      </c>
      <c r="GE2513" s="8">
        <v>1.9445316306250797</v>
      </c>
      <c r="GF2513" s="8">
        <v>0.41250410473809584</v>
      </c>
      <c r="GG2513" s="8">
        <v>0</v>
      </c>
      <c r="GH2513" s="8">
        <v>0.3456493005258417</v>
      </c>
      <c r="GI2513" s="8">
        <v>5.1731516972881559</v>
      </c>
    </row>
    <row r="2514" spans="182:191">
      <c r="FZ2514" s="8">
        <v>1.6488919693245148</v>
      </c>
      <c r="GA2514" s="8">
        <v>10.211831467377623</v>
      </c>
      <c r="GB2514" s="8">
        <v>3.3252123770429729</v>
      </c>
      <c r="GC2514" s="8">
        <v>0.77012447822426899</v>
      </c>
      <c r="GD2514" s="8">
        <v>1.0093104954833594</v>
      </c>
      <c r="GE2514" s="8">
        <v>1.3528342531521624</v>
      </c>
      <c r="GF2514" s="8">
        <v>2.0459353367949769</v>
      </c>
      <c r="GG2514" s="8">
        <v>1.4344134131846378</v>
      </c>
      <c r="GH2514" s="8">
        <v>0</v>
      </c>
      <c r="GI2514" s="8">
        <v>3.6519273909344694</v>
      </c>
    </row>
    <row r="2515" spans="182:191">
      <c r="FZ2515" s="8">
        <v>1.4248795701864641</v>
      </c>
      <c r="GA2515" s="8">
        <v>20.625246884454871</v>
      </c>
      <c r="GB2515" s="8">
        <v>8.1860814957228989</v>
      </c>
      <c r="GC2515" s="8">
        <v>0.41946324630393605</v>
      </c>
      <c r="GD2515" s="8">
        <v>1.0636822739429146</v>
      </c>
      <c r="GE2515" s="8">
        <v>2.7257548778461245</v>
      </c>
      <c r="GF2515" s="8">
        <v>2.0968275039961481</v>
      </c>
      <c r="GG2515" s="8">
        <v>0.67140020636133779</v>
      </c>
      <c r="GH2515" s="8">
        <v>0.40861888541082891</v>
      </c>
      <c r="GI2515" s="8">
        <v>4.9560921816249035</v>
      </c>
    </row>
    <row r="2516" spans="182:191">
      <c r="FZ2516" s="8">
        <v>5.6888568468102516</v>
      </c>
      <c r="GA2516" s="8">
        <v>25.490655765775703</v>
      </c>
      <c r="GB2516" s="8">
        <v>8.7360922887451284</v>
      </c>
      <c r="GC2516" s="8">
        <v>0.37301536528668622</v>
      </c>
      <c r="GD2516" s="8">
        <v>0.87532674200008931</v>
      </c>
      <c r="GE2516" s="8">
        <v>2.2324281423361767</v>
      </c>
      <c r="GF2516" s="8">
        <v>7.5915061586323302</v>
      </c>
      <c r="GG2516" s="8">
        <v>5.8265810883992248</v>
      </c>
      <c r="GH2516" s="8">
        <v>0.3456493005258417</v>
      </c>
      <c r="GI2516" s="8">
        <v>7.2608107009082534</v>
      </c>
    </row>
    <row r="2517" spans="182:191">
      <c r="FZ2517" s="8">
        <v>8.2621142749358949</v>
      </c>
      <c r="GA2517" s="8">
        <v>14.658145555809188</v>
      </c>
      <c r="GB2517" s="8">
        <v>5.0329499689584098</v>
      </c>
      <c r="GC2517" s="8">
        <v>0.61245387482087144</v>
      </c>
      <c r="GD2517" s="8">
        <v>0.97207555376169574</v>
      </c>
      <c r="GE2517" s="8">
        <v>2.1744936228946972</v>
      </c>
      <c r="GF2517" s="8">
        <v>4.4931594588000179</v>
      </c>
      <c r="GG2517" s="8">
        <v>2.8783726661173508</v>
      </c>
      <c r="GH2517" s="8">
        <v>0.17282465026292085</v>
      </c>
      <c r="GI2517" s="8">
        <v>5.0575981807450683</v>
      </c>
    </row>
    <row r="2518" spans="182:191">
      <c r="FZ2518" s="8">
        <v>2.7761645816938412</v>
      </c>
      <c r="GA2518" s="8">
        <v>2.2960879092874493</v>
      </c>
      <c r="GB2518" s="8">
        <v>0.26175322016059466</v>
      </c>
      <c r="GC2518" s="8">
        <v>0.71094397011129196</v>
      </c>
      <c r="GD2518" s="8">
        <v>0.83964127003326339</v>
      </c>
      <c r="GE2518" s="8">
        <v>1.1100217023241639</v>
      </c>
      <c r="GF2518" s="8">
        <v>4.16288567971473</v>
      </c>
      <c r="GG2518" s="8">
        <v>3.5710744044950373</v>
      </c>
      <c r="GH2518" s="8">
        <v>0</v>
      </c>
      <c r="GI2518" s="8">
        <v>2.8074391819955071</v>
      </c>
    </row>
    <row r="2519" spans="182:191">
      <c r="FZ2519" s="8">
        <v>6.0739485203428707</v>
      </c>
      <c r="GA2519" s="8">
        <v>16.627207292221037</v>
      </c>
      <c r="GB2519" s="8">
        <v>3.8299607382434449</v>
      </c>
      <c r="GC2519" s="8">
        <v>0.28209343969529682</v>
      </c>
      <c r="GD2519" s="8">
        <v>0.50136064277102665</v>
      </c>
      <c r="GE2519" s="8">
        <v>1.5013820450938578</v>
      </c>
      <c r="GF2519" s="8">
        <v>1.7017898135222436</v>
      </c>
      <c r="GG2519" s="8">
        <v>0.67140020636133779</v>
      </c>
      <c r="GH2519" s="8">
        <v>0.23579423514790807</v>
      </c>
      <c r="GI2519" s="8">
        <v>3.6544939971948818</v>
      </c>
    </row>
    <row r="2520" spans="182:191">
      <c r="FZ2520" s="8">
        <v>7.8645878429798852</v>
      </c>
      <c r="GA2520" s="8">
        <v>16.954233465096639</v>
      </c>
      <c r="GB2520" s="8">
        <v>4.9107984662167983</v>
      </c>
      <c r="GC2520" s="8">
        <v>0.45220163742772523</v>
      </c>
      <c r="GD2520" s="8">
        <v>0.81400214955865691</v>
      </c>
      <c r="GE2520" s="8">
        <v>1.537009101066479</v>
      </c>
      <c r="GF2520" s="8">
        <v>3.785656927585404</v>
      </c>
      <c r="GG2520" s="8">
        <v>3.3505941594101207</v>
      </c>
      <c r="GH2520" s="8">
        <v>0.70738270544372439</v>
      </c>
      <c r="GI2520" s="8">
        <v>4.7856028022579604</v>
      </c>
    </row>
    <row r="2521" spans="182:191">
      <c r="FZ2521" s="8">
        <v>10.098030058075878</v>
      </c>
      <c r="GA2521" s="8">
        <v>19.25032137438409</v>
      </c>
      <c r="GB2521" s="8">
        <v>5.0329499689584098</v>
      </c>
      <c r="GC2521" s="8">
        <v>0.64225906680697231</v>
      </c>
      <c r="GD2521" s="8">
        <v>0.43565955581672527</v>
      </c>
      <c r="GE2521" s="8">
        <v>0.97730776331660785</v>
      </c>
      <c r="GF2521" s="8">
        <v>4.0879132156907376</v>
      </c>
      <c r="GG2521" s="8">
        <v>2.5027439088398373</v>
      </c>
      <c r="GH2521" s="8">
        <v>0.17282465026292085</v>
      </c>
      <c r="GI2521" s="8">
        <v>4.5897007479518521</v>
      </c>
    </row>
    <row r="2522" spans="182:191">
      <c r="FZ2522" s="8">
        <v>2.7761645816938412</v>
      </c>
      <c r="GA2522" s="8">
        <v>12.929260476293006</v>
      </c>
      <c r="GB2522" s="8">
        <v>3.983468564234621</v>
      </c>
      <c r="GC2522" s="8">
        <v>0.28772538390201685</v>
      </c>
      <c r="GD2522" s="8">
        <v>0.21085295483955535</v>
      </c>
      <c r="GE2522" s="8">
        <v>0.43074723002122617</v>
      </c>
      <c r="GF2522" s="8">
        <v>1.718006249834924</v>
      </c>
      <c r="GG2522" s="8">
        <v>1.4924934770808866</v>
      </c>
      <c r="GH2522" s="8">
        <v>0.23579423514790807</v>
      </c>
      <c r="GI2522" s="8">
        <v>2.5999544224188891</v>
      </c>
    </row>
    <row r="2523" spans="182:191">
      <c r="FZ2523" s="8">
        <v>8.9798060729647062</v>
      </c>
      <c r="GA2523" s="8">
        <v>16.125774080517726</v>
      </c>
      <c r="GB2523" s="8">
        <v>3.2205110889787347</v>
      </c>
      <c r="GC2523" s="8">
        <v>0.52996106006416244</v>
      </c>
      <c r="GD2523" s="8">
        <v>0.39513079049404198</v>
      </c>
      <c r="GE2523" s="8">
        <v>0.74338953389665796</v>
      </c>
      <c r="GF2523" s="8">
        <v>4.8078487191235686</v>
      </c>
      <c r="GG2523" s="8">
        <v>3.7480001609850739</v>
      </c>
      <c r="GH2523" s="8">
        <v>0.23579423514790807</v>
      </c>
      <c r="GI2523" s="8">
        <v>4.4285732425471176</v>
      </c>
    </row>
    <row r="2524" spans="182:191">
      <c r="FZ2524" s="8">
        <v>6.6007875471879895</v>
      </c>
      <c r="GA2524" s="8">
        <v>8.9108013770918202</v>
      </c>
      <c r="GB2524" s="8">
        <v>0.96993875488911663</v>
      </c>
      <c r="GC2524" s="8">
        <v>0.24235278724142909</v>
      </c>
      <c r="GD2524" s="8">
        <v>0.43771642752581919</v>
      </c>
      <c r="GE2524" s="8">
        <v>1.2601226681930042</v>
      </c>
      <c r="GF2524" s="8">
        <v>6.315869664095481</v>
      </c>
      <c r="GG2524" s="8">
        <v>5.5580423314472247</v>
      </c>
      <c r="GH2524" s="8">
        <v>0.23579423514790807</v>
      </c>
      <c r="GI2524" s="8">
        <v>3.6814862476762946</v>
      </c>
    </row>
    <row r="2525" spans="182:191">
      <c r="FZ2525" s="8">
        <v>1.482590789112822</v>
      </c>
      <c r="GA2525" s="8">
        <v>9.2375103526553755</v>
      </c>
      <c r="GB2525" s="8">
        <v>3.3962238840000873</v>
      </c>
      <c r="GC2525" s="8">
        <v>1.067237146238345</v>
      </c>
      <c r="GD2525" s="8">
        <v>0.98299118324869528</v>
      </c>
      <c r="GE2525" s="8">
        <v>1.4022440147429667</v>
      </c>
      <c r="GF2525" s="8">
        <v>1.5556871926791613</v>
      </c>
      <c r="GG2525" s="8">
        <v>0.24723722493565062</v>
      </c>
      <c r="GH2525" s="8">
        <v>0.51847395078876257</v>
      </c>
      <c r="GI2525" s="8">
        <v>2.8001215315472514</v>
      </c>
    </row>
    <row r="2526" spans="182:191">
      <c r="FZ2526" s="8">
        <v>16.329609271483978</v>
      </c>
      <c r="GA2526" s="8">
        <v>22.720068041354736</v>
      </c>
      <c r="GB2526" s="8">
        <v>4.9957160817461048</v>
      </c>
      <c r="GC2526" s="8">
        <v>0.58738207495504213</v>
      </c>
      <c r="GD2526" s="8">
        <v>0.5736914988164723</v>
      </c>
      <c r="GE2526" s="8">
        <v>0.35228417155078251</v>
      </c>
      <c r="GF2526" s="8">
        <v>4.4433795013902664</v>
      </c>
      <c r="GG2526" s="8">
        <v>4.3123103670208973</v>
      </c>
      <c r="GH2526" s="8">
        <v>0.23579423514790807</v>
      </c>
      <c r="GI2526" s="8">
        <v>5.5295681470169011</v>
      </c>
    </row>
    <row r="2527" spans="182:191">
      <c r="FZ2527" s="8">
        <v>3.1736910136498504</v>
      </c>
      <c r="GA2527" s="8">
        <v>2.7686586149943353</v>
      </c>
      <c r="GB2527" s="8">
        <v>1.0326514013882468</v>
      </c>
      <c r="GC2527" s="8">
        <v>0.48122538840666151</v>
      </c>
      <c r="GD2527" s="8">
        <v>0.46127625321252025</v>
      </c>
      <c r="GE2527" s="8">
        <v>1.1743335749872037</v>
      </c>
      <c r="GF2527" s="8">
        <v>4.9973873910095508</v>
      </c>
      <c r="GG2527" s="8">
        <v>3.9249259174751105</v>
      </c>
      <c r="GH2527" s="8">
        <v>0.47158847029581613</v>
      </c>
      <c r="GI2527" s="8">
        <v>3.6440226318989968</v>
      </c>
    </row>
    <row r="2528" spans="182:191">
      <c r="FZ2528" s="8">
        <v>6.9409831362565262</v>
      </c>
      <c r="GA2528" s="8">
        <v>3.5436420867556286</v>
      </c>
      <c r="GB2528" s="8">
        <v>0.82800357961257443</v>
      </c>
      <c r="GC2528" s="8">
        <v>0.2159901703807256</v>
      </c>
      <c r="GD2528" s="8">
        <v>0.58497214506412587</v>
      </c>
      <c r="GE2528" s="8">
        <v>1.9966375536495446</v>
      </c>
      <c r="GF2528" s="8">
        <v>3.256227028249894</v>
      </c>
      <c r="GG2528" s="8">
        <v>1.7397307020165371</v>
      </c>
      <c r="GH2528" s="8">
        <v>0.40861888541082891</v>
      </c>
      <c r="GI2528" s="8">
        <v>4.0499904413530965</v>
      </c>
    </row>
    <row r="2529" spans="182:191">
      <c r="FZ2529" s="8">
        <v>8.747125422607386</v>
      </c>
      <c r="GA2529" s="8">
        <v>17.227466527842569</v>
      </c>
      <c r="GB2529" s="8">
        <v>5.651550972442509</v>
      </c>
      <c r="GC2529" s="8">
        <v>1.1518022189970929</v>
      </c>
      <c r="GD2529" s="8">
        <v>1.3324423570372037</v>
      </c>
      <c r="GE2529" s="8">
        <v>1.809511563877749</v>
      </c>
      <c r="GF2529" s="8">
        <v>2.5003694250137212</v>
      </c>
      <c r="GG2529" s="8">
        <v>1.3641019447390237</v>
      </c>
      <c r="GH2529" s="8">
        <v>0.75426818593667067</v>
      </c>
      <c r="GI2529" s="8">
        <v>4.9630953931367872</v>
      </c>
    </row>
    <row r="2530" spans="182:191">
      <c r="FZ2530" s="8">
        <v>0.60043358552420678</v>
      </c>
      <c r="GA2530" s="8">
        <v>13.003155896077988</v>
      </c>
      <c r="GB2530" s="8">
        <v>4.4834621710822891</v>
      </c>
      <c r="GC2530" s="8">
        <v>0.56256341867822401</v>
      </c>
      <c r="GD2530" s="8">
        <v>0.39682906423660252</v>
      </c>
      <c r="GE2530" s="8">
        <v>0.51986306420309958</v>
      </c>
      <c r="GF2530" s="8">
        <v>3.7125775796708376</v>
      </c>
      <c r="GG2530" s="8">
        <v>2.8783726661173508</v>
      </c>
      <c r="GH2530" s="8">
        <v>0.3456493005258417</v>
      </c>
      <c r="GI2530" s="8">
        <v>3.2098016607865585</v>
      </c>
    </row>
    <row r="2531" spans="182:191">
      <c r="FZ2531" s="8">
        <v>11.465198409335983</v>
      </c>
      <c r="GA2531" s="8">
        <v>29.704575805396047</v>
      </c>
      <c r="GB2531" s="8">
        <v>7.2435376207251831</v>
      </c>
      <c r="GC2531" s="8">
        <v>1.2595823662578431</v>
      </c>
      <c r="GD2531" s="8">
        <v>1.1501494203959794</v>
      </c>
      <c r="GE2531" s="8">
        <v>0.89958918935187759</v>
      </c>
      <c r="GF2531" s="8">
        <v>4.5579233701886341</v>
      </c>
      <c r="GG2531" s="8">
        <v>3.5710744044950373</v>
      </c>
      <c r="GH2531" s="8">
        <v>0.3456493005258417</v>
      </c>
      <c r="GI2531" s="8">
        <v>6.5145703435706048</v>
      </c>
    </row>
    <row r="2532" spans="182:191">
      <c r="FZ2532" s="8">
        <v>4.8802942019007229</v>
      </c>
      <c r="GA2532" s="8">
        <v>8.2405234242270993</v>
      </c>
      <c r="GB2532" s="8">
        <v>2.9402820607265534</v>
      </c>
      <c r="GC2532" s="8">
        <v>0.72909300877552707</v>
      </c>
      <c r="GD2532" s="8">
        <v>0.99092062222290012</v>
      </c>
      <c r="GE2532" s="8">
        <v>1.6726474869250403</v>
      </c>
      <c r="GF2532" s="8">
        <v>2.5681481228149199</v>
      </c>
      <c r="GG2532" s="8">
        <v>1.7397307020165371</v>
      </c>
      <c r="GH2532" s="8">
        <v>0.75426818593667067</v>
      </c>
      <c r="GI2532" s="8">
        <v>4.9583902702351228</v>
      </c>
    </row>
    <row r="2533" spans="182:191">
      <c r="FZ2533" s="8">
        <v>1.7944682800052389</v>
      </c>
      <c r="GA2533" s="8">
        <v>17.301361947627552</v>
      </c>
      <c r="GB2533" s="8">
        <v>6.4108765029555279</v>
      </c>
      <c r="GC2533" s="8">
        <v>1.1076232071896497</v>
      </c>
      <c r="GD2533" s="8">
        <v>1.3549364578985132</v>
      </c>
      <c r="GE2533" s="8">
        <v>2.2702618556605638</v>
      </c>
      <c r="GF2533" s="8">
        <v>7.5691440704822543</v>
      </c>
      <c r="GG2533" s="8">
        <v>5.8751153125473978</v>
      </c>
      <c r="GH2533" s="8">
        <v>0.92709283619959149</v>
      </c>
      <c r="GI2533" s="8">
        <v>5.8672728997196399</v>
      </c>
    </row>
    <row r="2534" spans="182:191">
      <c r="FZ2534" s="8">
        <v>5.4644640716333157</v>
      </c>
      <c r="GA2534" s="8">
        <v>8.1358179053305282</v>
      </c>
      <c r="GB2534" s="8">
        <v>0.9140440047518168</v>
      </c>
      <c r="GC2534" s="8">
        <v>1.0296482519150005</v>
      </c>
      <c r="GD2534" s="8">
        <v>0.92012375699775695</v>
      </c>
      <c r="GE2534" s="8">
        <v>1.1558501477129757</v>
      </c>
      <c r="GF2534" s="8">
        <v>4.6893984477142761</v>
      </c>
      <c r="GG2534" s="8">
        <v>3.4912170963013489</v>
      </c>
      <c r="GH2534" s="8">
        <v>0.58144353567374973</v>
      </c>
      <c r="GI2534" s="8">
        <v>3.8994577592704545</v>
      </c>
    </row>
    <row r="2535" spans="182:191">
      <c r="FZ2535" s="8">
        <v>12.484263672386053</v>
      </c>
      <c r="GA2535" s="8">
        <v>13.681578134348269</v>
      </c>
      <c r="GB2535" s="8">
        <v>3.4450304219270249</v>
      </c>
      <c r="GC2535" s="8">
        <v>1.0393681797445553</v>
      </c>
      <c r="GD2535" s="8">
        <v>1.3180224292812475</v>
      </c>
      <c r="GE2535" s="8">
        <v>2.057508507400855</v>
      </c>
      <c r="GF2535" s="8">
        <v>2.836010717742786</v>
      </c>
      <c r="GG2535" s="8">
        <v>1.9651906826547476</v>
      </c>
      <c r="GH2535" s="8">
        <v>0.88020735570664521</v>
      </c>
      <c r="GI2535" s="8">
        <v>5.7041236330966267</v>
      </c>
    </row>
    <row r="2536" spans="182:191">
      <c r="FZ2536" s="8">
        <v>7.5247726299502338</v>
      </c>
      <c r="GA2536" s="8">
        <v>20.666403095701629</v>
      </c>
      <c r="GB2536" s="8">
        <v>4.4533164960803466</v>
      </c>
      <c r="GC2536" s="8">
        <v>0.6005821888607934</v>
      </c>
      <c r="GD2536" s="8">
        <v>0.89158664800308185</v>
      </c>
      <c r="GE2536" s="8">
        <v>1.7258498103624489</v>
      </c>
      <c r="GF2536" s="8">
        <v>2.9440887496869941</v>
      </c>
      <c r="GG2536" s="8">
        <v>2.1638936834422244</v>
      </c>
      <c r="GH2536" s="8">
        <v>0.64441312055873701</v>
      </c>
      <c r="GI2536" s="8">
        <v>5.2670233963318438</v>
      </c>
    </row>
    <row r="2537" spans="182:191">
      <c r="FZ2537" s="8">
        <v>4.3677257081308829</v>
      </c>
      <c r="GA2537" s="8">
        <v>12.760732932443645</v>
      </c>
      <c r="GB2537" s="8">
        <v>5.1829136888444047</v>
      </c>
      <c r="GC2537" s="8">
        <v>0.55976625205026354</v>
      </c>
      <c r="GD2537" s="8">
        <v>0.58398820343734026</v>
      </c>
      <c r="GE2537" s="8">
        <v>0.97830722824613969</v>
      </c>
      <c r="GF2537" s="8">
        <v>0.82500820947619169</v>
      </c>
      <c r="GG2537" s="8">
        <v>0.1769257564900365</v>
      </c>
      <c r="GH2537" s="8">
        <v>0.40861888541082891</v>
      </c>
      <c r="GI2537" s="8">
        <v>3.7957434164081372</v>
      </c>
    </row>
    <row r="2538" spans="182:191">
      <c r="FZ2538" s="8">
        <v>11.183474791271575</v>
      </c>
      <c r="GA2538" s="8">
        <v>13.556453108484341</v>
      </c>
      <c r="GB2538" s="8">
        <v>2.5507700897101397</v>
      </c>
      <c r="GC2538" s="8">
        <v>0.38058353498571745</v>
      </c>
      <c r="GD2538" s="8">
        <v>1.0786279568753645</v>
      </c>
      <c r="GE2538" s="8">
        <v>2.7940229876594964</v>
      </c>
      <c r="GF2538" s="8">
        <v>3.0359216290938535</v>
      </c>
      <c r="GG2538" s="8">
        <v>1.4924934770808866</v>
      </c>
      <c r="GH2538" s="8">
        <v>0.23579423514790807</v>
      </c>
      <c r="GI2538" s="8">
        <v>4.9431647693579652</v>
      </c>
    </row>
    <row r="2539" spans="182:191">
      <c r="FZ2539" s="8">
        <v>4.2798606163765163</v>
      </c>
      <c r="GA2539" s="8">
        <v>7.8418481383051937</v>
      </c>
      <c r="GB2539" s="8">
        <v>2.6007872758847004</v>
      </c>
      <c r="GC2539" s="8">
        <v>0.69519983316659151</v>
      </c>
      <c r="GD2539" s="8">
        <v>0.8051751000121814</v>
      </c>
      <c r="GE2539" s="8">
        <v>0.86281914587274078</v>
      </c>
      <c r="GF2539" s="8">
        <v>0.92120793439306325</v>
      </c>
      <c r="GG2539" s="8">
        <v>0.84832596285137418</v>
      </c>
      <c r="GH2539" s="8">
        <v>0.64441312055873701</v>
      </c>
      <c r="GI2539" s="8">
        <v>2.944834636797621</v>
      </c>
    </row>
    <row r="2540" spans="182:191">
      <c r="FZ2540" s="8">
        <v>1.482590789112822</v>
      </c>
      <c r="GA2540" s="8">
        <v>17.301361947627552</v>
      </c>
      <c r="GB2540" s="8">
        <v>6.2911462967091616</v>
      </c>
      <c r="GC2540" s="8">
        <v>0.27865086456989929</v>
      </c>
      <c r="GD2540" s="8">
        <v>0.52521660954576688</v>
      </c>
      <c r="GE2540" s="8">
        <v>1.8207124182234711</v>
      </c>
      <c r="GF2540" s="8">
        <v>4.0453131379227427</v>
      </c>
      <c r="GG2540" s="8">
        <v>2.2555066839041871</v>
      </c>
      <c r="GH2540" s="8">
        <v>0.51847395078876257</v>
      </c>
      <c r="GI2540" s="8">
        <v>4.9998955247828345</v>
      </c>
    </row>
    <row r="2541" spans="182:191">
      <c r="FZ2541" s="8">
        <v>13.611536284755381</v>
      </c>
      <c r="GA2541" s="8">
        <v>11.858378128079753</v>
      </c>
      <c r="GB2541" s="8">
        <v>2.7507509957706953</v>
      </c>
      <c r="GC2541" s="8">
        <v>1.3517951088441069</v>
      </c>
      <c r="GD2541" s="8">
        <v>1.6098244527770738</v>
      </c>
      <c r="GE2541" s="8">
        <v>2.0548270535148419</v>
      </c>
      <c r="GF2541" s="8">
        <v>2.8804370480897972</v>
      </c>
      <c r="GG2541" s="8">
        <v>1.6113391696746744</v>
      </c>
      <c r="GH2541" s="8">
        <v>0.40861888541082891</v>
      </c>
      <c r="GI2541" s="8">
        <v>5.6779613962305042</v>
      </c>
    </row>
    <row r="2542" spans="182:191">
      <c r="FZ2542" s="8">
        <v>5.3490416337806002</v>
      </c>
      <c r="GA2542" s="8">
        <v>27.388068389141242</v>
      </c>
      <c r="GB2542" s="8">
        <v>8.6535081310733801</v>
      </c>
      <c r="GC2542" s="8">
        <v>0.31534120680679539</v>
      </c>
      <c r="GD2542" s="8">
        <v>0.74591137387888062</v>
      </c>
      <c r="GE2542" s="8">
        <v>1.9680173470727431</v>
      </c>
      <c r="GF2542" s="8">
        <v>3.5467729043737508</v>
      </c>
      <c r="GG2542" s="8">
        <v>2.2555066839041871</v>
      </c>
      <c r="GH2542" s="8">
        <v>0.3456493005258417</v>
      </c>
      <c r="GI2542" s="8">
        <v>6.0374559683156468</v>
      </c>
    </row>
    <row r="2543" spans="182:191">
      <c r="FZ2543" s="8">
        <v>9.8442441621487049</v>
      </c>
      <c r="GA2543" s="8">
        <v>15.979912350374391</v>
      </c>
      <c r="GB2543" s="8">
        <v>5.0491895353881606</v>
      </c>
      <c r="GC2543" s="8">
        <v>0.8609669036871741</v>
      </c>
      <c r="GD2543" s="8">
        <v>0.59505692391984777</v>
      </c>
      <c r="GE2543" s="8">
        <v>1.0938013461807583</v>
      </c>
      <c r="GF2543" s="8">
        <v>2.1828636328070443</v>
      </c>
      <c r="GG2543" s="8">
        <v>0.67140020636133779</v>
      </c>
      <c r="GH2543" s="8">
        <v>0.40861888541082891</v>
      </c>
      <c r="GI2543" s="8">
        <v>3.92160892660619</v>
      </c>
    </row>
    <row r="2544" spans="182:191">
      <c r="FZ2544" s="8">
        <v>11.407867566448511</v>
      </c>
      <c r="GA2544" s="8">
        <v>10.705138877363909</v>
      </c>
      <c r="GB2544" s="8">
        <v>1.7233867214393959</v>
      </c>
      <c r="GC2544" s="8">
        <v>0.84250510024299741</v>
      </c>
      <c r="GD2544" s="8">
        <v>0.91939871908007609</v>
      </c>
      <c r="GE2544" s="8">
        <v>1.5237247740350055</v>
      </c>
      <c r="GF2544" s="8">
        <v>2.4395119162360288</v>
      </c>
      <c r="GG2544" s="8">
        <v>1.4924934770808866</v>
      </c>
      <c r="GH2544" s="8">
        <v>0.23579423514790807</v>
      </c>
      <c r="GI2544" s="8">
        <v>4.0505626060084525</v>
      </c>
    </row>
    <row r="2545" spans="182:191">
      <c r="FZ2545" s="8">
        <v>3.5131258506406171</v>
      </c>
      <c r="GA2545" s="8">
        <v>13.77813936783928</v>
      </c>
      <c r="GB2545" s="8">
        <v>4.538146272971967</v>
      </c>
      <c r="GC2545" s="8">
        <v>0.7180822639510982</v>
      </c>
      <c r="GD2545" s="8">
        <v>0.9788407639021659</v>
      </c>
      <c r="GE2545" s="8">
        <v>1.6316989564394466</v>
      </c>
      <c r="GF2545" s="8">
        <v>1.7696904418107515</v>
      </c>
      <c r="GG2545" s="8">
        <v>0.93993896331333671</v>
      </c>
      <c r="GH2545" s="8">
        <v>0.3456493005258417</v>
      </c>
      <c r="GI2545" s="8">
        <v>4.218624388977565</v>
      </c>
    </row>
    <row r="2546" spans="182:191">
      <c r="FZ2546" s="8">
        <v>13.408629131187183</v>
      </c>
      <c r="GA2546" s="8">
        <v>14.658145555809188</v>
      </c>
      <c r="GB2546" s="8">
        <v>4.8596584704323025</v>
      </c>
      <c r="GC2546" s="8">
        <v>1.0954983776405607</v>
      </c>
      <c r="GD2546" s="8">
        <v>1.3506842125082199</v>
      </c>
      <c r="GE2546" s="8">
        <v>1.7972909066915261</v>
      </c>
      <c r="GF2546" s="8">
        <v>4.0554767340287183</v>
      </c>
      <c r="GG2546" s="8">
        <v>2.749981133775488</v>
      </c>
      <c r="GH2546" s="8">
        <v>0.69129860105168339</v>
      </c>
      <c r="GI2546" s="8">
        <v>6.2916377077096151</v>
      </c>
    </row>
    <row r="2547" spans="182:191">
      <c r="FZ2547" s="8">
        <v>9.7585952210851108</v>
      </c>
      <c r="GA2547" s="8">
        <v>17.322098651906956</v>
      </c>
      <c r="GB2547" s="8">
        <v>3.760159879533953</v>
      </c>
      <c r="GC2547" s="8">
        <v>0.90135296463847892</v>
      </c>
      <c r="GD2547" s="8">
        <v>1.1004797840446776</v>
      </c>
      <c r="GE2547" s="8">
        <v>2.1927220697451077</v>
      </c>
      <c r="GF2547" s="8">
        <v>5.578378543804428</v>
      </c>
      <c r="GG2547" s="8">
        <v>3.6196086286432112</v>
      </c>
      <c r="GH2547" s="8">
        <v>0.40861888541082891</v>
      </c>
      <c r="GI2547" s="8">
        <v>5.1945962543153321</v>
      </c>
    </row>
    <row r="2548" spans="182:191">
      <c r="FZ2548" s="8">
        <v>10.056202178902248</v>
      </c>
      <c r="GA2548" s="8">
        <v>18.347649372708148</v>
      </c>
      <c r="GB2548" s="8">
        <v>3.9961640245591905</v>
      </c>
      <c r="GC2548" s="8">
        <v>0.52217735772691909</v>
      </c>
      <c r="GD2548" s="8">
        <v>0.61193522943881618</v>
      </c>
      <c r="GE2548" s="8">
        <v>1.3540185416921882</v>
      </c>
      <c r="GF2548" s="8">
        <v>4.0600745619614624</v>
      </c>
      <c r="GG2548" s="8">
        <v>2.6215896014336257</v>
      </c>
      <c r="GH2548" s="8">
        <v>0.3456493005258417</v>
      </c>
      <c r="GI2548" s="8">
        <v>4.7125991330799533</v>
      </c>
    </row>
    <row r="2549" spans="182:191">
      <c r="FZ2549" s="8">
        <v>4.3673453320919977</v>
      </c>
      <c r="GA2549" s="8">
        <v>12.507919376665072</v>
      </c>
      <c r="GB2549" s="8">
        <v>3.3252123770429729</v>
      </c>
      <c r="GC2549" s="8">
        <v>0.95622995649040932</v>
      </c>
      <c r="GD2549" s="8">
        <v>0.83091459543334278</v>
      </c>
      <c r="GE2549" s="8">
        <v>1.8493968297159911</v>
      </c>
      <c r="GF2549" s="8">
        <v>3.698351082766882</v>
      </c>
      <c r="GG2549" s="8">
        <v>1.4924934770808866</v>
      </c>
      <c r="GH2549" s="8">
        <v>0.40861888541082891</v>
      </c>
      <c r="GI2549" s="8">
        <v>4.5297575055390693</v>
      </c>
    </row>
    <row r="2550" spans="182:191">
      <c r="FZ2550" s="8">
        <v>4.0282908711401166</v>
      </c>
      <c r="GA2550" s="8">
        <v>14.156395146793828</v>
      </c>
      <c r="GB2550" s="8">
        <v>5.856198794218181</v>
      </c>
      <c r="GC2550" s="8">
        <v>0.6707734417981992</v>
      </c>
      <c r="GD2550" s="8">
        <v>0.82469558710081348</v>
      </c>
      <c r="GE2550" s="8">
        <v>1.6758101473994869</v>
      </c>
      <c r="GF2550" s="8">
        <v>5.719685082185312</v>
      </c>
      <c r="GG2550" s="8">
        <v>4.3123103670208973</v>
      </c>
      <c r="GH2550" s="8">
        <v>0.40861888541082891</v>
      </c>
      <c r="GI2550" s="8">
        <v>5.1786687912280396</v>
      </c>
    </row>
    <row r="2551" spans="182:191">
      <c r="FZ2551" s="8">
        <v>9.3890065112663361</v>
      </c>
      <c r="GA2551" s="8">
        <v>15.151452965795478</v>
      </c>
      <c r="GB2551" s="8">
        <v>3.3613234546453414</v>
      </c>
      <c r="GC2551" s="8">
        <v>0.95816618198272052</v>
      </c>
      <c r="GD2551" s="8">
        <v>1.2211470194595186</v>
      </c>
      <c r="GE2551" s="8">
        <v>2.0140008972994656</v>
      </c>
      <c r="GF2551" s="8">
        <v>4.7267593194868489</v>
      </c>
      <c r="GG2551" s="8">
        <v>3.2444555836467894</v>
      </c>
      <c r="GH2551" s="8">
        <v>0.17282465026292085</v>
      </c>
      <c r="GI2551" s="8">
        <v>4.7209747540494131</v>
      </c>
    </row>
    <row r="2552" spans="182:191">
      <c r="FZ2552" s="8">
        <v>3.997756622273223</v>
      </c>
      <c r="GA2552" s="8">
        <v>12.507919376665072</v>
      </c>
      <c r="GB2552" s="8">
        <v>3.3613234546453414</v>
      </c>
      <c r="GC2552" s="8">
        <v>1.3546298864228663</v>
      </c>
      <c r="GD2552" s="8">
        <v>1.5273623652821027</v>
      </c>
      <c r="GE2552" s="8">
        <v>1.84321025200253</v>
      </c>
      <c r="GF2552" s="8">
        <v>3.097605730345947</v>
      </c>
      <c r="GG2552" s="8">
        <v>2.1058136195459758</v>
      </c>
      <c r="GH2552" s="8">
        <v>0.75426818593667067</v>
      </c>
      <c r="GI2552" s="8">
        <v>4.3523252210145449</v>
      </c>
    </row>
    <row r="2553" spans="182:191">
      <c r="FZ2553" s="8">
        <v>3.1155994186846074</v>
      </c>
      <c r="GA2553" s="8">
        <v>8.0103756821545531</v>
      </c>
      <c r="GB2553" s="8">
        <v>1.486171928166536</v>
      </c>
      <c r="GC2553" s="8">
        <v>0.26329899253362465</v>
      </c>
      <c r="GD2553" s="8">
        <v>0.30237841717232417</v>
      </c>
      <c r="GE2553" s="8">
        <v>0.97230547414317248</v>
      </c>
      <c r="GF2553" s="8">
        <v>4.8344884501896246</v>
      </c>
      <c r="GG2553" s="8">
        <v>3.9952373859207246</v>
      </c>
      <c r="GH2553" s="8">
        <v>0.40861888541082891</v>
      </c>
      <c r="GI2553" s="8">
        <v>3.9396131802231058</v>
      </c>
    </row>
    <row r="2554" spans="182:191">
      <c r="FZ2554" s="8">
        <v>6.4069290208779481</v>
      </c>
      <c r="GA2554" s="8">
        <v>10.68471937039655</v>
      </c>
      <c r="GB2554" s="8">
        <v>2.9624870297567298</v>
      </c>
      <c r="GC2554" s="8">
        <v>0.35985286233173402</v>
      </c>
      <c r="GD2554" s="8">
        <v>0.16100500772866927</v>
      </c>
      <c r="GE2554" s="8">
        <v>0.49017918778104796</v>
      </c>
      <c r="GF2554" s="8">
        <v>3.5867129484456743</v>
      </c>
      <c r="GG2554" s="8">
        <v>2.9269068902655246</v>
      </c>
      <c r="GH2554" s="8">
        <v>0.23579423514790807</v>
      </c>
      <c r="GI2554" s="8">
        <v>3.1804029146845543</v>
      </c>
    </row>
    <row r="2555" spans="182:191">
      <c r="FZ2555" s="8">
        <v>8.1048639579095489</v>
      </c>
      <c r="GA2555" s="8">
        <v>17.278696133921521</v>
      </c>
      <c r="GB2555" s="8">
        <v>5.9760168391022335</v>
      </c>
      <c r="GC2555" s="8">
        <v>0.60707507420316253</v>
      </c>
      <c r="GD2555" s="8">
        <v>0.76824361601301505</v>
      </c>
      <c r="GE2555" s="8">
        <v>1.9945536757658948</v>
      </c>
      <c r="GF2555" s="8">
        <v>6.1122609934925993</v>
      </c>
      <c r="GG2555" s="8">
        <v>4.0655488543663392</v>
      </c>
      <c r="GH2555" s="8">
        <v>0</v>
      </c>
      <c r="GI2555" s="8">
        <v>5.7169263896308165</v>
      </c>
    </row>
    <row r="2556" spans="182:191">
      <c r="FZ2556" s="8">
        <v>7.3799570713472793</v>
      </c>
      <c r="GA2556" s="8">
        <v>4.8654088813208318</v>
      </c>
      <c r="GB2556" s="8">
        <v>0.82800357961257443</v>
      </c>
      <c r="GC2556" s="8">
        <v>0.74225551173047943</v>
      </c>
      <c r="GD2556" s="8">
        <v>0.88931732517868589</v>
      </c>
      <c r="GE2556" s="8">
        <v>1.8822282538669428</v>
      </c>
      <c r="GF2556" s="8">
        <v>4.4225642291156921</v>
      </c>
      <c r="GG2556" s="8">
        <v>2.6796696653298739</v>
      </c>
      <c r="GH2556" s="8">
        <v>0.58144353567374973</v>
      </c>
      <c r="GI2556" s="8">
        <v>3.8570035605571693</v>
      </c>
    </row>
    <row r="2557" spans="182:191">
      <c r="FZ2557" s="8">
        <v>12.671667862240408</v>
      </c>
      <c r="GA2557" s="8">
        <v>15.026010742619505</v>
      </c>
      <c r="GB2557" s="8">
        <v>3.8636505193505686</v>
      </c>
      <c r="GC2557" s="8">
        <v>0.86939601452185444</v>
      </c>
      <c r="GD2557" s="8">
        <v>0.59407940108718271</v>
      </c>
      <c r="GE2557" s="8">
        <v>0.93555054340958244</v>
      </c>
      <c r="GF2557" s="8">
        <v>2.6629481808168833</v>
      </c>
      <c r="GG2557" s="8">
        <v>1.1871761882489873</v>
      </c>
      <c r="GH2557" s="8">
        <v>0.3456493005258417</v>
      </c>
      <c r="GI2557" s="8">
        <v>3.9621927384227131</v>
      </c>
    </row>
    <row r="2558" spans="182:191">
      <c r="FZ2558" s="8">
        <v>2.7761645816938412</v>
      </c>
      <c r="GA2558" s="8">
        <v>4.8654088813208318</v>
      </c>
      <c r="GB2558" s="8">
        <v>0.93270486767681215</v>
      </c>
      <c r="GC2558" s="8">
        <v>0.37391391737313445</v>
      </c>
      <c r="GD2558" s="8">
        <v>0.68948659900252351</v>
      </c>
      <c r="GE2558" s="8">
        <v>2.4508557925707866</v>
      </c>
      <c r="GF2558" s="8">
        <v>5.9318064358144484</v>
      </c>
      <c r="GG2558" s="8">
        <v>3.6196086286432112</v>
      </c>
      <c r="GH2558" s="8">
        <v>0.40861888541082891</v>
      </c>
      <c r="GI2558" s="8">
        <v>3.8508188580981715</v>
      </c>
    </row>
    <row r="2559" spans="182:191">
      <c r="FZ2559" s="8">
        <v>2.5732574281256437</v>
      </c>
      <c r="GA2559" s="8">
        <v>15.572476868111368</v>
      </c>
      <c r="GB2559" s="8">
        <v>5.2753546730924956</v>
      </c>
      <c r="GC2559" s="8">
        <v>0.20867514427070544</v>
      </c>
      <c r="GD2559" s="8">
        <v>0.43094051158344332</v>
      </c>
      <c r="GE2559" s="8">
        <v>1.4175647815427483</v>
      </c>
      <c r="GF2559" s="8">
        <v>2.1221176656870071</v>
      </c>
      <c r="GG2559" s="8">
        <v>1.3428004127226756</v>
      </c>
      <c r="GH2559" s="8">
        <v>0.64441312055873701</v>
      </c>
      <c r="GI2559" s="8">
        <v>3.6380928919106963</v>
      </c>
    </row>
    <row r="2560" spans="182:191">
      <c r="FZ2560" s="8">
        <v>9.5715714072696443</v>
      </c>
      <c r="GA2560" s="8">
        <v>9.3833720827987079</v>
      </c>
      <c r="GB2560" s="8">
        <v>1.5849956522680344</v>
      </c>
      <c r="GC2560" s="8">
        <v>0.586344401549179</v>
      </c>
      <c r="GD2560" s="8">
        <v>0.97106918905609851</v>
      </c>
      <c r="GE2560" s="8">
        <v>1.672583282009322</v>
      </c>
      <c r="GF2560" s="8">
        <v>4.2657077396728162</v>
      </c>
      <c r="GG2560" s="8">
        <v>3.3728471159886522</v>
      </c>
      <c r="GH2560" s="8">
        <v>0.17282465026292085</v>
      </c>
      <c r="GI2560" s="8">
        <v>4.7390697848601322</v>
      </c>
    </row>
    <row r="2561" spans="182:191">
      <c r="FZ2561" s="8">
        <v>6.6011679232268747</v>
      </c>
      <c r="GA2561" s="8">
        <v>9.1636149328703951</v>
      </c>
      <c r="GB2561" s="8">
        <v>2.6007872758847004</v>
      </c>
      <c r="GC2561" s="8">
        <v>0.54097180488859131</v>
      </c>
      <c r="GD2561" s="8">
        <v>0.93928952141214772</v>
      </c>
      <c r="GE2561" s="8">
        <v>1.4541560369726108</v>
      </c>
      <c r="GF2561" s="8">
        <v>4.3210004883064279</v>
      </c>
      <c r="GG2561" s="8">
        <v>3.9153800777270358</v>
      </c>
      <c r="GH2561" s="8">
        <v>0.64441312055873701</v>
      </c>
      <c r="GI2561" s="8">
        <v>4.7721327680572063</v>
      </c>
    </row>
    <row r="2562" spans="182:191">
      <c r="FZ2562" s="8">
        <v>0.88215720358861527</v>
      </c>
      <c r="GA2562" s="8">
        <v>9.0381727096944218</v>
      </c>
      <c r="GB2562" s="8">
        <v>3.2252658433315382</v>
      </c>
      <c r="GC2562" s="8">
        <v>0.67855714413544255</v>
      </c>
      <c r="GD2562" s="8">
        <v>1.0229191597762735</v>
      </c>
      <c r="GE2562" s="8">
        <v>1.9761671839750785</v>
      </c>
      <c r="GF2562" s="8">
        <v>6.2091412015264709</v>
      </c>
      <c r="GG2562" s="8">
        <v>4.9351763492340606</v>
      </c>
      <c r="GH2562" s="8">
        <v>0.40861888541082891</v>
      </c>
      <c r="GI2562" s="8">
        <v>4.7180500044988438</v>
      </c>
    </row>
    <row r="2563" spans="182:191">
      <c r="FZ2563" s="8">
        <v>3.1733106376109657</v>
      </c>
      <c r="GA2563" s="8">
        <v>11.334260618981871</v>
      </c>
      <c r="GB2563" s="8">
        <v>3.2252658433315382</v>
      </c>
      <c r="GC2563" s="8">
        <v>0.69649065016146572</v>
      </c>
      <c r="GD2563" s="8">
        <v>1.0708788051081091</v>
      </c>
      <c r="GE2563" s="8">
        <v>1.8780928234694381</v>
      </c>
      <c r="GF2563" s="8">
        <v>4.3034225323845803</v>
      </c>
      <c r="GG2563" s="8">
        <v>3.5492971601975971</v>
      </c>
      <c r="GH2563" s="8">
        <v>0.47158847029581613</v>
      </c>
      <c r="GI2563" s="8">
        <v>4.4101164091571974</v>
      </c>
    </row>
    <row r="2564" spans="182:191">
      <c r="FZ2564" s="8">
        <v>5.0673180157161912</v>
      </c>
      <c r="GA2564" s="8">
        <v>16.378587636296299</v>
      </c>
      <c r="GB2564" s="8">
        <v>5.2003639035217777</v>
      </c>
      <c r="GC2564" s="8">
        <v>0.5707769968746923</v>
      </c>
      <c r="GD2564" s="8">
        <v>0.90151303738051047</v>
      </c>
      <c r="GE2564" s="8">
        <v>1.7195870402744435</v>
      </c>
      <c r="GF2564" s="8">
        <v>5.7096106886733686</v>
      </c>
      <c r="GG2564" s="8">
        <v>4.5110133678083741</v>
      </c>
      <c r="GH2564" s="8">
        <v>0</v>
      </c>
      <c r="GI2564" s="8">
        <v>4.6408352544359248</v>
      </c>
    </row>
    <row r="2565" spans="182:191">
      <c r="FZ2565" s="8">
        <v>4.5245956491183428</v>
      </c>
      <c r="GA2565" s="8">
        <v>14.072109134864615</v>
      </c>
      <c r="GB2565" s="8">
        <v>2.5932817264213557</v>
      </c>
      <c r="GC2565" s="8">
        <v>0.49309707436673966</v>
      </c>
      <c r="GD2565" s="8">
        <v>0.55573331907091927</v>
      </c>
      <c r="GE2565" s="8">
        <v>0.56165301467781847</v>
      </c>
      <c r="GF2565" s="8">
        <v>0.61220637273005429</v>
      </c>
      <c r="GG2565" s="8">
        <v>0.49447444987130124</v>
      </c>
      <c r="GH2565" s="8">
        <v>0.17282465026292085</v>
      </c>
      <c r="GI2565" s="8">
        <v>3.1804935248227997</v>
      </c>
    </row>
    <row r="2566" spans="182:191">
      <c r="FZ2566" s="8">
        <v>3.94042577938575</v>
      </c>
      <c r="GA2566" s="8">
        <v>21.841990962811455</v>
      </c>
      <c r="GB2566" s="8">
        <v>7.4679691150357872</v>
      </c>
      <c r="GC2566" s="8">
        <v>0.91592339566758874</v>
      </c>
      <c r="GD2566" s="8">
        <v>0.79375848736504628</v>
      </c>
      <c r="GE2566" s="8">
        <v>0.96710677909831622</v>
      </c>
      <c r="GF2566" s="8">
        <v>3.4919743345616552</v>
      </c>
      <c r="GG2566" s="8">
        <v>2.3743523764979746</v>
      </c>
      <c r="GH2566" s="8">
        <v>0.17282465026292085</v>
      </c>
      <c r="GI2566" s="8">
        <v>4.7806851888980049</v>
      </c>
    </row>
    <row r="2567" spans="182:191">
      <c r="FZ2567" s="8">
        <v>3.4132063765017455</v>
      </c>
      <c r="GA2567" s="8">
        <v>10.189165653671592</v>
      </c>
      <c r="GB2567" s="8">
        <v>2.9601535718991707</v>
      </c>
      <c r="GC2567" s="8">
        <v>0.21254759525532804</v>
      </c>
      <c r="GD2567" s="8">
        <v>0.24766262184043339</v>
      </c>
      <c r="GE2567" s="8">
        <v>1.7351451696758966</v>
      </c>
      <c r="GF2567" s="8">
        <v>6.1446974751546204</v>
      </c>
      <c r="GG2567" s="8">
        <v>3.9952373859207246</v>
      </c>
      <c r="GH2567" s="8">
        <v>0.40861888541082891</v>
      </c>
      <c r="GI2567" s="8">
        <v>3.6407180987267207</v>
      </c>
    </row>
    <row r="2568" spans="182:191">
      <c r="FZ2568" s="8">
        <v>3.4554146317142589</v>
      </c>
      <c r="GA2568" s="8">
        <v>8.2836087449004872</v>
      </c>
      <c r="GB2568" s="8">
        <v>1.9501422960495229</v>
      </c>
      <c r="GC2568" s="8">
        <v>1.0649682770285382</v>
      </c>
      <c r="GD2568" s="8">
        <v>1.1073916663865351</v>
      </c>
      <c r="GE2568" s="8">
        <v>1.6165422701412915</v>
      </c>
      <c r="GF2568" s="8">
        <v>6.5895290096193104</v>
      </c>
      <c r="GG2568" s="8">
        <v>4.758250592744024</v>
      </c>
      <c r="GH2568" s="8">
        <v>0.3456493005258417</v>
      </c>
      <c r="GI2568" s="8">
        <v>4.4272830706833348</v>
      </c>
    </row>
    <row r="2569" spans="182:191">
      <c r="FZ2569" s="8">
        <v>11.999632900753447</v>
      </c>
      <c r="GA2569" s="8">
        <v>4.5179632014778752</v>
      </c>
      <c r="GB2569" s="8">
        <v>0.77565293558045545</v>
      </c>
      <c r="GC2569" s="8">
        <v>1.1330872719639051</v>
      </c>
      <c r="GD2569" s="8">
        <v>0.83543932462234949</v>
      </c>
      <c r="GE2569" s="8">
        <v>0.43000274551551287</v>
      </c>
      <c r="GF2569" s="8">
        <v>3.3247977508257485</v>
      </c>
      <c r="GG2569" s="8">
        <v>2.8565954218199106</v>
      </c>
      <c r="GH2569" s="8">
        <v>0.47158847029581613</v>
      </c>
      <c r="GI2569" s="8">
        <v>4.4928848389209133</v>
      </c>
    </row>
    <row r="2570" spans="182:191">
      <c r="FZ2570" s="8">
        <v>7.0401418583176287</v>
      </c>
      <c r="GA2570" s="8">
        <v>16.179249993335343</v>
      </c>
      <c r="GB2570" s="8">
        <v>5.1341071509174672</v>
      </c>
      <c r="GC2570" s="8">
        <v>0.60707507420316253</v>
      </c>
      <c r="GD2570" s="8">
        <v>0.62806659931144782</v>
      </c>
      <c r="GE2570" s="8">
        <v>0.97535608638866056</v>
      </c>
      <c r="GF2570" s="8">
        <v>2.3479992218459342</v>
      </c>
      <c r="GG2570" s="8">
        <v>1.7397307020165371</v>
      </c>
      <c r="GH2570" s="8">
        <v>0.23579423514790807</v>
      </c>
      <c r="GI2570" s="8">
        <v>3.7619925565949588</v>
      </c>
    </row>
    <row r="2571" spans="182:191">
      <c r="FZ2571" s="8">
        <v>7.9800102808326017</v>
      </c>
      <c r="GA2571" s="8">
        <v>12.875784563475387</v>
      </c>
      <c r="GB2571" s="8">
        <v>2.0722937987911338</v>
      </c>
      <c r="GC2571" s="8">
        <v>0.92986733962970569</v>
      </c>
      <c r="GD2571" s="8">
        <v>1.0807132308351819</v>
      </c>
      <c r="GE2571" s="8">
        <v>1.1827379871154586</v>
      </c>
      <c r="GF2571" s="8">
        <v>4.4394507597157196</v>
      </c>
      <c r="GG2571" s="8">
        <v>3.9952373859207246</v>
      </c>
      <c r="GH2571" s="8">
        <v>0.40861888541082891</v>
      </c>
      <c r="GI2571" s="8">
        <v>4.309634023565315</v>
      </c>
    </row>
    <row r="2572" spans="182:191">
      <c r="FZ2572" s="8">
        <v>5.5523291633876823</v>
      </c>
      <c r="GA2572" s="8">
        <v>16.179249993335343</v>
      </c>
      <c r="GB2572" s="8">
        <v>5.0281952146056064</v>
      </c>
      <c r="GC2572" s="8">
        <v>0.62088298565555178</v>
      </c>
      <c r="GD2572" s="8">
        <v>0.58596138517369678</v>
      </c>
      <c r="GE2572" s="8">
        <v>1.1744559492574211</v>
      </c>
      <c r="GF2572" s="8">
        <v>2.9138638090559277</v>
      </c>
      <c r="GG2572" s="8">
        <v>1.6113391696746744</v>
      </c>
      <c r="GH2572" s="8">
        <v>0.40861888541082891</v>
      </c>
      <c r="GI2572" s="8">
        <v>4.1107605440490671</v>
      </c>
    </row>
    <row r="2573" spans="182:191">
      <c r="FZ2573" s="8">
        <v>4.0856217140275888</v>
      </c>
      <c r="GA2573" s="8">
        <v>8.9642772899094414</v>
      </c>
      <c r="GB2573" s="8">
        <v>2.7240615882362471</v>
      </c>
      <c r="GC2573" s="8">
        <v>0.7180822639510982</v>
      </c>
      <c r="GD2573" s="8">
        <v>0.9149958148185624</v>
      </c>
      <c r="GE2573" s="8">
        <v>1.9125093010934588</v>
      </c>
      <c r="GF2573" s="8">
        <v>2.7901232763629222</v>
      </c>
      <c r="GG2573" s="8">
        <v>1.4924934770808866</v>
      </c>
      <c r="GH2573" s="8">
        <v>0.40861888541082891</v>
      </c>
      <c r="GI2573" s="8">
        <v>4.0238369062551396</v>
      </c>
    </row>
    <row r="2574" spans="182:191">
      <c r="FZ2574" s="8">
        <v>14.133536017749453</v>
      </c>
      <c r="GA2574" s="8">
        <v>16.701102712006019</v>
      </c>
      <c r="GB2574" s="8">
        <v>4.4172054184779785</v>
      </c>
      <c r="GC2574" s="8">
        <v>0.42660154014374235</v>
      </c>
      <c r="GD2574" s="8">
        <v>0.53229531038250633</v>
      </c>
      <c r="GE2574" s="8">
        <v>1.1803991288079905</v>
      </c>
      <c r="GF2574" s="8">
        <v>2.5681481228149199</v>
      </c>
      <c r="GG2574" s="8">
        <v>1.5628049455265007</v>
      </c>
      <c r="GH2574" s="8">
        <v>0.17282465026292085</v>
      </c>
      <c r="GI2574" s="8">
        <v>5.1352509854839354</v>
      </c>
    </row>
    <row r="2575" spans="182:191">
      <c r="FZ2575" s="8">
        <v>0.48501114767149078</v>
      </c>
      <c r="GA2575" s="8">
        <v>24.390892427877482</v>
      </c>
      <c r="GB2575" s="8">
        <v>9.2907699974824745</v>
      </c>
      <c r="GC2575" s="8">
        <v>0.63967743281722411</v>
      </c>
      <c r="GD2575" s="8">
        <v>1.0566538730855544</v>
      </c>
      <c r="GE2575" s="8">
        <v>2.3080955689849505</v>
      </c>
      <c r="GF2575" s="8">
        <v>4.9805018684386742</v>
      </c>
      <c r="GG2575" s="8">
        <v>3.5492971601975971</v>
      </c>
      <c r="GH2575" s="8">
        <v>0.47158847029581613</v>
      </c>
      <c r="GI2575" s="8">
        <v>6.6906713647070033</v>
      </c>
    </row>
    <row r="2576" spans="182:191">
      <c r="FZ2576" s="8">
        <v>0.48501114767149078</v>
      </c>
      <c r="GA2576" s="8">
        <v>0.1993376429609533</v>
      </c>
      <c r="GB2576" s="8">
        <v>0.43150061258152117</v>
      </c>
      <c r="GC2576" s="8">
        <v>0.67511456901004507</v>
      </c>
      <c r="GD2576" s="8">
        <v>0.78318929894546518</v>
      </c>
      <c r="GE2576" s="8">
        <v>1.5133330143086143</v>
      </c>
      <c r="GF2576" s="8">
        <v>2.7132604643538913</v>
      </c>
      <c r="GG2576" s="8">
        <v>1.9166564585065737</v>
      </c>
      <c r="GH2576" s="8">
        <v>0.64441312055873701</v>
      </c>
      <c r="GI2576" s="8">
        <v>2.6507329382266658</v>
      </c>
    </row>
    <row r="2577" spans="182:191">
      <c r="FZ2577" s="8">
        <v>5.2042260751776457</v>
      </c>
      <c r="GA2577" s="8">
        <v>11.786411817721399</v>
      </c>
      <c r="GB2577" s="8">
        <v>5.1841243370920278</v>
      </c>
      <c r="GC2577" s="8">
        <v>1.0179920985931346</v>
      </c>
      <c r="GD2577" s="8">
        <v>0.89937968095559606</v>
      </c>
      <c r="GE2577" s="8">
        <v>0.9374229026762646</v>
      </c>
      <c r="GF2577" s="8">
        <v>3.8055513850937857</v>
      </c>
      <c r="GG2577" s="8">
        <v>3.1038326467555613</v>
      </c>
      <c r="GH2577" s="8">
        <v>1.1628870713474995</v>
      </c>
      <c r="GI2577" s="8">
        <v>4.8565320454131031</v>
      </c>
    </row>
    <row r="2578" spans="182:191">
      <c r="FZ2578" s="8">
        <v>3.6006105663560986</v>
      </c>
      <c r="GA2578" s="8">
        <v>22.721997150781366</v>
      </c>
      <c r="GB2578" s="8">
        <v>8.2070758165054531</v>
      </c>
      <c r="GC2578" s="8">
        <v>1.2700648136641184</v>
      </c>
      <c r="GD2578" s="8">
        <v>1.25307734597469</v>
      </c>
      <c r="GE2578" s="8">
        <v>1.6505744459553586</v>
      </c>
      <c r="GF2578" s="8">
        <v>3.8110279506729841</v>
      </c>
      <c r="GG2578" s="8">
        <v>2.5027439088398373</v>
      </c>
      <c r="GH2578" s="8">
        <v>0.51847395078876257</v>
      </c>
      <c r="GI2578" s="8">
        <v>5.6048747342755805</v>
      </c>
    </row>
    <row r="2579" spans="182:191">
      <c r="FZ2579" s="8">
        <v>5.3490416337806002</v>
      </c>
      <c r="GA2579" s="8">
        <v>8.1358179053305282</v>
      </c>
      <c r="GB2579" s="8">
        <v>0.75699207265546009</v>
      </c>
      <c r="GC2579" s="8">
        <v>8.4252307978806312E-2</v>
      </c>
      <c r="GD2579" s="8">
        <v>4.288200313202007E-2</v>
      </c>
      <c r="GE2579" s="8">
        <v>0.23391822941994994</v>
      </c>
      <c r="GF2579" s="8">
        <v>1.9277829113388256</v>
      </c>
      <c r="GG2579" s="8">
        <v>1.6113391696746744</v>
      </c>
      <c r="GH2579" s="8">
        <v>0.40861888541082891</v>
      </c>
      <c r="GI2579" s="8">
        <v>3.0543850993186616</v>
      </c>
    </row>
    <row r="2580" spans="182:191">
      <c r="FZ2580" s="8">
        <v>5.2495025356806124</v>
      </c>
      <c r="GA2580" s="8">
        <v>7.9877098684485244</v>
      </c>
      <c r="GB2580" s="8">
        <v>0.84190968818476652</v>
      </c>
      <c r="GC2580" s="8">
        <v>0.69365587258270611</v>
      </c>
      <c r="GD2580" s="8">
        <v>0.73781910307962684</v>
      </c>
      <c r="GE2580" s="8">
        <v>1.2018336979396982</v>
      </c>
      <c r="GF2580" s="8">
        <v>2.5730948519890959</v>
      </c>
      <c r="GG2580" s="8">
        <v>1.2361861246782531</v>
      </c>
      <c r="GH2580" s="8">
        <v>0.51847395078876257</v>
      </c>
      <c r="GI2580" s="8">
        <v>2.6804148167839954</v>
      </c>
    </row>
    <row r="2581" spans="182:191">
      <c r="FZ2581" s="8">
        <v>9.6711105053696294</v>
      </c>
      <c r="GA2581" s="8">
        <v>9.7308177626416636</v>
      </c>
      <c r="GB2581" s="8">
        <v>1.4815050124514189</v>
      </c>
      <c r="GC2581" s="8">
        <v>0.54940091572327177</v>
      </c>
      <c r="GD2581" s="8">
        <v>0.61290204646957536</v>
      </c>
      <c r="GE2581" s="8">
        <v>1.4908933498840542</v>
      </c>
      <c r="GF2581" s="8">
        <v>7.3827421154961623</v>
      </c>
      <c r="GG2581" s="8">
        <v>5.4509523311217114</v>
      </c>
      <c r="GH2581" s="8">
        <v>0</v>
      </c>
      <c r="GI2581" s="8">
        <v>4.9983422054065931</v>
      </c>
    </row>
    <row r="2582" spans="182:191">
      <c r="FZ2582" s="8">
        <v>1.6488919693245148</v>
      </c>
      <c r="GA2582" s="8">
        <v>10.411169110338577</v>
      </c>
      <c r="GB2582" s="8">
        <v>3.5310708470662675</v>
      </c>
      <c r="GC2582" s="8">
        <v>0.29938153722388272</v>
      </c>
      <c r="GD2582" s="8">
        <v>0.285515590587891</v>
      </c>
      <c r="GE2582" s="8">
        <v>0.80462964600744336</v>
      </c>
      <c r="GF2582" s="8">
        <v>0.6624294536730293</v>
      </c>
      <c r="GG2582" s="8">
        <v>0.1769257564900365</v>
      </c>
      <c r="GH2582" s="8">
        <v>0.40861888541082891</v>
      </c>
      <c r="GI2582" s="8">
        <v>2.0692103913619122</v>
      </c>
    </row>
    <row r="2583" spans="182:191">
      <c r="FZ2583" s="8">
        <v>13.553825065829024</v>
      </c>
      <c r="GA2583" s="8">
        <v>8.3351555482914801</v>
      </c>
      <c r="GB2583" s="8">
        <v>0.94540032800138196</v>
      </c>
      <c r="GC2583" s="8">
        <v>0.66169892246608164</v>
      </c>
      <c r="GD2583" s="8">
        <v>0.88832166627499443</v>
      </c>
      <c r="GE2583" s="8">
        <v>2.234257444993907</v>
      </c>
      <c r="GF2583" s="8">
        <v>5.503185486187359</v>
      </c>
      <c r="GG2583" s="8">
        <v>3.5492971601975971</v>
      </c>
      <c r="GH2583" s="8">
        <v>0.99006242108457876</v>
      </c>
      <c r="GI2583" s="8">
        <v>5.5528935340654826</v>
      </c>
    </row>
    <row r="2584" spans="182:191">
      <c r="FZ2584" s="8">
        <v>7.6289014374962143</v>
      </c>
      <c r="GA2584" s="8">
        <v>13.704243948054298</v>
      </c>
      <c r="GB2584" s="8">
        <v>3.777610094211326</v>
      </c>
      <c r="GC2584" s="8">
        <v>0.25293365620663288</v>
      </c>
      <c r="GD2584" s="8">
        <v>0.44744208306485184</v>
      </c>
      <c r="GE2584" s="8">
        <v>0.69830557301355956</v>
      </c>
      <c r="GF2584" s="8">
        <v>3.0788011435653635</v>
      </c>
      <c r="GG2584" s="8">
        <v>2.9967426464300475</v>
      </c>
      <c r="GH2584" s="8">
        <v>0.58144353567374973</v>
      </c>
      <c r="GI2584" s="8">
        <v>4.1520827473048696</v>
      </c>
    </row>
    <row r="2585" spans="182:191">
      <c r="FZ2585" s="8">
        <v>6.1621939881361216</v>
      </c>
      <c r="GA2585" s="8">
        <v>4.3186255585169224</v>
      </c>
      <c r="GB2585" s="8">
        <v>0.81409747104038221</v>
      </c>
      <c r="GC2585" s="8">
        <v>0.76732731159630863</v>
      </c>
      <c r="GD2585" s="8">
        <v>0.75030785934627375</v>
      </c>
      <c r="GE2585" s="8">
        <v>1.2389581922306618</v>
      </c>
      <c r="GF2585" s="8">
        <v>3.7670783035297921</v>
      </c>
      <c r="GG2585" s="8">
        <v>2.6796696653298739</v>
      </c>
      <c r="GH2585" s="8">
        <v>0.75426818593667067</v>
      </c>
      <c r="GI2585" s="8">
        <v>3.2722582446575279</v>
      </c>
    </row>
    <row r="2586" spans="182:191">
      <c r="FZ2586" s="8">
        <v>3.8827145604593918</v>
      </c>
      <c r="GA2586" s="8">
        <v>18.255263555382442</v>
      </c>
      <c r="GB2586" s="8">
        <v>7.597626167240743</v>
      </c>
      <c r="GC2586" s="8">
        <v>0.72522055779090444</v>
      </c>
      <c r="GD2586" s="8">
        <v>1.0706220331853391</v>
      </c>
      <c r="GE2586" s="8">
        <v>1.9688260364941752</v>
      </c>
      <c r="GF2586" s="8">
        <v>3.9149622204224914</v>
      </c>
      <c r="GG2586" s="8">
        <v>2.7985153579236619</v>
      </c>
      <c r="GH2586" s="8">
        <v>0.40861888541082891</v>
      </c>
      <c r="GI2586" s="8">
        <v>5.4708600507098213</v>
      </c>
    </row>
    <row r="2587" spans="182:191">
      <c r="FZ2587" s="8">
        <v>7.0978530772439861</v>
      </c>
      <c r="GA2587" s="8">
        <v>15.979912350374391</v>
      </c>
      <c r="GB2587" s="8">
        <v>5.0853006129905287</v>
      </c>
      <c r="GC2587" s="8">
        <v>1.2117452466867904</v>
      </c>
      <c r="GD2587" s="8">
        <v>1.3780898098343846</v>
      </c>
      <c r="GE2587" s="8">
        <v>1.6613828328614983</v>
      </c>
      <c r="GF2587" s="8">
        <v>5.5498484647533335</v>
      </c>
      <c r="GG2587" s="8">
        <v>4.8648648807884465</v>
      </c>
      <c r="GH2587" s="8">
        <v>0.64441312055873701</v>
      </c>
      <c r="GI2587" s="8">
        <v>5.5631695114655519</v>
      </c>
    </row>
    <row r="2588" spans="182:191">
      <c r="FZ2588" s="8">
        <v>4.5823068680447001</v>
      </c>
      <c r="GA2588" s="8">
        <v>10.485381727435598</v>
      </c>
      <c r="GB2588" s="8">
        <v>2.7379676968084392</v>
      </c>
      <c r="GC2588" s="8">
        <v>1.1048260405616894</v>
      </c>
      <c r="GD2588" s="8">
        <v>1.220045247504278</v>
      </c>
      <c r="GE2588" s="8">
        <v>1.6647673379941712</v>
      </c>
      <c r="GF2588" s="8">
        <v>3.4643339353618341</v>
      </c>
      <c r="GG2588" s="8">
        <v>2.3530508444816265</v>
      </c>
      <c r="GH2588" s="8">
        <v>0.23579423514790807</v>
      </c>
      <c r="GI2588" s="8">
        <v>3.4576372182180481</v>
      </c>
    </row>
    <row r="2589" spans="182:191">
      <c r="FZ2589" s="8">
        <v>10.698463643600084</v>
      </c>
      <c r="GA2589" s="8">
        <v>16.325111723478678</v>
      </c>
      <c r="GB2589" s="8">
        <v>3.3764402114651557</v>
      </c>
      <c r="GC2589" s="8">
        <v>0.2159901703807256</v>
      </c>
      <c r="GD2589" s="8">
        <v>0.44233656396446897</v>
      </c>
      <c r="GE2589" s="8">
        <v>1.6022851731867602</v>
      </c>
      <c r="GF2589" s="8">
        <v>3.8100376713688737</v>
      </c>
      <c r="GG2589" s="8">
        <v>2.4324324403942232</v>
      </c>
      <c r="GH2589" s="8">
        <v>0.23579423514790807</v>
      </c>
      <c r="GI2589" s="8">
        <v>4.2439711595080567</v>
      </c>
    </row>
    <row r="2590" spans="182:191">
      <c r="FZ2590" s="8">
        <v>6.9406027602176419</v>
      </c>
      <c r="GA2590" s="8">
        <v>11.753355411871137</v>
      </c>
      <c r="GB2590" s="8">
        <v>2.2594914058894333</v>
      </c>
      <c r="GC2590" s="8">
        <v>0.78483094176310653</v>
      </c>
      <c r="GD2590" s="8">
        <v>0.81679976313217062</v>
      </c>
      <c r="GE2590" s="8">
        <v>1.2262603047644958</v>
      </c>
      <c r="GF2590" s="8">
        <v>4.1905146820557464</v>
      </c>
      <c r="GG2590" s="8">
        <v>3.3025356475430381</v>
      </c>
      <c r="GH2590" s="8">
        <v>0.58144353567374973</v>
      </c>
      <c r="GI2590" s="8">
        <v>3.6145567398986507</v>
      </c>
    </row>
    <row r="2591" spans="182:191">
      <c r="FZ2591" s="8">
        <v>5.7465680657366089</v>
      </c>
      <c r="GA2591" s="8">
        <v>6.0390676390040312</v>
      </c>
      <c r="GB2591" s="8">
        <v>0.87681011753951243</v>
      </c>
      <c r="GC2591" s="8">
        <v>0.2021822589283363</v>
      </c>
      <c r="GD2591" s="8">
        <v>0.66471145803991205</v>
      </c>
      <c r="GE2591" s="8">
        <v>1.7002949235787836</v>
      </c>
      <c r="GF2591" s="8">
        <v>3.8499777154407964</v>
      </c>
      <c r="GG2591" s="8">
        <v>3.6346099162256706</v>
      </c>
      <c r="GH2591" s="8">
        <v>1.5246204762653821</v>
      </c>
      <c r="GI2591" s="8">
        <v>3.7149002863086142</v>
      </c>
    </row>
    <row r="2592" spans="182:191">
      <c r="FZ2592" s="8">
        <v>5.7763415625257331</v>
      </c>
      <c r="GA2592" s="8">
        <v>11.659040485118798</v>
      </c>
      <c r="GB2592" s="8">
        <v>2.8902648745519928</v>
      </c>
      <c r="GC2592" s="8">
        <v>1.1111033932658465</v>
      </c>
      <c r="GD2592" s="8">
        <v>1.6687693897313198</v>
      </c>
      <c r="GE2592" s="8">
        <v>2.8042032287689205</v>
      </c>
      <c r="GF2592" s="8">
        <v>5.768238408736325</v>
      </c>
      <c r="GG2592" s="8">
        <v>4.489236123510933</v>
      </c>
      <c r="GH2592" s="8">
        <v>0.81723777082165783</v>
      </c>
      <c r="GI2592" s="8">
        <v>5.7588838274053176</v>
      </c>
    </row>
    <row r="2593" spans="182:191">
      <c r="FZ2593" s="8">
        <v>5.2498829117194976</v>
      </c>
      <c r="GA2593" s="8">
        <v>6.6886088875893508</v>
      </c>
      <c r="GB2593" s="8">
        <v>1.4699323617367854</v>
      </c>
      <c r="GC2593" s="8">
        <v>1.0534292347859557</v>
      </c>
      <c r="GD2593" s="8">
        <v>0.72761302464656819</v>
      </c>
      <c r="GE2593" s="8">
        <v>0.78122324722104497</v>
      </c>
      <c r="GF2593" s="8">
        <v>3.1443431931475985</v>
      </c>
      <c r="GG2593" s="8">
        <v>2.2337294396067464</v>
      </c>
      <c r="GH2593" s="8">
        <v>0.99006242108457876</v>
      </c>
      <c r="GI2593" s="8">
        <v>3.6830579700289507</v>
      </c>
    </row>
    <row r="2594" spans="182:191">
      <c r="FZ2594" s="8">
        <v>5.5889373726713796</v>
      </c>
      <c r="GA2594" s="8">
        <v>8.7626933402098182</v>
      </c>
      <c r="GB2594" s="8">
        <v>0.82800357961257443</v>
      </c>
      <c r="GC2594" s="8">
        <v>0.177110459062507</v>
      </c>
      <c r="GD2594" s="8">
        <v>0.15088019507326503</v>
      </c>
      <c r="GE2594" s="8">
        <v>0.6912987236177397</v>
      </c>
      <c r="GF2594" s="8">
        <v>2.9941031872708597</v>
      </c>
      <c r="GG2594" s="8">
        <v>1.9288878630559392</v>
      </c>
      <c r="GH2594" s="8">
        <v>0.17282465026292085</v>
      </c>
      <c r="GI2594" s="8">
        <v>3.0571646919732443</v>
      </c>
    </row>
    <row r="2595" spans="182:191">
      <c r="FZ2595" s="8">
        <v>4.9104480747287322</v>
      </c>
      <c r="GA2595" s="8">
        <v>5.9136254158280579</v>
      </c>
      <c r="GB2595" s="8">
        <v>1.4152482598471079</v>
      </c>
      <c r="GC2595" s="8">
        <v>0.55477971634098067</v>
      </c>
      <c r="GD2595" s="8">
        <v>0.88442228074624007</v>
      </c>
      <c r="GE2595" s="8">
        <v>1.9341549836442344</v>
      </c>
      <c r="GF2595" s="8">
        <v>5.8057212109962073</v>
      </c>
      <c r="GG2595" s="8">
        <v>4.1353846105308607</v>
      </c>
      <c r="GH2595" s="8">
        <v>0.17282465026292085</v>
      </c>
      <c r="GI2595" s="8">
        <v>4.3158500745814115</v>
      </c>
    </row>
    <row r="2596" spans="182:191">
      <c r="FZ2596" s="8">
        <v>0.93986842251497327</v>
      </c>
      <c r="GA2596" s="8">
        <v>14.732040975594169</v>
      </c>
      <c r="GB2596" s="8">
        <v>5.6887848596548132</v>
      </c>
      <c r="GC2596" s="8">
        <v>0.5503789679382044</v>
      </c>
      <c r="GD2596" s="8">
        <v>0.53061517271097225</v>
      </c>
      <c r="GE2596" s="8">
        <v>1.2695149629898641</v>
      </c>
      <c r="GF2596" s="8">
        <v>6.65730770742051</v>
      </c>
      <c r="GG2596" s="8">
        <v>5.1338793500215374</v>
      </c>
      <c r="GH2596" s="8">
        <v>0.17282465026292085</v>
      </c>
      <c r="GI2596" s="8">
        <v>4.1351437343048234</v>
      </c>
    </row>
    <row r="2597" spans="182:191">
      <c r="FZ2597" s="8">
        <v>0.97002229534298157</v>
      </c>
      <c r="GA2597" s="8">
        <v>18.497686519016781</v>
      </c>
      <c r="GB2597" s="8">
        <v>6.830795087264379</v>
      </c>
      <c r="GC2597" s="8">
        <v>0.32635195163122421</v>
      </c>
      <c r="GD2597" s="8">
        <v>0.61298331224722991</v>
      </c>
      <c r="GE2597" s="8">
        <v>1.3537428181595021</v>
      </c>
      <c r="GF2597" s="8">
        <v>3.3545741987916964</v>
      </c>
      <c r="GG2597" s="8">
        <v>2.5027439088398373</v>
      </c>
      <c r="GH2597" s="8">
        <v>0.3456493005258417</v>
      </c>
      <c r="GI2597" s="8">
        <v>4.8627215192503144</v>
      </c>
    </row>
    <row r="2598" spans="182:191">
      <c r="FZ2598" s="8">
        <v>2.7343367025202121</v>
      </c>
      <c r="GA2598" s="8">
        <v>13.535716404204939</v>
      </c>
      <c r="GB2598" s="8">
        <v>5.1004173698103434</v>
      </c>
      <c r="GC2598" s="8">
        <v>0.48212394049310975</v>
      </c>
      <c r="GD2598" s="8">
        <v>0.36345051676956758</v>
      </c>
      <c r="GE2598" s="8">
        <v>0.75458998304448133</v>
      </c>
      <c r="GF2598" s="8">
        <v>3.2611460492285524</v>
      </c>
      <c r="GG2598" s="8">
        <v>2.1271151515623243</v>
      </c>
      <c r="GH2598" s="8">
        <v>0.17282465026292085</v>
      </c>
      <c r="GI2598" s="8">
        <v>3.3132585947322299</v>
      </c>
    </row>
    <row r="2599" spans="182:191">
      <c r="FZ2599" s="8">
        <v>6.1161567755553836</v>
      </c>
      <c r="GA2599" s="8">
        <v>17.028128884881617</v>
      </c>
      <c r="GB2599" s="8">
        <v>5.7711933400511883</v>
      </c>
      <c r="GC2599" s="8">
        <v>1.3423283246035633</v>
      </c>
      <c r="GD2599" s="8">
        <v>1.6607741718432001</v>
      </c>
      <c r="GE2599" s="8">
        <v>2.7204980134467696</v>
      </c>
      <c r="GF2599" s="8">
        <v>3.6925543321709187</v>
      </c>
      <c r="GG2599" s="8">
        <v>1.9869679269521878</v>
      </c>
      <c r="GH2599" s="8">
        <v>0.40861888541082891</v>
      </c>
      <c r="GI2599" s="8">
        <v>5.9787833062038658</v>
      </c>
    </row>
    <row r="2600" spans="182:191">
      <c r="FZ2600" s="8">
        <v>7.0560251980703566</v>
      </c>
      <c r="GA2600" s="8">
        <v>6.814051110765325</v>
      </c>
      <c r="GB2600" s="8">
        <v>0.98505551170893124</v>
      </c>
      <c r="GC2600" s="8">
        <v>0.3745593258705715</v>
      </c>
      <c r="GD2600" s="8">
        <v>0.66755683602018101</v>
      </c>
      <c r="GE2600" s="8">
        <v>1.4713642757846213</v>
      </c>
      <c r="GF2600" s="8">
        <v>2.0046457233478563</v>
      </c>
      <c r="GG2600" s="8">
        <v>1.3641019447390237</v>
      </c>
      <c r="GH2600" s="8">
        <v>0.40861888541082891</v>
      </c>
      <c r="GI2600" s="8">
        <v>4.2968192665317204</v>
      </c>
    </row>
    <row r="2601" spans="182:191">
      <c r="FZ2601" s="8">
        <v>11.602486844836323</v>
      </c>
      <c r="GA2601" s="8">
        <v>6.8675270235829462</v>
      </c>
      <c r="GB2601" s="8">
        <v>2.5995766276370778</v>
      </c>
      <c r="GC2601" s="8">
        <v>0.52368370736000536</v>
      </c>
      <c r="GD2601" s="8">
        <v>0.55195176387061995</v>
      </c>
      <c r="GE2601" s="8">
        <v>1.0620663224427505</v>
      </c>
      <c r="GF2601" s="8">
        <v>2.0920314215339495</v>
      </c>
      <c r="GG2601" s="8">
        <v>1.1168647198033732</v>
      </c>
      <c r="GH2601" s="8">
        <v>0.58144353567374973</v>
      </c>
      <c r="GI2601" s="8">
        <v>3.6702814682647991</v>
      </c>
    </row>
    <row r="2602" spans="182:191">
      <c r="FZ2602" s="8">
        <v>6.4137637333725213</v>
      </c>
      <c r="GA2602" s="8">
        <v>8.8365887599947968</v>
      </c>
      <c r="GB2602" s="8">
        <v>1.4489380409542316</v>
      </c>
      <c r="GC2602" s="8">
        <v>0.36394084595456866</v>
      </c>
      <c r="GD2602" s="8">
        <v>1.2542379606287732</v>
      </c>
      <c r="GE2602" s="8">
        <v>3.09223194143572</v>
      </c>
      <c r="GF2602" s="8">
        <v>4.1621159940036963</v>
      </c>
      <c r="GG2602" s="8">
        <v>2.8565954218199106</v>
      </c>
      <c r="GH2602" s="8">
        <v>0.64441312055873701</v>
      </c>
      <c r="GI2602" s="8">
        <v>4.9451192984256425</v>
      </c>
    </row>
    <row r="2603" spans="182:191">
      <c r="FZ2603" s="8">
        <v>1.3094571323337481</v>
      </c>
      <c r="GA2603" s="8">
        <v>6.6681893806219925</v>
      </c>
      <c r="GB2603" s="8">
        <v>2.5694309526351349</v>
      </c>
      <c r="GC2603" s="8">
        <v>0.63189373047998076</v>
      </c>
      <c r="GD2603" s="8">
        <v>0.82371806426814853</v>
      </c>
      <c r="GE2603" s="8">
        <v>1.8822864232214414</v>
      </c>
      <c r="GF2603" s="8">
        <v>5.9360617396668047</v>
      </c>
      <c r="GG2603" s="8">
        <v>4.5963261238364481</v>
      </c>
      <c r="GH2603" s="8">
        <v>0.88020735570664521</v>
      </c>
      <c r="GI2603" s="8">
        <v>3.9124751501024759</v>
      </c>
    </row>
    <row r="2604" spans="182:191">
      <c r="FZ2604" s="8">
        <v>9.5715714072696443</v>
      </c>
      <c r="GA2604" s="8">
        <v>10.137936047592643</v>
      </c>
      <c r="GB2604" s="8">
        <v>2.7018566192060707</v>
      </c>
      <c r="GC2604" s="8">
        <v>0.94586462016341755</v>
      </c>
      <c r="GD2604" s="8">
        <v>1.0836169574602446</v>
      </c>
      <c r="GE2604" s="8">
        <v>1.7931124196850692</v>
      </c>
      <c r="GF2604" s="8">
        <v>2.981123059281757</v>
      </c>
      <c r="GG2604" s="8">
        <v>1.4344134131846378</v>
      </c>
      <c r="GH2604" s="8">
        <v>0</v>
      </c>
      <c r="GI2604" s="8">
        <v>3.7615089112558593</v>
      </c>
    </row>
    <row r="2605" spans="182:191">
      <c r="FZ2605" s="8">
        <v>3.0578881997582497</v>
      </c>
      <c r="GA2605" s="8">
        <v>13.903581591015254</v>
      </c>
      <c r="GB2605" s="8">
        <v>4.1044094187286095</v>
      </c>
      <c r="GC2605" s="8">
        <v>0.84508673423274583</v>
      </c>
      <c r="GD2605" s="8">
        <v>1.1679730848392602</v>
      </c>
      <c r="GE2605" s="8">
        <v>2.4243194638776351</v>
      </c>
      <c r="GF2605" s="8">
        <v>6.0000336262807661</v>
      </c>
      <c r="GG2605" s="8">
        <v>4.7247176561783117</v>
      </c>
      <c r="GH2605" s="8">
        <v>0.88020735570664521</v>
      </c>
      <c r="GI2605" s="8">
        <v>5.326348677789623</v>
      </c>
    </row>
    <row r="2606" spans="182:191">
      <c r="FZ2606" s="8">
        <v>5.1250292346425494</v>
      </c>
      <c r="GA2606" s="8">
        <v>12.656027413547076</v>
      </c>
      <c r="GB2606" s="8">
        <v>3.2090262769017874</v>
      </c>
      <c r="GC2606" s="8">
        <v>0.4583429576221546</v>
      </c>
      <c r="GD2606" s="8">
        <v>0.77514776774779981</v>
      </c>
      <c r="GE2606" s="8">
        <v>2.0241376766020389</v>
      </c>
      <c r="GF2606" s="8">
        <v>3.6565326409438894</v>
      </c>
      <c r="GG2606" s="8">
        <v>2.1058136195459758</v>
      </c>
      <c r="GH2606" s="8">
        <v>0.23579423514790807</v>
      </c>
      <c r="GI2606" s="8">
        <v>3.6508199685436273</v>
      </c>
    </row>
    <row r="2607" spans="182:191">
      <c r="FZ2607" s="8">
        <v>2.718453362767483</v>
      </c>
      <c r="GA2607" s="8">
        <v>16.253145413120322</v>
      </c>
      <c r="GB2607" s="8">
        <v>5.722562479399623</v>
      </c>
      <c r="GC2607" s="8">
        <v>1.2587214251221943</v>
      </c>
      <c r="GD2607" s="8">
        <v>1.135185601392503</v>
      </c>
      <c r="GE2607" s="8">
        <v>0.74519768824762156</v>
      </c>
      <c r="GF2607" s="8">
        <v>1.718006249834924</v>
      </c>
      <c r="GG2607" s="8">
        <v>1.4924934770808866</v>
      </c>
      <c r="GH2607" s="8">
        <v>0.58144353567374973</v>
      </c>
      <c r="GI2607" s="8">
        <v>4.8377426048384295</v>
      </c>
    </row>
    <row r="2608" spans="182:191">
      <c r="FZ2608" s="8">
        <v>8.8346101383228675</v>
      </c>
      <c r="GA2608" s="8">
        <v>10.505801234402956</v>
      </c>
      <c r="GB2608" s="8">
        <v>1.4314878262768584</v>
      </c>
      <c r="GC2608" s="8">
        <v>0.10369216363791561</v>
      </c>
      <c r="GD2608" s="8">
        <v>0.4933044191016222</v>
      </c>
      <c r="GE2608" s="8">
        <v>1.2640793105412351</v>
      </c>
      <c r="GF2608" s="8">
        <v>6.457198541539988</v>
      </c>
      <c r="GG2608" s="8">
        <v>5.9236495366955708</v>
      </c>
      <c r="GH2608" s="8">
        <v>0.47158847029581613</v>
      </c>
      <c r="GI2608" s="8">
        <v>5.60084104950763</v>
      </c>
    </row>
    <row r="2609" spans="182:191">
      <c r="FZ2609" s="8">
        <v>7.2132755150967025</v>
      </c>
      <c r="GA2609" s="8">
        <v>6.962159147647327</v>
      </c>
      <c r="GB2609" s="8">
        <v>0.84778725214750583</v>
      </c>
      <c r="GC2609" s="8">
        <v>1.2677959444543117</v>
      </c>
      <c r="GD2609" s="8">
        <v>1.64582848891075</v>
      </c>
      <c r="GE2609" s="8">
        <v>1.8718153458337845</v>
      </c>
      <c r="GF2609" s="8">
        <v>2.0536475425639891</v>
      </c>
      <c r="GG2609" s="8">
        <v>1.9166564585065737</v>
      </c>
      <c r="GH2609" s="8">
        <v>0.47158847029581613</v>
      </c>
      <c r="GI2609" s="8">
        <v>4.2503532399393045</v>
      </c>
    </row>
    <row r="2610" spans="182:191">
      <c r="FZ2610" s="8">
        <v>9.6711105053696294</v>
      </c>
      <c r="GA2610" s="8">
        <v>6.962159147647327</v>
      </c>
      <c r="GB2610" s="8">
        <v>0.93624897378199312</v>
      </c>
      <c r="GC2610" s="8">
        <v>0.74982368142951061</v>
      </c>
      <c r="GD2610" s="8">
        <v>0.58693890800636184</v>
      </c>
      <c r="GE2610" s="8">
        <v>1.2724079354928444</v>
      </c>
      <c r="GF2610" s="8">
        <v>5.1805243214473968</v>
      </c>
      <c r="GG2610" s="8">
        <v>3.6196086286432112</v>
      </c>
      <c r="GH2610" s="8">
        <v>0.40861888541082891</v>
      </c>
      <c r="GI2610" s="8">
        <v>4.6586272323292146</v>
      </c>
    </row>
    <row r="2611" spans="182:191">
      <c r="FZ2611" s="8">
        <v>4.6400180869710583</v>
      </c>
      <c r="GA2611" s="8">
        <v>12.656027413547076</v>
      </c>
      <c r="GB2611" s="8">
        <v>3.2252658433315382</v>
      </c>
      <c r="GC2611" s="8">
        <v>0.74315406381692772</v>
      </c>
      <c r="GD2611" s="8">
        <v>0.80015580645715989</v>
      </c>
      <c r="GE2611" s="8">
        <v>1.157992194951124</v>
      </c>
      <c r="GF2611" s="8">
        <v>4.4348752708465984</v>
      </c>
      <c r="GG2611" s="8">
        <v>3.4426828721531746</v>
      </c>
      <c r="GH2611" s="8">
        <v>0.17282465026292085</v>
      </c>
      <c r="GI2611" s="8">
        <v>3.5577394867674981</v>
      </c>
    </row>
    <row r="2612" spans="182:191">
      <c r="FZ2612" s="8">
        <v>5.2495025356806124</v>
      </c>
      <c r="GA2612" s="8">
        <v>15.852223820459745</v>
      </c>
      <c r="GB2612" s="8">
        <v>4.0358192082667399</v>
      </c>
      <c r="GC2612" s="8">
        <v>0.97760603764182985</v>
      </c>
      <c r="GD2612" s="8">
        <v>1.2062013365270685</v>
      </c>
      <c r="GE2612" s="8">
        <v>1.4593547320174673</v>
      </c>
      <c r="GF2612" s="8">
        <v>2.6577928082835984</v>
      </c>
      <c r="GG2612" s="8">
        <v>2.3040409080523605</v>
      </c>
      <c r="GH2612" s="8">
        <v>0.58144353567374973</v>
      </c>
      <c r="GI2612" s="8">
        <v>4.8303312667083436</v>
      </c>
    </row>
    <row r="2613" spans="182:191">
      <c r="FZ2613" s="8">
        <v>9.029229416710681</v>
      </c>
      <c r="GA2613" s="8">
        <v>9.2375103526553755</v>
      </c>
      <c r="GB2613" s="8">
        <v>3.2740723812584762</v>
      </c>
      <c r="GC2613" s="8">
        <v>0.89292385380379846</v>
      </c>
      <c r="GD2613" s="8">
        <v>0.80369902614366828</v>
      </c>
      <c r="GE2613" s="8">
        <v>1.5961864836003812</v>
      </c>
      <c r="GF2613" s="8">
        <v>2.9306601290327725</v>
      </c>
      <c r="GG2613" s="8">
        <v>1.4707162327834462</v>
      </c>
      <c r="GH2613" s="8">
        <v>0.88020735570664521</v>
      </c>
      <c r="GI2613" s="8">
        <v>3.7318916907644462</v>
      </c>
    </row>
    <row r="2614" spans="182:191">
      <c r="FZ2614" s="8">
        <v>3.1155994186846074</v>
      </c>
      <c r="GA2614" s="8">
        <v>11.334260618981871</v>
      </c>
      <c r="GB2614" s="8">
        <v>3.3823177754278948</v>
      </c>
      <c r="GC2614" s="8">
        <v>0.33069307884307009</v>
      </c>
      <c r="GD2614" s="8">
        <v>0.66032668984942466</v>
      </c>
      <c r="GE2614" s="8">
        <v>2.1210694547990632</v>
      </c>
      <c r="GF2614" s="8">
        <v>2.5356224385588675</v>
      </c>
      <c r="GG2614" s="8">
        <v>1.1168647198033732</v>
      </c>
      <c r="GH2614" s="8">
        <v>0.23579423514790807</v>
      </c>
      <c r="GI2614" s="8">
        <v>3.8272357872893874</v>
      </c>
    </row>
    <row r="2615" spans="182:191">
      <c r="FZ2615" s="8">
        <v>6.9409831362565262</v>
      </c>
      <c r="GA2615" s="8">
        <v>3.3443044437946754</v>
      </c>
      <c r="GB2615" s="8">
        <v>1.0385289653509862</v>
      </c>
      <c r="GC2615" s="8">
        <v>1.344264550095875</v>
      </c>
      <c r="GD2615" s="8">
        <v>1.184985905660501</v>
      </c>
      <c r="GE2615" s="8">
        <v>1.6930183862114976</v>
      </c>
      <c r="GF2615" s="8">
        <v>3.5984570963495783</v>
      </c>
      <c r="GG2615" s="8">
        <v>2.0568036831167102</v>
      </c>
      <c r="GH2615" s="8">
        <v>0.23579423514790807</v>
      </c>
      <c r="GI2615" s="8">
        <v>3.3819566451566754</v>
      </c>
    </row>
    <row r="2616" spans="182:191">
      <c r="FZ2616" s="8">
        <v>6.6588791421532321</v>
      </c>
      <c r="GA2616" s="8">
        <v>3.6690843099316024</v>
      </c>
      <c r="GB2616" s="8">
        <v>0.44661736940133573</v>
      </c>
      <c r="GC2616" s="8">
        <v>0.33736269645565309</v>
      </c>
      <c r="GD2616" s="8">
        <v>0.52792124799392481</v>
      </c>
      <c r="GE2616" s="8">
        <v>1.033545586253958</v>
      </c>
      <c r="GF2616" s="8">
        <v>3.7902324164545247</v>
      </c>
      <c r="GG2616" s="8">
        <v>3.1954456472175239</v>
      </c>
      <c r="GH2616" s="8">
        <v>0</v>
      </c>
      <c r="GI2616" s="8">
        <v>3.1409568581322453</v>
      </c>
    </row>
    <row r="2617" spans="182:191">
      <c r="FZ2617" s="8">
        <v>3.0578881997582497</v>
      </c>
      <c r="GA2617" s="8">
        <v>6.0390676390040312</v>
      </c>
      <c r="GB2617" s="8">
        <v>0.99775097203350083</v>
      </c>
      <c r="GC2617" s="8">
        <v>0.47304942116099219</v>
      </c>
      <c r="GD2617" s="8">
        <v>0.56845000538740342</v>
      </c>
      <c r="GE2617" s="8">
        <v>1.7758714503053654</v>
      </c>
      <c r="GF2617" s="8">
        <v>4.2508121565106647</v>
      </c>
      <c r="GG2617" s="8">
        <v>2.4324324403942232</v>
      </c>
      <c r="GH2617" s="8">
        <v>0.75426818593667067</v>
      </c>
      <c r="GI2617" s="8">
        <v>2.8863879384539564</v>
      </c>
    </row>
    <row r="2618" spans="182:191">
      <c r="FZ2618" s="8">
        <v>3.882334184420507</v>
      </c>
      <c r="GA2618" s="8">
        <v>8.9846967968768006</v>
      </c>
      <c r="GB2618" s="8">
        <v>1.398920854779671</v>
      </c>
      <c r="GC2618" s="8">
        <v>0.23005122542212603</v>
      </c>
      <c r="GD2618" s="8">
        <v>0.75620807849974847</v>
      </c>
      <c r="GE2618" s="8">
        <v>2.0475440753884371</v>
      </c>
      <c r="GF2618" s="8">
        <v>3.0880835123026498</v>
      </c>
      <c r="GG2618" s="8">
        <v>2.0568036831167102</v>
      </c>
      <c r="GH2618" s="8">
        <v>0.23579423514790807</v>
      </c>
      <c r="GI2618" s="8">
        <v>3.5305063970580228</v>
      </c>
    </row>
    <row r="2619" spans="182:191">
      <c r="FZ2619" s="8">
        <v>5.8921443764173329</v>
      </c>
      <c r="GA2619" s="8">
        <v>12.729922833332054</v>
      </c>
      <c r="GB2619" s="8">
        <v>3.7788207424589482</v>
      </c>
      <c r="GC2619" s="8">
        <v>0.6707734417981992</v>
      </c>
      <c r="GD2619" s="8">
        <v>1.0087321297670659</v>
      </c>
      <c r="GE2619" s="8">
        <v>1.8003415189370142</v>
      </c>
      <c r="GF2619" s="8">
        <v>2.5755624826307906</v>
      </c>
      <c r="GG2619" s="8">
        <v>1.788264926164711</v>
      </c>
      <c r="GH2619" s="8">
        <v>0.64441312055873701</v>
      </c>
      <c r="GI2619" s="8">
        <v>4.4600767829394847</v>
      </c>
    </row>
    <row r="2620" spans="182:191">
      <c r="FZ2620" s="8">
        <v>5.1465148562512875</v>
      </c>
      <c r="GA2620" s="8">
        <v>11.587074174760446</v>
      </c>
      <c r="GB2620" s="8">
        <v>5.1166569362400942</v>
      </c>
      <c r="GC2620" s="8">
        <v>0.9082757258400731</v>
      </c>
      <c r="GD2620" s="8">
        <v>1.0199908782860636</v>
      </c>
      <c r="GE2620" s="8">
        <v>1.3550822115374384</v>
      </c>
      <c r="GF2620" s="8">
        <v>3.8279134732438616</v>
      </c>
      <c r="GG2620" s="8">
        <v>2.8783726661173508</v>
      </c>
      <c r="GH2620" s="8">
        <v>0</v>
      </c>
      <c r="GI2620" s="8">
        <v>4.0476922181011679</v>
      </c>
    </row>
    <row r="2621" spans="182:191">
      <c r="FZ2621" s="8">
        <v>16.951528478616922</v>
      </c>
      <c r="GA2621" s="8">
        <v>6.9394933339412983</v>
      </c>
      <c r="GB2621" s="8">
        <v>0.35815564776684838</v>
      </c>
      <c r="GC2621" s="8">
        <v>1.1518022189970931</v>
      </c>
      <c r="GD2621" s="8">
        <v>1.6852851106139213</v>
      </c>
      <c r="GE2621" s="8">
        <v>3.0625484702115671</v>
      </c>
      <c r="GF2621" s="8">
        <v>3.3107277521088481</v>
      </c>
      <c r="GG2621" s="8">
        <v>1.3641019447390237</v>
      </c>
      <c r="GH2621" s="8">
        <v>0.75426818593667067</v>
      </c>
      <c r="GI2621" s="8">
        <v>5.9761905643274442</v>
      </c>
    </row>
    <row r="2622" spans="182:191">
      <c r="FZ2622" s="8">
        <v>1.4248795701864641</v>
      </c>
      <c r="GA2622" s="8">
        <v>9.2375103526553755</v>
      </c>
      <c r="GB2622" s="8">
        <v>3.4461532315369614</v>
      </c>
      <c r="GC2622" s="8">
        <v>0.65976269697377032</v>
      </c>
      <c r="GD2622" s="8">
        <v>0.5830395224776076</v>
      </c>
      <c r="GE2622" s="8">
        <v>1.1980738666607869</v>
      </c>
      <c r="GF2622" s="8">
        <v>3.1887695234946096</v>
      </c>
      <c r="GG2622" s="8">
        <v>2.0568036831167102</v>
      </c>
      <c r="GH2622" s="8">
        <v>0.40861888541082891</v>
      </c>
      <c r="GI2622" s="8">
        <v>3.4587565282085189</v>
      </c>
    </row>
    <row r="2623" spans="182:191">
      <c r="FZ2623" s="8">
        <v>5.4946179444613241</v>
      </c>
      <c r="GA2623" s="8">
        <v>10.286044084474646</v>
      </c>
      <c r="GB2623" s="8">
        <v>2.8101020133754897</v>
      </c>
      <c r="GC2623" s="8">
        <v>0.76323932797347405</v>
      </c>
      <c r="GD2623" s="8">
        <v>0.56931742849868616</v>
      </c>
      <c r="GE2623" s="8">
        <v>1.2195084357924943</v>
      </c>
      <c r="GF2623" s="8">
        <v>3.4520342904897321</v>
      </c>
      <c r="GG2623" s="8">
        <v>2.0568036831167102</v>
      </c>
      <c r="GH2623" s="8">
        <v>0.40861888541082891</v>
      </c>
      <c r="GI2623" s="8">
        <v>3.2871076460022968</v>
      </c>
    </row>
    <row r="2624" spans="182:191">
      <c r="FZ2624" s="8">
        <v>8.747125422607386</v>
      </c>
      <c r="GA2624" s="8">
        <v>11.732935904903778</v>
      </c>
      <c r="GB2624" s="8">
        <v>3.4612699883567757</v>
      </c>
      <c r="GC2624" s="8">
        <v>0.22162211458744557</v>
      </c>
      <c r="GD2624" s="8">
        <v>0.75740447124183619</v>
      </c>
      <c r="GE2624" s="8">
        <v>1.989451511006552</v>
      </c>
      <c r="GF2624" s="8">
        <v>3.4475480042146436</v>
      </c>
      <c r="GG2624" s="8">
        <v>2.905129645968084</v>
      </c>
      <c r="GH2624" s="8">
        <v>0.70738270544372439</v>
      </c>
      <c r="GI2624" s="8">
        <v>4.6140093468565011</v>
      </c>
    </row>
    <row r="2625" spans="182:191">
      <c r="FZ2625" s="8">
        <v>3.5428993474297403</v>
      </c>
      <c r="GA2625" s="8">
        <v>16.074227277126731</v>
      </c>
      <c r="GB2625" s="8">
        <v>4.6079471316814589</v>
      </c>
      <c r="GC2625" s="8">
        <v>0.96401365882765266</v>
      </c>
      <c r="GD2625" s="8">
        <v>1.0112706224802634</v>
      </c>
      <c r="GE2625" s="8">
        <v>1.4574823727507848</v>
      </c>
      <c r="GF2625" s="8">
        <v>3.7909015027127211</v>
      </c>
      <c r="GG2625" s="8">
        <v>2.9269068902655246</v>
      </c>
      <c r="GH2625" s="8">
        <v>0.23579423514790807</v>
      </c>
      <c r="GI2625" s="8">
        <v>4.902130093253426</v>
      </c>
    </row>
    <row r="2626" spans="182:191">
      <c r="FZ2626" s="8">
        <v>9.3773325049207159</v>
      </c>
      <c r="GA2626" s="8">
        <v>16.954233465096639</v>
      </c>
      <c r="GB2626" s="8">
        <v>5.0491895353881606</v>
      </c>
      <c r="GC2626" s="8">
        <v>0.24949108108123536</v>
      </c>
      <c r="GD2626" s="8">
        <v>0.40592605407996252</v>
      </c>
      <c r="GE2626" s="8">
        <v>1.371481760928017</v>
      </c>
      <c r="GF2626" s="8">
        <v>3.5467729043737508</v>
      </c>
      <c r="GG2626" s="8">
        <v>2.6093581968842599</v>
      </c>
      <c r="GH2626" s="8">
        <v>0.64441312055873701</v>
      </c>
      <c r="GI2626" s="8">
        <v>4.9455633215591384</v>
      </c>
    </row>
    <row r="2627" spans="182:191">
      <c r="FZ2627" s="8">
        <v>8.2044030560095376</v>
      </c>
      <c r="GA2627" s="8">
        <v>25.091980479853795</v>
      </c>
      <c r="GB2627" s="8">
        <v>8.5674677059341384</v>
      </c>
      <c r="GC2627" s="8">
        <v>0.42290582142933364</v>
      </c>
      <c r="GD2627" s="8">
        <v>0.27241884026922203</v>
      </c>
      <c r="GE2627" s="8">
        <v>0.46783645883989988</v>
      </c>
      <c r="GF2627" s="8">
        <v>3.5790007426766617</v>
      </c>
      <c r="GG2627" s="8">
        <v>2.7985153579236619</v>
      </c>
      <c r="GH2627" s="8">
        <v>0.23579423514790807</v>
      </c>
      <c r="GI2627" s="8">
        <v>5.861249211143158</v>
      </c>
    </row>
    <row r="2628" spans="182:191">
      <c r="FZ2628" s="8">
        <v>0.82444598466225738</v>
      </c>
      <c r="GA2628" s="8">
        <v>7.0668646665438999</v>
      </c>
      <c r="GB2628" s="8">
        <v>2.7356342389508805</v>
      </c>
      <c r="GC2628" s="8">
        <v>0.46049471575267797</v>
      </c>
      <c r="GD2628" s="8">
        <v>0.55765952286331699</v>
      </c>
      <c r="GE2628" s="8">
        <v>1.5641964794385548</v>
      </c>
      <c r="GF2628" s="8">
        <v>4.0424966060396157</v>
      </c>
      <c r="GG2628" s="8">
        <v>2.6093581968842599</v>
      </c>
      <c r="GH2628" s="8">
        <v>0.64441312055873701</v>
      </c>
      <c r="GI2628" s="8">
        <v>2.9939069145805544</v>
      </c>
    </row>
    <row r="2629" spans="182:191">
      <c r="FZ2629" s="8">
        <v>4.8527368558023731</v>
      </c>
      <c r="GA2629" s="8">
        <v>5.7142877728671042</v>
      </c>
      <c r="GB2629" s="8">
        <v>1.2791906485333049</v>
      </c>
      <c r="GC2629" s="8">
        <v>1.0199283240854458</v>
      </c>
      <c r="GD2629" s="8">
        <v>0.78308747290170133</v>
      </c>
      <c r="GE2629" s="8">
        <v>0.76193113052538508</v>
      </c>
      <c r="GF2629" s="8">
        <v>2.7307268786180821</v>
      </c>
      <c r="GG2629" s="8">
        <v>1.7397307020165371</v>
      </c>
      <c r="GH2629" s="8">
        <v>0.40861888541082891</v>
      </c>
      <c r="GI2629" s="8">
        <v>2.9406548633263974</v>
      </c>
    </row>
    <row r="2630" spans="182:191">
      <c r="FZ2630" s="8">
        <v>3.1159797947234926</v>
      </c>
      <c r="GA2630" s="8">
        <v>21.821571455844101</v>
      </c>
      <c r="GB2630" s="8">
        <v>8.6360579163960072</v>
      </c>
      <c r="GC2630" s="8">
        <v>0.92986733962970569</v>
      </c>
      <c r="GD2630" s="8">
        <v>0.81766718624345325</v>
      </c>
      <c r="GE2630" s="8">
        <v>1.1446496985651522</v>
      </c>
      <c r="GF2630" s="8">
        <v>2.2238043450127316</v>
      </c>
      <c r="GG2630" s="8">
        <v>1.2937904762934096</v>
      </c>
      <c r="GH2630" s="8">
        <v>0.81723777082165783</v>
      </c>
      <c r="GI2630" s="8">
        <v>5.36620877460643</v>
      </c>
    </row>
    <row r="2631" spans="182:191">
      <c r="FZ2631" s="8">
        <v>8.4352479317149687</v>
      </c>
      <c r="GA2631" s="8">
        <v>17.028128884881617</v>
      </c>
      <c r="GB2631" s="8">
        <v>5.5690546534084469</v>
      </c>
      <c r="GC2631" s="8">
        <v>1.0352801961217206</v>
      </c>
      <c r="GD2631" s="8">
        <v>0.98443364211164663</v>
      </c>
      <c r="GE2631" s="8">
        <v>1.7943548775795937</v>
      </c>
      <c r="GF2631" s="8">
        <v>4.9490546580516153</v>
      </c>
      <c r="GG2631" s="8">
        <v>2.749981133775488</v>
      </c>
      <c r="GH2631" s="8">
        <v>0</v>
      </c>
      <c r="GI2631" s="8">
        <v>5.2109104267388853</v>
      </c>
    </row>
    <row r="2632" spans="182:191">
      <c r="FZ2632" s="8">
        <v>6.6588791421532321</v>
      </c>
      <c r="GA2632" s="8">
        <v>17.028128884881617</v>
      </c>
      <c r="GB2632" s="8">
        <v>5.6201946491929435</v>
      </c>
      <c r="GC2632" s="8">
        <v>0.60144312999644245</v>
      </c>
      <c r="GD2632" s="8">
        <v>0.84971004460429433</v>
      </c>
      <c r="GE2632" s="8">
        <v>1.1753968396345553</v>
      </c>
      <c r="GF2632" s="8">
        <v>2.9567199764346643</v>
      </c>
      <c r="GG2632" s="8">
        <v>2.6796696653298739</v>
      </c>
      <c r="GH2632" s="8">
        <v>0.23579423514790807</v>
      </c>
      <c r="GI2632" s="8">
        <v>6.5237762514052982</v>
      </c>
    </row>
    <row r="2633" spans="182:191">
      <c r="FZ2633" s="8">
        <v>7.7650487448798984</v>
      </c>
      <c r="GA2633" s="8">
        <v>10.912919519353935</v>
      </c>
      <c r="GB2633" s="8">
        <v>2.7752015840207438</v>
      </c>
      <c r="GC2633" s="8">
        <v>0.93549928383642578</v>
      </c>
      <c r="GD2633" s="8">
        <v>0.93708199083183319</v>
      </c>
      <c r="GE2633" s="8">
        <v>1.9299872278769354</v>
      </c>
      <c r="GF2633" s="8">
        <v>6.1269108758736639</v>
      </c>
      <c r="GG2633" s="8">
        <v>4.2424746108563749</v>
      </c>
      <c r="GH2633" s="8">
        <v>0.40861888541082891</v>
      </c>
      <c r="GI2633" s="8">
        <v>4.355491812692363</v>
      </c>
    </row>
    <row r="2634" spans="182:191">
      <c r="FZ2634" s="8">
        <v>3.6006105663560986</v>
      </c>
      <c r="GA2634" s="8">
        <v>8.2097133251155068</v>
      </c>
      <c r="GB2634" s="8">
        <v>1.380347830492362</v>
      </c>
      <c r="GC2634" s="8">
        <v>9.4617644305798082E-2</v>
      </c>
      <c r="GD2634" s="8">
        <v>0.11035142975058176</v>
      </c>
      <c r="GE2634" s="8">
        <v>0.17448627166012814</v>
      </c>
      <c r="GF2634" s="8">
        <v>1.7002196505539686</v>
      </c>
      <c r="GG2634" s="8">
        <v>1.5628049455265007</v>
      </c>
      <c r="GH2634" s="8">
        <v>0.3456493005258417</v>
      </c>
      <c r="GI2634" s="8">
        <v>1.9055579970921475</v>
      </c>
    </row>
    <row r="2635" spans="182:191">
      <c r="FZ2635" s="8">
        <v>10.78632873535445</v>
      </c>
      <c r="GA2635" s="8">
        <v>15.35079060875643</v>
      </c>
      <c r="GB2635" s="8">
        <v>3.3403291338627872</v>
      </c>
      <c r="GC2635" s="8">
        <v>0.5056517797750536</v>
      </c>
      <c r="GD2635" s="8">
        <v>0.71060020382532718</v>
      </c>
      <c r="GE2635" s="8">
        <v>0.99571187292957086</v>
      </c>
      <c r="GF2635" s="8">
        <v>1.9945713298359136</v>
      </c>
      <c r="GG2635" s="8">
        <v>1.5628049455265007</v>
      </c>
      <c r="GH2635" s="8">
        <v>0.17282465026292085</v>
      </c>
      <c r="GI2635" s="8">
        <v>4.7080987620676922</v>
      </c>
    </row>
    <row r="2636" spans="182:191">
      <c r="FZ2636" s="8">
        <v>0.93986842251497327</v>
      </c>
      <c r="GA2636" s="8">
        <v>9.6361856385772828</v>
      </c>
      <c r="GB2636" s="8">
        <v>3.4763867451765904</v>
      </c>
      <c r="GC2636" s="8">
        <v>1.1518022189970929</v>
      </c>
      <c r="GD2636" s="8">
        <v>1.4663174618963009</v>
      </c>
      <c r="GE2636" s="8">
        <v>1.8236484473354038</v>
      </c>
      <c r="GF2636" s="8">
        <v>1.333712039131159</v>
      </c>
      <c r="GG2636" s="8">
        <v>0.67140020636133779</v>
      </c>
      <c r="GH2636" s="8">
        <v>0.40861888541082891</v>
      </c>
      <c r="GI2636" s="8">
        <v>4.0062217448134207</v>
      </c>
    </row>
    <row r="2637" spans="182:191">
      <c r="FZ2637" s="8">
        <v>5.2495025356806124</v>
      </c>
      <c r="GA2637" s="8">
        <v>15.852223820459745</v>
      </c>
      <c r="GB2637" s="8">
        <v>3.9672289978048703</v>
      </c>
      <c r="GC2637" s="8">
        <v>0.5151185640155973</v>
      </c>
      <c r="GD2637" s="8">
        <v>0.66413066812853594</v>
      </c>
      <c r="GE2637" s="8">
        <v>1.7279009576784052</v>
      </c>
      <c r="GF2637" s="8">
        <v>2.5328059066757405</v>
      </c>
      <c r="GG2637" s="8">
        <v>1.1168647198033732</v>
      </c>
      <c r="GH2637" s="8">
        <v>0.58144353567374973</v>
      </c>
      <c r="GI2637" s="8">
        <v>4.2141803664515596</v>
      </c>
    </row>
    <row r="2638" spans="182:191">
      <c r="FZ2638" s="8">
        <v>5.6888568468102516</v>
      </c>
      <c r="GA2638" s="8">
        <v>3.2704090240096959</v>
      </c>
      <c r="GB2638" s="8">
        <v>0.10470128806423785</v>
      </c>
      <c r="GC2638" s="8">
        <v>0.70621057799102027</v>
      </c>
      <c r="GD2638" s="8">
        <v>0.68476463652010988</v>
      </c>
      <c r="GE2638" s="8">
        <v>1.3071268316560249</v>
      </c>
      <c r="GF2638" s="8">
        <v>5.4927909076586516</v>
      </c>
      <c r="GG2638" s="8">
        <v>3.818311629430688</v>
      </c>
      <c r="GH2638" s="8">
        <v>0.17282465026292085</v>
      </c>
      <c r="GI2638" s="8">
        <v>2.9655747366096694</v>
      </c>
    </row>
    <row r="2639" spans="182:191">
      <c r="FZ2639" s="8">
        <v>10.15612165304112</v>
      </c>
      <c r="GA2639" s="8">
        <v>20.919216651480202</v>
      </c>
      <c r="GB2639" s="8">
        <v>6.4295373658805222</v>
      </c>
      <c r="GC2639" s="8">
        <v>0.29116795902741438</v>
      </c>
      <c r="GD2639" s="8">
        <v>0.25250162818850569</v>
      </c>
      <c r="GE2639" s="8">
        <v>1.8107544269701721</v>
      </c>
      <c r="GF2639" s="8">
        <v>5.9510541461282562</v>
      </c>
      <c r="GG2639" s="8">
        <v>3.3142913398113123</v>
      </c>
      <c r="GH2639" s="8">
        <v>0.17282465026292085</v>
      </c>
      <c r="GI2639" s="8">
        <v>6.7137269373130533</v>
      </c>
    </row>
    <row r="2640" spans="182:191">
      <c r="FZ2640" s="8">
        <v>6.7165903610795912</v>
      </c>
      <c r="GA2640" s="8">
        <v>11.334260618981871</v>
      </c>
      <c r="GB2640" s="8">
        <v>3.2090262769017874</v>
      </c>
      <c r="GC2640" s="8">
        <v>0.68892248046243421</v>
      </c>
      <c r="GD2640" s="8">
        <v>0.73124392097564694</v>
      </c>
      <c r="GE2640" s="8">
        <v>1.6747464775542367</v>
      </c>
      <c r="GF2640" s="8">
        <v>5.7427162565935852</v>
      </c>
      <c r="GG2640" s="8">
        <v>4.3490888989007974</v>
      </c>
      <c r="GH2640" s="8">
        <v>0.88020735570664521</v>
      </c>
      <c r="GI2640" s="8">
        <v>5.3647727438353403</v>
      </c>
    </row>
    <row r="2641" spans="182:191">
      <c r="FZ2641" s="8">
        <v>10.553267708958245</v>
      </c>
      <c r="GA2641" s="8">
        <v>14.029023814191227</v>
      </c>
      <c r="GB2641" s="8">
        <v>3.3403291338627872</v>
      </c>
      <c r="GC2641" s="8">
        <v>0.63533630560537824</v>
      </c>
      <c r="GD2641" s="8">
        <v>0.99646224340984157</v>
      </c>
      <c r="GE2641" s="8">
        <v>2.0238679886305726</v>
      </c>
      <c r="GF2641" s="8">
        <v>3.5753921860188793</v>
      </c>
      <c r="GG2641" s="8">
        <v>2.4111309083778751</v>
      </c>
      <c r="GH2641" s="8">
        <v>0.64441312055873701</v>
      </c>
      <c r="GI2641" s="8">
        <v>5.7424124918996933</v>
      </c>
    </row>
    <row r="2642" spans="182:191">
      <c r="FZ2642" s="8">
        <v>1.3671683512601061</v>
      </c>
      <c r="GA2642" s="8">
        <v>8.4829463878614408</v>
      </c>
      <c r="GB2642" s="8">
        <v>2.3629820457060489</v>
      </c>
      <c r="GC2642" s="8">
        <v>0.96530447582252688</v>
      </c>
      <c r="GD2642" s="8">
        <v>1.0271938282453785</v>
      </c>
      <c r="GE2642" s="8">
        <v>1.6639586485727396</v>
      </c>
      <c r="GF2642" s="8">
        <v>5.4672979540837616</v>
      </c>
      <c r="GG2642" s="8">
        <v>4.2424746108563749</v>
      </c>
      <c r="GH2642" s="8">
        <v>0.58144353567374973</v>
      </c>
      <c r="GI2642" s="8">
        <v>4.0257468511365504</v>
      </c>
    </row>
    <row r="2643" spans="182:191">
      <c r="FZ2643" s="8">
        <v>11.747682779478165</v>
      </c>
      <c r="GA2643" s="8">
        <v>17.227466527842569</v>
      </c>
      <c r="GB2643" s="8">
        <v>5.6353114060127574</v>
      </c>
      <c r="GC2643" s="8">
        <v>0.20368860856142257</v>
      </c>
      <c r="GD2643" s="8">
        <v>0.57671518755632545</v>
      </c>
      <c r="GE2643" s="8">
        <v>1.2529370307479106</v>
      </c>
      <c r="GF2643" s="8">
        <v>4.5799652733219469</v>
      </c>
      <c r="GG2643" s="8">
        <v>4.1236289182625878</v>
      </c>
      <c r="GH2643" s="8">
        <v>0.40861888541082891</v>
      </c>
      <c r="GI2643" s="8">
        <v>7.3124871203305641</v>
      </c>
    </row>
    <row r="2644" spans="182:191">
      <c r="FZ2644" s="8">
        <v>6.9983139791439992</v>
      </c>
      <c r="GA2644" s="8">
        <v>12.507919376665072</v>
      </c>
      <c r="GB2644" s="8">
        <v>3.3101834588608448</v>
      </c>
      <c r="GC2644" s="8">
        <v>0.39374603794066965</v>
      </c>
      <c r="GD2644" s="8">
        <v>1.0653805476854752</v>
      </c>
      <c r="GE2644" s="8">
        <v>2.4725445317305144</v>
      </c>
      <c r="GF2644" s="8">
        <v>1.963705011142169</v>
      </c>
      <c r="GG2644" s="8">
        <v>1.0955631877870249</v>
      </c>
      <c r="GH2644" s="8">
        <v>1.1628870713474995</v>
      </c>
      <c r="GI2644" s="8">
        <v>4.6180790200581177</v>
      </c>
    </row>
    <row r="2645" spans="182:191">
      <c r="FZ2645" s="8">
        <v>7.9226794379451286</v>
      </c>
      <c r="GA2645" s="8">
        <v>8.1892938181481494</v>
      </c>
      <c r="GB2645" s="8">
        <v>2.8962302771524184</v>
      </c>
      <c r="GC2645" s="8">
        <v>0.42853776563605367</v>
      </c>
      <c r="GD2645" s="8">
        <v>0.64404222898128505</v>
      </c>
      <c r="GE2645" s="8">
        <v>1.7509468700917565</v>
      </c>
      <c r="GF2645" s="8">
        <v>3.4289693801590326</v>
      </c>
      <c r="GG2645" s="8">
        <v>2.2342051518878385</v>
      </c>
      <c r="GH2645" s="8">
        <v>0.23579423514790807</v>
      </c>
      <c r="GI2645" s="8">
        <v>3.8120757183935234</v>
      </c>
    </row>
    <row r="2646" spans="182:191">
      <c r="FZ2646" s="8">
        <v>3.0160603205846201</v>
      </c>
      <c r="GA2646" s="8">
        <v>5.4922843162001209</v>
      </c>
      <c r="GB2646" s="8">
        <v>1.0163239963208099</v>
      </c>
      <c r="GC2646" s="8">
        <v>0.40242829236436128</v>
      </c>
      <c r="GD2646" s="8">
        <v>0.73936338798634194</v>
      </c>
      <c r="GE2646" s="8">
        <v>2.2842971079568688</v>
      </c>
      <c r="GF2646" s="8">
        <v>3.4575990506338137</v>
      </c>
      <c r="GG2646" s="8">
        <v>2.270507971486647</v>
      </c>
      <c r="GH2646" s="8">
        <v>1.288826241117474</v>
      </c>
      <c r="GI2646" s="8">
        <v>3.2378613659148296</v>
      </c>
    </row>
    <row r="2647" spans="182:191">
      <c r="FZ2647" s="8">
        <v>7.7197722843769325</v>
      </c>
      <c r="GA2647" s="8">
        <v>5.8932059088606996</v>
      </c>
      <c r="GB2647" s="8">
        <v>2.7716574779155625</v>
      </c>
      <c r="GC2647" s="8">
        <v>0.93471784282926096</v>
      </c>
      <c r="GD2647" s="8">
        <v>0.97899142277338624</v>
      </c>
      <c r="GE2647" s="8">
        <v>1.8629361371712825</v>
      </c>
      <c r="GF2647" s="8">
        <v>6.4755426854214839</v>
      </c>
      <c r="GG2647" s="8">
        <v>4.6879391242984099</v>
      </c>
      <c r="GH2647" s="8">
        <v>0.40861888541082891</v>
      </c>
      <c r="GI2647" s="8">
        <v>4.4702374473510256</v>
      </c>
    </row>
    <row r="2648" spans="182:191">
      <c r="FZ2648" s="8">
        <v>4.5706328616990799</v>
      </c>
      <c r="GA2648" s="8">
        <v>15.056820841731094</v>
      </c>
      <c r="GB2648" s="8">
        <v>5.1293523965646637</v>
      </c>
      <c r="GC2648" s="8">
        <v>1.0227254907134065</v>
      </c>
      <c r="GD2648" s="8">
        <v>0.80455229985375776</v>
      </c>
      <c r="GE2648" s="8">
        <v>0.82210757279092017</v>
      </c>
      <c r="GF2648" s="8">
        <v>4.3712235692494019</v>
      </c>
      <c r="GG2648" s="8">
        <v>3.0670541148756616</v>
      </c>
      <c r="GH2648" s="8">
        <v>0.17282465026292085</v>
      </c>
      <c r="GI2648" s="8">
        <v>5.0592234013213941</v>
      </c>
    </row>
    <row r="2649" spans="182:191">
      <c r="FZ2649" s="8">
        <v>6.5710140503988672</v>
      </c>
      <c r="GA2649" s="8">
        <v>12.507919376665072</v>
      </c>
      <c r="GB2649" s="8">
        <v>3.3264230252905955</v>
      </c>
      <c r="GC2649" s="8">
        <v>0.34798117637165599</v>
      </c>
      <c r="GD2649" s="8">
        <v>0.9602860823692928</v>
      </c>
      <c r="GE2649" s="8">
        <v>2.0678998619293476</v>
      </c>
      <c r="GF2649" s="8">
        <v>5.3823740350642861</v>
      </c>
      <c r="GG2649" s="8">
        <v>4.9133991049366212</v>
      </c>
      <c r="GH2649" s="8">
        <v>0.70738270544372439</v>
      </c>
      <c r="GI2649" s="8">
        <v>5.2980574817773274</v>
      </c>
    </row>
    <row r="2650" spans="182:191">
      <c r="FZ2650" s="8">
        <v>6.455971988585036</v>
      </c>
      <c r="GA2650" s="8">
        <v>9.0381727096944218</v>
      </c>
      <c r="GB2650" s="8">
        <v>3.0682139112351816</v>
      </c>
      <c r="GC2650" s="8">
        <v>0.8358951038213448</v>
      </c>
      <c r="GD2650" s="8">
        <v>0.86852149805993695</v>
      </c>
      <c r="GE2650" s="8">
        <v>2.2733336162128182</v>
      </c>
      <c r="GF2650" s="8">
        <v>5.0776016620364732</v>
      </c>
      <c r="GG2650" s="8">
        <v>2.4809666645423967</v>
      </c>
      <c r="GH2650" s="8">
        <v>0.81723777082165783</v>
      </c>
      <c r="GI2650" s="8">
        <v>4.2014056727868132</v>
      </c>
    </row>
    <row r="2651" spans="182:191">
      <c r="FZ2651" s="8">
        <v>12.920231852350454</v>
      </c>
      <c r="GA2651" s="8">
        <v>13.975547901373606</v>
      </c>
      <c r="GB2651" s="8">
        <v>1.7233867214393959</v>
      </c>
      <c r="GC2651" s="8">
        <v>0.31753057588811784</v>
      </c>
      <c r="GD2651" s="8">
        <v>0.80126399720652119</v>
      </c>
      <c r="GE2651" s="8">
        <v>2.3378789157950113</v>
      </c>
      <c r="GF2651" s="8">
        <v>1.9668417280420605</v>
      </c>
      <c r="GG2651" s="8">
        <v>0.67140020636133779</v>
      </c>
      <c r="GH2651" s="8">
        <v>0.23579423514790807</v>
      </c>
      <c r="GI2651" s="8">
        <v>4.4649395398098157</v>
      </c>
    </row>
    <row r="2652" spans="182:191">
      <c r="FZ2652" s="8">
        <v>7.0401418583176287</v>
      </c>
      <c r="GA2652" s="8">
        <v>16.179249993335343</v>
      </c>
      <c r="GB2652" s="8">
        <v>5.1876684431972082</v>
      </c>
      <c r="GC2652" s="8">
        <v>0.33890665703953848</v>
      </c>
      <c r="GD2652" s="8">
        <v>0.36744695520945636</v>
      </c>
      <c r="GE2652" s="8">
        <v>0.87734593079873835</v>
      </c>
      <c r="GF2652" s="8">
        <v>3.668151249323826</v>
      </c>
      <c r="GG2652" s="8">
        <v>2.8783726661173508</v>
      </c>
      <c r="GH2652" s="8">
        <v>0.51847395078876257</v>
      </c>
      <c r="GI2652" s="8">
        <v>3.9558216127392045</v>
      </c>
    </row>
    <row r="2653" spans="182:191">
      <c r="FZ2653" s="8">
        <v>2.8222017942745783</v>
      </c>
      <c r="GA2653" s="8">
        <v>3.5436420867556286</v>
      </c>
      <c r="GB2653" s="8">
        <v>0.82679293136495202</v>
      </c>
      <c r="GC2653" s="8">
        <v>0.95752077348528353</v>
      </c>
      <c r="GD2653" s="8">
        <v>0.83503285087151968</v>
      </c>
      <c r="GE2653" s="8">
        <v>1.0867151791236731</v>
      </c>
      <c r="GF2653" s="8">
        <v>5.9623525694914292</v>
      </c>
      <c r="GG2653" s="8">
        <v>4.5110133678083741</v>
      </c>
      <c r="GH2653" s="8">
        <v>0</v>
      </c>
      <c r="GI2653" s="8">
        <v>3.3936914273161265</v>
      </c>
    </row>
    <row r="2654" spans="182:191">
      <c r="FZ2654" s="8">
        <v>3.882334184420507</v>
      </c>
      <c r="GA2654" s="8">
        <v>10.337273690553594</v>
      </c>
      <c r="GB2654" s="8">
        <v>2.8926861710472371</v>
      </c>
      <c r="GC2654" s="8">
        <v>0.39374603794066965</v>
      </c>
      <c r="GD2654" s="8">
        <v>0.3378674423085391</v>
      </c>
      <c r="GE2654" s="8">
        <v>1.3020918119148961</v>
      </c>
      <c r="GF2654" s="8">
        <v>4.2998139757267975</v>
      </c>
      <c r="GG2654" s="8">
        <v>2.8080611976717367</v>
      </c>
      <c r="GH2654" s="8">
        <v>0.40861888541082891</v>
      </c>
      <c r="GI2654" s="8">
        <v>3.1093138258317818</v>
      </c>
    </row>
    <row r="2655" spans="182:191">
      <c r="FZ2655" s="8">
        <v>10.098410434114763</v>
      </c>
      <c r="GA2655" s="8">
        <v>12.855365056508028</v>
      </c>
      <c r="GB2655" s="8">
        <v>3.3101834588608448</v>
      </c>
      <c r="GC2655" s="8">
        <v>0.76298618438446286</v>
      </c>
      <c r="GD2655" s="8">
        <v>0.65638151636128017</v>
      </c>
      <c r="GE2655" s="8">
        <v>0.54836868764634539</v>
      </c>
      <c r="GF2655" s="8">
        <v>6.1169594208781799</v>
      </c>
      <c r="GG2655" s="8">
        <v>5.6278780876117471</v>
      </c>
      <c r="GH2655" s="8">
        <v>0.40861888541082891</v>
      </c>
      <c r="GI2655" s="8">
        <v>4.7151385510273434</v>
      </c>
    </row>
    <row r="2656" spans="182:191">
      <c r="FZ2656" s="8">
        <v>6.1161567755553836</v>
      </c>
      <c r="GA2656" s="8">
        <v>8.0103756821545531</v>
      </c>
      <c r="GB2656" s="8">
        <v>1.314091077888051</v>
      </c>
      <c r="GC2656" s="8">
        <v>0.37993812648828046</v>
      </c>
      <c r="GD2656" s="8">
        <v>0.62455058376558537</v>
      </c>
      <c r="GE2656" s="8">
        <v>2.0086470974166986</v>
      </c>
      <c r="GF2656" s="8">
        <v>3.2516515393807728</v>
      </c>
      <c r="GG2656" s="8">
        <v>1.3641019447390237</v>
      </c>
      <c r="GH2656" s="8">
        <v>0.40861888541082891</v>
      </c>
      <c r="GI2656" s="8">
        <v>4.0652952773897191</v>
      </c>
    </row>
    <row r="2657" spans="182:191">
      <c r="FZ2657" s="8">
        <v>12.186656714568917</v>
      </c>
      <c r="GA2657" s="8">
        <v>4.5921758185748986</v>
      </c>
      <c r="GB2657" s="8">
        <v>0.22564214255822629</v>
      </c>
      <c r="GC2657" s="8">
        <v>0.67421601692359678</v>
      </c>
      <c r="GD2657" s="8">
        <v>1.011626796251714</v>
      </c>
      <c r="GE2657" s="8">
        <v>2.1856359026880221</v>
      </c>
      <c r="GF2657" s="8">
        <v>2.8789759370569445</v>
      </c>
      <c r="GG2657" s="8">
        <v>1.4924934770808866</v>
      </c>
      <c r="GH2657" s="8">
        <v>0.23579423514790807</v>
      </c>
      <c r="GI2657" s="8">
        <v>3.4665263205444048</v>
      </c>
    </row>
    <row r="2658" spans="182:191">
      <c r="FZ2658" s="8">
        <v>5.6892372228491359</v>
      </c>
      <c r="GA2658" s="8">
        <v>7.3092876301782415</v>
      </c>
      <c r="GB2658" s="8">
        <v>2.1757844386077494</v>
      </c>
      <c r="GC2658" s="8">
        <v>0.67550683391847099</v>
      </c>
      <c r="GD2658" s="8">
        <v>0.47207006570123172</v>
      </c>
      <c r="GE2658" s="8">
        <v>1.4257297311906303</v>
      </c>
      <c r="GF2658" s="8">
        <v>3.6833810153690543</v>
      </c>
      <c r="GG2658" s="8">
        <v>1.5628049455265007</v>
      </c>
      <c r="GH2658" s="8">
        <v>0.17282465026292085</v>
      </c>
      <c r="GI2658" s="8">
        <v>3.4087979985734189</v>
      </c>
    </row>
    <row r="2659" spans="182:191">
      <c r="FZ2659" s="8">
        <v>6.7743015800059485</v>
      </c>
      <c r="GA2659" s="8">
        <v>8.0103756821545531</v>
      </c>
      <c r="GB2659" s="8">
        <v>1.626984293833142</v>
      </c>
      <c r="GC2659" s="8">
        <v>0.88332103705352727</v>
      </c>
      <c r="GD2659" s="8">
        <v>0.84158560989668774</v>
      </c>
      <c r="GE2659" s="8">
        <v>1.5266177465379862</v>
      </c>
      <c r="GF2659" s="8">
        <v>2.6853102689669601</v>
      </c>
      <c r="GG2659" s="8">
        <v>1.3155677205908503</v>
      </c>
      <c r="GH2659" s="8">
        <v>0</v>
      </c>
      <c r="GI2659" s="8">
        <v>4.5388959772449073</v>
      </c>
    </row>
    <row r="2660" spans="182:191">
      <c r="FZ2660" s="8">
        <v>0</v>
      </c>
      <c r="GA2660" s="8">
        <v>5.8932059088606996</v>
      </c>
      <c r="GB2660" s="8">
        <v>2.9148911400774136</v>
      </c>
      <c r="GC2660" s="8">
        <v>0.77206070371658042</v>
      </c>
      <c r="GD2660" s="8">
        <v>0.60742621212575321</v>
      </c>
      <c r="GE2660" s="8">
        <v>0.61669496681421598</v>
      </c>
      <c r="GF2660" s="8">
        <v>1.6512178313378361</v>
      </c>
      <c r="GG2660" s="8">
        <v>1.5410277012290603</v>
      </c>
      <c r="GH2660" s="8">
        <v>0.47158847029581613</v>
      </c>
      <c r="GI2660" s="8">
        <v>2.4203084408496482</v>
      </c>
    </row>
    <row r="2661" spans="182:191">
      <c r="FZ2661" s="8">
        <v>1.3094571323337481</v>
      </c>
      <c r="GA2661" s="8">
        <v>26.11977750739366</v>
      </c>
      <c r="GB2661" s="8">
        <v>10.443742042022878</v>
      </c>
      <c r="GC2661" s="8">
        <v>1.0374319542522439</v>
      </c>
      <c r="GD2661" s="8">
        <v>0.99793686618114541</v>
      </c>
      <c r="GE2661" s="8">
        <v>1.6176206475341897</v>
      </c>
      <c r="GF2661" s="8">
        <v>1.9062985528060545</v>
      </c>
      <c r="GG2661" s="8">
        <v>0.42416298142568709</v>
      </c>
      <c r="GH2661" s="8">
        <v>0.40861888541082891</v>
      </c>
      <c r="GI2661" s="8">
        <v>4.6635617798974902</v>
      </c>
    </row>
    <row r="2662" spans="182:191">
      <c r="FZ2662" s="8">
        <v>3.1155994186846074</v>
      </c>
      <c r="GA2662" s="8">
        <v>9.3629525758313488</v>
      </c>
      <c r="GB2662" s="8">
        <v>2.8216746640901231</v>
      </c>
      <c r="GC2662" s="8">
        <v>1.0264212094278151</v>
      </c>
      <c r="GD2662" s="8">
        <v>1.2585243463747842</v>
      </c>
      <c r="GE2662" s="8">
        <v>2.0770703120679812</v>
      </c>
      <c r="GF2662" s="8">
        <v>5.4927909076586516</v>
      </c>
      <c r="GG2662" s="8">
        <v>3.9952373859207246</v>
      </c>
      <c r="GH2662" s="8">
        <v>0.58144353567374973</v>
      </c>
      <c r="GI2662" s="8">
        <v>4.0315617294237533</v>
      </c>
    </row>
    <row r="2663" spans="182:191">
      <c r="FZ2663" s="8">
        <v>4.4250565510183559</v>
      </c>
      <c r="GA2663" s="8">
        <v>12.507919376665072</v>
      </c>
      <c r="GB2663" s="8">
        <v>3.5881762454511898</v>
      </c>
      <c r="GC2663" s="8">
        <v>1.1365674580401017</v>
      </c>
      <c r="GD2663" s="8">
        <v>0.70137497818955863</v>
      </c>
      <c r="GE2663" s="8">
        <v>0.18182741914103173</v>
      </c>
      <c r="GF2663" s="8">
        <v>1.5418069960091301</v>
      </c>
      <c r="GG2663" s="8">
        <v>1.4924934770808866</v>
      </c>
      <c r="GH2663" s="8">
        <v>0.40861888541082891</v>
      </c>
      <c r="GI2663" s="8">
        <v>3.2488233592899487</v>
      </c>
    </row>
    <row r="2664" spans="182:191">
      <c r="FZ2664" s="8">
        <v>9.2735840734136197</v>
      </c>
      <c r="GA2664" s="8">
        <v>11.628230386007207</v>
      </c>
      <c r="GB2664" s="8">
        <v>1.5397332204462773</v>
      </c>
      <c r="GC2664" s="8">
        <v>0.5043609627801795</v>
      </c>
      <c r="GD2664" s="8">
        <v>0.43471564798962203</v>
      </c>
      <c r="GE2664" s="8">
        <v>0.94856518246958921</v>
      </c>
      <c r="GF2664" s="8">
        <v>0.90822780640396039</v>
      </c>
      <c r="GG2664" s="8">
        <v>0.353851512980073</v>
      </c>
      <c r="GH2664" s="8">
        <v>0.64441312055873701</v>
      </c>
      <c r="GI2664" s="8">
        <v>3.3848187924948103</v>
      </c>
    </row>
    <row r="2665" spans="182:191">
      <c r="FZ2665" s="8">
        <v>0.48501114767149078</v>
      </c>
      <c r="GA2665" s="8">
        <v>2.3699833290724288</v>
      </c>
      <c r="GB2665" s="8">
        <v>0.96993875488911663</v>
      </c>
      <c r="GC2665" s="8">
        <v>0.94917116277908742</v>
      </c>
      <c r="GD2665" s="8">
        <v>0.82242626427641774</v>
      </c>
      <c r="GE2665" s="8">
        <v>1.9333135636551095</v>
      </c>
      <c r="GF2665" s="8">
        <v>3.8742301515759117</v>
      </c>
      <c r="GG2665" s="8">
        <v>1.7397307020165371</v>
      </c>
      <c r="GH2665" s="8">
        <v>0.23579423514790807</v>
      </c>
      <c r="GI2665" s="8">
        <v>2.262458224567335</v>
      </c>
    </row>
    <row r="2666" spans="182:191">
      <c r="FZ2666" s="8">
        <v>4.9518955778634757</v>
      </c>
      <c r="GA2666" s="8">
        <v>15.424686028541409</v>
      </c>
      <c r="GB2666" s="8">
        <v>4.1032866091186735</v>
      </c>
      <c r="GC2666" s="8">
        <v>1.0004884684263367</v>
      </c>
      <c r="GD2666" s="8">
        <v>1.0525580407261892</v>
      </c>
      <c r="GE2666" s="8">
        <v>1.9587043699371487</v>
      </c>
      <c r="GF2666" s="8">
        <v>4.3557758106186046</v>
      </c>
      <c r="GG2666" s="8">
        <v>2.3743523764979746</v>
      </c>
      <c r="GH2666" s="8">
        <v>0</v>
      </c>
      <c r="GI2666" s="8">
        <v>4.1226468669270151</v>
      </c>
    </row>
    <row r="2667" spans="182:191">
      <c r="FZ2667" s="8">
        <v>1.4550334430144727</v>
      </c>
      <c r="GA2667" s="8">
        <v>0.3986752859219066</v>
      </c>
      <c r="GB2667" s="8">
        <v>0.42795650647634031</v>
      </c>
      <c r="GC2667" s="8">
        <v>0.71180491124694123</v>
      </c>
      <c r="GD2667" s="8">
        <v>0.97669569020034563</v>
      </c>
      <c r="GE2667" s="8">
        <v>1.9956173456111455</v>
      </c>
      <c r="GF2667" s="8">
        <v>5.6357850021405422</v>
      </c>
      <c r="GG2667" s="8">
        <v>4.644860347984622</v>
      </c>
      <c r="GH2667" s="8">
        <v>1.1160015908545531</v>
      </c>
      <c r="GI2667" s="8">
        <v>3.6184054805830916</v>
      </c>
    </row>
    <row r="2668" spans="182:191">
      <c r="FZ2668" s="8">
        <v>1.0854447331956976</v>
      </c>
      <c r="GA2668" s="8">
        <v>10.832510209966511</v>
      </c>
      <c r="GB2668" s="8">
        <v>4.0671755315163045</v>
      </c>
      <c r="GC2668" s="8">
        <v>0.69799699979455176</v>
      </c>
      <c r="GD2668" s="8">
        <v>0.71629823804319703</v>
      </c>
      <c r="GE2668" s="8">
        <v>2.0097896797253156</v>
      </c>
      <c r="GF2668" s="8">
        <v>5.5440266069693607</v>
      </c>
      <c r="GG2668" s="8">
        <v>3.4209056278557344</v>
      </c>
      <c r="GH2668" s="8">
        <v>0.64441312055873701</v>
      </c>
      <c r="GI2668" s="8">
        <v>4.5558862314349922</v>
      </c>
    </row>
    <row r="2669" spans="182:191">
      <c r="FZ2669" s="8">
        <v>10.396017391931899</v>
      </c>
      <c r="GA2669" s="8">
        <v>13.681578134348271</v>
      </c>
      <c r="GB2669" s="8">
        <v>3.3914691296472839</v>
      </c>
      <c r="GC2669" s="8">
        <v>1.0290028434175635</v>
      </c>
      <c r="GD2669" s="8">
        <v>0.93144496239524877</v>
      </c>
      <c r="GE2669" s="8">
        <v>1.3370325527363027</v>
      </c>
      <c r="GF2669" s="8">
        <v>1.3839351200741341</v>
      </c>
      <c r="GG2669" s="8">
        <v>0.53077726947010961</v>
      </c>
      <c r="GH2669" s="8">
        <v>0.70738270544372439</v>
      </c>
      <c r="GI2669" s="8">
        <v>4.7884698663806278</v>
      </c>
    </row>
    <row r="2670" spans="182:191">
      <c r="FZ2670" s="8">
        <v>9.8163064400114681</v>
      </c>
      <c r="GA2670" s="8">
        <v>26.33985185463402</v>
      </c>
      <c r="GB2670" s="8">
        <v>7.929083029915108</v>
      </c>
      <c r="GC2670" s="8">
        <v>0.24579536236682664</v>
      </c>
      <c r="GD2670" s="8">
        <v>1.0270256979375445</v>
      </c>
      <c r="GE2670" s="8">
        <v>2.6441438664488821</v>
      </c>
      <c r="GF2670" s="8">
        <v>2.3016574363258737</v>
      </c>
      <c r="GG2670" s="8">
        <v>1.2937904762934096</v>
      </c>
      <c r="GH2670" s="8">
        <v>0.64441312055873701</v>
      </c>
      <c r="GI2670" s="8">
        <v>6.4821577924403107</v>
      </c>
    </row>
    <row r="2671" spans="182:191">
      <c r="FZ2671" s="8">
        <v>3.1159797947234926</v>
      </c>
      <c r="GA2671" s="8">
        <v>4.9393043011058113</v>
      </c>
      <c r="GB2671" s="8">
        <v>1.5723001919434647</v>
      </c>
      <c r="GC2671" s="8">
        <v>0.69150411445218263</v>
      </c>
      <c r="GD2671" s="8">
        <v>0.97981828673483085</v>
      </c>
      <c r="GE2671" s="8">
        <v>1.7409737660929108</v>
      </c>
      <c r="GF2671" s="8">
        <v>4.2232946958273043</v>
      </c>
      <c r="GG2671" s="8">
        <v>3.597831384345771</v>
      </c>
      <c r="GH2671" s="8">
        <v>0.70738270544372439</v>
      </c>
      <c r="GI2671" s="8">
        <v>4.4955292844154773</v>
      </c>
    </row>
    <row r="2672" spans="182:191">
      <c r="FZ2672" s="8">
        <v>3.5428993474297403</v>
      </c>
      <c r="GA2672" s="8">
        <v>22.921334793742322</v>
      </c>
      <c r="GB2672" s="8">
        <v>8.0290295636265423</v>
      </c>
      <c r="GC2672" s="8">
        <v>0.72087943057905879</v>
      </c>
      <c r="GD2672" s="8">
        <v>1.1985852016140559</v>
      </c>
      <c r="GE2672" s="8">
        <v>2.2089428310864121</v>
      </c>
      <c r="GF2672" s="8">
        <v>4.9334155043955903</v>
      </c>
      <c r="GG2672" s="8">
        <v>3.6196086286432112</v>
      </c>
      <c r="GH2672" s="8">
        <v>0.40861888541082891</v>
      </c>
      <c r="GI2672" s="8">
        <v>6.4690829651294797</v>
      </c>
    </row>
    <row r="2673" spans="182:191">
      <c r="FZ2673" s="8">
        <v>2.2334422150959923</v>
      </c>
      <c r="GA2673" s="8">
        <v>32.181510960103722</v>
      </c>
      <c r="GB2673" s="8">
        <v>11.549641192030075</v>
      </c>
      <c r="GC2673" s="8">
        <v>0.61309928331830843</v>
      </c>
      <c r="GD2673" s="8">
        <v>0.8059065567239827</v>
      </c>
      <c r="GE2673" s="8">
        <v>1.542208201309234</v>
      </c>
      <c r="GF2673" s="8">
        <v>3.1377544177769785</v>
      </c>
      <c r="GG2673" s="8">
        <v>1.9869679269521878</v>
      </c>
      <c r="GH2673" s="8">
        <v>0.40861888541082891</v>
      </c>
      <c r="GI2673" s="8">
        <v>5.8333587941234137</v>
      </c>
    </row>
    <row r="2674" spans="182:191">
      <c r="FZ2674" s="8">
        <v>3.6466477789368357</v>
      </c>
      <c r="GA2674" s="8">
        <v>12.58181479645005</v>
      </c>
      <c r="GB2674" s="8">
        <v>3.8974281390953784</v>
      </c>
      <c r="GC2674" s="8">
        <v>0.38402611011111509</v>
      </c>
      <c r="GD2674" s="8">
        <v>0.62744525025023334</v>
      </c>
      <c r="GE2674" s="8">
        <v>1.6105344804771042</v>
      </c>
      <c r="GF2674" s="8">
        <v>2.7797510368978373</v>
      </c>
      <c r="GG2674" s="8">
        <v>1.6113391696746744</v>
      </c>
      <c r="GH2674" s="8">
        <v>0.23579423514790807</v>
      </c>
      <c r="GI2674" s="8">
        <v>3.9518786941642761</v>
      </c>
    </row>
    <row r="2675" spans="182:191">
      <c r="FZ2675" s="8">
        <v>1.7944682800052389</v>
      </c>
      <c r="GA2675" s="8">
        <v>3.3443044437946754</v>
      </c>
      <c r="GB2675" s="8">
        <v>0.76174682700826335</v>
      </c>
      <c r="GC2675" s="8">
        <v>0.37559699927643453</v>
      </c>
      <c r="GD2675" s="8">
        <v>0.44318983767455844</v>
      </c>
      <c r="GE2675" s="8">
        <v>1.0987243176929284</v>
      </c>
      <c r="GF2675" s="8">
        <v>2.0224323226288119</v>
      </c>
      <c r="GG2675" s="8">
        <v>1.1168647198033732</v>
      </c>
      <c r="GH2675" s="8">
        <v>0.23579423514790807</v>
      </c>
      <c r="GI2675" s="8">
        <v>1.9251808345558818</v>
      </c>
    </row>
    <row r="2676" spans="182:191">
      <c r="FZ2676" s="8">
        <v>6.7580378642143346</v>
      </c>
      <c r="GA2676" s="8">
        <v>9.2582470569347777</v>
      </c>
      <c r="GB2676" s="8">
        <v>0.76053617876064095</v>
      </c>
      <c r="GC2676" s="8">
        <v>0.3021787038518432</v>
      </c>
      <c r="GD2676" s="8">
        <v>0.92323034924755121</v>
      </c>
      <c r="GE2676" s="8">
        <v>2.3140387485355203</v>
      </c>
      <c r="GF2676" s="8">
        <v>4.0999030643757299</v>
      </c>
      <c r="GG2676" s="8">
        <v>2.9269068902655246</v>
      </c>
      <c r="GH2676" s="8">
        <v>0.40861888541082891</v>
      </c>
      <c r="GI2676" s="8">
        <v>3.7308027383023017</v>
      </c>
    </row>
    <row r="2677" spans="182:191">
      <c r="FZ2677" s="8">
        <v>4.5245956491183428</v>
      </c>
      <c r="GA2677" s="8">
        <v>10.884057013357506</v>
      </c>
      <c r="GB2677" s="8">
        <v>2.9228318460491804</v>
      </c>
      <c r="GC2677" s="8">
        <v>0.69735159129711466</v>
      </c>
      <c r="GD2677" s="8">
        <v>0.95021156969326781</v>
      </c>
      <c r="GE2677" s="8">
        <v>1.8199033236041404</v>
      </c>
      <c r="GF2677" s="8">
        <v>5.5089077525476462</v>
      </c>
      <c r="GG2677" s="8">
        <v>4.5963261238364481</v>
      </c>
      <c r="GH2677" s="8">
        <v>0.70738270544372439</v>
      </c>
      <c r="GI2677" s="8">
        <v>4.1937158218361743</v>
      </c>
    </row>
    <row r="2678" spans="182:191">
      <c r="FZ2678" s="8">
        <v>13.156298633873011</v>
      </c>
      <c r="GA2678" s="8">
        <v>15.171872472762837</v>
      </c>
      <c r="GB2678" s="8">
        <v>2.1920240050374997</v>
      </c>
      <c r="GC2678" s="8">
        <v>0.88177707646964198</v>
      </c>
      <c r="GD2678" s="8">
        <v>0.80845810417663277</v>
      </c>
      <c r="GE2678" s="8">
        <v>1.276791905555049</v>
      </c>
      <c r="GF2678" s="8">
        <v>4.4607229771379977</v>
      </c>
      <c r="GG2678" s="8">
        <v>3.4794614040330742</v>
      </c>
      <c r="GH2678" s="8">
        <v>0.81723777082165783</v>
      </c>
      <c r="GI2678" s="8">
        <v>5.3981544116508804</v>
      </c>
    </row>
    <row r="2679" spans="182:191">
      <c r="FZ2679" s="8">
        <v>6.0071864382311642</v>
      </c>
      <c r="GA2679" s="8">
        <v>11.26036519919689</v>
      </c>
      <c r="GB2679" s="8">
        <v>2.6006994372470138</v>
      </c>
      <c r="GC2679" s="8">
        <v>0.93051274812714291</v>
      </c>
      <c r="GD2679" s="8">
        <v>1.2264697707370373</v>
      </c>
      <c r="GE2679" s="8">
        <v>1.5224823161404815</v>
      </c>
      <c r="GF2679" s="8">
        <v>3.1192987322378265</v>
      </c>
      <c r="GG2679" s="8">
        <v>2.8565954218199106</v>
      </c>
      <c r="GH2679" s="8">
        <v>0.47158847029581613</v>
      </c>
      <c r="GI2679" s="8">
        <v>4.7100069047042084</v>
      </c>
    </row>
    <row r="2680" spans="182:191">
      <c r="FZ2680" s="8">
        <v>4.9677789176162044</v>
      </c>
      <c r="GA2680" s="8">
        <v>18.201787642564817</v>
      </c>
      <c r="GB2680" s="8">
        <v>5.6004109766580115</v>
      </c>
      <c r="GC2680" s="8">
        <v>0.71309572824181544</v>
      </c>
      <c r="GD2680" s="8">
        <v>0.76792933885394943</v>
      </c>
      <c r="GE2680" s="8">
        <v>1.2367162694066058</v>
      </c>
      <c r="GF2680" s="8">
        <v>6.8800748857431699</v>
      </c>
      <c r="GG2680" s="8">
        <v>5.6278780876117471</v>
      </c>
      <c r="GH2680" s="8">
        <v>0.40861888541082891</v>
      </c>
      <c r="GI2680" s="8">
        <v>5.2169181910871165</v>
      </c>
    </row>
    <row r="2681" spans="182:191">
      <c r="FZ2681" s="8">
        <v>11.068432729457744</v>
      </c>
      <c r="GA2681" s="8">
        <v>9.53148011968071</v>
      </c>
      <c r="GB2681" s="8">
        <v>1.4501486892018538</v>
      </c>
      <c r="GC2681" s="8">
        <v>0.60402476398619087</v>
      </c>
      <c r="GD2681" s="8">
        <v>0.77601519085908266</v>
      </c>
      <c r="GE2681" s="8">
        <v>1.2214802654471855</v>
      </c>
      <c r="GF2681" s="8">
        <v>2.2665609209677822</v>
      </c>
      <c r="GG2681" s="8">
        <v>1.6113391696746744</v>
      </c>
      <c r="GH2681" s="8">
        <v>0.58144353567374973</v>
      </c>
      <c r="GI2681" s="8">
        <v>4.9116190655402665</v>
      </c>
    </row>
    <row r="2682" spans="182:191">
      <c r="FZ2682" s="8">
        <v>0.65814480445056478</v>
      </c>
      <c r="GA2682" s="8">
        <v>2.7686586149943353</v>
      </c>
      <c r="GB2682" s="8">
        <v>1.0152011867108739</v>
      </c>
      <c r="GC2682" s="8">
        <v>0.7174368554536612</v>
      </c>
      <c r="GD2682" s="8">
        <v>1.6796032360197135</v>
      </c>
      <c r="GE2682" s="8">
        <v>3.2699299657404666</v>
      </c>
      <c r="GF2682" s="8">
        <v>4.1959912476349466</v>
      </c>
      <c r="GG2682" s="8">
        <v>3.0552984226073874</v>
      </c>
      <c r="GH2682" s="8">
        <v>0.58144353567374973</v>
      </c>
      <c r="GI2682" s="8">
        <v>3.7799098338619874</v>
      </c>
    </row>
    <row r="2683" spans="182:191">
      <c r="FZ2683" s="8">
        <v>7.3958404111000089</v>
      </c>
      <c r="GA2683" s="8">
        <v>13.535716404204939</v>
      </c>
      <c r="GB2683" s="8">
        <v>5.2923697312614459</v>
      </c>
      <c r="GC2683" s="8">
        <v>0.78612175875798085</v>
      </c>
      <c r="GD2683" s="8">
        <v>0.85263190730038341</v>
      </c>
      <c r="GE2683" s="8">
        <v>1.346932374635103</v>
      </c>
      <c r="GF2683" s="8">
        <v>2.7252503130388828</v>
      </c>
      <c r="GG2683" s="8">
        <v>1.8100421704621514</v>
      </c>
      <c r="GH2683" s="8">
        <v>0.3456493005258417</v>
      </c>
      <c r="GI2683" s="8">
        <v>4.436331963907687</v>
      </c>
    </row>
    <row r="2684" spans="182:191">
      <c r="FZ2684" s="8">
        <v>5.2917107908931271</v>
      </c>
      <c r="GA2684" s="8">
        <v>15.099906162404483</v>
      </c>
      <c r="GB2684" s="8">
        <v>4.4358662814029737</v>
      </c>
      <c r="GC2684" s="8">
        <v>0.36828197316641448</v>
      </c>
      <c r="GD2684" s="8">
        <v>0.87739533098608913</v>
      </c>
      <c r="GE2684" s="8">
        <v>2.1414252413399733</v>
      </c>
      <c r="GF2684" s="8">
        <v>2.5401979274279887</v>
      </c>
      <c r="GG2684" s="8">
        <v>1.4924934770808866</v>
      </c>
      <c r="GH2684" s="8">
        <v>0.40861888541082891</v>
      </c>
      <c r="GI2684" s="8">
        <v>5.4040620175635414</v>
      </c>
    </row>
    <row r="2685" spans="182:191">
      <c r="FZ2685" s="8">
        <v>7.8649682190187704</v>
      </c>
      <c r="GA2685" s="8">
        <v>19.377692706986693</v>
      </c>
      <c r="GB2685" s="8">
        <v>7.4441183412495677</v>
      </c>
      <c r="GC2685" s="8">
        <v>0.68199971926084013</v>
      </c>
      <c r="GD2685" s="8">
        <v>0.9617500072678955</v>
      </c>
      <c r="GE2685" s="8">
        <v>1.3183121680583016</v>
      </c>
      <c r="GF2685" s="8">
        <v>3.3878027052283723</v>
      </c>
      <c r="GG2685" s="8">
        <v>2.8198168899400109</v>
      </c>
      <c r="GH2685" s="8">
        <v>0.51847395078876257</v>
      </c>
      <c r="GI2685" s="8">
        <v>6.2961840401014522</v>
      </c>
    </row>
    <row r="2686" spans="182:191">
      <c r="FZ2686" s="8">
        <v>8.5227326474304501</v>
      </c>
      <c r="GA2686" s="8">
        <v>11.659040485118798</v>
      </c>
      <c r="GB2686" s="8">
        <v>2.8054350976603724</v>
      </c>
      <c r="GC2686" s="8">
        <v>1.5871456347554573</v>
      </c>
      <c r="GD2686" s="8">
        <v>1.7263109758752437</v>
      </c>
      <c r="GE2686" s="8">
        <v>2.1322699039468862</v>
      </c>
      <c r="GF2686" s="8">
        <v>5.082654842138564</v>
      </c>
      <c r="GG2686" s="8">
        <v>3.4426828721531746</v>
      </c>
      <c r="GH2686" s="8">
        <v>0</v>
      </c>
      <c r="GI2686" s="8">
        <v>5.1128623733224261</v>
      </c>
    </row>
    <row r="2687" spans="182:191">
      <c r="FZ2687" s="8">
        <v>3.6006105663560986</v>
      </c>
      <c r="GA2687" s="8">
        <v>11.533598261942824</v>
      </c>
      <c r="GB2687" s="8">
        <v>3.2403826001513529</v>
      </c>
      <c r="GC2687" s="8">
        <v>0.19117151410390748</v>
      </c>
      <c r="GD2687" s="8">
        <v>0.99800652831655667</v>
      </c>
      <c r="GE2687" s="8">
        <v>2.5590845502011472</v>
      </c>
      <c r="GF2687" s="8">
        <v>5.8588500264163414</v>
      </c>
      <c r="GG2687" s="8">
        <v>4.6879391242984099</v>
      </c>
      <c r="GH2687" s="8">
        <v>0.40861888541082891</v>
      </c>
      <c r="GI2687" s="8">
        <v>5.0520572713359106</v>
      </c>
    </row>
    <row r="2688" spans="182:191">
      <c r="FZ2688" s="8">
        <v>2.2493255548487214</v>
      </c>
      <c r="GA2688" s="8">
        <v>4.717300844438828</v>
      </c>
      <c r="GB2688" s="8">
        <v>1.0825807489251211</v>
      </c>
      <c r="GC2688" s="8">
        <v>0.22876040842725187</v>
      </c>
      <c r="GD2688" s="8">
        <v>0.49576298349971176</v>
      </c>
      <c r="GE2688" s="8">
        <v>1.3328389529842992</v>
      </c>
      <c r="GF2688" s="8">
        <v>4.3167228453904478</v>
      </c>
      <c r="GG2688" s="8">
        <v>3.7965343851332478</v>
      </c>
      <c r="GH2688" s="8">
        <v>0.81723777082165783</v>
      </c>
      <c r="GI2688" s="8">
        <v>3.5516831874316983</v>
      </c>
    </row>
    <row r="2689" spans="182:191">
      <c r="FZ2689" s="8">
        <v>2.8338758006201989</v>
      </c>
      <c r="GA2689" s="8">
        <v>7.9899561751871957</v>
      </c>
      <c r="GB2689" s="8">
        <v>2.5694309526351349</v>
      </c>
      <c r="GC2689" s="8">
        <v>0.56579046116540943</v>
      </c>
      <c r="GD2689" s="8">
        <v>0.61775175861955356</v>
      </c>
      <c r="GE2689" s="8">
        <v>1.3153761389463692</v>
      </c>
      <c r="GF2689" s="8">
        <v>3.5513707323064949</v>
      </c>
      <c r="GG2689" s="8">
        <v>2.3040409080523605</v>
      </c>
      <c r="GH2689" s="8">
        <v>0.23579423514790807</v>
      </c>
      <c r="GI2689" s="8">
        <v>2.7608530351135268</v>
      </c>
    </row>
    <row r="2690" spans="182:191">
      <c r="FZ2690" s="8">
        <v>4.8802942019007229</v>
      </c>
      <c r="GA2690" s="8">
        <v>13.336378761243985</v>
      </c>
      <c r="GB2690" s="8">
        <v>5.1514695269571531</v>
      </c>
      <c r="GC2690" s="8">
        <v>0.25598396642360449</v>
      </c>
      <c r="GD2690" s="8">
        <v>0.40083027580912067</v>
      </c>
      <c r="GE2690" s="8">
        <v>1.2058898106759375</v>
      </c>
      <c r="GF2690" s="8">
        <v>2.4486852330378936</v>
      </c>
      <c r="GG2690" s="8">
        <v>1.7397307020165371</v>
      </c>
      <c r="GH2690" s="8">
        <v>0.23579423514790807</v>
      </c>
      <c r="GI2690" s="8">
        <v>4.4483452406679245</v>
      </c>
    </row>
    <row r="2691" spans="182:191">
      <c r="FZ2691" s="8">
        <v>9.6711105053696294</v>
      </c>
      <c r="GA2691" s="8">
        <v>7.5601720765301881</v>
      </c>
      <c r="GB2691" s="8">
        <v>1.1524694462722993</v>
      </c>
      <c r="GC2691" s="8">
        <v>0.61180846632343422</v>
      </c>
      <c r="GD2691" s="8">
        <v>0.39682906423660252</v>
      </c>
      <c r="GE2691" s="8">
        <v>0.77307341031870958</v>
      </c>
      <c r="GF2691" s="8">
        <v>3.0342518747018916</v>
      </c>
      <c r="GG2691" s="8">
        <v>1.9869679269521878</v>
      </c>
      <c r="GH2691" s="8">
        <v>0.58144353567374973</v>
      </c>
      <c r="GI2691" s="8">
        <v>3.2540186061879344</v>
      </c>
    </row>
    <row r="2692" spans="182:191">
      <c r="FZ2692" s="8">
        <v>6.455971988585036</v>
      </c>
      <c r="GA2692" s="8">
        <v>12.362057646521739</v>
      </c>
      <c r="GB2692" s="8">
        <v>4.9643597584965402</v>
      </c>
      <c r="GC2692" s="8">
        <v>0.90049202350282975</v>
      </c>
      <c r="GD2692" s="8">
        <v>1.0359140840511787</v>
      </c>
      <c r="GE2692" s="8">
        <v>1.6290760771058315</v>
      </c>
      <c r="GF2692" s="8">
        <v>2.5206523711610389</v>
      </c>
      <c r="GG2692" s="8">
        <v>1.3641019447390237</v>
      </c>
      <c r="GH2692" s="8">
        <v>0.75426818593667067</v>
      </c>
      <c r="GI2692" s="8">
        <v>4.8816874860303257</v>
      </c>
    </row>
    <row r="2693" spans="182:191">
      <c r="FZ2693" s="8">
        <v>11.037898480590851</v>
      </c>
      <c r="GA2693" s="8">
        <v>26.117848397967034</v>
      </c>
      <c r="GB2693" s="8">
        <v>7.4243346687146357</v>
      </c>
      <c r="GC2693" s="8">
        <v>0.35293010113013978</v>
      </c>
      <c r="GD2693" s="8">
        <v>0.3887110483231167</v>
      </c>
      <c r="GE2693" s="8">
        <v>1.2338237021015244</v>
      </c>
      <c r="GF2693" s="8">
        <v>5.7318731853997598</v>
      </c>
      <c r="GG2693" s="8">
        <v>4.2424746108563749</v>
      </c>
      <c r="GH2693" s="8">
        <v>0.23579423514790807</v>
      </c>
      <c r="GI2693" s="8">
        <v>6.0186201691361489</v>
      </c>
    </row>
    <row r="2694" spans="182:191">
      <c r="FZ2694" s="8">
        <v>5.5523291633876823</v>
      </c>
      <c r="GA2694" s="8">
        <v>11.702125805792186</v>
      </c>
      <c r="GB2694" s="8">
        <v>1.9163646763047131</v>
      </c>
      <c r="GC2694" s="8">
        <v>0.8994167391461676</v>
      </c>
      <c r="GD2694" s="8">
        <v>0.92921500873612262</v>
      </c>
      <c r="GE2694" s="8">
        <v>1.2968927116721407</v>
      </c>
      <c r="GF2694" s="8">
        <v>2.1231183338207718</v>
      </c>
      <c r="GG2694" s="8">
        <v>1.2937904762934096</v>
      </c>
      <c r="GH2694" s="8">
        <v>0.81723777082165783</v>
      </c>
      <c r="GI2694" s="8">
        <v>3.2570769758978657</v>
      </c>
    </row>
    <row r="2695" spans="182:191">
      <c r="FZ2695" s="8">
        <v>6.716209985040706</v>
      </c>
      <c r="GA2695" s="8">
        <v>6.5408180480193918</v>
      </c>
      <c r="GB2695" s="8">
        <v>0.25933192366534985</v>
      </c>
      <c r="GC2695" s="8">
        <v>1.1477937355027428</v>
      </c>
      <c r="GD2695" s="8">
        <v>1.3927894266459711</v>
      </c>
      <c r="GE2695" s="8">
        <v>1.8402591101450509</v>
      </c>
      <c r="GF2695" s="8">
        <v>3.0608916057679476</v>
      </c>
      <c r="GG2695" s="8">
        <v>2.2342051518878385</v>
      </c>
      <c r="GH2695" s="8">
        <v>0.40861888541082891</v>
      </c>
      <c r="GI2695" s="8">
        <v>3.1650638464845851</v>
      </c>
    </row>
    <row r="2696" spans="182:191">
      <c r="FZ2696" s="8">
        <v>5.6888568468102516</v>
      </c>
      <c r="GA2696" s="8">
        <v>11.732935904903778</v>
      </c>
      <c r="GB2696" s="8">
        <v>3.3054287045080413</v>
      </c>
      <c r="GC2696" s="8">
        <v>0.66105351396864453</v>
      </c>
      <c r="GD2696" s="8">
        <v>0.77893705355517184</v>
      </c>
      <c r="GE2696" s="8">
        <v>1.4582914673701157</v>
      </c>
      <c r="GF2696" s="8">
        <v>8.4201887802675639</v>
      </c>
      <c r="GG2696" s="8">
        <v>6.8250758278899006</v>
      </c>
      <c r="GH2696" s="8">
        <v>0.17282465026292085</v>
      </c>
      <c r="GI2696" s="8">
        <v>5.0098628791441655</v>
      </c>
    </row>
    <row r="2697" spans="182:191">
      <c r="FZ2697" s="8">
        <v>9.7167673419114831</v>
      </c>
      <c r="GA2697" s="8">
        <v>9.1101390200527739</v>
      </c>
      <c r="GB2697" s="8">
        <v>0.88035422364469329</v>
      </c>
      <c r="GC2697" s="8">
        <v>0.75068462256515978</v>
      </c>
      <c r="GD2697" s="8">
        <v>0.68816118400523085</v>
      </c>
      <c r="GE2697" s="8">
        <v>1.087523868545105</v>
      </c>
      <c r="GF2697" s="8">
        <v>2.3996834138217613</v>
      </c>
      <c r="GG2697" s="8">
        <v>1.7179534577190969</v>
      </c>
      <c r="GH2697" s="8">
        <v>1.0530320059695661</v>
      </c>
      <c r="GI2697" s="8">
        <v>3.2913221316428647</v>
      </c>
    </row>
    <row r="2698" spans="182:191">
      <c r="FZ2698" s="8">
        <v>3.1155994186846074</v>
      </c>
      <c r="GA2698" s="8">
        <v>17.227466527842569</v>
      </c>
      <c r="GB2698" s="8">
        <v>5.7550416122591237</v>
      </c>
      <c r="GC2698" s="8">
        <v>0.59502974478255777</v>
      </c>
      <c r="GD2698" s="8">
        <v>1.2965210377783905</v>
      </c>
      <c r="GE2698" s="8">
        <v>3.1635153980222888</v>
      </c>
      <c r="GF2698" s="8">
        <v>2.5334749929339377</v>
      </c>
      <c r="GG2698" s="8">
        <v>1.0252517193414108</v>
      </c>
      <c r="GH2698" s="8">
        <v>0.70738270544372439</v>
      </c>
      <c r="GI2698" s="8">
        <v>5.1546025641938114</v>
      </c>
    </row>
    <row r="2699" spans="182:191">
      <c r="FZ2699" s="8">
        <v>7.9222990619062443</v>
      </c>
      <c r="GA2699" s="8">
        <v>17.153571108057591</v>
      </c>
      <c r="GB2699" s="8">
        <v>5.0979960733150982</v>
      </c>
      <c r="GC2699" s="8">
        <v>1.1847372213286498</v>
      </c>
      <c r="GD2699" s="8">
        <v>1.0844883672413606</v>
      </c>
      <c r="GE2699" s="8">
        <v>1.05917334993977</v>
      </c>
      <c r="GF2699" s="8">
        <v>5.8585298413995766</v>
      </c>
      <c r="GG2699" s="8">
        <v>5.2890278622141338</v>
      </c>
      <c r="GH2699" s="8">
        <v>1.2258566562324869</v>
      </c>
      <c r="GI2699" s="8">
        <v>5.3688192330233608</v>
      </c>
    </row>
    <row r="2700" spans="182:191">
      <c r="FZ2700" s="8">
        <v>3.6884756581104652</v>
      </c>
      <c r="GA2700" s="8">
        <v>10.559277147220579</v>
      </c>
      <c r="GB2700" s="8">
        <v>3.3799843175703366</v>
      </c>
      <c r="GC2700" s="8">
        <v>1.1074076745514376</v>
      </c>
      <c r="GD2700" s="8">
        <v>0.73440707665997051</v>
      </c>
      <c r="GE2700" s="8">
        <v>0.45968662193756449</v>
      </c>
      <c r="GF2700" s="8">
        <v>2.6392141842279875</v>
      </c>
      <c r="GG2700" s="8">
        <v>1.8100421704621514</v>
      </c>
      <c r="GH2700" s="8">
        <v>0</v>
      </c>
      <c r="GI2700" s="8">
        <v>4.0588744058584538</v>
      </c>
    </row>
    <row r="2701" spans="182:191">
      <c r="FZ2701" s="8">
        <v>1.482590789112822</v>
      </c>
      <c r="GA2701" s="8">
        <v>6.8675270235829462</v>
      </c>
      <c r="GB2701" s="8">
        <v>2.8775694142274233</v>
      </c>
      <c r="GC2701" s="8">
        <v>1.5464468090242112</v>
      </c>
      <c r="GD2701" s="8">
        <v>1.5016550337692942</v>
      </c>
      <c r="GE2701" s="8">
        <v>1.7746289924108412</v>
      </c>
      <c r="GF2701" s="8">
        <v>4.0054622964448523</v>
      </c>
      <c r="GG2701" s="8">
        <v>2.9849869541617733</v>
      </c>
      <c r="GH2701" s="8">
        <v>0.64441312055873701</v>
      </c>
      <c r="GI2701" s="8">
        <v>3.3789741512719784</v>
      </c>
    </row>
    <row r="2702" spans="182:191">
      <c r="FZ2702" s="8">
        <v>6.5136832075113933</v>
      </c>
      <c r="GA2702" s="8">
        <v>9.2375103526553755</v>
      </c>
      <c r="GB2702" s="8">
        <v>3.2716510847632314</v>
      </c>
      <c r="GC2702" s="8">
        <v>0.7180822639510982</v>
      </c>
      <c r="GD2702" s="8">
        <v>0.95893182549906775</v>
      </c>
      <c r="GE2702" s="8">
        <v>2.0679149746748942</v>
      </c>
      <c r="GF2702" s="8">
        <v>3.2929411528278933</v>
      </c>
      <c r="GG2702" s="8">
        <v>1.788264926164711</v>
      </c>
      <c r="GH2702" s="8">
        <v>0.47158847029581613</v>
      </c>
      <c r="GI2702" s="8">
        <v>4.0043594359232575</v>
      </c>
    </row>
    <row r="2703" spans="182:191">
      <c r="FZ2703" s="8">
        <v>7.0560251980703566</v>
      </c>
      <c r="GA2703" s="8">
        <v>12.707257019626024</v>
      </c>
      <c r="GB2703" s="8">
        <v>3.6020823540233819</v>
      </c>
      <c r="GC2703" s="8">
        <v>0.93665406832157239</v>
      </c>
      <c r="GD2703" s="8">
        <v>1.0247499563190279</v>
      </c>
      <c r="GE2703" s="8">
        <v>1.7597268813386053</v>
      </c>
      <c r="GF2703" s="8">
        <v>3.9638524979809682</v>
      </c>
      <c r="GG2703" s="8">
        <v>2.8080611976717367</v>
      </c>
      <c r="GH2703" s="8">
        <v>0.40861888541082891</v>
      </c>
      <c r="GI2703" s="8">
        <v>4.9218694371738509</v>
      </c>
    </row>
    <row r="2704" spans="182:191">
      <c r="FZ2704" s="8">
        <v>4.706780169082764</v>
      </c>
      <c r="GA2704" s="8">
        <v>21.745429729320449</v>
      </c>
      <c r="GB2704" s="8">
        <v>6.4970047667324557</v>
      </c>
      <c r="GC2704" s="8">
        <v>1.0158403404626113</v>
      </c>
      <c r="GD2704" s="8">
        <v>1.3291163695278312</v>
      </c>
      <c r="GE2704" s="8">
        <v>2.608942514840336</v>
      </c>
      <c r="GF2704" s="8">
        <v>5.9954581374116458</v>
      </c>
      <c r="GG2704" s="8">
        <v>3.9952373859207246</v>
      </c>
      <c r="GH2704" s="8">
        <v>0.58144353567374973</v>
      </c>
      <c r="GI2704" s="8">
        <v>5.7638251387828694</v>
      </c>
    </row>
    <row r="2705" spans="182:191">
      <c r="FZ2705" s="8">
        <v>1.3671683512601061</v>
      </c>
      <c r="GA2705" s="8">
        <v>9.2375103526553755</v>
      </c>
      <c r="GB2705" s="8">
        <v>3.585754948955945</v>
      </c>
      <c r="GC2705" s="8">
        <v>0.6030665907088123</v>
      </c>
      <c r="GD2705" s="8">
        <v>0.41762489135535175</v>
      </c>
      <c r="GE2705" s="8">
        <v>1.1816747224681072</v>
      </c>
      <c r="GF2705" s="8">
        <v>5.3921048964666909</v>
      </c>
      <c r="GG2705" s="8">
        <v>4.3490888989007974</v>
      </c>
      <c r="GH2705" s="8">
        <v>1.0530320059695661</v>
      </c>
      <c r="GI2705" s="8">
        <v>3.2257078892991835</v>
      </c>
    </row>
    <row r="2706" spans="182:191">
      <c r="FZ2706" s="8">
        <v>6.6584987661143487</v>
      </c>
      <c r="GA2706" s="8">
        <v>12.633361599841045</v>
      </c>
      <c r="GB2706" s="8">
        <v>2.9251653039067387</v>
      </c>
      <c r="GC2706" s="8">
        <v>0.90763031734263611</v>
      </c>
      <c r="GD2706" s="8">
        <v>1.1871373981564419</v>
      </c>
      <c r="GE2706" s="8">
        <v>1.7534494037029518</v>
      </c>
      <c r="GF2706" s="8">
        <v>2.2812108033488459</v>
      </c>
      <c r="GG2706" s="8">
        <v>1.4344134131846378</v>
      </c>
      <c r="GH2706" s="8">
        <v>0</v>
      </c>
      <c r="GI2706" s="8">
        <v>4.4595294980129871</v>
      </c>
    </row>
    <row r="2707" spans="182:191">
      <c r="FZ2707" s="8">
        <v>3.5428993474297403</v>
      </c>
      <c r="GA2707" s="8">
        <v>11.334260618981871</v>
      </c>
      <c r="GB2707" s="8">
        <v>3.1891547657291701</v>
      </c>
      <c r="GC2707" s="8">
        <v>0.50144668507293555</v>
      </c>
      <c r="GD2707" s="8">
        <v>0.30957494833751853</v>
      </c>
      <c r="GE2707" s="8">
        <v>0.30143581916638862</v>
      </c>
      <c r="GF2707" s="8">
        <v>3.8493086291826</v>
      </c>
      <c r="GG2707" s="8">
        <v>3.1954456472175239</v>
      </c>
      <c r="GH2707" s="8">
        <v>0</v>
      </c>
      <c r="GI2707" s="8">
        <v>3.4426760514282817</v>
      </c>
    </row>
    <row r="2708" spans="182:191">
      <c r="FZ2708" s="8">
        <v>3.94042577938575</v>
      </c>
      <c r="GA2708" s="8">
        <v>9.0381727096944218</v>
      </c>
      <c r="GB2708" s="8">
        <v>3.1891547657291701</v>
      </c>
      <c r="GC2708" s="8">
        <v>0.76732731159630863</v>
      </c>
      <c r="GD2708" s="8">
        <v>1.2041663625466308</v>
      </c>
      <c r="GE2708" s="8">
        <v>1.8269743779156791</v>
      </c>
      <c r="GF2708" s="8">
        <v>3.6237249189768148</v>
      </c>
      <c r="GG2708" s="8">
        <v>2.8783726661173508</v>
      </c>
      <c r="GH2708" s="8">
        <v>0.3456493005258417</v>
      </c>
      <c r="GI2708" s="8">
        <v>4.7181203530054949</v>
      </c>
    </row>
    <row r="2709" spans="182:191">
      <c r="FZ2709" s="8">
        <v>8.9496522001366969</v>
      </c>
      <c r="GA2709" s="8">
        <v>27.533930119284577</v>
      </c>
      <c r="GB2709" s="8">
        <v>6.9843029132555552</v>
      </c>
      <c r="GC2709" s="8">
        <v>0.33607187946077893</v>
      </c>
      <c r="GD2709" s="8">
        <v>0.77964608718816153</v>
      </c>
      <c r="GE2709" s="8">
        <v>1.9198500433764631</v>
      </c>
      <c r="GF2709" s="8">
        <v>2.3506592555420061</v>
      </c>
      <c r="GG2709" s="8">
        <v>1.4924934770808866</v>
      </c>
      <c r="GH2709" s="8">
        <v>0.40861888541082891</v>
      </c>
      <c r="GI2709" s="8">
        <v>5.6931525681625725</v>
      </c>
    </row>
    <row r="2710" spans="182:191">
      <c r="FZ2710" s="8">
        <v>7.3007602308121831</v>
      </c>
      <c r="GA2710" s="8">
        <v>9.4575846998957314</v>
      </c>
      <c r="GB2710" s="8">
        <v>0.74075250622570943</v>
      </c>
      <c r="GC2710" s="8">
        <v>0.72754904819164179</v>
      </c>
      <c r="GD2710" s="8">
        <v>0.95225959841315833</v>
      </c>
      <c r="GE2710" s="8">
        <v>1.4263596325627881</v>
      </c>
      <c r="GF2710" s="8">
        <v>4.1411926778228505</v>
      </c>
      <c r="GG2710" s="8">
        <v>2.9972183587111387</v>
      </c>
      <c r="GH2710" s="8">
        <v>0.17282465026292085</v>
      </c>
      <c r="GI2710" s="8">
        <v>3.8813926971372412</v>
      </c>
    </row>
    <row r="2711" spans="182:191">
      <c r="FZ2711" s="8">
        <v>0.93986842251497327</v>
      </c>
      <c r="GA2711" s="8">
        <v>9.2375103526553755</v>
      </c>
      <c r="GB2711" s="8">
        <v>3.3625341028929636</v>
      </c>
      <c r="GC2711" s="8">
        <v>0.52638245242903725</v>
      </c>
      <c r="GD2711" s="8">
        <v>0.6535409115136408</v>
      </c>
      <c r="GE2711" s="8">
        <v>1.5285048133523162</v>
      </c>
      <c r="GF2711" s="8">
        <v>5.2071640525134519</v>
      </c>
      <c r="GG2711" s="8">
        <v>4.0437716100688981</v>
      </c>
      <c r="GH2711" s="8">
        <v>0.47158847029581613</v>
      </c>
      <c r="GI2711" s="8">
        <v>3.8409049048356474</v>
      </c>
    </row>
    <row r="2712" spans="182:191">
      <c r="FZ2712" s="8">
        <v>11.320382850733031</v>
      </c>
      <c r="GA2712" s="8">
        <v>12.750342340299412</v>
      </c>
      <c r="GB2712" s="8">
        <v>2.6269715075284794</v>
      </c>
      <c r="GC2712" s="8">
        <v>0.59021685253380163</v>
      </c>
      <c r="GD2712" s="8">
        <v>0.95543159708668524</v>
      </c>
      <c r="GE2712" s="8">
        <v>2.092660766839229</v>
      </c>
      <c r="GF2712" s="8">
        <v>4.0275265386417871</v>
      </c>
      <c r="GG2712" s="8">
        <v>2.8565954218199106</v>
      </c>
      <c r="GH2712" s="8">
        <v>0.64441312055873701</v>
      </c>
      <c r="GI2712" s="8">
        <v>5.7677326318672364</v>
      </c>
    </row>
    <row r="2713" spans="182:191">
      <c r="FZ2713" s="8">
        <v>10.823317320677031</v>
      </c>
      <c r="GA2713" s="8">
        <v>24.869977023186813</v>
      </c>
      <c r="GB2713" s="8">
        <v>8.0651406412289113</v>
      </c>
      <c r="GC2713" s="8">
        <v>0.73687671111277042</v>
      </c>
      <c r="GD2713" s="8">
        <v>0.8892884833057535</v>
      </c>
      <c r="GE2713" s="8">
        <v>1.6849267186636609</v>
      </c>
      <c r="GF2713" s="8">
        <v>5.8133114862779109</v>
      </c>
      <c r="GG2713" s="8">
        <v>4.3708661431982385</v>
      </c>
      <c r="GH2713" s="8">
        <v>0.40861888541082891</v>
      </c>
      <c r="GI2713" s="8">
        <v>6.9019293985860193</v>
      </c>
    </row>
    <row r="2714" spans="182:191">
      <c r="FZ2714" s="8">
        <v>6.9409831362565262</v>
      </c>
      <c r="GA2714" s="8">
        <v>1.7716716865660598</v>
      </c>
      <c r="GB2714" s="8">
        <v>0.66517129974920031</v>
      </c>
      <c r="GC2714" s="8">
        <v>0.69494668957758032</v>
      </c>
      <c r="GD2714" s="8">
        <v>0.70598339735130256</v>
      </c>
      <c r="GE2714" s="8">
        <v>1.9576407000918983</v>
      </c>
      <c r="GF2714" s="8">
        <v>6.4873983749830435</v>
      </c>
      <c r="GG2714" s="8">
        <v>4.1839188346790337</v>
      </c>
      <c r="GH2714" s="8">
        <v>0.40861888541082891</v>
      </c>
      <c r="GI2714" s="8">
        <v>3.2743973251257366</v>
      </c>
    </row>
    <row r="2715" spans="182:191">
      <c r="FZ2715" s="8">
        <v>6.6588791421532321</v>
      </c>
      <c r="GA2715" s="8">
        <v>9.1636149328703951</v>
      </c>
      <c r="GB2715" s="8">
        <v>2.8252187701953044</v>
      </c>
      <c r="GC2715" s="8">
        <v>0.73881293660508185</v>
      </c>
      <c r="GD2715" s="8">
        <v>0.58693890800636184</v>
      </c>
      <c r="GE2715" s="8">
        <v>1.1438410091437201</v>
      </c>
      <c r="GF2715" s="8">
        <v>5.981600279805237</v>
      </c>
      <c r="GG2715" s="8">
        <v>4.7364733484465837</v>
      </c>
      <c r="GH2715" s="8">
        <v>0.64441312055873701</v>
      </c>
      <c r="GI2715" s="8">
        <v>4.0147075545890623</v>
      </c>
    </row>
    <row r="2716" spans="182:191">
      <c r="FZ2716" s="8">
        <v>6.1738679944817427</v>
      </c>
      <c r="GA2716" s="8">
        <v>6.0390676390040312</v>
      </c>
      <c r="GB2716" s="8">
        <v>0.96285054267875492</v>
      </c>
      <c r="GC2716" s="8">
        <v>0.98104861276722732</v>
      </c>
      <c r="GD2716" s="8">
        <v>1.3093786581912679</v>
      </c>
      <c r="GE2716" s="8">
        <v>2.2324281423361767</v>
      </c>
      <c r="GF2716" s="8">
        <v>4.6854697060397283</v>
      </c>
      <c r="GG2716" s="8">
        <v>3.351069871691212</v>
      </c>
      <c r="GH2716" s="8">
        <v>0.47158847029581613</v>
      </c>
      <c r="GI2716" s="8">
        <v>3.6695503614676968</v>
      </c>
    </row>
    <row r="2717" spans="182:191">
      <c r="FZ2717" s="8">
        <v>4.3673453320919977</v>
      </c>
      <c r="GA2717" s="8">
        <v>14.678565062776546</v>
      </c>
      <c r="GB2717" s="8">
        <v>3.8287500899958227</v>
      </c>
      <c r="GC2717" s="8">
        <v>0.40755394939305911</v>
      </c>
      <c r="GD2717" s="8">
        <v>0.81995598260142222</v>
      </c>
      <c r="GE2717" s="8">
        <v>1.9636273414493188</v>
      </c>
      <c r="GF2717" s="8">
        <v>2.4587596265498366</v>
      </c>
      <c r="GG2717" s="8">
        <v>1.3641019447390237</v>
      </c>
      <c r="GH2717" s="8">
        <v>0.23579423514790807</v>
      </c>
      <c r="GI2717" s="8">
        <v>4.3711078402649628</v>
      </c>
    </row>
    <row r="2718" spans="182:191">
      <c r="FZ2718" s="8">
        <v>9.174425351352518</v>
      </c>
      <c r="GA2718" s="8">
        <v>9.1636149328703951</v>
      </c>
      <c r="GB2718" s="8">
        <v>2.5135362024978356</v>
      </c>
      <c r="GC2718" s="8">
        <v>0.89421467079867267</v>
      </c>
      <c r="GD2718" s="8">
        <v>1.0904110094736468</v>
      </c>
      <c r="GE2718" s="8">
        <v>1.7198092901305686</v>
      </c>
      <c r="GF2718" s="8">
        <v>4.7616634317905628</v>
      </c>
      <c r="GG2718" s="8">
        <v>3.5492971601975971</v>
      </c>
      <c r="GH2718" s="8">
        <v>0.47158847029581613</v>
      </c>
      <c r="GI2718" s="8">
        <v>4.6161825470117597</v>
      </c>
    </row>
    <row r="2719" spans="182:191">
      <c r="FZ2719" s="8">
        <v>5.3373676274349791</v>
      </c>
      <c r="GA2719" s="8">
        <v>10.137936047592643</v>
      </c>
      <c r="GB2719" s="8">
        <v>2.757839207981057</v>
      </c>
      <c r="GC2719" s="8">
        <v>0.71937308094597252</v>
      </c>
      <c r="GD2719" s="8">
        <v>1.0424668430763466</v>
      </c>
      <c r="GE2719" s="8">
        <v>2.1893957339669332</v>
      </c>
      <c r="GF2719" s="8">
        <v>3.9002007963837713</v>
      </c>
      <c r="GG2719" s="8">
        <v>2.4324324403942232</v>
      </c>
      <c r="GH2719" s="8">
        <v>0.23579423514790807</v>
      </c>
      <c r="GI2719" s="8">
        <v>4.0508499217341942</v>
      </c>
    </row>
    <row r="2720" spans="182:191">
      <c r="FZ2720" s="8">
        <v>9.613399286443272</v>
      </c>
      <c r="GA2720" s="8">
        <v>15.979912350374391</v>
      </c>
      <c r="GB2720" s="8">
        <v>5.0678503983131558</v>
      </c>
      <c r="GC2720" s="8">
        <v>0.70057863378430019</v>
      </c>
      <c r="GD2720" s="8">
        <v>0.46555092168162537</v>
      </c>
      <c r="GE2720" s="8">
        <v>0.35122050170553215</v>
      </c>
      <c r="GF2720" s="8">
        <v>2.2903841201507111</v>
      </c>
      <c r="GG2720" s="8">
        <v>1.6816506381202889</v>
      </c>
      <c r="GH2720" s="8">
        <v>0.17282465026292085</v>
      </c>
      <c r="GI2720" s="8">
        <v>3.8141995200109378</v>
      </c>
    </row>
    <row r="2721" spans="182:191">
      <c r="FZ2721" s="8">
        <v>2.718453362767483</v>
      </c>
      <c r="GA2721" s="8">
        <v>8.1892938181481494</v>
      </c>
      <c r="GB2721" s="8">
        <v>2.6856170527763199</v>
      </c>
      <c r="GC2721" s="8">
        <v>0.592368610664325</v>
      </c>
      <c r="GD2721" s="8">
        <v>0.66545463202861943</v>
      </c>
      <c r="GE2721" s="8">
        <v>1.843389040051804</v>
      </c>
      <c r="GF2721" s="8">
        <v>4.9888831604658819</v>
      </c>
      <c r="GG2721" s="8">
        <v>3.0552984226073874</v>
      </c>
      <c r="GH2721" s="8">
        <v>0.23579423514790807</v>
      </c>
      <c r="GI2721" s="8">
        <v>3.3652517891928126</v>
      </c>
    </row>
    <row r="2722" spans="182:191">
      <c r="FZ2722" s="8">
        <v>7.2589323516385544</v>
      </c>
      <c r="GA2722" s="8">
        <v>12.633361599841045</v>
      </c>
      <c r="GB2722" s="8">
        <v>2.7518738053806313</v>
      </c>
      <c r="GC2722" s="8">
        <v>0.78457779817409556</v>
      </c>
      <c r="GD2722" s="8">
        <v>1.2889907559205573</v>
      </c>
      <c r="GE2722" s="8">
        <v>2.4132766544723188</v>
      </c>
      <c r="GF2722" s="8">
        <v>2.9289903746408106</v>
      </c>
      <c r="GG2722" s="8">
        <v>1.4344134131846378</v>
      </c>
      <c r="GH2722" s="8">
        <v>0.17282465026292085</v>
      </c>
      <c r="GI2722" s="8">
        <v>5.0114163259931654</v>
      </c>
    </row>
    <row r="2723" spans="182:191">
      <c r="FZ2723" s="8">
        <v>0.11542243785271598</v>
      </c>
      <c r="GA2723" s="8">
        <v>0.1993376429609533</v>
      </c>
      <c r="GB2723" s="8">
        <v>0.30934910983991037</v>
      </c>
      <c r="GC2723" s="8">
        <v>0.15358261978056309</v>
      </c>
      <c r="GD2723" s="8">
        <v>0.62197184010149409</v>
      </c>
      <c r="GE2723" s="8">
        <v>1.9680173470727431</v>
      </c>
      <c r="GF2723" s="8">
        <v>5.9179262391444176</v>
      </c>
      <c r="GG2723" s="8">
        <v>4.6879391242984099</v>
      </c>
      <c r="GH2723" s="8">
        <v>0.40861888541082891</v>
      </c>
      <c r="GI2723" s="8">
        <v>3.3534074773130458</v>
      </c>
    </row>
    <row r="2724" spans="182:191">
      <c r="FZ2724" s="8">
        <v>5.2913304148542419</v>
      </c>
      <c r="GA2724" s="8">
        <v>17.153571108057591</v>
      </c>
      <c r="GB2724" s="8">
        <v>5.0468560775306024</v>
      </c>
      <c r="GC2724" s="8">
        <v>0.45349245442259944</v>
      </c>
      <c r="GD2724" s="8">
        <v>0.76992375368454913</v>
      </c>
      <c r="GE2724" s="8">
        <v>1.6306934559486952</v>
      </c>
      <c r="GF2724" s="8">
        <v>3.3202222619566277</v>
      </c>
      <c r="GG2724" s="8">
        <v>2.3040409080523605</v>
      </c>
      <c r="GH2724" s="8">
        <v>0.58144353567374973</v>
      </c>
      <c r="GI2724" s="8">
        <v>4.1707852045649307</v>
      </c>
    </row>
    <row r="2725" spans="182:191">
      <c r="FZ2725" s="8">
        <v>8.7467450465685008</v>
      </c>
      <c r="GA2725" s="8">
        <v>18.127892222779838</v>
      </c>
      <c r="GB2725" s="8">
        <v>5.1178675844877164</v>
      </c>
      <c r="GC2725" s="8">
        <v>0.66948262480332499</v>
      </c>
      <c r="GD2725" s="8">
        <v>1.0229191597762735</v>
      </c>
      <c r="GE2725" s="8">
        <v>2.2234696160124092</v>
      </c>
      <c r="GF2725" s="8">
        <v>5.9437739454358169</v>
      </c>
      <c r="GG2725" s="8">
        <v>4.5477918996882742</v>
      </c>
      <c r="GH2725" s="8">
        <v>0.47158847029581613</v>
      </c>
      <c r="GI2725" s="8">
        <v>5.8373552289119051</v>
      </c>
    </row>
    <row r="2726" spans="182:191">
      <c r="FZ2726" s="8">
        <v>9.2321365702788754</v>
      </c>
      <c r="GA2726" s="8">
        <v>3.2704090240096959</v>
      </c>
      <c r="GB2726" s="8">
        <v>8.6040425139242482E-2</v>
      </c>
      <c r="GC2726" s="8">
        <v>1.1984656326525549</v>
      </c>
      <c r="GD2726" s="8">
        <v>1.0330039386319954</v>
      </c>
      <c r="GE2726" s="8">
        <v>1.4074431149857216</v>
      </c>
      <c r="GF2726" s="8">
        <v>3.0163760728269038</v>
      </c>
      <c r="GG2726" s="8">
        <v>1.3641019447390237</v>
      </c>
      <c r="GH2726" s="8">
        <v>0.40861888541082891</v>
      </c>
      <c r="GI2726" s="8">
        <v>3.6060662632373237</v>
      </c>
    </row>
    <row r="2727" spans="182:191">
      <c r="FZ2727" s="8">
        <v>3.4554146317142589</v>
      </c>
      <c r="GA2727" s="8">
        <v>6.8675270235829462</v>
      </c>
      <c r="GB2727" s="8">
        <v>2.7229387786263111</v>
      </c>
      <c r="GC2727" s="8">
        <v>1.453082370762488</v>
      </c>
      <c r="GD2727" s="8">
        <v>1.4911122630275631</v>
      </c>
      <c r="GE2727" s="8">
        <v>1.7933342643432955</v>
      </c>
      <c r="GF2727" s="8">
        <v>5.0161642695946167</v>
      </c>
      <c r="GG2727" s="8">
        <v>3.9249259174751105</v>
      </c>
      <c r="GH2727" s="8">
        <v>0.47158847029581613</v>
      </c>
      <c r="GI2727" s="8">
        <v>3.9212742831574445</v>
      </c>
    </row>
    <row r="2728" spans="182:191">
      <c r="FZ2728" s="8">
        <v>1.7944682800052389</v>
      </c>
      <c r="GA2728" s="8">
        <v>3.3443044437946754</v>
      </c>
      <c r="GB2728" s="8">
        <v>0.93503832553437072</v>
      </c>
      <c r="GC2728" s="8">
        <v>0.48212394049310975</v>
      </c>
      <c r="GD2728" s="8">
        <v>0.76835371573439737</v>
      </c>
      <c r="GE2728" s="8">
        <v>1.8207120130255721</v>
      </c>
      <c r="GF2728" s="8">
        <v>2.7576867947009029</v>
      </c>
      <c r="GG2728" s="8">
        <v>1.5628049455265007</v>
      </c>
      <c r="GH2728" s="8">
        <v>0.51847395078876257</v>
      </c>
      <c r="GI2728" s="8">
        <v>2.415485926978822</v>
      </c>
    </row>
    <row r="2729" spans="182:191">
      <c r="FZ2729" s="8">
        <v>8.5442182690391899</v>
      </c>
      <c r="GA2729" s="8">
        <v>9.0381727096944218</v>
      </c>
      <c r="GB2729" s="8">
        <v>3.2252658433315382</v>
      </c>
      <c r="GC2729" s="8">
        <v>0.5090943549004513</v>
      </c>
      <c r="GD2729" s="8">
        <v>0.89801515790567432</v>
      </c>
      <c r="GE2729" s="8">
        <v>1.9829194581449787</v>
      </c>
      <c r="GF2729" s="8">
        <v>5.6015326567291606</v>
      </c>
      <c r="GG2729" s="8">
        <v>4.3123103670208973</v>
      </c>
      <c r="GH2729" s="8">
        <v>0.58144353567374973</v>
      </c>
      <c r="GI2729" s="8">
        <v>4.7142076483456838</v>
      </c>
    </row>
    <row r="2730" spans="182:191">
      <c r="FZ2730" s="8">
        <v>7.5251530059891198</v>
      </c>
      <c r="GA2730" s="8">
        <v>4.5921758185748986</v>
      </c>
      <c r="GB2730" s="8">
        <v>0.24430300548322173</v>
      </c>
      <c r="GC2730" s="8">
        <v>0.42419663842420785</v>
      </c>
      <c r="GD2730" s="8">
        <v>0.22059771142197937</v>
      </c>
      <c r="GE2730" s="8">
        <v>0.5086626150552761</v>
      </c>
      <c r="GF2730" s="8">
        <v>1.8141167721577629</v>
      </c>
      <c r="GG2730" s="8">
        <v>1.2937904762934096</v>
      </c>
      <c r="GH2730" s="8">
        <v>0.81723777082165783</v>
      </c>
      <c r="GI2730" s="8">
        <v>1.9783741182330086</v>
      </c>
    </row>
    <row r="2731" spans="182:191">
      <c r="FZ2731" s="8">
        <v>5.6311456278838934</v>
      </c>
      <c r="GA2731" s="8">
        <v>6.0390676390040312</v>
      </c>
      <c r="GB2731" s="8">
        <v>0.96406119092637732</v>
      </c>
      <c r="GC2731" s="8">
        <v>1.1693058491638912</v>
      </c>
      <c r="GD2731" s="8">
        <v>0.98020528695208764</v>
      </c>
      <c r="GE2731" s="8">
        <v>1.9057139703146064</v>
      </c>
      <c r="GF2731" s="8">
        <v>5.1856796939806813</v>
      </c>
      <c r="GG2731" s="8">
        <v>2.8565954218199106</v>
      </c>
      <c r="GH2731" s="8">
        <v>0.64441312055873701</v>
      </c>
      <c r="GI2731" s="8">
        <v>4.0556279279908702</v>
      </c>
    </row>
    <row r="2732" spans="182:191">
      <c r="FZ2732" s="8">
        <v>7.4376682902736375</v>
      </c>
      <c r="GA2732" s="8">
        <v>19.377692706986693</v>
      </c>
      <c r="GB2732" s="8">
        <v>7.4976796335293088</v>
      </c>
      <c r="GC2732" s="8">
        <v>0.35511947021146228</v>
      </c>
      <c r="GD2732" s="8">
        <v>0.90965064046223187</v>
      </c>
      <c r="GE2732" s="8">
        <v>1.9698897063394254</v>
      </c>
      <c r="GF2732" s="8">
        <v>3.6828011317048905</v>
      </c>
      <c r="GG2732" s="8">
        <v>3.0552984226073874</v>
      </c>
      <c r="GH2732" s="8">
        <v>0.40861888541082891</v>
      </c>
      <c r="GI2732" s="8">
        <v>5.7648463904541032</v>
      </c>
    </row>
    <row r="2733" spans="182:191">
      <c r="FZ2733" s="8">
        <v>4.4831481459835985</v>
      </c>
      <c r="GA2733" s="8">
        <v>9.2375103526553755</v>
      </c>
      <c r="GB2733" s="8">
        <v>3.2042715225489844</v>
      </c>
      <c r="GC2733" s="8">
        <v>0.77421246184710379</v>
      </c>
      <c r="GD2733" s="8">
        <v>0.55477821931706606</v>
      </c>
      <c r="GE2733" s="8">
        <v>0.59247987860638562</v>
      </c>
      <c r="GF2733" s="8">
        <v>2.5814875408751088</v>
      </c>
      <c r="GG2733" s="8">
        <v>1.7397307020165371</v>
      </c>
      <c r="GH2733" s="8">
        <v>0.58144353567374973</v>
      </c>
      <c r="GI2733" s="8">
        <v>3.5733625707582575</v>
      </c>
    </row>
    <row r="2734" spans="182:191">
      <c r="FZ2734" s="8">
        <v>8.3775367127886113</v>
      </c>
      <c r="GA2734" s="8">
        <v>8.0103756821545531</v>
      </c>
      <c r="GB2734" s="8">
        <v>1.331541292565424</v>
      </c>
      <c r="GC2734" s="8">
        <v>0.79429772600365023</v>
      </c>
      <c r="GD2734" s="8">
        <v>0.77374586803468692</v>
      </c>
      <c r="GE2734" s="8">
        <v>1.6392188919696242</v>
      </c>
      <c r="GF2734" s="8">
        <v>2.8862337986857609</v>
      </c>
      <c r="GG2734" s="8">
        <v>1.1168647198033732</v>
      </c>
      <c r="GH2734" s="8">
        <v>0.40861888541082891</v>
      </c>
      <c r="GI2734" s="8">
        <v>3.7461765584610798</v>
      </c>
    </row>
    <row r="2735" spans="182:191">
      <c r="FZ2735" s="8">
        <v>9.613399286443272</v>
      </c>
      <c r="GA2735" s="8">
        <v>9.3321424767197563</v>
      </c>
      <c r="GB2735" s="8">
        <v>1.4001315030272934</v>
      </c>
      <c r="GC2735" s="8">
        <v>1.0186375070905718</v>
      </c>
      <c r="GD2735" s="8">
        <v>1.0405342204898285</v>
      </c>
      <c r="GE2735" s="8">
        <v>1.3611481705561241</v>
      </c>
      <c r="GF2735" s="8">
        <v>6.6985973208676297</v>
      </c>
      <c r="GG2735" s="8">
        <v>5.3811165749571881</v>
      </c>
      <c r="GH2735" s="8">
        <v>0</v>
      </c>
      <c r="GI2735" s="8">
        <v>5.1602305661475905</v>
      </c>
    </row>
    <row r="2736" spans="182:191">
      <c r="FZ2736" s="8">
        <v>7.6401950678029493</v>
      </c>
      <c r="GA2736" s="8">
        <v>25.14352728324479</v>
      </c>
      <c r="GB2736" s="8">
        <v>7.4243346687146357</v>
      </c>
      <c r="GC2736" s="8">
        <v>0.17646505056506989</v>
      </c>
      <c r="GD2736" s="8">
        <v>0.72514916176569333</v>
      </c>
      <c r="GE2736" s="8">
        <v>2.3867554385247138</v>
      </c>
      <c r="GF2736" s="8">
        <v>4.9340845906537867</v>
      </c>
      <c r="GG2736" s="8">
        <v>2.9972183587111387</v>
      </c>
      <c r="GH2736" s="8">
        <v>0.17282465026292085</v>
      </c>
      <c r="GI2736" s="8">
        <v>5.6881378333169792</v>
      </c>
    </row>
    <row r="2737" spans="182:191">
      <c r="FZ2737" s="8">
        <v>3.5131258506406171</v>
      </c>
      <c r="GA2737" s="8">
        <v>9.6361856385772828</v>
      </c>
      <c r="GB2737" s="8">
        <v>3.5112871745313363</v>
      </c>
      <c r="GC2737" s="8">
        <v>0.70771692762410643</v>
      </c>
      <c r="GD2737" s="8">
        <v>0.61487522820593188</v>
      </c>
      <c r="GE2737" s="8">
        <v>1.0651811396039568</v>
      </c>
      <c r="GF2737" s="8">
        <v>6.4857062815274595</v>
      </c>
      <c r="GG2737" s="8">
        <v>5.0054878176796747</v>
      </c>
      <c r="GH2737" s="8">
        <v>0</v>
      </c>
      <c r="GI2737" s="8">
        <v>5.0061369432204996</v>
      </c>
    </row>
    <row r="2738" spans="182:191">
      <c r="FZ2738" s="8">
        <v>2.1916143359223637</v>
      </c>
      <c r="GA2738" s="8">
        <v>15.905699733277368</v>
      </c>
      <c r="GB2738" s="8">
        <v>5.7724918269364967</v>
      </c>
      <c r="GC2738" s="8">
        <v>0.35293010113013978</v>
      </c>
      <c r="GD2738" s="8">
        <v>1.0125818960055673</v>
      </c>
      <c r="GE2738" s="8">
        <v>2.9136895570393517</v>
      </c>
      <c r="GF2738" s="8">
        <v>4.4857674380477697</v>
      </c>
      <c r="GG2738" s="8">
        <v>2.8565954218199106</v>
      </c>
      <c r="GH2738" s="8">
        <v>0.47158847029581613</v>
      </c>
      <c r="GI2738" s="8">
        <v>5.2087182164659671</v>
      </c>
    </row>
    <row r="2739" spans="182:191">
      <c r="FZ2739" s="8">
        <v>5.261937294104003</v>
      </c>
      <c r="GA2739" s="8">
        <v>5.8932059088606996</v>
      </c>
      <c r="GB2739" s="8">
        <v>2.8101898520131758</v>
      </c>
      <c r="GC2739" s="8">
        <v>0.84225195665398633</v>
      </c>
      <c r="GD2739" s="8">
        <v>0.87083175252435252</v>
      </c>
      <c r="GE2739" s="8">
        <v>1.3131281805610933</v>
      </c>
      <c r="GF2739" s="8">
        <v>2.4853993576158926</v>
      </c>
      <c r="GG2739" s="8">
        <v>1.788264926164711</v>
      </c>
      <c r="GH2739" s="8">
        <v>0.81723777082165783</v>
      </c>
      <c r="GI2739" s="8">
        <v>2.7766130298225393</v>
      </c>
    </row>
    <row r="2740" spans="182:191">
      <c r="FZ2740" s="8">
        <v>4.4254369270572411</v>
      </c>
      <c r="GA2740" s="8">
        <v>14.732040975594169</v>
      </c>
      <c r="GB2740" s="8">
        <v>5.5154933611287049</v>
      </c>
      <c r="GC2740" s="8">
        <v>0.76441303388906467</v>
      </c>
      <c r="GD2740" s="8">
        <v>1.0755895756637723</v>
      </c>
      <c r="GE2740" s="8">
        <v>1.8566586595356294</v>
      </c>
      <c r="GF2740" s="8">
        <v>3.1377544177769785</v>
      </c>
      <c r="GG2740" s="8">
        <v>1.9869679269521878</v>
      </c>
      <c r="GH2740" s="8">
        <v>0.40861888541082891</v>
      </c>
      <c r="GI2740" s="8">
        <v>5.6215193419846239</v>
      </c>
    </row>
    <row r="2741" spans="182:191">
      <c r="FZ2741" s="8">
        <v>8.4073102095777337</v>
      </c>
      <c r="GA2741" s="8">
        <v>11.26036519919689</v>
      </c>
      <c r="GB2741" s="8">
        <v>2.6554713777743775</v>
      </c>
      <c r="GC2741" s="8">
        <v>1.2872358001134212</v>
      </c>
      <c r="GD2741" s="8">
        <v>1.5330842736759935</v>
      </c>
      <c r="GE2741" s="8">
        <v>1.9104581537775025</v>
      </c>
      <c r="GF2741" s="8">
        <v>3.4919743345616552</v>
      </c>
      <c r="GG2741" s="8">
        <v>2.3743523764979746</v>
      </c>
      <c r="GH2741" s="8">
        <v>0</v>
      </c>
      <c r="GI2741" s="8">
        <v>6.1609128966893643</v>
      </c>
    </row>
    <row r="2742" spans="182:191">
      <c r="FZ2742" s="8">
        <v>7.2430490118858248</v>
      </c>
      <c r="GA2742" s="8">
        <v>20.845321231695223</v>
      </c>
      <c r="GB2742" s="8">
        <v>5.651550972442509</v>
      </c>
      <c r="GC2742" s="8">
        <v>0.87348399814468913</v>
      </c>
      <c r="GD2742" s="8">
        <v>1.2078996102696289</v>
      </c>
      <c r="GE2742" s="8">
        <v>1.5839981517839528</v>
      </c>
      <c r="GF2742" s="8">
        <v>0.5722663286581311</v>
      </c>
      <c r="GG2742" s="8">
        <v>0.1769257564900365</v>
      </c>
      <c r="GH2742" s="8">
        <v>0.40861888541082891</v>
      </c>
      <c r="GI2742" s="8">
        <v>4.6669563274807224</v>
      </c>
    </row>
    <row r="2743" spans="182:191">
      <c r="FZ2743" s="8">
        <v>2.6886798659783597</v>
      </c>
      <c r="GA2743" s="8">
        <v>11.387736531799494</v>
      </c>
      <c r="GB2743" s="8">
        <v>5.0678503983131558</v>
      </c>
      <c r="GC2743" s="8">
        <v>0.83245252869594721</v>
      </c>
      <c r="GD2743" s="8">
        <v>1.0031008554901892</v>
      </c>
      <c r="GE2743" s="8">
        <v>1.8465365877807041</v>
      </c>
      <c r="GF2743" s="8">
        <v>3.7509614586407976</v>
      </c>
      <c r="GG2743" s="8">
        <v>2.2555066839041871</v>
      </c>
      <c r="GH2743" s="8">
        <v>0.17282465026292085</v>
      </c>
      <c r="GI2743" s="8">
        <v>3.5936424582362654</v>
      </c>
    </row>
    <row r="2744" spans="182:191">
      <c r="FZ2744" s="8">
        <v>7.4535516300263671</v>
      </c>
      <c r="GA2744" s="8">
        <v>7.8418481383051937</v>
      </c>
      <c r="GB2744" s="8">
        <v>2.7728681261631851</v>
      </c>
      <c r="GC2744" s="8">
        <v>0.77704723942586329</v>
      </c>
      <c r="GD2744" s="8">
        <v>0.99266653880834865</v>
      </c>
      <c r="GE2744" s="8">
        <v>2.2292163896915582</v>
      </c>
      <c r="GF2744" s="8">
        <v>4.5155438860137176</v>
      </c>
      <c r="GG2744" s="8">
        <v>2.6796696653298739</v>
      </c>
      <c r="GH2744" s="8">
        <v>0.75426818593667067</v>
      </c>
      <c r="GI2744" s="8">
        <v>4.4972063578062809</v>
      </c>
    </row>
    <row r="2745" spans="182:191">
      <c r="FZ2745" s="8">
        <v>5.4946179444613241</v>
      </c>
      <c r="GA2745" s="8">
        <v>9.7308177626416636</v>
      </c>
      <c r="GB2745" s="8">
        <v>1.671036077407277</v>
      </c>
      <c r="GC2745" s="8">
        <v>0.6187312275250284</v>
      </c>
      <c r="GD2745" s="8">
        <v>0.6488106753536087</v>
      </c>
      <c r="GE2745" s="8">
        <v>0.81791397303891644</v>
      </c>
      <c r="GF2745" s="8">
        <v>1.3600028689557826</v>
      </c>
      <c r="GG2745" s="8">
        <v>1.2937904762934096</v>
      </c>
      <c r="GH2745" s="8">
        <v>0.64441312055873701</v>
      </c>
      <c r="GI2745" s="8">
        <v>2.9908086438490065</v>
      </c>
    </row>
    <row r="2746" spans="182:191">
      <c r="FZ2746" s="8">
        <v>12.347735988963485</v>
      </c>
      <c r="GA2746" s="8">
        <v>8.9108013770918202</v>
      </c>
      <c r="GB2746" s="8">
        <v>0.67449575362139846</v>
      </c>
      <c r="GC2746" s="8">
        <v>0.55219808235123224</v>
      </c>
      <c r="GD2746" s="8">
        <v>0.58086560690285505</v>
      </c>
      <c r="GE2746" s="8">
        <v>1.4379356808292054</v>
      </c>
      <c r="GF2746" s="8">
        <v>2.503855043155045</v>
      </c>
      <c r="GG2746" s="8">
        <v>0.74171167480695199</v>
      </c>
      <c r="GH2746" s="8">
        <v>0</v>
      </c>
      <c r="GI2746" s="8">
        <v>3.3347122704702299</v>
      </c>
    </row>
    <row r="2747" spans="182:191">
      <c r="FZ2747" s="8">
        <v>2.6766254835938543</v>
      </c>
      <c r="GA2747" s="8">
        <v>18.076345419388844</v>
      </c>
      <c r="GB2747" s="8">
        <v>6.241129110534601</v>
      </c>
      <c r="GC2747" s="8">
        <v>0.68199971926084013</v>
      </c>
      <c r="GD2747" s="8">
        <v>0.87047225671748174</v>
      </c>
      <c r="GE2747" s="8">
        <v>1.4953160860751717</v>
      </c>
      <c r="GF2747" s="8">
        <v>4.6614259132637219</v>
      </c>
      <c r="GG2747" s="8">
        <v>3.5710744044950373</v>
      </c>
      <c r="GH2747" s="8">
        <v>0</v>
      </c>
      <c r="GI2747" s="8">
        <v>5.0076456610873086</v>
      </c>
    </row>
    <row r="2748" spans="182:191">
      <c r="FZ2748" s="8">
        <v>5.6470289676366221</v>
      </c>
      <c r="GA2748" s="8">
        <v>14.510037518927186</v>
      </c>
      <c r="GB2748" s="8">
        <v>5.2213582243043319</v>
      </c>
      <c r="GC2748" s="8">
        <v>0.41214822019391589</v>
      </c>
      <c r="GD2748" s="8">
        <v>0.34550648642520787</v>
      </c>
      <c r="GE2748" s="8">
        <v>1.0570313027016216</v>
      </c>
      <c r="GF2748" s="8">
        <v>4.0999030643757299</v>
      </c>
      <c r="GG2748" s="8">
        <v>3.2807584032455974</v>
      </c>
      <c r="GH2748" s="8">
        <v>0.88020735570664521</v>
      </c>
      <c r="GI2748" s="8">
        <v>4.4246242599504955</v>
      </c>
    </row>
    <row r="2749" spans="182:191">
      <c r="FZ2749" s="8">
        <v>14.565294864306747</v>
      </c>
      <c r="GA2749" s="8">
        <v>17.248203232121973</v>
      </c>
      <c r="GB2749" s="8">
        <v>3.1031143405899275</v>
      </c>
      <c r="GC2749" s="8">
        <v>0.45349245442259944</v>
      </c>
      <c r="GD2749" s="8">
        <v>1.0914903583500757</v>
      </c>
      <c r="GE2749" s="8">
        <v>2.3129603711426219</v>
      </c>
      <c r="GF2749" s="8">
        <v>1.1165433568750096</v>
      </c>
      <c r="GG2749" s="8">
        <v>0.1769257564900365</v>
      </c>
      <c r="GH2749" s="8">
        <v>0.40861888541082891</v>
      </c>
      <c r="GI2749" s="8">
        <v>4.8392108647329719</v>
      </c>
    </row>
    <row r="2750" spans="182:191">
      <c r="FZ2750" s="8">
        <v>6.0863832787662604</v>
      </c>
      <c r="GA2750" s="8">
        <v>5.9136254158280579</v>
      </c>
      <c r="GB2750" s="8">
        <v>1.4838384703089775</v>
      </c>
      <c r="GC2750" s="8">
        <v>0.58763521854405321</v>
      </c>
      <c r="GD2750" s="8">
        <v>0.47656837721238876</v>
      </c>
      <c r="GE2750" s="8">
        <v>1.2786793775672778</v>
      </c>
      <c r="GF2750" s="8">
        <v>4.339344632187923</v>
      </c>
      <c r="GG2750" s="8">
        <v>2.5027439088398373</v>
      </c>
      <c r="GH2750" s="8">
        <v>0</v>
      </c>
      <c r="GI2750" s="8">
        <v>3.1796141336705643</v>
      </c>
    </row>
    <row r="2751" spans="182:191">
      <c r="FZ2751" s="8">
        <v>6.1161567755553836</v>
      </c>
      <c r="GA2751" s="8">
        <v>21.768095543026476</v>
      </c>
      <c r="GB2751" s="8">
        <v>6.830795087264379</v>
      </c>
      <c r="GC2751" s="8">
        <v>0.16394795610755478</v>
      </c>
      <c r="GD2751" s="8">
        <v>0.485419300934885</v>
      </c>
      <c r="GE2751" s="8">
        <v>1.5245334634564376</v>
      </c>
      <c r="GF2751" s="8">
        <v>3.9911559461733259</v>
      </c>
      <c r="GG2751" s="8">
        <v>2.9967426464300475</v>
      </c>
      <c r="GH2751" s="8">
        <v>0.40861888541082891</v>
      </c>
      <c r="GI2751" s="8">
        <v>5.448484179842171</v>
      </c>
    </row>
    <row r="2752" spans="182:191">
      <c r="FZ2752" s="8">
        <v>2.1916143359223637</v>
      </c>
      <c r="GA2752" s="8">
        <v>4.3186255585169224</v>
      </c>
      <c r="GB2752" s="8">
        <v>0.86402681857725638</v>
      </c>
      <c r="GC2752" s="8">
        <v>0.77984440605382366</v>
      </c>
      <c r="GD2752" s="8">
        <v>0.82931572353946326</v>
      </c>
      <c r="GE2752" s="8">
        <v>1.2630156406959847</v>
      </c>
      <c r="GF2752" s="8">
        <v>2.8259363242308426</v>
      </c>
      <c r="GG2752" s="8">
        <v>1.8100421704621514</v>
      </c>
      <c r="GH2752" s="8">
        <v>0.17282465026292085</v>
      </c>
      <c r="GI2752" s="8">
        <v>2.6602501643330396</v>
      </c>
    </row>
    <row r="2753" spans="182:191">
      <c r="FZ2753" s="8">
        <v>5.2917107908931271</v>
      </c>
      <c r="GA2753" s="8">
        <v>12.929260476293006</v>
      </c>
      <c r="GB2753" s="8">
        <v>3.8799779244180055</v>
      </c>
      <c r="GC2753" s="8">
        <v>0.91300911796034478</v>
      </c>
      <c r="GD2753" s="8">
        <v>1.347857757061774</v>
      </c>
      <c r="GE2753" s="8">
        <v>2.397686199701071</v>
      </c>
      <c r="GF2753" s="8">
        <v>4.312816442779523</v>
      </c>
      <c r="GG2753" s="8">
        <v>2.6215896014336257</v>
      </c>
      <c r="GH2753" s="8">
        <v>0.17282465026292085</v>
      </c>
      <c r="GI2753" s="8">
        <v>5.617087517237727</v>
      </c>
    </row>
    <row r="2754" spans="182:191">
      <c r="FZ2754" s="8">
        <v>0.88215720358861527</v>
      </c>
      <c r="GA2754" s="8">
        <v>6.8675270235829462</v>
      </c>
      <c r="GB2754" s="8">
        <v>2.6356877052394463</v>
      </c>
      <c r="GC2754" s="8">
        <v>0.5619180101807868</v>
      </c>
      <c r="GD2754" s="8">
        <v>0.56591992397040491</v>
      </c>
      <c r="GE2754" s="8">
        <v>1.2264825546206208</v>
      </c>
      <c r="GF2754" s="8">
        <v>2.6079989642928103</v>
      </c>
      <c r="GG2754" s="8">
        <v>1.3641019447390237</v>
      </c>
      <c r="GH2754" s="8">
        <v>0.40861888541082891</v>
      </c>
      <c r="GI2754" s="8">
        <v>3.2467627242690433</v>
      </c>
    </row>
    <row r="2755" spans="182:191">
      <c r="FZ2755" s="8">
        <v>10.640752424673726</v>
      </c>
      <c r="GA2755" s="8">
        <v>15.92643643755677</v>
      </c>
      <c r="GB2755" s="8">
        <v>3.4346684194600137</v>
      </c>
      <c r="GC2755" s="8">
        <v>0.70836233612154365</v>
      </c>
      <c r="GD2755" s="8">
        <v>0.36309435092732173</v>
      </c>
      <c r="GE2755" s="8">
        <v>0.94681519747312437</v>
      </c>
      <c r="GF2755" s="8">
        <v>3.1404144514730508</v>
      </c>
      <c r="GG2755" s="8">
        <v>1.5628049455265007</v>
      </c>
      <c r="GH2755" s="8">
        <v>0.17282465026292085</v>
      </c>
      <c r="GI2755" s="8">
        <v>3.6923892260166031</v>
      </c>
    </row>
    <row r="2756" spans="182:191">
      <c r="FZ2756" s="8">
        <v>10.1444476466955</v>
      </c>
      <c r="GA2756" s="8">
        <v>8.6083886110374124</v>
      </c>
      <c r="GB2756" s="8">
        <v>1.7210532635818374</v>
      </c>
      <c r="GC2756" s="8">
        <v>0.67984796113031676</v>
      </c>
      <c r="GD2756" s="8">
        <v>0.80492903389131776</v>
      </c>
      <c r="GE2756" s="8">
        <v>1.5043744879848469</v>
      </c>
      <c r="GF2756" s="8">
        <v>2.4441097441687729</v>
      </c>
      <c r="GG2756" s="8">
        <v>1.3641019447390237</v>
      </c>
      <c r="GH2756" s="8">
        <v>0.75426818593667067</v>
      </c>
      <c r="GI2756" s="8">
        <v>4.4517351109984684</v>
      </c>
    </row>
    <row r="2757" spans="182:191">
      <c r="FZ2757" s="8">
        <v>1.4248795701864641</v>
      </c>
      <c r="GA2757" s="8">
        <v>8.2836087449004872</v>
      </c>
      <c r="GB2757" s="8">
        <v>2.2630355119946142</v>
      </c>
      <c r="GC2757" s="8">
        <v>1.1296446968385077</v>
      </c>
      <c r="GD2757" s="8">
        <v>1.0343473760656519</v>
      </c>
      <c r="GE2757" s="8">
        <v>1.5338615533375786</v>
      </c>
      <c r="GF2757" s="8">
        <v>4.2935687324657152</v>
      </c>
      <c r="GG2757" s="8">
        <v>3.1038326467555613</v>
      </c>
      <c r="GH2757" s="8">
        <v>0.64441312055873701</v>
      </c>
      <c r="GI2757" s="8">
        <v>3.522091270277425</v>
      </c>
    </row>
    <row r="2758" spans="182:191">
      <c r="FZ2758" s="8">
        <v>13.214390228838257</v>
      </c>
      <c r="GA2758" s="8">
        <v>17.595331714652886</v>
      </c>
      <c r="GB2758" s="8">
        <v>4.5869528108989055</v>
      </c>
      <c r="GC2758" s="8">
        <v>0.98947772360190778</v>
      </c>
      <c r="GD2758" s="8">
        <v>0.64473297906527027</v>
      </c>
      <c r="GE2758" s="8">
        <v>0.78041455779961322</v>
      </c>
      <c r="GF2758" s="8">
        <v>6.6115709127526232</v>
      </c>
      <c r="GG2758" s="8">
        <v>5.1338793500215374</v>
      </c>
      <c r="GH2758" s="8">
        <v>0</v>
      </c>
      <c r="GI2758" s="8">
        <v>5.7937705413413445</v>
      </c>
    </row>
    <row r="2759" spans="182:191">
      <c r="FZ2759" s="8">
        <v>2.1916143359223637</v>
      </c>
      <c r="GA2759" s="8">
        <v>6.6886088875893508</v>
      </c>
      <c r="GB2759" s="8">
        <v>1.5559727868760278</v>
      </c>
      <c r="GC2759" s="8">
        <v>1.3658561638855073</v>
      </c>
      <c r="GD2759" s="8">
        <v>1.1472275576998903</v>
      </c>
      <c r="GE2759" s="8">
        <v>1.5003183752486073</v>
      </c>
      <c r="GF2759" s="8">
        <v>4.4679808387668141</v>
      </c>
      <c r="GG2759" s="8">
        <v>2.9269068902655246</v>
      </c>
      <c r="GH2759" s="8">
        <v>0.40861888541082891</v>
      </c>
      <c r="GI2759" s="8">
        <v>3.4929904551998696</v>
      </c>
    </row>
    <row r="2760" spans="182:191">
      <c r="FZ2760" s="8">
        <v>3.1039254123389872</v>
      </c>
      <c r="GA2760" s="8">
        <v>1.9486422294444932</v>
      </c>
      <c r="GB2760" s="8">
        <v>0.12094085449398843</v>
      </c>
      <c r="GC2760" s="8">
        <v>0.85124697585761944</v>
      </c>
      <c r="GD2760" s="8">
        <v>1.1611454178202958</v>
      </c>
      <c r="GE2760" s="8">
        <v>1.3784886103238367</v>
      </c>
      <c r="GF2760" s="8">
        <v>3.9122798476627962</v>
      </c>
      <c r="GG2760" s="8">
        <v>3.5497728724786888</v>
      </c>
      <c r="GH2760" s="8">
        <v>0.40861888541082891</v>
      </c>
      <c r="GI2760" s="8">
        <v>3.345848537009533</v>
      </c>
    </row>
    <row r="2761" spans="182:191">
      <c r="FZ2761" s="8">
        <v>2.5732574281256437</v>
      </c>
      <c r="GA2761" s="8">
        <v>13.957057503832875</v>
      </c>
      <c r="GB2761" s="8">
        <v>5.8447139821412337</v>
      </c>
      <c r="GC2761" s="8">
        <v>1.1406554416629366</v>
      </c>
      <c r="GD2761" s="8">
        <v>1.1449079348961151</v>
      </c>
      <c r="GE2761" s="8">
        <v>2.2037648791504232</v>
      </c>
      <c r="GF2761" s="8">
        <v>4.4742484210915192</v>
      </c>
      <c r="GG2761" s="8">
        <v>2.1271151515623243</v>
      </c>
      <c r="GH2761" s="8">
        <v>0.17282465026292085</v>
      </c>
      <c r="GI2761" s="8">
        <v>5.2025942866417658</v>
      </c>
    </row>
    <row r="2762" spans="182:191">
      <c r="FZ2762" s="8">
        <v>3.2034645104389741</v>
      </c>
      <c r="GA2762" s="8">
        <v>12.929260476293006</v>
      </c>
      <c r="GB2762" s="8">
        <v>4.0532694229441129</v>
      </c>
      <c r="GC2762" s="8">
        <v>1.1004849133498436</v>
      </c>
      <c r="GD2762" s="8">
        <v>1.170899915232261</v>
      </c>
      <c r="GE2762" s="8">
        <v>1.2132305529589422</v>
      </c>
      <c r="GF2762" s="8">
        <v>2.0092212122169775</v>
      </c>
      <c r="GG2762" s="8">
        <v>1.9166564585065737</v>
      </c>
      <c r="GH2762" s="8">
        <v>0.47158847029581613</v>
      </c>
      <c r="GI2762" s="8">
        <v>4.1987297979619669</v>
      </c>
    </row>
    <row r="2763" spans="182:191">
      <c r="FZ2763" s="8">
        <v>6.6584987661143487</v>
      </c>
      <c r="GA2763" s="8">
        <v>20.497875551852268</v>
      </c>
      <c r="GB2763" s="8">
        <v>5.7039016164746279</v>
      </c>
      <c r="GC2763" s="8">
        <v>0.98668055697394741</v>
      </c>
      <c r="GD2763" s="8">
        <v>1.1853148752913056</v>
      </c>
      <c r="GE2763" s="8">
        <v>1.7523857338577016</v>
      </c>
      <c r="GF2763" s="8">
        <v>1.1165433568750096</v>
      </c>
      <c r="GG2763" s="8">
        <v>0.1769257564900365</v>
      </c>
      <c r="GH2763" s="8">
        <v>0.40861888541082891</v>
      </c>
      <c r="GI2763" s="8">
        <v>4.4041266095101417</v>
      </c>
    </row>
    <row r="2764" spans="182:191">
      <c r="FZ2764" s="8">
        <v>6.6588791421532321</v>
      </c>
      <c r="GA2764" s="8">
        <v>5.8397299960430775</v>
      </c>
      <c r="GB2764" s="8">
        <v>0.95015508235418533</v>
      </c>
      <c r="GC2764" s="8">
        <v>0.6466001940188183</v>
      </c>
      <c r="GD2764" s="8">
        <v>0.73429003279431182</v>
      </c>
      <c r="GE2764" s="8">
        <v>1.3193909506490986</v>
      </c>
      <c r="GF2764" s="8">
        <v>2.3493487912211308</v>
      </c>
      <c r="GG2764" s="8">
        <v>1.3155677205908503</v>
      </c>
      <c r="GH2764" s="8">
        <v>0</v>
      </c>
      <c r="GI2764" s="8">
        <v>3.6845652351624292</v>
      </c>
    </row>
    <row r="2765" spans="182:191">
      <c r="FZ2765" s="8">
        <v>12.008301151972717</v>
      </c>
      <c r="GA2765" s="8">
        <v>25.616097988951672</v>
      </c>
      <c r="GB2765" s="8">
        <v>8.3185950009315199</v>
      </c>
      <c r="GC2765" s="8">
        <v>0.57357416350265278</v>
      </c>
      <c r="GD2765" s="8">
        <v>0.43154130037854849</v>
      </c>
      <c r="GE2765" s="8">
        <v>0.64531517339101718</v>
      </c>
      <c r="GF2765" s="8">
        <v>2.7252503130388828</v>
      </c>
      <c r="GG2765" s="8">
        <v>2.340819439932261</v>
      </c>
      <c r="GH2765" s="8">
        <v>0.70738270544372439</v>
      </c>
      <c r="GI2765" s="8">
        <v>5.9361402655927318</v>
      </c>
    </row>
    <row r="2766" spans="182:191">
      <c r="FZ2766" s="8">
        <v>6.6588791421532321</v>
      </c>
      <c r="GA2766" s="8">
        <v>9.3629525758313488</v>
      </c>
      <c r="GB2766" s="8">
        <v>2.6844942431663839</v>
      </c>
      <c r="GC2766" s="8">
        <v>1.3684377978752558</v>
      </c>
      <c r="GD2766" s="8">
        <v>1.2039255949085521</v>
      </c>
      <c r="GE2766" s="8">
        <v>1.4082518044071537</v>
      </c>
      <c r="GF2766" s="8">
        <v>3.466003689753796</v>
      </c>
      <c r="GG2766" s="8">
        <v>1.8585763946103251</v>
      </c>
      <c r="GH2766" s="8">
        <v>0.40861888541082891</v>
      </c>
      <c r="GI2766" s="8">
        <v>4.5056495994597183</v>
      </c>
    </row>
    <row r="2767" spans="182:191">
      <c r="FZ2767" s="8">
        <v>10.408452150355291</v>
      </c>
      <c r="GA2767" s="8">
        <v>5.8932059088606996</v>
      </c>
      <c r="GB2767" s="8">
        <v>2.8589085513024277</v>
      </c>
      <c r="GC2767" s="8">
        <v>0.66668545817536462</v>
      </c>
      <c r="GD2767" s="8">
        <v>0.98916631039596614</v>
      </c>
      <c r="GE2767" s="8">
        <v>1.9985099129162269</v>
      </c>
      <c r="GF2767" s="8">
        <v>1.1165433568750096</v>
      </c>
      <c r="GG2767" s="8">
        <v>0</v>
      </c>
      <c r="GH2767" s="8">
        <v>0</v>
      </c>
      <c r="GI2767" s="8">
        <v>3.8632203515836672</v>
      </c>
    </row>
    <row r="2768" spans="182:191">
      <c r="FZ2768" s="8">
        <v>1.0277335142693396</v>
      </c>
      <c r="GA2768" s="8">
        <v>13.957057503832875</v>
      </c>
      <c r="GB2768" s="8">
        <v>5.6677905388722589</v>
      </c>
      <c r="GC2768" s="8">
        <v>0.54940091572327177</v>
      </c>
      <c r="GD2768" s="8">
        <v>0.61409843921166285</v>
      </c>
      <c r="GE2768" s="8">
        <v>0.94567220996660883</v>
      </c>
      <c r="GF2768" s="8">
        <v>3.9587194645113062</v>
      </c>
      <c r="GG2768" s="8">
        <v>3.597831384345771</v>
      </c>
      <c r="GH2768" s="8">
        <v>1.3986813064954078</v>
      </c>
      <c r="GI2768" s="8">
        <v>4.7278473001909127</v>
      </c>
    </row>
    <row r="2769" spans="182:191">
      <c r="FZ2769" s="8">
        <v>5.7465680657366089</v>
      </c>
      <c r="GA2769" s="8">
        <v>9.1636149328703951</v>
      </c>
      <c r="GB2769" s="8">
        <v>2.6880383492715652</v>
      </c>
      <c r="GC2769" s="8">
        <v>0.55198254971302019</v>
      </c>
      <c r="GD2769" s="8">
        <v>1.4458906382080388</v>
      </c>
      <c r="GE2769" s="8">
        <v>3.1402993695460917</v>
      </c>
      <c r="GF2769" s="8">
        <v>2.3863831008158938</v>
      </c>
      <c r="GG2769" s="8">
        <v>1.4707162327834462</v>
      </c>
      <c r="GH2769" s="8">
        <v>0.70738270544372439</v>
      </c>
      <c r="GI2769" s="8">
        <v>4.9875243707068249</v>
      </c>
    </row>
    <row r="2770" spans="182:191">
      <c r="FZ2770" s="8">
        <v>4.806699643221636</v>
      </c>
      <c r="GA2770" s="8">
        <v>13.128598119253958</v>
      </c>
      <c r="GB2770" s="8">
        <v>4.0834150979460553</v>
      </c>
      <c r="GC2770" s="8">
        <v>0.42096959593702232</v>
      </c>
      <c r="GD2770" s="8">
        <v>0.68695307398623751</v>
      </c>
      <c r="GE2770" s="8">
        <v>1.4724426531775192</v>
      </c>
      <c r="GF2770" s="8">
        <v>2.8934171760789003</v>
      </c>
      <c r="GG2770" s="8">
        <v>1.9288878630559392</v>
      </c>
      <c r="GH2770" s="8">
        <v>0.17282465026292085</v>
      </c>
      <c r="GI2770" s="8">
        <v>3.8676242906171643</v>
      </c>
    </row>
    <row r="2771" spans="182:191">
      <c r="FZ2771" s="8">
        <v>12.526471927598568</v>
      </c>
      <c r="GA2771" s="8">
        <v>21.947013679020074</v>
      </c>
      <c r="GB2771" s="8">
        <v>8.0801695594110381</v>
      </c>
      <c r="GC2771" s="8">
        <v>1.0223332258049804</v>
      </c>
      <c r="GD2771" s="8">
        <v>0.97549451639642393</v>
      </c>
      <c r="GE2771" s="8">
        <v>0.91598833354455711</v>
      </c>
      <c r="GF2771" s="8">
        <v>0.89456820332700726</v>
      </c>
      <c r="GG2771" s="8">
        <v>0.24723722493565062</v>
      </c>
      <c r="GH2771" s="8">
        <v>0</v>
      </c>
      <c r="GI2771" s="8">
        <v>5.0280140938677054</v>
      </c>
    </row>
    <row r="2772" spans="182:191">
      <c r="FZ2772" s="8">
        <v>12.10745987403382</v>
      </c>
      <c r="GA2772" s="8">
        <v>11.75367260918318</v>
      </c>
      <c r="GB2772" s="8">
        <v>0.81055336493520136</v>
      </c>
      <c r="GC2772" s="8">
        <v>0.62217380265042599</v>
      </c>
      <c r="GD2772" s="8">
        <v>0.83866374720059844</v>
      </c>
      <c r="GE2772" s="8">
        <v>1.1018718654218285</v>
      </c>
      <c r="GF2772" s="8">
        <v>2.9787842186315991</v>
      </c>
      <c r="GG2772" s="8">
        <v>2.5512781329880112</v>
      </c>
      <c r="GH2772" s="8">
        <v>0.40861888541082891</v>
      </c>
      <c r="GI2772" s="8">
        <v>4.1055283146816119</v>
      </c>
    </row>
    <row r="2773" spans="182:191">
      <c r="FZ2773" s="8">
        <v>7.4953795091999957</v>
      </c>
      <c r="GA2773" s="8">
        <v>8.1892938181481494</v>
      </c>
      <c r="GB2773" s="8">
        <v>2.686827701023943</v>
      </c>
      <c r="GC2773" s="8">
        <v>0.70965315311641775</v>
      </c>
      <c r="GD2773" s="8">
        <v>1.0617496513563962</v>
      </c>
      <c r="GE2773" s="8">
        <v>1.873057803728309</v>
      </c>
      <c r="GF2773" s="8">
        <v>2.3804357035079535</v>
      </c>
      <c r="GG2773" s="8">
        <v>1.4924934770808866</v>
      </c>
      <c r="GH2773" s="8">
        <v>0.23579423514790807</v>
      </c>
      <c r="GI2773" s="8">
        <v>4.4784507529463564</v>
      </c>
    </row>
    <row r="2774" spans="182:191">
      <c r="FZ2774" s="8">
        <v>4.0279104951012314</v>
      </c>
      <c r="GA2774" s="8">
        <v>3.2704090240096959</v>
      </c>
      <c r="GB2774" s="8">
        <v>0.19195236145110278</v>
      </c>
      <c r="GC2774" s="8">
        <v>1.2433695530859197</v>
      </c>
      <c r="GD2774" s="8">
        <v>1.0217115751074359</v>
      </c>
      <c r="GE2774" s="8">
        <v>0.831262910184007</v>
      </c>
      <c r="GF2774" s="8">
        <v>2.1867700354179687</v>
      </c>
      <c r="GG2774" s="8">
        <v>1.3155677205908503</v>
      </c>
      <c r="GH2774" s="8">
        <v>0.17282465026292085</v>
      </c>
      <c r="GI2774" s="8">
        <v>2.0135227550856927</v>
      </c>
    </row>
    <row r="2775" spans="182:191">
      <c r="FZ2775" s="8">
        <v>7.0401418583176287</v>
      </c>
      <c r="GA2775" s="8">
        <v>7.1614967906082807</v>
      </c>
      <c r="GB2775" s="8">
        <v>0.98505551170893113</v>
      </c>
      <c r="GC2775" s="8">
        <v>0.75287399164648228</v>
      </c>
      <c r="GD2775" s="8">
        <v>0.93237122027616959</v>
      </c>
      <c r="GE2775" s="8">
        <v>1.7553368757151808</v>
      </c>
      <c r="GF2775" s="8">
        <v>2.8758392201570535</v>
      </c>
      <c r="GG2775" s="8">
        <v>1.5628049455265007</v>
      </c>
      <c r="GH2775" s="8">
        <v>0.17282465026292085</v>
      </c>
      <c r="GI2775" s="8">
        <v>3.2727599587833334</v>
      </c>
    </row>
    <row r="2776" spans="182:191">
      <c r="FZ2776" s="8">
        <v>8.1252062154744404</v>
      </c>
      <c r="GA2776" s="8">
        <v>13.556453108484341</v>
      </c>
      <c r="GB2776" s="8">
        <v>2.7601726658386152</v>
      </c>
      <c r="GC2776" s="8">
        <v>0.37559699927643464</v>
      </c>
      <c r="GD2776" s="8">
        <v>0.42532229204601912</v>
      </c>
      <c r="GE2776" s="8">
        <v>1.1008081955765781</v>
      </c>
      <c r="GF2776" s="8">
        <v>1.0841068752129899</v>
      </c>
      <c r="GG2776" s="8">
        <v>0.24723722493565062</v>
      </c>
      <c r="GH2776" s="8">
        <v>0.17282465026292085</v>
      </c>
      <c r="GI2776" s="8">
        <v>3.7092034134708971</v>
      </c>
    </row>
    <row r="2777" spans="182:191">
      <c r="FZ2777" s="8">
        <v>2.7761645816938412</v>
      </c>
      <c r="GA2777" s="8">
        <v>12.929260476293006</v>
      </c>
      <c r="GB2777" s="8">
        <v>3.9148783537727514</v>
      </c>
      <c r="GC2777" s="8">
        <v>1.2685208530802332</v>
      </c>
      <c r="GD2777" s="8">
        <v>1.3251957509048338</v>
      </c>
      <c r="GE2777" s="8">
        <v>1.6953241087533732</v>
      </c>
      <c r="GF2777" s="8">
        <v>4.5322962574903132</v>
      </c>
      <c r="GG2777" s="8">
        <v>3.0670541148756616</v>
      </c>
      <c r="GH2777" s="8">
        <v>0</v>
      </c>
      <c r="GI2777" s="8">
        <v>4.7301634589326822</v>
      </c>
    </row>
    <row r="2778" spans="182:191">
      <c r="FZ2778" s="8">
        <v>5.3494220098194845</v>
      </c>
      <c r="GA2778" s="8">
        <v>13.128598119253958</v>
      </c>
      <c r="GB2778" s="8">
        <v>3.9811351063770619</v>
      </c>
      <c r="GC2778" s="8">
        <v>0.19375314809365582</v>
      </c>
      <c r="GD2778" s="8">
        <v>0.7085052050906826</v>
      </c>
      <c r="GE2778" s="8">
        <v>2.5257141246002295</v>
      </c>
      <c r="GF2778" s="8">
        <v>6.9604233158935234</v>
      </c>
      <c r="GG2778" s="8">
        <v>4.9351763492340606</v>
      </c>
      <c r="GH2778" s="8">
        <v>0.23579423514790807</v>
      </c>
      <c r="GI2778" s="8">
        <v>5.5513223113828642</v>
      </c>
    </row>
    <row r="2779" spans="182:191">
      <c r="FZ2779" s="8">
        <v>3.746186877036823</v>
      </c>
      <c r="GA2779" s="8">
        <v>7.2353922103932602</v>
      </c>
      <c r="GB2779" s="8">
        <v>1.3977980451697349</v>
      </c>
      <c r="GC2779" s="8">
        <v>0.8365405123187819</v>
      </c>
      <c r="GD2779" s="8">
        <v>1.227666163479125</v>
      </c>
      <c r="GE2779" s="8">
        <v>1.7534494037029522</v>
      </c>
      <c r="GF2779" s="8">
        <v>4.6523641381195127</v>
      </c>
      <c r="GG2779" s="8">
        <v>3.8668458535788619</v>
      </c>
      <c r="GH2779" s="8">
        <v>0.58144353567374973</v>
      </c>
      <c r="GI2779" s="8">
        <v>4.1296482764334241</v>
      </c>
    </row>
    <row r="2780" spans="182:191">
      <c r="FZ2780" s="8">
        <v>7.3377488161347646</v>
      </c>
      <c r="GA2780" s="8">
        <v>11.112257162314888</v>
      </c>
      <c r="GB2780" s="8">
        <v>2.5833370612073274</v>
      </c>
      <c r="GC2780" s="8">
        <v>0.67012803330076209</v>
      </c>
      <c r="GD2780" s="8">
        <v>1.5136531088914227</v>
      </c>
      <c r="GE2780" s="8">
        <v>3.0943800242350878</v>
      </c>
      <c r="GF2780" s="8">
        <v>3.1673743675558708</v>
      </c>
      <c r="GG2780" s="8">
        <v>1.5628049455265007</v>
      </c>
      <c r="GH2780" s="8">
        <v>0.3456493005258417</v>
      </c>
      <c r="GI2780" s="8">
        <v>5.1663760068788473</v>
      </c>
    </row>
    <row r="2781" spans="182:191">
      <c r="FZ2781" s="8">
        <v>1.1431559521220556</v>
      </c>
      <c r="GA2781" s="8">
        <v>0.1993376429609533</v>
      </c>
      <c r="GB2781" s="8">
        <v>0.43150061258152128</v>
      </c>
      <c r="GC2781" s="8">
        <v>0.72973841727296429</v>
      </c>
      <c r="GD2781" s="8">
        <v>0.60572793838319261</v>
      </c>
      <c r="GE2781" s="8">
        <v>1.1253575818694921</v>
      </c>
      <c r="GF2781" s="8">
        <v>3.8233379843747404</v>
      </c>
      <c r="GG2781" s="8">
        <v>2.6796696653298739</v>
      </c>
      <c r="GH2781" s="8">
        <v>0.92709283619959149</v>
      </c>
      <c r="GI2781" s="8">
        <v>2.677765896214594</v>
      </c>
    </row>
    <row r="2782" spans="182:191">
      <c r="FZ2782" s="8">
        <v>0.93986842251497327</v>
      </c>
      <c r="GA2782" s="8">
        <v>3.5436420867556286</v>
      </c>
      <c r="GB2782" s="8">
        <v>0.791892502010206</v>
      </c>
      <c r="GC2782" s="8">
        <v>0.70681837553765836</v>
      </c>
      <c r="GD2782" s="8">
        <v>0.5029570904698234</v>
      </c>
      <c r="GE2782" s="8">
        <v>0.47897873863322449</v>
      </c>
      <c r="GF2782" s="8">
        <v>1.7696904418107515</v>
      </c>
      <c r="GG2782" s="8">
        <v>1.1168647198033732</v>
      </c>
      <c r="GH2782" s="8">
        <v>0.75426818593667067</v>
      </c>
      <c r="GI2782" s="8">
        <v>2.3987748219471188</v>
      </c>
    </row>
    <row r="2783" spans="182:191">
      <c r="FZ2783" s="8">
        <v>2.5732574281256437</v>
      </c>
      <c r="GA2783" s="8">
        <v>4.9393043011058113</v>
      </c>
      <c r="GB2783" s="8">
        <v>1.4838384703089775</v>
      </c>
      <c r="GC2783" s="8">
        <v>0.41537526268110148</v>
      </c>
      <c r="GD2783" s="8">
        <v>0.24513748413642833</v>
      </c>
      <c r="GE2783" s="8">
        <v>0.84868266761298483</v>
      </c>
      <c r="GF2783" s="8">
        <v>3.7334950443766068</v>
      </c>
      <c r="GG2783" s="8">
        <v>2.4324324403942232</v>
      </c>
      <c r="GH2783" s="8">
        <v>0.58144353567374973</v>
      </c>
      <c r="GI2783" s="8">
        <v>2.5791131511965801</v>
      </c>
    </row>
    <row r="2784" spans="182:191">
      <c r="FZ2784" s="8">
        <v>0.54272236659784878</v>
      </c>
      <c r="GA2784" s="8">
        <v>0.1993376429609533</v>
      </c>
      <c r="GB2784" s="8">
        <v>0.36169975387202929</v>
      </c>
      <c r="GC2784" s="8">
        <v>0.53416615476628049</v>
      </c>
      <c r="GD2784" s="8">
        <v>0.7064819483871505</v>
      </c>
      <c r="GE2784" s="8">
        <v>1.7247861405171985</v>
      </c>
      <c r="GF2784" s="8">
        <v>3.7925712571046821</v>
      </c>
      <c r="GG2784" s="8">
        <v>2.2555066839041871</v>
      </c>
      <c r="GH2784" s="8">
        <v>0.51847395078876257</v>
      </c>
      <c r="GI2784" s="8">
        <v>2.7390387272922982</v>
      </c>
    </row>
    <row r="2785" spans="182:191">
      <c r="FZ2785" s="8">
        <v>6.1738679944817427</v>
      </c>
      <c r="GA2785" s="8">
        <v>11.334260618981871</v>
      </c>
      <c r="GB2785" s="8">
        <v>3.2788271356112793</v>
      </c>
      <c r="GC2785" s="8">
        <v>0.60467017248362809</v>
      </c>
      <c r="GD2785" s="8">
        <v>0.87931676164585726</v>
      </c>
      <c r="GE2785" s="8">
        <v>2.170167822186992</v>
      </c>
      <c r="GF2785" s="8">
        <v>2.7141615410639695</v>
      </c>
      <c r="GG2785" s="8">
        <v>1.1168647198033732</v>
      </c>
      <c r="GH2785" s="8">
        <v>0.58144353567374973</v>
      </c>
      <c r="GI2785" s="8">
        <v>4.15304590845024</v>
      </c>
    </row>
    <row r="2786" spans="182:191">
      <c r="FZ2786" s="8">
        <v>3.3188869482916896</v>
      </c>
      <c r="GA2786" s="8">
        <v>18.423791099231799</v>
      </c>
      <c r="GB2786" s="8">
        <v>6.1550886853953584</v>
      </c>
      <c r="GC2786" s="8">
        <v>0.90956654283494731</v>
      </c>
      <c r="GD2786" s="8">
        <v>0.77797355855983308</v>
      </c>
      <c r="GE2786" s="8">
        <v>0.89939237828255791</v>
      </c>
      <c r="GF2786" s="8">
        <v>3.1803544955449743</v>
      </c>
      <c r="GG2786" s="8">
        <v>2.0572793953978019</v>
      </c>
      <c r="GH2786" s="8">
        <v>0.51847395078876257</v>
      </c>
      <c r="GI2786" s="8">
        <v>4.8849189492021523</v>
      </c>
    </row>
    <row r="2787" spans="182:191">
      <c r="FZ2787" s="8">
        <v>2.718453362767483</v>
      </c>
      <c r="GA2787" s="8">
        <v>12.729922833332054</v>
      </c>
      <c r="GB2787" s="8">
        <v>3.8299607382434449</v>
      </c>
      <c r="GC2787" s="8">
        <v>0.27929627306733634</v>
      </c>
      <c r="GD2787" s="8">
        <v>0.56350731811206956</v>
      </c>
      <c r="GE2787" s="8">
        <v>1.6914006021707348</v>
      </c>
      <c r="GF2787" s="8">
        <v>1.2346957823311606</v>
      </c>
      <c r="GG2787" s="8">
        <v>0.1769257564900365</v>
      </c>
      <c r="GH2787" s="8">
        <v>0.75426818593667067</v>
      </c>
      <c r="GI2787" s="8">
        <v>3.9974145879303333</v>
      </c>
    </row>
    <row r="2788" spans="182:191">
      <c r="FZ2788" s="8">
        <v>9.0288490406717941</v>
      </c>
      <c r="GA2788" s="8">
        <v>18.002449999603861</v>
      </c>
      <c r="GB2788" s="8">
        <v>5.6538844303000673</v>
      </c>
      <c r="GC2788" s="8">
        <v>0.70707151912666932</v>
      </c>
      <c r="GD2788" s="8">
        <v>0.75505224490749923</v>
      </c>
      <c r="GE2788" s="8">
        <v>1.4093154742524039</v>
      </c>
      <c r="GF2788" s="8">
        <v>3.1524043001580431</v>
      </c>
      <c r="GG2788" s="8">
        <v>2.1638936834422244</v>
      </c>
      <c r="GH2788" s="8">
        <v>0.47158847029581613</v>
      </c>
      <c r="GI2788" s="8">
        <v>5.0736395899593605</v>
      </c>
    </row>
    <row r="2789" spans="182:191">
      <c r="FZ2789" s="8">
        <v>3.2611757293653318</v>
      </c>
      <c r="GA2789" s="8">
        <v>10.359939504259625</v>
      </c>
      <c r="GB2789" s="8">
        <v>3.0519743448054308</v>
      </c>
      <c r="GC2789" s="8">
        <v>0.13220653862914244</v>
      </c>
      <c r="GD2789" s="8">
        <v>0.5246768265319468</v>
      </c>
      <c r="GE2789" s="8">
        <v>1.8986273980596224</v>
      </c>
      <c r="GF2789" s="8">
        <v>3.6834925570267094</v>
      </c>
      <c r="GG2789" s="8">
        <v>2.2827393760360124</v>
      </c>
      <c r="GH2789" s="8">
        <v>0.47158847029581613</v>
      </c>
      <c r="GI2789" s="8">
        <v>3.2678125413726589</v>
      </c>
    </row>
    <row r="2790" spans="182:191">
      <c r="FZ2790" s="8">
        <v>3.1159797947234926</v>
      </c>
      <c r="GA2790" s="8">
        <v>5.6938682658997468</v>
      </c>
      <c r="GB2790" s="8">
        <v>2.5694309526351349</v>
      </c>
      <c r="GC2790" s="8">
        <v>0.77575642243098897</v>
      </c>
      <c r="GD2790" s="8">
        <v>0.74911146660418626</v>
      </c>
      <c r="GE2790" s="8">
        <v>1.1365580310173156</v>
      </c>
      <c r="GF2790" s="8">
        <v>3.0880835123026498</v>
      </c>
      <c r="GG2790" s="8">
        <v>1.8798779266266734</v>
      </c>
      <c r="GH2790" s="8">
        <v>0</v>
      </c>
      <c r="GI2790" s="8">
        <v>3.0169465213155471</v>
      </c>
    </row>
    <row r="2791" spans="182:191">
      <c r="FZ2791" s="8">
        <v>10.271544090893837</v>
      </c>
      <c r="GA2791" s="8">
        <v>16.179249993335343</v>
      </c>
      <c r="GB2791" s="8">
        <v>5.0119556481758565</v>
      </c>
      <c r="GC2791" s="8">
        <v>0.90272328176183758</v>
      </c>
      <c r="GD2791" s="8">
        <v>1.5627399788839835</v>
      </c>
      <c r="GE2791" s="8">
        <v>2.0863828840056771</v>
      </c>
      <c r="GF2791" s="8">
        <v>6.4158865890292454</v>
      </c>
      <c r="GG2791" s="8">
        <v>5.8265810883992248</v>
      </c>
      <c r="GH2791" s="8">
        <v>0.51847395078876257</v>
      </c>
      <c r="GI2791" s="8">
        <v>6.1575928525381478</v>
      </c>
    </row>
    <row r="2792" spans="182:191">
      <c r="FZ2792" s="8">
        <v>5.7465680657366089</v>
      </c>
      <c r="GA2792" s="8">
        <v>15.256158484692049</v>
      </c>
      <c r="GB2792" s="8">
        <v>5.2816495743082168</v>
      </c>
      <c r="GC2792" s="8">
        <v>0.91236370946290779</v>
      </c>
      <c r="GD2792" s="8">
        <v>1.1937125802604214</v>
      </c>
      <c r="GE2792" s="8">
        <v>1.9524268923014954</v>
      </c>
      <c r="GF2792" s="8">
        <v>3.2894555346865695</v>
      </c>
      <c r="GG2792" s="8">
        <v>2.0568036831167102</v>
      </c>
      <c r="GH2792" s="8">
        <v>0.40861888541082891</v>
      </c>
      <c r="GI2792" s="8">
        <v>4.8530073639288789</v>
      </c>
    </row>
    <row r="2793" spans="182:191">
      <c r="FZ2793" s="8">
        <v>7.1137364169967157</v>
      </c>
      <c r="GA2793" s="8">
        <v>4.4440677816928957</v>
      </c>
      <c r="GB2793" s="8">
        <v>0.37914996854940219</v>
      </c>
      <c r="GC2793" s="8">
        <v>0.40242829236436128</v>
      </c>
      <c r="GD2793" s="8">
        <v>0.41297591304376957</v>
      </c>
      <c r="GE2793" s="8">
        <v>0.95677318872642358</v>
      </c>
      <c r="GF2793" s="8">
        <v>3.524388477160052</v>
      </c>
      <c r="GG2793" s="8">
        <v>2.8080611976717367</v>
      </c>
      <c r="GH2793" s="8">
        <v>0.75426818593667067</v>
      </c>
      <c r="GI2793" s="8">
        <v>3.3303353545349221</v>
      </c>
    </row>
    <row r="2794" spans="182:191">
      <c r="FZ2794" s="8">
        <v>0.93986842251497327</v>
      </c>
      <c r="GA2794" s="8">
        <v>6.3123007017499644</v>
      </c>
      <c r="GB2794" s="8">
        <v>1.7048136971520869</v>
      </c>
      <c r="GC2794" s="8">
        <v>1.0039310435517343</v>
      </c>
      <c r="GD2794" s="8">
        <v>1.3110769319338282</v>
      </c>
      <c r="GE2794" s="8">
        <v>2.0363436262406136</v>
      </c>
      <c r="GF2794" s="8">
        <v>4.4719095804413627</v>
      </c>
      <c r="GG2794" s="8">
        <v>3.2439798713656982</v>
      </c>
      <c r="GH2794" s="8">
        <v>0.23579423514790807</v>
      </c>
      <c r="GI2794" s="8">
        <v>3.5738695522379125</v>
      </c>
    </row>
    <row r="2795" spans="182:191">
      <c r="FZ2795" s="8">
        <v>5.009606796789833</v>
      </c>
      <c r="GA2795" s="8">
        <v>10.884057013357506</v>
      </c>
      <c r="GB2795" s="8">
        <v>2.9240424942968026</v>
      </c>
      <c r="GC2795" s="8">
        <v>0.63817108318413773</v>
      </c>
      <c r="GD2795" s="8">
        <v>0.43298375924149968</v>
      </c>
      <c r="GE2795" s="8">
        <v>0.5955304908518736</v>
      </c>
      <c r="GF2795" s="8">
        <v>4.2027365211926204</v>
      </c>
      <c r="GG2795" s="8">
        <v>3.1954456472175239</v>
      </c>
      <c r="GH2795" s="8">
        <v>0.17282465026292085</v>
      </c>
      <c r="GI2795" s="8">
        <v>3.8113921897730281</v>
      </c>
    </row>
    <row r="2796" spans="182:191">
      <c r="FZ2796" s="8">
        <v>1.6488919693245148</v>
      </c>
      <c r="GA2796" s="8">
        <v>10.012493824416669</v>
      </c>
      <c r="GB2796" s="8">
        <v>3.2090262769017874</v>
      </c>
      <c r="GC2796" s="8">
        <v>1.2444836378105799</v>
      </c>
      <c r="GD2796" s="8">
        <v>1.0230872900841077</v>
      </c>
      <c r="GE2796" s="8">
        <v>1.4410504979904117</v>
      </c>
      <c r="GF2796" s="8">
        <v>4.0686878444405528</v>
      </c>
      <c r="GG2796" s="8">
        <v>2.3040409080523605</v>
      </c>
      <c r="GH2796" s="8">
        <v>0.40861888541082891</v>
      </c>
      <c r="GI2796" s="8">
        <v>3.4296266065046783</v>
      </c>
    </row>
    <row r="2797" spans="182:191">
      <c r="FZ2797" s="8">
        <v>11.377713693620503</v>
      </c>
      <c r="GA2797" s="8">
        <v>28.561727146824442</v>
      </c>
      <c r="GB2797" s="8">
        <v>8.7384257466026867</v>
      </c>
      <c r="GC2797" s="8">
        <v>0.58329409133220744</v>
      </c>
      <c r="GD2797" s="8">
        <v>1.1760975195468666</v>
      </c>
      <c r="GE2797" s="8">
        <v>2.1977419767406898</v>
      </c>
      <c r="GF2797" s="8">
        <v>0.82219167759306466</v>
      </c>
      <c r="GG2797" s="8">
        <v>0.353851512980073</v>
      </c>
      <c r="GH2797" s="8">
        <v>0.47158847029581613</v>
      </c>
      <c r="GI2797" s="8">
        <v>6.4412307279522336</v>
      </c>
    </row>
    <row r="2798" spans="182:191">
      <c r="FZ2798" s="8">
        <v>0.54272236659784878</v>
      </c>
      <c r="GA2798" s="8">
        <v>8.263189237933128</v>
      </c>
      <c r="GB2798" s="8">
        <v>3.3613234546453414</v>
      </c>
      <c r="GC2798" s="8">
        <v>0.54539243222892142</v>
      </c>
      <c r="GD2798" s="8">
        <v>0.75225861800381866</v>
      </c>
      <c r="GE2798" s="8">
        <v>2.0375860841351381</v>
      </c>
      <c r="GF2798" s="8">
        <v>6.5212794800893708</v>
      </c>
      <c r="GG2798" s="8">
        <v>4.6879391242984099</v>
      </c>
      <c r="GH2798" s="8">
        <v>0.58144353567374973</v>
      </c>
      <c r="GI2798" s="8">
        <v>4.0037772721244043</v>
      </c>
    </row>
    <row r="2799" spans="182:191">
      <c r="FZ2799" s="8">
        <v>11.068052353418858</v>
      </c>
      <c r="GA2799" s="8">
        <v>16.125774080517726</v>
      </c>
      <c r="GB2799" s="8">
        <v>3.4136740986774603</v>
      </c>
      <c r="GC2799" s="8">
        <v>0.96659529281740109</v>
      </c>
      <c r="GD2799" s="8">
        <v>1.3940812266377018</v>
      </c>
      <c r="GE2799" s="8">
        <v>2.8000889466781822</v>
      </c>
      <c r="GF2799" s="8">
        <v>3.4540138410688037</v>
      </c>
      <c r="GG2799" s="8">
        <v>1.6113391696746744</v>
      </c>
      <c r="GH2799" s="8">
        <v>0.23579423514790807</v>
      </c>
      <c r="GI2799" s="8">
        <v>5.6765303775564613</v>
      </c>
    </row>
    <row r="2800" spans="182:191">
      <c r="FZ2800" s="8">
        <v>3.746186877036823</v>
      </c>
      <c r="GA2800" s="8">
        <v>13.683824441086943</v>
      </c>
      <c r="GB2800" s="8">
        <v>4.8945588997870484</v>
      </c>
      <c r="GC2800" s="8">
        <v>0.60402476398619087</v>
      </c>
      <c r="GD2800" s="8">
        <v>0.68451857039924624</v>
      </c>
      <c r="GE2800" s="8">
        <v>1.4624846619242204</v>
      </c>
      <c r="GF2800" s="8">
        <v>4.4089046260387388</v>
      </c>
      <c r="GG2800" s="8">
        <v>2.9269068902655246</v>
      </c>
      <c r="GH2800" s="8">
        <v>0.40861888541082891</v>
      </c>
      <c r="GI2800" s="8">
        <v>3.8481856752957651</v>
      </c>
    </row>
    <row r="2801" spans="182:191">
      <c r="FZ2801" s="8">
        <v>5.9709608409135448</v>
      </c>
      <c r="GA2801" s="8">
        <v>3.3443044437946754</v>
      </c>
      <c r="GB2801" s="8">
        <v>0.88026638500700694</v>
      </c>
      <c r="GC2801" s="8">
        <v>0.71614603845878688</v>
      </c>
      <c r="GD2801" s="8">
        <v>0.87142093767721418</v>
      </c>
      <c r="GE2801" s="8">
        <v>1.5480519104717947</v>
      </c>
      <c r="GF2801" s="8">
        <v>5.0386770044566713</v>
      </c>
      <c r="GG2801" s="8">
        <v>3.9952373859207246</v>
      </c>
      <c r="GH2801" s="8">
        <v>0.40861888541082891</v>
      </c>
      <c r="GI2801" s="8">
        <v>4.1218153472672592</v>
      </c>
    </row>
    <row r="2802" spans="182:191">
      <c r="FZ2802" s="8">
        <v>10.640752424673726</v>
      </c>
      <c r="GA2802" s="8">
        <v>13.755790751445296</v>
      </c>
      <c r="GB2802" s="8">
        <v>2.8450902813679217</v>
      </c>
      <c r="GC2802" s="8">
        <v>0.66169892246608164</v>
      </c>
      <c r="GD2802" s="8">
        <v>0.46527601368782934</v>
      </c>
      <c r="GE2802" s="8">
        <v>0.72179128946122328</v>
      </c>
      <c r="GF2802" s="8">
        <v>3.0164652754209369</v>
      </c>
      <c r="GG2802" s="8">
        <v>2.0572793953978019</v>
      </c>
      <c r="GH2802" s="8">
        <v>0.17282465026292085</v>
      </c>
      <c r="GI2802" s="8">
        <v>3.4207406441533963</v>
      </c>
    </row>
    <row r="2803" spans="182:191">
      <c r="FZ2803" s="8">
        <v>6.1738679944817427</v>
      </c>
      <c r="GA2803" s="8">
        <v>8.0103756821545531</v>
      </c>
      <c r="GB2803" s="8">
        <v>1.3826812883499204</v>
      </c>
      <c r="GC2803" s="8">
        <v>0.31060781468652365</v>
      </c>
      <c r="GD2803" s="8">
        <v>1.0099060994303417</v>
      </c>
      <c r="GE2803" s="8">
        <v>2.3968771050817401</v>
      </c>
      <c r="GF2803" s="8">
        <v>4.7515890382786203</v>
      </c>
      <c r="GG2803" s="8">
        <v>3.5710744044950373</v>
      </c>
      <c r="GH2803" s="8">
        <v>0.17282465026292085</v>
      </c>
      <c r="GI2803" s="8">
        <v>3.9310862918437572</v>
      </c>
    </row>
    <row r="2804" spans="182:191">
      <c r="FZ2804" s="8">
        <v>3.2611757293653318</v>
      </c>
      <c r="GA2804" s="8">
        <v>16.05380777015937</v>
      </c>
      <c r="GB2804" s="8">
        <v>5.6189840009453214</v>
      </c>
      <c r="GC2804" s="8">
        <v>1.3887385946700141</v>
      </c>
      <c r="GD2804" s="8">
        <v>1.6695511464225006</v>
      </c>
      <c r="GE2804" s="8">
        <v>2.207070066621831</v>
      </c>
      <c r="GF2804" s="8">
        <v>6.2389176494924179</v>
      </c>
      <c r="GG2804" s="8">
        <v>4.9351763492340606</v>
      </c>
      <c r="GH2804" s="8">
        <v>0.23579423514790807</v>
      </c>
      <c r="GI2804" s="8">
        <v>6.0000840680977179</v>
      </c>
    </row>
    <row r="2805" spans="182:191">
      <c r="FZ2805" s="8">
        <v>5.3490416337806002</v>
      </c>
      <c r="GA2805" s="8">
        <v>27.587406032102198</v>
      </c>
      <c r="GB2805" s="8">
        <v>8.6860751025705678</v>
      </c>
      <c r="GC2805" s="8">
        <v>0.20562483405373383</v>
      </c>
      <c r="GD2805" s="8">
        <v>0.38479352672333589</v>
      </c>
      <c r="GE2805" s="8">
        <v>1.6369127642298495</v>
      </c>
      <c r="GF2805" s="8">
        <v>5.9602051238664977</v>
      </c>
      <c r="GG2805" s="8">
        <v>4.7732518803264847</v>
      </c>
      <c r="GH2805" s="8">
        <v>1.288826241117474</v>
      </c>
      <c r="GI2805" s="8">
        <v>5.7629068760564657</v>
      </c>
    </row>
    <row r="2806" spans="182:191">
      <c r="FZ2806" s="8">
        <v>7.4833251268154903</v>
      </c>
      <c r="GA2806" s="8">
        <v>10.337273690553596</v>
      </c>
      <c r="GB2806" s="8">
        <v>2.8728146598746198</v>
      </c>
      <c r="GC2806" s="8">
        <v>0.94715543715829176</v>
      </c>
      <c r="GD2806" s="8">
        <v>0.83573546571038859</v>
      </c>
      <c r="GE2806" s="8">
        <v>0.94862335182408808</v>
      </c>
      <c r="GF2806" s="8">
        <v>4.79287865172574</v>
      </c>
      <c r="GG2806" s="8">
        <v>3.818311629430688</v>
      </c>
      <c r="GH2806" s="8">
        <v>0.3456493005258417</v>
      </c>
      <c r="GI2806" s="8">
        <v>3.9604444119877225</v>
      </c>
    </row>
    <row r="2807" spans="182:191">
      <c r="FZ2807" s="8">
        <v>8.8349905143617526</v>
      </c>
      <c r="GA2807" s="8">
        <v>4.6660712383598781</v>
      </c>
      <c r="GB2807" s="8">
        <v>0.74187531583564548</v>
      </c>
      <c r="GC2807" s="8">
        <v>0.31125322318396076</v>
      </c>
      <c r="GD2807" s="8">
        <v>0.62162872106949596</v>
      </c>
      <c r="GE2807" s="8">
        <v>1.4152586538029734</v>
      </c>
      <c r="GF2807" s="8">
        <v>1.637237035214969</v>
      </c>
      <c r="GG2807" s="8">
        <v>0.74171167480695199</v>
      </c>
      <c r="GH2807" s="8">
        <v>0.3456493005258417</v>
      </c>
      <c r="GI2807" s="8">
        <v>3.3189926886242729</v>
      </c>
    </row>
    <row r="2808" spans="182:191">
      <c r="FZ2808" s="8">
        <v>12.377509485752608</v>
      </c>
      <c r="GA2808" s="8">
        <v>16.146193587485083</v>
      </c>
      <c r="GB2808" s="8">
        <v>2.2245031378970008</v>
      </c>
      <c r="GC2808" s="8">
        <v>0.46917697017636956</v>
      </c>
      <c r="GD2808" s="8">
        <v>0.38335945517266545</v>
      </c>
      <c r="GE2808" s="8">
        <v>0.77413708016395999</v>
      </c>
      <c r="GF2808" s="8">
        <v>2.3626491042269979</v>
      </c>
      <c r="GG2808" s="8">
        <v>1.9166564585065737</v>
      </c>
      <c r="GH2808" s="8">
        <v>0.81723777082165783</v>
      </c>
      <c r="GI2808" s="8">
        <v>4.7308745265747243</v>
      </c>
    </row>
    <row r="2809" spans="182:191">
      <c r="FZ2809" s="8">
        <v>9.7585952210851108</v>
      </c>
      <c r="GA2809" s="8">
        <v>19.692081980979385</v>
      </c>
      <c r="GB2809" s="8">
        <v>4.5206960582945941</v>
      </c>
      <c r="GC2809" s="8">
        <v>0.30781064805856323</v>
      </c>
      <c r="GD2809" s="8">
        <v>0.58229634848890033</v>
      </c>
      <c r="GE2809" s="8">
        <v>1.8608518540897343</v>
      </c>
      <c r="GF2809" s="8">
        <v>7.4908201474403704</v>
      </c>
      <c r="GG2809" s="8">
        <v>6.0035068448892606</v>
      </c>
      <c r="GH2809" s="8">
        <v>0.23579423514790807</v>
      </c>
      <c r="GI2809" s="8">
        <v>5.5818433956411697</v>
      </c>
    </row>
    <row r="2810" spans="182:191">
      <c r="FZ2810" s="8">
        <v>1.4248795701864641</v>
      </c>
      <c r="GA2810" s="8">
        <v>12.561395289482693</v>
      </c>
      <c r="GB2810" s="8">
        <v>5.3073986494435736</v>
      </c>
      <c r="GC2810" s="8">
        <v>0.9678861098122753</v>
      </c>
      <c r="GD2810" s="8">
        <v>0.86270496887919945</v>
      </c>
      <c r="GE2810" s="8">
        <v>1.7758714503053654</v>
      </c>
      <c r="GF2810" s="8">
        <v>3.8928087756315235</v>
      </c>
      <c r="GG2810" s="8">
        <v>2.2337294396067464</v>
      </c>
      <c r="GH2810" s="8">
        <v>0.64441312055873701</v>
      </c>
      <c r="GI2810" s="8">
        <v>3.6640405187563254</v>
      </c>
    </row>
    <row r="2811" spans="182:191">
      <c r="FZ2811" s="8">
        <v>9.5134798123044</v>
      </c>
      <c r="GA2811" s="8">
        <v>11.081148349579786</v>
      </c>
      <c r="GB2811" s="8">
        <v>1.437280129224475</v>
      </c>
      <c r="GC2811" s="8">
        <v>0.43068952376657699</v>
      </c>
      <c r="GD2811" s="8">
        <v>0.83027082329331647</v>
      </c>
      <c r="GE2811" s="8">
        <v>1.7756926622560913</v>
      </c>
      <c r="GF2811" s="8">
        <v>4.6169995829167103</v>
      </c>
      <c r="GG2811" s="8">
        <v>3.7480001609850739</v>
      </c>
      <c r="GH2811" s="8">
        <v>0.40861888541082891</v>
      </c>
      <c r="GI2811" s="8">
        <v>4.9224594148001666</v>
      </c>
    </row>
    <row r="2812" spans="182:191">
      <c r="FZ2812" s="8">
        <v>4.9518955778634757</v>
      </c>
      <c r="GA2812" s="8">
        <v>12.855365056508028</v>
      </c>
      <c r="GB2812" s="8">
        <v>3.2391719519037303</v>
      </c>
      <c r="GC2812" s="8">
        <v>0.56385423567309811</v>
      </c>
      <c r="GD2812" s="8">
        <v>0.60160968294501593</v>
      </c>
      <c r="GE2812" s="8">
        <v>1.61553676965054</v>
      </c>
      <c r="GF2812" s="8">
        <v>4.4857674380477697</v>
      </c>
      <c r="GG2812" s="8">
        <v>2.6796696653298739</v>
      </c>
      <c r="GH2812" s="8">
        <v>0.23579423514790807</v>
      </c>
      <c r="GI2812" s="8">
        <v>4.1848819248430855</v>
      </c>
    </row>
    <row r="2813" spans="182:191">
      <c r="FZ2813" s="8">
        <v>4.5408593649099567</v>
      </c>
      <c r="GA2813" s="8">
        <v>12.362057646521739</v>
      </c>
      <c r="GB2813" s="8">
        <v>5.0840899647429065</v>
      </c>
      <c r="GC2813" s="8">
        <v>0.95760027361376787</v>
      </c>
      <c r="GD2813" s="8">
        <v>1.2146030281660178</v>
      </c>
      <c r="GE2813" s="8">
        <v>2.1304944801636161</v>
      </c>
      <c r="GF2813" s="8">
        <v>5.0931777283156254</v>
      </c>
      <c r="GG2813" s="8">
        <v>3.6196086286432112</v>
      </c>
      <c r="GH2813" s="8">
        <v>0.23579423514790807</v>
      </c>
      <c r="GI2813" s="8">
        <v>5.6375707874845995</v>
      </c>
    </row>
    <row r="2814" spans="182:191">
      <c r="FZ2814" s="8">
        <v>3.7160330042088141</v>
      </c>
      <c r="GA2814" s="8">
        <v>13.704243948054298</v>
      </c>
      <c r="GB2814" s="8">
        <v>3.777610094211326</v>
      </c>
      <c r="GC2814" s="8">
        <v>0.97566981214951864</v>
      </c>
      <c r="GD2814" s="8">
        <v>0.98917802767287188</v>
      </c>
      <c r="GE2814" s="8">
        <v>1.428607590948064</v>
      </c>
      <c r="GF2814" s="8">
        <v>5.5651674333925936</v>
      </c>
      <c r="GG2814" s="8">
        <v>4.2424746108563749</v>
      </c>
      <c r="GH2814" s="8">
        <v>0.75426818593667067</v>
      </c>
      <c r="GI2814" s="8">
        <v>4.6393113981539278</v>
      </c>
    </row>
    <row r="2815" spans="182:191">
      <c r="FZ2815" s="8">
        <v>3.9400454033468648</v>
      </c>
      <c r="GA2815" s="8">
        <v>23.696318265503614</v>
      </c>
      <c r="GB2815" s="8">
        <v>8.1023745284412154</v>
      </c>
      <c r="GC2815" s="8">
        <v>0.94715543715829176</v>
      </c>
      <c r="GD2815" s="8">
        <v>0.90222736949628524</v>
      </c>
      <c r="GE2815" s="8">
        <v>1.0667343135311023</v>
      </c>
      <c r="GF2815" s="8">
        <v>2.4042589026908825</v>
      </c>
      <c r="GG2815" s="8">
        <v>1.9166564585065737</v>
      </c>
      <c r="GH2815" s="8">
        <v>0.81723777082165783</v>
      </c>
      <c r="GI2815" s="8">
        <v>4.834406573806505</v>
      </c>
    </row>
    <row r="2816" spans="182:191">
      <c r="FZ2816" s="8">
        <v>10.495936866070775</v>
      </c>
      <c r="GA2816" s="8">
        <v>4.8654088813208318</v>
      </c>
      <c r="GB2816" s="8">
        <v>1.0374061557410501</v>
      </c>
      <c r="GC2816" s="8">
        <v>1.1292524319300816</v>
      </c>
      <c r="GD2816" s="8">
        <v>0.8769373311708748</v>
      </c>
      <c r="GE2816" s="8">
        <v>1.0191975893772345</v>
      </c>
      <c r="GF2816" s="8">
        <v>5.1428432646580591</v>
      </c>
      <c r="GG2816" s="8">
        <v>3.9366816097433834</v>
      </c>
      <c r="GH2816" s="8">
        <v>0.40861888541082891</v>
      </c>
      <c r="GI2816" s="8">
        <v>4.6086936126751841</v>
      </c>
    </row>
    <row r="2817" spans="182:191">
      <c r="FZ2817" s="8">
        <v>7.8227599638062557</v>
      </c>
      <c r="GA2817" s="8">
        <v>10.912919519353935</v>
      </c>
      <c r="GB2817" s="8">
        <v>2.6566820260219997</v>
      </c>
      <c r="GC2817" s="8">
        <v>0.37236995678924911</v>
      </c>
      <c r="GD2817" s="8">
        <v>0.71000274499484717</v>
      </c>
      <c r="GE2817" s="8">
        <v>2.354929514864514</v>
      </c>
      <c r="GF2817" s="8">
        <v>3.6659146011048627</v>
      </c>
      <c r="GG2817" s="8">
        <v>1.9166564585065737</v>
      </c>
      <c r="GH2817" s="8">
        <v>0.64441312055873701</v>
      </c>
      <c r="GI2817" s="8">
        <v>4.4526634769282776</v>
      </c>
    </row>
    <row r="2818" spans="182:191">
      <c r="FZ2818" s="8">
        <v>9.0865602595981514</v>
      </c>
      <c r="GA2818" s="8">
        <v>18.401125285525772</v>
      </c>
      <c r="GB2818" s="8">
        <v>5.8038481501860621</v>
      </c>
      <c r="GC2818" s="8">
        <v>0.39937798214738968</v>
      </c>
      <c r="GD2818" s="8">
        <v>0.64069265944012277</v>
      </c>
      <c r="GE2818" s="8">
        <v>1.5430168907306658</v>
      </c>
      <c r="GF2818" s="8">
        <v>4.0408268516476546</v>
      </c>
      <c r="GG2818" s="8">
        <v>2.749981133775488</v>
      </c>
      <c r="GH2818" s="8">
        <v>0</v>
      </c>
      <c r="GI2818" s="8">
        <v>5.2816782581505519</v>
      </c>
    </row>
    <row r="2819" spans="182:191">
      <c r="FZ2819" s="8">
        <v>5.2042260751776457</v>
      </c>
      <c r="GA2819" s="8">
        <v>13.957057503832875</v>
      </c>
      <c r="GB2819" s="8">
        <v>5.7737024751841197</v>
      </c>
      <c r="GC2819" s="8">
        <v>1.043709306956401</v>
      </c>
      <c r="GD2819" s="8">
        <v>1.0715931372238838</v>
      </c>
      <c r="GE2819" s="8">
        <v>1.6030938626081921</v>
      </c>
      <c r="GF2819" s="8">
        <v>3.9831002082947755</v>
      </c>
      <c r="GG2819" s="8">
        <v>2.6796696653298739</v>
      </c>
      <c r="GH2819" s="8">
        <v>0.23579423514790807</v>
      </c>
      <c r="GI2819" s="8">
        <v>5.3969086181089123</v>
      </c>
    </row>
    <row r="2820" spans="182:191">
      <c r="FZ2820" s="8">
        <v>6.2018057166189768</v>
      </c>
      <c r="GA2820" s="8">
        <v>3.5436420867556286</v>
      </c>
      <c r="GB2820" s="8">
        <v>0.9152546529994392</v>
      </c>
      <c r="GC2820" s="8">
        <v>0.39528999852455504</v>
      </c>
      <c r="GD2820" s="8">
        <v>0.52451399470689786</v>
      </c>
      <c r="GE2820" s="8">
        <v>0.70456834310156502</v>
      </c>
      <c r="GF2820" s="8">
        <v>2.765870840227806</v>
      </c>
      <c r="GG2820" s="8">
        <v>2.8565954218199106</v>
      </c>
      <c r="GH2820" s="8">
        <v>0.64441312055873701</v>
      </c>
      <c r="GI2820" s="8">
        <v>3.3298971883217359</v>
      </c>
    </row>
    <row r="2821" spans="182:191">
      <c r="FZ2821" s="8">
        <v>10.114293773867491</v>
      </c>
      <c r="GA2821" s="8">
        <v>18.002449999603861</v>
      </c>
      <c r="GB2821" s="8">
        <v>5.5865048680858198</v>
      </c>
      <c r="GC2821" s="8">
        <v>0.65262440313396408</v>
      </c>
      <c r="GD2821" s="8">
        <v>0.86975150580758631</v>
      </c>
      <c r="GE2821" s="8">
        <v>2.4347319667128939</v>
      </c>
      <c r="GF2821" s="8">
        <v>6.4467555087304991</v>
      </c>
      <c r="GG2821" s="8">
        <v>3.9952373859207246</v>
      </c>
      <c r="GH2821" s="8">
        <v>0.23579423514790807</v>
      </c>
      <c r="GI2821" s="8">
        <v>6.2485438590113249</v>
      </c>
    </row>
    <row r="2822" spans="182:191">
      <c r="FZ2822" s="8">
        <v>5.4369067255349659</v>
      </c>
      <c r="GA2822" s="8">
        <v>7.3608344335692344</v>
      </c>
      <c r="GB2822" s="8">
        <v>1.1199024747751118</v>
      </c>
      <c r="GC2822" s="8">
        <v>1.0374319542522439</v>
      </c>
      <c r="GD2822" s="8">
        <v>0.65870113916505524</v>
      </c>
      <c r="GE2822" s="8">
        <v>0.98764135368850059</v>
      </c>
      <c r="GF2822" s="8">
        <v>4.494940754849635</v>
      </c>
      <c r="GG2822" s="8">
        <v>2.9269068902655246</v>
      </c>
      <c r="GH2822" s="8">
        <v>0.40861888541082891</v>
      </c>
      <c r="GI2822" s="8">
        <v>3.4337263754153646</v>
      </c>
    </row>
    <row r="2823" spans="182:191">
      <c r="FZ2823" s="8">
        <v>1.3094571323337481</v>
      </c>
      <c r="GA2823" s="8">
        <v>6.3123007017499644</v>
      </c>
      <c r="GB2823" s="8">
        <v>1.8083043369687024</v>
      </c>
      <c r="GC2823" s="8">
        <v>1.0991940963549696</v>
      </c>
      <c r="GD2823" s="8">
        <v>1.2424111125731789</v>
      </c>
      <c r="GE2823" s="8">
        <v>1.7065576936667888</v>
      </c>
      <c r="GF2823" s="8">
        <v>2.3493487912211308</v>
      </c>
      <c r="GG2823" s="8">
        <v>1.4924934770808866</v>
      </c>
      <c r="GH2823" s="8">
        <v>0.40861888541082891</v>
      </c>
      <c r="GI2823" s="8">
        <v>4.163864774168335</v>
      </c>
    </row>
    <row r="2824" spans="182:191">
      <c r="FZ2824" s="8">
        <v>6.716209985040706</v>
      </c>
      <c r="GA2824" s="8">
        <v>8.9108013770918202</v>
      </c>
      <c r="GB2824" s="8">
        <v>0.72684639765351744</v>
      </c>
      <c r="GC2824" s="8">
        <v>1.0572640748197792</v>
      </c>
      <c r="GD2824" s="8">
        <v>1.6305749476133553</v>
      </c>
      <c r="GE2824" s="8">
        <v>3.3264258943883558</v>
      </c>
      <c r="GF2824" s="8">
        <v>5.675135813321841</v>
      </c>
      <c r="GG2824" s="8">
        <v>3.1256098910530015</v>
      </c>
      <c r="GH2824" s="8">
        <v>0.17282465026292085</v>
      </c>
      <c r="GI2824" s="8">
        <v>4.3884105837109315</v>
      </c>
    </row>
    <row r="2825" spans="182:191">
      <c r="FZ2825" s="8">
        <v>6.2315792134081001</v>
      </c>
      <c r="GA2825" s="8">
        <v>3.4697466669706492</v>
      </c>
      <c r="GB2825" s="8">
        <v>0.18719760709829947</v>
      </c>
      <c r="GC2825" s="8">
        <v>0.68866933687342335</v>
      </c>
      <c r="GD2825" s="8">
        <v>1.1733246779897113</v>
      </c>
      <c r="GE2825" s="8">
        <v>2.1035915280155861</v>
      </c>
      <c r="GF2825" s="8">
        <v>2.6762484938227504</v>
      </c>
      <c r="GG2825" s="8">
        <v>1.6113391696746744</v>
      </c>
      <c r="GH2825" s="8">
        <v>0.23579423514790807</v>
      </c>
      <c r="GI2825" s="8">
        <v>3.773642890943071</v>
      </c>
    </row>
    <row r="2826" spans="182:191">
      <c r="FZ2826" s="8">
        <v>7.0861790708983659</v>
      </c>
      <c r="GA2826" s="8">
        <v>8.9642772899094414</v>
      </c>
      <c r="GB2826" s="8">
        <v>2.8137339581183567</v>
      </c>
      <c r="GC2826" s="8">
        <v>0.73110873439632273</v>
      </c>
      <c r="GD2826" s="8">
        <v>0.79622183282496994</v>
      </c>
      <c r="GE2826" s="8">
        <v>1.4858910607106184</v>
      </c>
      <c r="GF2826" s="8">
        <v>2.6570007835089431</v>
      </c>
      <c r="GG2826" s="8">
        <v>1.5628049455265007</v>
      </c>
      <c r="GH2826" s="8">
        <v>0</v>
      </c>
      <c r="GI2826" s="8">
        <v>3.8858500017692874</v>
      </c>
    </row>
    <row r="2827" spans="182:191">
      <c r="FZ2827" s="8">
        <v>11.407487190409626</v>
      </c>
      <c r="GA2827" s="8">
        <v>9.0362436002677953</v>
      </c>
      <c r="GB2827" s="8">
        <v>0.2569984658077914</v>
      </c>
      <c r="GC2827" s="8">
        <v>0.3021787038518432</v>
      </c>
      <c r="GD2827" s="8">
        <v>0.63679327391136864</v>
      </c>
      <c r="GE2827" s="8">
        <v>1.7411852847098785</v>
      </c>
      <c r="GF2827" s="8">
        <v>1.2172293680669695</v>
      </c>
      <c r="GG2827" s="8">
        <v>0</v>
      </c>
      <c r="GH2827" s="8">
        <v>0</v>
      </c>
      <c r="GI2827" s="8">
        <v>2.5523540245838423</v>
      </c>
    </row>
    <row r="2828" spans="182:191">
      <c r="FZ2828" s="8">
        <v>5.8344331574909756</v>
      </c>
      <c r="GA2828" s="8">
        <v>18.423791099231799</v>
      </c>
      <c r="GB2828" s="8">
        <v>6.2597899734595961</v>
      </c>
      <c r="GC2828" s="8">
        <v>0.24106197024655487</v>
      </c>
      <c r="GD2828" s="8">
        <v>0.71548928514057519</v>
      </c>
      <c r="GE2828" s="8">
        <v>1.7727415203986121</v>
      </c>
      <c r="GF2828" s="8">
        <v>2.0462555218117409</v>
      </c>
      <c r="GG2828" s="8">
        <v>1.3641019447390237</v>
      </c>
      <c r="GH2828" s="8">
        <v>0.23579423514790807</v>
      </c>
      <c r="GI2828" s="8">
        <v>4.6724852717474858</v>
      </c>
    </row>
    <row r="2829" spans="182:191">
      <c r="FZ2829" s="8">
        <v>14.465755766206758</v>
      </c>
      <c r="GA2829" s="8">
        <v>9.0362436002677953</v>
      </c>
      <c r="GB2829" s="8">
        <v>0.18719760709829947</v>
      </c>
      <c r="GC2829" s="8">
        <v>0.42161500443445943</v>
      </c>
      <c r="GD2829" s="8">
        <v>0.87944499743826599</v>
      </c>
      <c r="GE2829" s="8">
        <v>2.1262681498439191</v>
      </c>
      <c r="GF2829" s="8">
        <v>5.161276611133589</v>
      </c>
      <c r="GG2829" s="8">
        <v>3.7480001609850739</v>
      </c>
      <c r="GH2829" s="8">
        <v>0.40861888541082891</v>
      </c>
      <c r="GI2829" s="8">
        <v>4.8962755521971228</v>
      </c>
    </row>
    <row r="2830" spans="182:191">
      <c r="FZ2830" s="8">
        <v>4.5129216427727226</v>
      </c>
      <c r="GA2830" s="8">
        <v>14.102919233976206</v>
      </c>
      <c r="GB2830" s="8">
        <v>4.0485146685913094</v>
      </c>
      <c r="GC2830" s="8">
        <v>0.82208719236895544</v>
      </c>
      <c r="GD2830" s="8">
        <v>1.1244888418149257</v>
      </c>
      <c r="GE2830" s="8">
        <v>2.4469960857059676</v>
      </c>
      <c r="GF2830" s="8">
        <v>3.3033133922929778</v>
      </c>
      <c r="GG2830" s="8">
        <v>1.4924934770808866</v>
      </c>
      <c r="GH2830" s="8">
        <v>0.23579423514790807</v>
      </c>
      <c r="GI2830" s="8">
        <v>4.4396352665647214</v>
      </c>
    </row>
    <row r="2831" spans="182:191">
      <c r="FZ2831" s="8">
        <v>4.806699643221636</v>
      </c>
      <c r="GA2831" s="8">
        <v>16.05380777015937</v>
      </c>
      <c r="GB2831" s="8">
        <v>5.6177733526976983</v>
      </c>
      <c r="GC2831" s="8">
        <v>0.23478461754239777</v>
      </c>
      <c r="GD2831" s="8">
        <v>0.35203633624672009</v>
      </c>
      <c r="GE2831" s="8">
        <v>1.3235259758487046</v>
      </c>
      <c r="GF2831" s="8">
        <v>3.9240239955667002</v>
      </c>
      <c r="GG2831" s="8">
        <v>2.6796696653298739</v>
      </c>
      <c r="GH2831" s="8">
        <v>0.23579423514790807</v>
      </c>
      <c r="GI2831" s="8">
        <v>3.6582289951443485</v>
      </c>
    </row>
    <row r="2832" spans="182:191">
      <c r="FZ2832" s="8">
        <v>7.553090728126354</v>
      </c>
      <c r="GA2832" s="8">
        <v>10.758614790181531</v>
      </c>
      <c r="GB2832" s="8">
        <v>3.4438197736794027</v>
      </c>
      <c r="GC2832" s="8">
        <v>0.76040455039471444</v>
      </c>
      <c r="GD2832" s="8">
        <v>1.4862186696923259</v>
      </c>
      <c r="GE2832" s="8">
        <v>2.8930968130946693</v>
      </c>
      <c r="GF2832" s="8">
        <v>3.1570021280907867</v>
      </c>
      <c r="GG2832" s="8">
        <v>1.8585763946103251</v>
      </c>
      <c r="GH2832" s="8">
        <v>0.23579423514790807</v>
      </c>
      <c r="GI2832" s="8">
        <v>5.5140720506970782</v>
      </c>
    </row>
    <row r="2833" spans="182:191">
      <c r="FZ2833" s="8">
        <v>4.0279104951012314</v>
      </c>
      <c r="GA2833" s="8">
        <v>14.658145555809188</v>
      </c>
      <c r="GB2833" s="8">
        <v>4.9294593291417943</v>
      </c>
      <c r="GC2833" s="8">
        <v>0.28772538390201685</v>
      </c>
      <c r="GD2833" s="8">
        <v>0.86075137431107862</v>
      </c>
      <c r="GE2833" s="8">
        <v>1.6705963396090844</v>
      </c>
      <c r="GF2833" s="8">
        <v>1.7102940440659116</v>
      </c>
      <c r="GG2833" s="8">
        <v>1.3641019447390237</v>
      </c>
      <c r="GH2833" s="8">
        <v>0.40861888541082891</v>
      </c>
      <c r="GI2833" s="8">
        <v>4.3525776593492402</v>
      </c>
    </row>
    <row r="2834" spans="182:191">
      <c r="FZ2834" s="8">
        <v>9.2894674131663493</v>
      </c>
      <c r="GA2834" s="8">
        <v>12.234686313919138</v>
      </c>
      <c r="GB2834" s="8">
        <v>2.8137339581183567</v>
      </c>
      <c r="GC2834" s="8">
        <v>0.26114723440310134</v>
      </c>
      <c r="GD2834" s="8">
        <v>0.87467420212839575</v>
      </c>
      <c r="GE2834" s="8">
        <v>2.2282345425841732</v>
      </c>
      <c r="GF2834" s="8">
        <v>4.4988471574605597</v>
      </c>
      <c r="GG2834" s="8">
        <v>3.5710744044950373</v>
      </c>
      <c r="GH2834" s="8">
        <v>0</v>
      </c>
      <c r="GI2834" s="8">
        <v>5.2455333800399755</v>
      </c>
    </row>
    <row r="2835" spans="182:191">
      <c r="FZ2835" s="8">
        <v>1.8521794989315969</v>
      </c>
      <c r="GA2835" s="8">
        <v>9.2375103526553755</v>
      </c>
      <c r="GB2835" s="8">
        <v>3.4660247427095792</v>
      </c>
      <c r="GC2835" s="8">
        <v>0.69021329745730853</v>
      </c>
      <c r="GD2835" s="8">
        <v>0.94196531798737326</v>
      </c>
      <c r="GE2835" s="8">
        <v>2.6571740234523347</v>
      </c>
      <c r="GF2835" s="8">
        <v>3.6759889946168061</v>
      </c>
      <c r="GG2835" s="8">
        <v>1.1871761882489873</v>
      </c>
      <c r="GH2835" s="8">
        <v>0.3456493005258417</v>
      </c>
      <c r="GI2835" s="8">
        <v>4.7239255344365008</v>
      </c>
    </row>
    <row r="2836" spans="182:191">
      <c r="FZ2836" s="8">
        <v>6.5136832075113933</v>
      </c>
      <c r="GA2836" s="8">
        <v>7.4655399524658055</v>
      </c>
      <c r="GB2836" s="8">
        <v>2.9391592511166174</v>
      </c>
      <c r="GC2836" s="8">
        <v>0.54376897151655179</v>
      </c>
      <c r="GD2836" s="8">
        <v>0.95615234799658078</v>
      </c>
      <c r="GE2836" s="8">
        <v>1.5350221586662411</v>
      </c>
      <c r="GF2836" s="8">
        <v>8.8688271259194948</v>
      </c>
      <c r="GG2836" s="8">
        <v>8.1891777726289252</v>
      </c>
      <c r="GH2836" s="8">
        <v>0.23579423514790807</v>
      </c>
      <c r="GI2836" s="8">
        <v>5.0981561455658406</v>
      </c>
    </row>
    <row r="2837" spans="182:191">
      <c r="FZ2837" s="8">
        <v>4.9518955778634757</v>
      </c>
      <c r="GA2837" s="8">
        <v>24.043763945346569</v>
      </c>
      <c r="GB2837" s="8">
        <v>8.1023745284412154</v>
      </c>
      <c r="GC2837" s="8">
        <v>0.71029856161385496</v>
      </c>
      <c r="GD2837" s="8">
        <v>0.96102925635800007</v>
      </c>
      <c r="GE2837" s="8">
        <v>1.6308902670180148</v>
      </c>
      <c r="GF2837" s="8">
        <v>3.8723398035908727</v>
      </c>
      <c r="GG2837" s="8">
        <v>3.0552984226073874</v>
      </c>
      <c r="GH2837" s="8">
        <v>0.23579423514790807</v>
      </c>
      <c r="GI2837" s="8">
        <v>6.0027733078747003</v>
      </c>
    </row>
    <row r="2838" spans="182:191">
      <c r="FZ2838" s="8">
        <v>4.0279104951012314</v>
      </c>
      <c r="GA2838" s="8">
        <v>17.028128884881617</v>
      </c>
      <c r="GB2838" s="8">
        <v>5.6737559414726846</v>
      </c>
      <c r="GC2838" s="8">
        <v>0.53915269047556347</v>
      </c>
      <c r="GD2838" s="8">
        <v>0.34368396356007175</v>
      </c>
      <c r="GE2838" s="8">
        <v>0.78122324722104497</v>
      </c>
      <c r="GF2838" s="8">
        <v>3.5023465740267401</v>
      </c>
      <c r="GG2838" s="8">
        <v>2.6093581968842599</v>
      </c>
      <c r="GH2838" s="8">
        <v>0.47158847029581613</v>
      </c>
      <c r="GI2838" s="8">
        <v>4.5781814621586649</v>
      </c>
    </row>
    <row r="2839" spans="182:191">
      <c r="FZ2839" s="8">
        <v>5.6888568468102516</v>
      </c>
      <c r="GA2839" s="8">
        <v>11.334260618981871</v>
      </c>
      <c r="GB2839" s="8">
        <v>3.2252658433315382</v>
      </c>
      <c r="GC2839" s="8">
        <v>0.34948752600474231</v>
      </c>
      <c r="GD2839" s="8">
        <v>0.46552849860281365</v>
      </c>
      <c r="GE2839" s="8">
        <v>1.4736851110720437</v>
      </c>
      <c r="GF2839" s="8">
        <v>2.7485134778990377</v>
      </c>
      <c r="GG2839" s="8">
        <v>1.4924934770808866</v>
      </c>
      <c r="GH2839" s="8">
        <v>0.23579423514790807</v>
      </c>
      <c r="GI2839" s="8">
        <v>3.1890515674418562</v>
      </c>
    </row>
    <row r="2840" spans="182:191">
      <c r="FZ2840" s="8">
        <v>3.8827145604593918</v>
      </c>
      <c r="GA2840" s="8">
        <v>9.0381727096944218</v>
      </c>
      <c r="GB2840" s="8">
        <v>3.312516916718403</v>
      </c>
      <c r="GC2840" s="8">
        <v>0.98603514847651019</v>
      </c>
      <c r="GD2840" s="8">
        <v>0.81596891250089287</v>
      </c>
      <c r="GE2840" s="8">
        <v>1.9087645825600941</v>
      </c>
      <c r="GF2840" s="8">
        <v>5.6234739604096351</v>
      </c>
      <c r="GG2840" s="8">
        <v>3.5279956281812486</v>
      </c>
      <c r="GH2840" s="8">
        <v>0.70738270544372439</v>
      </c>
      <c r="GI2840" s="8">
        <v>3.6501263421374039</v>
      </c>
    </row>
    <row r="2841" spans="182:191">
      <c r="FZ2841" s="8">
        <v>6.6011679232268747</v>
      </c>
      <c r="GA2841" s="8">
        <v>8.9642772899094414</v>
      </c>
      <c r="GB2841" s="8">
        <v>2.6554713777743775</v>
      </c>
      <c r="GC2841" s="8">
        <v>0.96387762631792484</v>
      </c>
      <c r="GD2841" s="8">
        <v>0.88651727948088488</v>
      </c>
      <c r="GE2841" s="8">
        <v>1.1459830563818687</v>
      </c>
      <c r="GF2841" s="8">
        <v>2.9979203872877518</v>
      </c>
      <c r="GG2841" s="8">
        <v>1.8798779266266734</v>
      </c>
      <c r="GH2841" s="8">
        <v>0.3456493005258417</v>
      </c>
      <c r="GI2841" s="8">
        <v>3.3329274606175154</v>
      </c>
    </row>
    <row r="2842" spans="182:191">
      <c r="FZ2842" s="8">
        <v>3.6009909423949833</v>
      </c>
      <c r="GA2842" s="8">
        <v>0.1993376429609533</v>
      </c>
      <c r="GB2842" s="8">
        <v>0.53499125239813672</v>
      </c>
      <c r="GC2842" s="8">
        <v>0.8209134864533647</v>
      </c>
      <c r="GD2842" s="8">
        <v>0.91477858264142642</v>
      </c>
      <c r="GE2842" s="8">
        <v>1.5636423652430427</v>
      </c>
      <c r="GF2842" s="8">
        <v>0.92569422066815155</v>
      </c>
      <c r="GG2842" s="8">
        <v>0.53077726947010961</v>
      </c>
      <c r="GH2842" s="8">
        <v>0.88020735570664521</v>
      </c>
      <c r="GI2842" s="8">
        <v>2.4217033208061345</v>
      </c>
    </row>
    <row r="2843" spans="182:191">
      <c r="FZ2843" s="8">
        <v>9.9988713360147763</v>
      </c>
      <c r="GA2843" s="8">
        <v>20.771108614598202</v>
      </c>
      <c r="GB2843" s="8">
        <v>6.4272039080229639</v>
      </c>
      <c r="GC2843" s="8">
        <v>0.77382019693867765</v>
      </c>
      <c r="GD2843" s="8">
        <v>1.3837892951494632</v>
      </c>
      <c r="GE2843" s="8">
        <v>1.8572885609077872</v>
      </c>
      <c r="GF2843" s="8">
        <v>2.4893057602268169</v>
      </c>
      <c r="GG2843" s="8">
        <v>2.4324324403942232</v>
      </c>
      <c r="GH2843" s="8">
        <v>0.23579423514790807</v>
      </c>
      <c r="GI2843" s="8">
        <v>6.5141979854226655</v>
      </c>
    </row>
    <row r="2844" spans="182:191">
      <c r="FZ2844" s="8">
        <v>8.3495989906513763</v>
      </c>
      <c r="GA2844" s="8">
        <v>15.644443178469722</v>
      </c>
      <c r="GB2844" s="8">
        <v>2.859431546448536</v>
      </c>
      <c r="GC2844" s="8">
        <v>0.74401500495257666</v>
      </c>
      <c r="GD2844" s="8">
        <v>0.88468648293813024</v>
      </c>
      <c r="GE2844" s="8">
        <v>1.2867559323695679</v>
      </c>
      <c r="GF2844" s="8">
        <v>1.098756757594054</v>
      </c>
      <c r="GG2844" s="8">
        <v>0.42416298142568709</v>
      </c>
      <c r="GH2844" s="8">
        <v>0.23579423514790807</v>
      </c>
      <c r="GI2844" s="8">
        <v>4.0333062380665101</v>
      </c>
    </row>
    <row r="2845" spans="182:191">
      <c r="FZ2845" s="8">
        <v>6.1157763995164993</v>
      </c>
      <c r="GA2845" s="8">
        <v>9.3094766630137276</v>
      </c>
      <c r="GB2845" s="8">
        <v>1.1024522600977389</v>
      </c>
      <c r="GC2845" s="8">
        <v>0.37714095986031992</v>
      </c>
      <c r="GD2845" s="8">
        <v>0.41612735145118718</v>
      </c>
      <c r="GE2845" s="8">
        <v>1.4624846619242204</v>
      </c>
      <c r="GF2845" s="8">
        <v>5.1389145229835123</v>
      </c>
      <c r="GG2845" s="8">
        <v>3.7965343851332478</v>
      </c>
      <c r="GH2845" s="8">
        <v>0.47158847029581613</v>
      </c>
      <c r="GI2845" s="8">
        <v>3.1374440814681246</v>
      </c>
    </row>
    <row r="2846" spans="182:191">
      <c r="FZ2846" s="8">
        <v>6.9983139791439992</v>
      </c>
      <c r="GA2846" s="8">
        <v>4.244730138731942</v>
      </c>
      <c r="GB2846" s="8">
        <v>0.17450214677372974</v>
      </c>
      <c r="GC2846" s="8">
        <v>0.33478106246590467</v>
      </c>
      <c r="GD2846" s="8">
        <v>0.43446958186875834</v>
      </c>
      <c r="GE2846" s="8">
        <v>1.8465038572130106</v>
      </c>
      <c r="GF2846" s="8">
        <v>3.0945493491568099</v>
      </c>
      <c r="GG2846" s="8">
        <v>0.93993896331333671</v>
      </c>
      <c r="GH2846" s="8">
        <v>0.17282465026292085</v>
      </c>
      <c r="GI2846" s="8">
        <v>2.3491662889961571</v>
      </c>
    </row>
    <row r="2847" spans="182:191">
      <c r="FZ2847" s="8">
        <v>2.3488646529487083</v>
      </c>
      <c r="GA2847" s="8">
        <v>7.2353922103932602</v>
      </c>
      <c r="GB2847" s="8">
        <v>1.5199495479113458</v>
      </c>
      <c r="GC2847" s="8">
        <v>0.71679144695622399</v>
      </c>
      <c r="GD2847" s="8">
        <v>0.98798805372490506</v>
      </c>
      <c r="GE2847" s="8">
        <v>1.544080560575916</v>
      </c>
      <c r="GF2847" s="8">
        <v>1.7280806433468672</v>
      </c>
      <c r="GG2847" s="8">
        <v>1.2937904762934096</v>
      </c>
      <c r="GH2847" s="8">
        <v>0.64441312055873701</v>
      </c>
      <c r="GI2847" s="8">
        <v>3.1435431355863344</v>
      </c>
    </row>
    <row r="2848" spans="182:191">
      <c r="FZ2848" s="8">
        <v>13.980744618535269</v>
      </c>
      <c r="GA2848" s="8">
        <v>15.128787152089448</v>
      </c>
      <c r="GB2848" s="8">
        <v>2.8879314166944345</v>
      </c>
      <c r="GC2848" s="8">
        <v>0.73253558390092466</v>
      </c>
      <c r="GD2848" s="8">
        <v>1.0492608950897493</v>
      </c>
      <c r="GE2848" s="8">
        <v>1.8084913558393496</v>
      </c>
      <c r="GF2848" s="8">
        <v>2.9482157458909963</v>
      </c>
      <c r="GG2848" s="8">
        <v>2.1638936834422244</v>
      </c>
      <c r="GH2848" s="8">
        <v>0.64441312055873701</v>
      </c>
      <c r="GI2848" s="8">
        <v>5.3494587988783646</v>
      </c>
    </row>
    <row r="2849" spans="182:191">
      <c r="FZ2849" s="8">
        <v>8.4073102095777337</v>
      </c>
      <c r="GA2849" s="8">
        <v>10.306463591442004</v>
      </c>
      <c r="GB2849" s="8">
        <v>1.4536927953070349</v>
      </c>
      <c r="GC2849" s="8">
        <v>0.33198389583794424</v>
      </c>
      <c r="GD2849" s="8">
        <v>0.50408408218914025</v>
      </c>
      <c r="GE2849" s="8">
        <v>1.5285048133523162</v>
      </c>
      <c r="GF2849" s="8">
        <v>2.2828805577408069</v>
      </c>
      <c r="GG2849" s="8">
        <v>0.93993896331333671</v>
      </c>
      <c r="GH2849" s="8">
        <v>0.17282465026292085</v>
      </c>
      <c r="GI2849" s="8">
        <v>3.3180505634058619</v>
      </c>
    </row>
    <row r="2850" spans="182:191">
      <c r="FZ2850" s="8">
        <v>5.8921443764173329</v>
      </c>
      <c r="GA2850" s="8">
        <v>7.2353922103932602</v>
      </c>
      <c r="GB2850" s="8">
        <v>1.5861184618779705</v>
      </c>
      <c r="GC2850" s="8">
        <v>0.38836723732296086</v>
      </c>
      <c r="GD2850" s="8">
        <v>0.71290647161991005</v>
      </c>
      <c r="GE2850" s="8">
        <v>1.5886665480702036</v>
      </c>
      <c r="GF2850" s="8">
        <v>4.5432734878075705</v>
      </c>
      <c r="GG2850" s="8">
        <v>3.5710744044950373</v>
      </c>
      <c r="GH2850" s="8">
        <v>0</v>
      </c>
      <c r="GI2850" s="8">
        <v>3.7838733085246643</v>
      </c>
    </row>
    <row r="2851" spans="182:191">
      <c r="FZ2851" s="8">
        <v>5.2042260751776457</v>
      </c>
      <c r="GA2851" s="8">
        <v>2.5693209720333821</v>
      </c>
      <c r="GB2851" s="8">
        <v>0.9140440047518168</v>
      </c>
      <c r="GC2851" s="8">
        <v>0.5917232021668879</v>
      </c>
      <c r="GD2851" s="8">
        <v>0.95615234799658078</v>
      </c>
      <c r="GE2851" s="8">
        <v>1.6472894112106946</v>
      </c>
      <c r="GF2851" s="8">
        <v>2.2221345906207706</v>
      </c>
      <c r="GG2851" s="8">
        <v>1.6113391696746744</v>
      </c>
      <c r="GH2851" s="8">
        <v>0.40861888541082891</v>
      </c>
      <c r="GI2851" s="8">
        <v>3.3680446157043935</v>
      </c>
    </row>
    <row r="2852" spans="182:191">
      <c r="FZ2852" s="8">
        <v>0.11542243785271598</v>
      </c>
      <c r="GA2852" s="8">
        <v>19.650925769732623</v>
      </c>
      <c r="GB2852" s="8">
        <v>8.1162806370134071</v>
      </c>
      <c r="GC2852" s="8">
        <v>0.67446916051260797</v>
      </c>
      <c r="GD2852" s="8">
        <v>1.0689237594427787</v>
      </c>
      <c r="GE2852" s="8">
        <v>1.9495339197985149</v>
      </c>
      <c r="GF2852" s="8">
        <v>4.766238920659684</v>
      </c>
      <c r="GG2852" s="8">
        <v>4.1018516739651467</v>
      </c>
      <c r="GH2852" s="8">
        <v>0.70738270544372439</v>
      </c>
      <c r="GI2852" s="8">
        <v>5.7279483563720301</v>
      </c>
    </row>
    <row r="2853" spans="182:191">
      <c r="FZ2853" s="8">
        <v>2.3949018655294458</v>
      </c>
      <c r="GA2853" s="8">
        <v>12.760732932443645</v>
      </c>
      <c r="GB2853" s="8">
        <v>5.2539251958015196</v>
      </c>
      <c r="GC2853" s="8">
        <v>0.66668545817536451</v>
      </c>
      <c r="GD2853" s="8">
        <v>0.82104226769292277</v>
      </c>
      <c r="GE2853" s="8">
        <v>2.4141646615550161</v>
      </c>
      <c r="GF2853" s="8">
        <v>5.8753902567824463</v>
      </c>
      <c r="GG2853" s="8">
        <v>3.5492971601975971</v>
      </c>
      <c r="GH2853" s="8">
        <v>0.81723777082165783</v>
      </c>
      <c r="GI2853" s="8">
        <v>4.4472846541458919</v>
      </c>
    </row>
    <row r="2854" spans="182:191">
      <c r="FZ2854" s="8">
        <v>10.068636937325641</v>
      </c>
      <c r="GA2854" s="8">
        <v>4.8654088813208318</v>
      </c>
      <c r="GB2854" s="8">
        <v>0.9152546529994392</v>
      </c>
      <c r="GC2854" s="8">
        <v>1.0290028434175635</v>
      </c>
      <c r="GD2854" s="8">
        <v>1.4447348046157891</v>
      </c>
      <c r="GE2854" s="8">
        <v>2.2631756886034786</v>
      </c>
      <c r="GF2854" s="8">
        <v>5.4368747589232393</v>
      </c>
      <c r="GG2854" s="8">
        <v>4.5377703476591069</v>
      </c>
      <c r="GH2854" s="8">
        <v>1.0530320059695661</v>
      </c>
      <c r="GI2854" s="8">
        <v>5.2826420790316897</v>
      </c>
    </row>
    <row r="2855" spans="182:191">
      <c r="FZ2855" s="8">
        <v>8.2500598925513877</v>
      </c>
      <c r="GA2855" s="8">
        <v>5.4183888964151414</v>
      </c>
      <c r="GB2855" s="8">
        <v>0.22330868470066786</v>
      </c>
      <c r="GC2855" s="8">
        <v>0.59839281977947101</v>
      </c>
      <c r="GD2855" s="8">
        <v>0.96754840037760648</v>
      </c>
      <c r="GE2855" s="8">
        <v>2.093627501201067</v>
      </c>
      <c r="GF2855" s="8">
        <v>3.843941115538823</v>
      </c>
      <c r="GG2855" s="8">
        <v>2.2555066839041871</v>
      </c>
      <c r="GH2855" s="8">
        <v>0.17282465026292085</v>
      </c>
      <c r="GI2855" s="8">
        <v>3.8986279673535487</v>
      </c>
    </row>
    <row r="2856" spans="182:191">
      <c r="FZ2856" s="8">
        <v>1.6281670997935467</v>
      </c>
      <c r="GA2856" s="8">
        <v>11.587074174760446</v>
      </c>
      <c r="GB2856" s="8">
        <v>5.1328965026698441</v>
      </c>
      <c r="GC2856" s="8">
        <v>0.39937798214738968</v>
      </c>
      <c r="GD2856" s="8">
        <v>0.81460438945097113</v>
      </c>
      <c r="GE2856" s="8">
        <v>2.0504370478914176</v>
      </c>
      <c r="GF2856" s="8">
        <v>1.3207319111420563</v>
      </c>
      <c r="GG2856" s="8">
        <v>0.1769257564900365</v>
      </c>
      <c r="GH2856" s="8">
        <v>0.40861888541082891</v>
      </c>
      <c r="GI2856" s="8">
        <v>3.9087929287928227</v>
      </c>
    </row>
    <row r="2857" spans="182:191">
      <c r="FZ2857" s="8">
        <v>7.8649682190187704</v>
      </c>
      <c r="GA2857" s="8">
        <v>5.0647465242817846</v>
      </c>
      <c r="GB2857" s="8">
        <v>0.98030075735612798</v>
      </c>
      <c r="GC2857" s="8">
        <v>0.67705079450235639</v>
      </c>
      <c r="GD2857" s="8">
        <v>0.78806620730688459</v>
      </c>
      <c r="GE2857" s="8">
        <v>1.428665760302563</v>
      </c>
      <c r="GF2857" s="8">
        <v>6.444096483063575</v>
      </c>
      <c r="GG2857" s="8">
        <v>5.3593393306597479</v>
      </c>
      <c r="GH2857" s="8">
        <v>0.81723777082165783</v>
      </c>
      <c r="GI2857" s="8">
        <v>4.1885732253216146</v>
      </c>
    </row>
    <row r="2858" spans="182:191">
      <c r="FZ2858" s="8">
        <v>3.1159797947234926</v>
      </c>
      <c r="GA2858" s="8">
        <v>2.5693209720333821</v>
      </c>
      <c r="GB2858" s="8">
        <v>0.89780443832206624</v>
      </c>
      <c r="GC2858" s="8">
        <v>0.8609669036871741</v>
      </c>
      <c r="GD2858" s="8">
        <v>1.0469603814548745</v>
      </c>
      <c r="GE2858" s="8">
        <v>1.4768326588009439</v>
      </c>
      <c r="GF2858" s="8">
        <v>2.6982903969560628</v>
      </c>
      <c r="GG2858" s="8">
        <v>1.8100421704621514</v>
      </c>
      <c r="GH2858" s="8">
        <v>0.17282465026292085</v>
      </c>
      <c r="GI2858" s="8">
        <v>3.2015055087631543</v>
      </c>
    </row>
    <row r="2859" spans="182:191">
      <c r="FZ2859" s="8">
        <v>1.4248795701864641</v>
      </c>
      <c r="GA2859" s="8">
        <v>3.5436420867556286</v>
      </c>
      <c r="GB2859" s="8">
        <v>0.81055336493520136</v>
      </c>
      <c r="GC2859" s="8">
        <v>1.3151047666072109</v>
      </c>
      <c r="GD2859" s="8">
        <v>1.6439294813297938</v>
      </c>
      <c r="GE2859" s="8">
        <v>2.2996760441111492</v>
      </c>
      <c r="GF2859" s="8">
        <v>4.0732633333096739</v>
      </c>
      <c r="GG2859" s="8">
        <v>2.5027439088398373</v>
      </c>
      <c r="GH2859" s="8">
        <v>0.17282465026292085</v>
      </c>
      <c r="GI2859" s="8">
        <v>3.9927428058746495</v>
      </c>
    </row>
    <row r="2860" spans="182:191">
      <c r="FZ2860" s="8">
        <v>3.1733106376109657</v>
      </c>
      <c r="GA2860" s="8">
        <v>17.227466527842569</v>
      </c>
      <c r="GB2860" s="8">
        <v>5.6876620500448771</v>
      </c>
      <c r="GC2860" s="8">
        <v>1.0920558025151632</v>
      </c>
      <c r="GD2860" s="8">
        <v>1.0534113144362789</v>
      </c>
      <c r="GE2860" s="8">
        <v>1.2397668816520939</v>
      </c>
      <c r="GF2860" s="8">
        <v>3.7450140613328573</v>
      </c>
      <c r="GG2860" s="8">
        <v>2.8080611976717367</v>
      </c>
      <c r="GH2860" s="8">
        <v>0.23579423514790807</v>
      </c>
      <c r="GI2860" s="8">
        <v>4.8372367703923791</v>
      </c>
    </row>
    <row r="2861" spans="182:191">
      <c r="FZ2861" s="8">
        <v>3.0582685757971344</v>
      </c>
      <c r="GA2861" s="8">
        <v>15.173801582189462</v>
      </c>
      <c r="GB2861" s="8">
        <v>5.091701172099377</v>
      </c>
      <c r="GC2861" s="8">
        <v>0.55069173271814598</v>
      </c>
      <c r="GD2861" s="8">
        <v>0.5321670745900976</v>
      </c>
      <c r="GE2861" s="8">
        <v>0.96791546851974808</v>
      </c>
      <c r="GF2861" s="8">
        <v>2.8353416314845892</v>
      </c>
      <c r="GG2861" s="8">
        <v>2.0568036831167102</v>
      </c>
      <c r="GH2861" s="8">
        <v>0.23579423514790807</v>
      </c>
      <c r="GI2861" s="8">
        <v>4.7878038022440643</v>
      </c>
    </row>
    <row r="2862" spans="182:191">
      <c r="FZ2862" s="8">
        <v>14.241362991029824</v>
      </c>
      <c r="GA2862" s="8">
        <v>19.595520747488372</v>
      </c>
      <c r="GB2862" s="8">
        <v>3.5509423582388857</v>
      </c>
      <c r="GC2862" s="8">
        <v>0.62293632222714657</v>
      </c>
      <c r="GD2862" s="8">
        <v>0.55547750419130992</v>
      </c>
      <c r="GE2862" s="8">
        <v>1.1602401533364</v>
      </c>
      <c r="GF2862" s="8">
        <v>4.8522750494705793</v>
      </c>
      <c r="GG2862" s="8">
        <v>3.7480001609850739</v>
      </c>
      <c r="GH2862" s="8">
        <v>0.58144353567374973</v>
      </c>
      <c r="GI2862" s="8">
        <v>5.2664969979969385</v>
      </c>
    </row>
    <row r="2863" spans="182:191">
      <c r="FZ2863" s="8">
        <v>6.0863832787662604</v>
      </c>
      <c r="GA2863" s="8">
        <v>17.700037233549459</v>
      </c>
      <c r="GB2863" s="8">
        <v>6.5819223822617623</v>
      </c>
      <c r="GC2863" s="8">
        <v>0.24514995386938954</v>
      </c>
      <c r="GD2863" s="8">
        <v>0.58251358066603642</v>
      </c>
      <c r="GE2863" s="8">
        <v>1.8789019180887687</v>
      </c>
      <c r="GF2863" s="8">
        <v>5.0341015155875501</v>
      </c>
      <c r="GG2863" s="8">
        <v>3.6196086286432112</v>
      </c>
      <c r="GH2863" s="8">
        <v>0.40861888541082891</v>
      </c>
      <c r="GI2863" s="8">
        <v>5.5851102549688134</v>
      </c>
    </row>
    <row r="2864" spans="182:191">
      <c r="FZ2864" s="8">
        <v>0.11542243785271598</v>
      </c>
      <c r="GA2864" s="8">
        <v>5.1386419440667641</v>
      </c>
      <c r="GB2864" s="8">
        <v>1.7420475843643912</v>
      </c>
      <c r="GC2864" s="8">
        <v>0.47046778717124377</v>
      </c>
      <c r="GD2864" s="8">
        <v>0.78322291395102694</v>
      </c>
      <c r="GE2864" s="8">
        <v>1.7706576425149625</v>
      </c>
      <c r="GF2864" s="8">
        <v>2.807701232284769</v>
      </c>
      <c r="GG2864" s="8">
        <v>2.2124279075903983</v>
      </c>
      <c r="GH2864" s="8">
        <v>0.70738270544372439</v>
      </c>
      <c r="GI2864" s="8">
        <v>2.9235429612036103</v>
      </c>
    </row>
    <row r="2865" spans="182:191">
      <c r="FZ2865" s="8">
        <v>10.098410434114763</v>
      </c>
      <c r="GA2865" s="8">
        <v>13.054702699468979</v>
      </c>
      <c r="GB2865" s="8">
        <v>3.4624806366043979</v>
      </c>
      <c r="GC2865" s="8">
        <v>0.9622541656055551</v>
      </c>
      <c r="GD2865" s="8">
        <v>1.0048551673171233</v>
      </c>
      <c r="GE2865" s="8">
        <v>1.2674638156739078</v>
      </c>
      <c r="GF2865" s="8">
        <v>2.6168520960779107</v>
      </c>
      <c r="GG2865" s="8">
        <v>1.8585763946103251</v>
      </c>
      <c r="GH2865" s="8">
        <v>0.23579423514790807</v>
      </c>
      <c r="GI2865" s="8">
        <v>4.0746402079521928</v>
      </c>
    </row>
    <row r="2866" spans="182:191">
      <c r="FZ2866" s="8">
        <v>7.6775640291644169</v>
      </c>
      <c r="GA2866" s="8">
        <v>16.880020847999614</v>
      </c>
      <c r="GB2866" s="8">
        <v>5.6166505430877631</v>
      </c>
      <c r="GC2866" s="8">
        <v>0.35551173511988821</v>
      </c>
      <c r="GD2866" s="8">
        <v>0.82860139142368838</v>
      </c>
      <c r="GE2866" s="8">
        <v>1.4890386084395189</v>
      </c>
      <c r="GF2866" s="8">
        <v>4.0667974964555142</v>
      </c>
      <c r="GG2866" s="8">
        <v>3.7965343851332478</v>
      </c>
      <c r="GH2866" s="8">
        <v>0.64441312055873701</v>
      </c>
      <c r="GI2866" s="8">
        <v>5.716661331092153</v>
      </c>
    </row>
    <row r="2867" spans="182:191">
      <c r="FZ2867" s="8">
        <v>7.3381291921736516</v>
      </c>
      <c r="GA2867" s="8">
        <v>19.229584670104686</v>
      </c>
      <c r="GB2867" s="8">
        <v>7.6686376741978579</v>
      </c>
      <c r="GC2867" s="8">
        <v>0.52917961905699773</v>
      </c>
      <c r="GD2867" s="8">
        <v>0.55089431272284695</v>
      </c>
      <c r="GE2867" s="8">
        <v>1.8329972803254124</v>
      </c>
      <c r="GF2867" s="8">
        <v>3.5400499698796999</v>
      </c>
      <c r="GG2867" s="8">
        <v>1.6113391696746744</v>
      </c>
      <c r="GH2867" s="8">
        <v>0.75426818593667067</v>
      </c>
      <c r="GI2867" s="8">
        <v>4.8021578975103703</v>
      </c>
    </row>
    <row r="2868" spans="182:191">
      <c r="FZ2868" s="8">
        <v>5.6315260039227786</v>
      </c>
      <c r="GA2868" s="8">
        <v>6.2918811947826061</v>
      </c>
      <c r="GB2868" s="8">
        <v>2.9763931383289215</v>
      </c>
      <c r="GC2868" s="8">
        <v>0.89791038951308133</v>
      </c>
      <c r="GD2868" s="8">
        <v>1.2348402715655076</v>
      </c>
      <c r="GE2868" s="8">
        <v>2.3029963443281032</v>
      </c>
      <c r="GF2868" s="8">
        <v>3.4859377346596818</v>
      </c>
      <c r="GG2868" s="8">
        <v>2.0568036831167102</v>
      </c>
      <c r="GH2868" s="8">
        <v>0.23579423514790807</v>
      </c>
      <c r="GI2868" s="8">
        <v>4.4834014345923006</v>
      </c>
    </row>
    <row r="2869" spans="182:191">
      <c r="FZ2869" s="8">
        <v>5.8921443764173329</v>
      </c>
      <c r="GA2869" s="8">
        <v>7.434729853354213</v>
      </c>
      <c r="GB2869" s="8">
        <v>1.6198960816227803</v>
      </c>
      <c r="GC2869" s="8">
        <v>1.3796640753378968</v>
      </c>
      <c r="GD2869" s="8">
        <v>1.6582299410250085</v>
      </c>
      <c r="GE2869" s="8">
        <v>2.230122014596402</v>
      </c>
      <c r="GF2869" s="8">
        <v>1.5528706607960343</v>
      </c>
      <c r="GG2869" s="8">
        <v>0.42416298142568709</v>
      </c>
      <c r="GH2869" s="8">
        <v>0.23579423514790807</v>
      </c>
      <c r="GI2869" s="8">
        <v>3.728011633793114</v>
      </c>
    </row>
    <row r="2870" spans="182:191">
      <c r="FZ2870" s="8">
        <v>1.7643144071772305</v>
      </c>
      <c r="GA2870" s="8">
        <v>6.6886088875893508</v>
      </c>
      <c r="GB2870" s="8">
        <v>1.4362425806296617</v>
      </c>
      <c r="GC2870" s="8">
        <v>0.65262440313396408</v>
      </c>
      <c r="GD2870" s="8">
        <v>0.72209663115290779</v>
      </c>
      <c r="GE2870" s="8">
        <v>1.5798451035643015</v>
      </c>
      <c r="GF2870" s="8">
        <v>5.1787430253977798</v>
      </c>
      <c r="GG2870" s="8">
        <v>3.5710744044950373</v>
      </c>
      <c r="GH2870" s="8">
        <v>0.17282465026292085</v>
      </c>
      <c r="GI2870" s="8">
        <v>3.8366014609568877</v>
      </c>
    </row>
    <row r="2871" spans="182:191">
      <c r="FZ2871" s="8">
        <v>3.6009909423949833</v>
      </c>
      <c r="GA2871" s="8">
        <v>10.633172567005557</v>
      </c>
      <c r="GB2871" s="8">
        <v>3.8962174908477563</v>
      </c>
      <c r="GC2871" s="8">
        <v>1.4248211393602723</v>
      </c>
      <c r="GD2871" s="8">
        <v>1.7321611200615428</v>
      </c>
      <c r="GE2871" s="8">
        <v>2.3158533436456032</v>
      </c>
      <c r="GF2871" s="8">
        <v>8.4758017139179387</v>
      </c>
      <c r="GG2871" s="8">
        <v>7.2972973211826702</v>
      </c>
      <c r="GH2871" s="8">
        <v>1.2258566562324869</v>
      </c>
      <c r="GI2871" s="8">
        <v>6.2394678342514425</v>
      </c>
    </row>
    <row r="2872" spans="182:191">
      <c r="FZ2872" s="8">
        <v>7.5251530059891198</v>
      </c>
      <c r="GA2872" s="8">
        <v>27.367648882173885</v>
      </c>
      <c r="GB2872" s="8">
        <v>9.8938190876383345</v>
      </c>
      <c r="GC2872" s="8">
        <v>0.59086226103123873</v>
      </c>
      <c r="GD2872" s="8">
        <v>0.53628533002827439</v>
      </c>
      <c r="GE2872" s="8">
        <v>0.9374229026762646</v>
      </c>
      <c r="GF2872" s="8">
        <v>2.5224113281470335</v>
      </c>
      <c r="GG2872" s="8">
        <v>1.7397307020165371</v>
      </c>
      <c r="GH2872" s="8">
        <v>0.40861888541082891</v>
      </c>
      <c r="GI2872" s="8">
        <v>5.7888946524714928</v>
      </c>
    </row>
    <row r="2873" spans="182:191">
      <c r="FZ2873" s="8">
        <v>4.8644108621479933</v>
      </c>
      <c r="GA2873" s="8">
        <v>10.359939504259625</v>
      </c>
      <c r="GB2873" s="8">
        <v>3.2252658433315382</v>
      </c>
      <c r="GC2873" s="8">
        <v>1.1192793605115159</v>
      </c>
      <c r="GD2873" s="8">
        <v>1.1437115421540276</v>
      </c>
      <c r="GE2873" s="8">
        <v>1.6745349589372693</v>
      </c>
      <c r="GF2873" s="8">
        <v>4.817923112635512</v>
      </c>
      <c r="GG2873" s="8">
        <v>3.1954456472175239</v>
      </c>
      <c r="GH2873" s="8">
        <v>0</v>
      </c>
      <c r="GI2873" s="8">
        <v>4.8024141113036203</v>
      </c>
    </row>
    <row r="2874" spans="182:191">
      <c r="FZ2874" s="8">
        <v>9.4840866915541628</v>
      </c>
      <c r="GA2874" s="8">
        <v>4.717300844438828</v>
      </c>
      <c r="GB2874" s="8">
        <v>0.84190968818476652</v>
      </c>
      <c r="GC2874" s="8">
        <v>0.52010509972488017</v>
      </c>
      <c r="GD2874" s="8">
        <v>0.8493907997483171</v>
      </c>
      <c r="GE2874" s="8">
        <v>1.4327218730388025</v>
      </c>
      <c r="GF2874" s="8">
        <v>2.13051035457302</v>
      </c>
      <c r="GG2874" s="8">
        <v>1.3155677205908503</v>
      </c>
      <c r="GH2874" s="8">
        <v>0.3456493005258417</v>
      </c>
      <c r="GI2874" s="8">
        <v>3.9703371087794386</v>
      </c>
    </row>
    <row r="2875" spans="182:191">
      <c r="FZ2875" s="8">
        <v>6.7954068255758022</v>
      </c>
      <c r="GA2875" s="8">
        <v>21.599567999177115</v>
      </c>
      <c r="GB2875" s="8">
        <v>8.2919934320347597</v>
      </c>
      <c r="GC2875" s="8">
        <v>0.25013648957867246</v>
      </c>
      <c r="GD2875" s="8">
        <v>4.288200313202007E-2</v>
      </c>
      <c r="GE2875" s="8">
        <v>1.0929926567593262</v>
      </c>
      <c r="GF2875" s="8">
        <v>5.3875294075975706</v>
      </c>
      <c r="GG2875" s="8">
        <v>3.6196086286432112</v>
      </c>
      <c r="GH2875" s="8">
        <v>0.40861888541082891</v>
      </c>
      <c r="GI2875" s="8">
        <v>5.8533654749264761</v>
      </c>
    </row>
    <row r="2876" spans="182:191">
      <c r="FZ2876" s="8">
        <v>4.5408593649099567</v>
      </c>
      <c r="GA2876" s="8">
        <v>3.3443044437946754</v>
      </c>
      <c r="GB2876" s="8">
        <v>0.74429661233089028</v>
      </c>
      <c r="GC2876" s="8">
        <v>0.96788610981227508</v>
      </c>
      <c r="GD2876" s="8">
        <v>1.0877352128984212</v>
      </c>
      <c r="GE2876" s="8">
        <v>2.1987880287637931</v>
      </c>
      <c r="GF2876" s="8">
        <v>6.1593473575356832</v>
      </c>
      <c r="GG2876" s="8">
        <v>4.3490888989007974</v>
      </c>
      <c r="GH2876" s="8">
        <v>0.70738270544372439</v>
      </c>
      <c r="GI2876" s="8">
        <v>3.7622730141307787</v>
      </c>
    </row>
    <row r="2877" spans="182:191">
      <c r="FZ2877" s="8">
        <v>6.455971988585036</v>
      </c>
      <c r="GA2877" s="8">
        <v>7.0668646665438999</v>
      </c>
      <c r="GB2877" s="8">
        <v>2.7356342389508805</v>
      </c>
      <c r="GC2877" s="8">
        <v>0.74031928623816801</v>
      </c>
      <c r="GD2877" s="8">
        <v>0.95218475142962444</v>
      </c>
      <c r="GE2877" s="8">
        <v>2.3501641830948516</v>
      </c>
      <c r="GF2877" s="8">
        <v>5.9318064358144484</v>
      </c>
      <c r="GG2877" s="8">
        <v>3.4426828721531746</v>
      </c>
      <c r="GH2877" s="8">
        <v>0.17282465026292085</v>
      </c>
      <c r="GI2877" s="8">
        <v>4.8898675861702223</v>
      </c>
    </row>
    <row r="2878" spans="182:191">
      <c r="FZ2878" s="8">
        <v>8.1048639579095489</v>
      </c>
      <c r="GA2878" s="8">
        <v>11.385490225060821</v>
      </c>
      <c r="GB2878" s="8">
        <v>3.5485210617436405</v>
      </c>
      <c r="GC2878" s="8">
        <v>0.37520473436800866</v>
      </c>
      <c r="GD2878" s="8">
        <v>0.4002041456860721</v>
      </c>
      <c r="GE2878" s="8">
        <v>1.5678359649950462</v>
      </c>
      <c r="GF2878" s="8">
        <v>4.4900450809637498</v>
      </c>
      <c r="GG2878" s="8">
        <v>2.7985153579236619</v>
      </c>
      <c r="GH2878" s="8">
        <v>0.40861888541082891</v>
      </c>
      <c r="GI2878" s="8">
        <v>3.5918219865643506</v>
      </c>
    </row>
    <row r="2879" spans="182:191">
      <c r="FZ2879" s="8">
        <v>5.7469484417754941</v>
      </c>
      <c r="GA2879" s="8">
        <v>5.1386419440667641</v>
      </c>
      <c r="GB2879" s="8">
        <v>1.7943982283965103</v>
      </c>
      <c r="GC2879" s="8">
        <v>0.67206425879307341</v>
      </c>
      <c r="GD2879" s="8">
        <v>0.7880390110954435</v>
      </c>
      <c r="GE2879" s="8">
        <v>1.7925255749218634</v>
      </c>
      <c r="GF2879" s="8">
        <v>4.5847836948477685</v>
      </c>
      <c r="GG2879" s="8">
        <v>3.5279956281812486</v>
      </c>
      <c r="GH2879" s="8">
        <v>0.88020735570664521</v>
      </c>
      <c r="GI2879" s="8">
        <v>3.9895505679730734</v>
      </c>
    </row>
    <row r="2880" spans="182:191">
      <c r="FZ2880" s="8">
        <v>2.3488646529487083</v>
      </c>
      <c r="GA2880" s="8">
        <v>9.4060378965047367</v>
      </c>
      <c r="GB2880" s="8">
        <v>2.0571770419713191</v>
      </c>
      <c r="GC2880" s="8">
        <v>0.58892603553892742</v>
      </c>
      <c r="GD2880" s="8">
        <v>0.38018510756159196</v>
      </c>
      <c r="GE2880" s="8">
        <v>1.3195697386983727</v>
      </c>
      <c r="GF2880" s="8">
        <v>6.6300265982917752</v>
      </c>
      <c r="GG2880" s="8">
        <v>4.6181033681338892</v>
      </c>
      <c r="GH2880" s="8">
        <v>0.23579423514790807</v>
      </c>
      <c r="GI2880" s="8">
        <v>4.215114983036794</v>
      </c>
    </row>
    <row r="2881" spans="182:191">
      <c r="FZ2881" s="8">
        <v>3.8827145604593918</v>
      </c>
      <c r="GA2881" s="8">
        <v>3.3443044437946754</v>
      </c>
      <c r="GB2881" s="8">
        <v>0.84415530740463862</v>
      </c>
      <c r="GC2881" s="8">
        <v>0.35013293450217936</v>
      </c>
      <c r="GD2881" s="8">
        <v>0.41880314802641283</v>
      </c>
      <c r="GE2881" s="8">
        <v>0.82525512051981997</v>
      </c>
      <c r="GF2881" s="8">
        <v>0.7481453974671608</v>
      </c>
      <c r="GG2881" s="8">
        <v>0.24723722493565062</v>
      </c>
      <c r="GH2881" s="8">
        <v>0</v>
      </c>
      <c r="GI2881" s="8">
        <v>1.9990303969102889</v>
      </c>
    </row>
    <row r="2882" spans="182:191">
      <c r="FZ2882" s="8">
        <v>3.6583217852824563</v>
      </c>
      <c r="GA2882" s="8">
        <v>5.6403923530821247</v>
      </c>
      <c r="GB2882" s="8">
        <v>0.81288682279275992</v>
      </c>
      <c r="GC2882" s="8">
        <v>0.65632012184837285</v>
      </c>
      <c r="GD2882" s="8">
        <v>0.63580933228458292</v>
      </c>
      <c r="GE2882" s="8">
        <v>1.1068741545952638</v>
      </c>
      <c r="GF2882" s="8">
        <v>3.0436571819556386</v>
      </c>
      <c r="GG2882" s="8">
        <v>2.2337294396067464</v>
      </c>
      <c r="GH2882" s="8">
        <v>0.47158847029581613</v>
      </c>
      <c r="GI2882" s="8">
        <v>3.1111651164083005</v>
      </c>
    </row>
    <row r="2883" spans="182:191">
      <c r="FZ2883" s="8">
        <v>5.9709608409135448</v>
      </c>
      <c r="GA2883" s="8">
        <v>12.561395289482693</v>
      </c>
      <c r="GB2883" s="8">
        <v>5.2923697312614459</v>
      </c>
      <c r="GC2883" s="8">
        <v>0.3091014650534375</v>
      </c>
      <c r="GD2883" s="8">
        <v>0.65360912255184278</v>
      </c>
      <c r="GE2883" s="8">
        <v>2.4355346205731059</v>
      </c>
      <c r="GF2883" s="8">
        <v>5.1840099395887203</v>
      </c>
      <c r="GG2883" s="8">
        <v>3.351069871691212</v>
      </c>
      <c r="GH2883" s="8">
        <v>0.64441312055873701</v>
      </c>
      <c r="GI2883" s="8">
        <v>4.7565637231269875</v>
      </c>
    </row>
    <row r="2884" spans="182:191">
      <c r="FZ2884" s="8">
        <v>5.6892372228491359</v>
      </c>
      <c r="GA2884" s="8">
        <v>4.7399666581448576</v>
      </c>
      <c r="GB2884" s="8">
        <v>1.3116697813928062</v>
      </c>
      <c r="GC2884" s="8">
        <v>0.38402611011111509</v>
      </c>
      <c r="GD2884" s="8">
        <v>0.68842437472212115</v>
      </c>
      <c r="GE2884" s="8">
        <v>2.0672699605571898</v>
      </c>
      <c r="GF2884" s="8">
        <v>3.1065391978418013</v>
      </c>
      <c r="GG2884" s="8">
        <v>1.5410277012290603</v>
      </c>
      <c r="GH2884" s="8">
        <v>0.81723777082165783</v>
      </c>
      <c r="GI2884" s="8">
        <v>3.1556040229552389</v>
      </c>
    </row>
    <row r="2885" spans="182:191">
      <c r="FZ2885" s="8">
        <v>7.0978530772439861</v>
      </c>
      <c r="GA2885" s="8">
        <v>10.485381727435598</v>
      </c>
      <c r="GB2885" s="8">
        <v>2.686827701023943</v>
      </c>
      <c r="GC2885" s="8">
        <v>0.5917232021668879</v>
      </c>
      <c r="GD2885" s="8">
        <v>0.56689744680306997</v>
      </c>
      <c r="GE2885" s="8">
        <v>1.0763815887517802</v>
      </c>
      <c r="GF2885" s="8">
        <v>5.0204419125105968</v>
      </c>
      <c r="GG2885" s="8">
        <v>3.6899200970888253</v>
      </c>
      <c r="GH2885" s="8">
        <v>0</v>
      </c>
      <c r="GI2885" s="8">
        <v>4.1941398620161889</v>
      </c>
    </row>
    <row r="2886" spans="182:191">
      <c r="FZ2886" s="8">
        <v>9.5715714072696443</v>
      </c>
      <c r="GA2886" s="8">
        <v>14.678565062776546</v>
      </c>
      <c r="GB2886" s="8">
        <v>3.8612292228553233</v>
      </c>
      <c r="GC2886" s="8">
        <v>0.31365812490349526</v>
      </c>
      <c r="GD2886" s="8">
        <v>0.32742007088724606</v>
      </c>
      <c r="GE2886" s="8">
        <v>0.96710677909831622</v>
      </c>
      <c r="GF2886" s="8">
        <v>5.2959943741438522</v>
      </c>
      <c r="GG2886" s="8">
        <v>4.3708661431982385</v>
      </c>
      <c r="GH2886" s="8">
        <v>0.23579423514790807</v>
      </c>
      <c r="GI2886" s="8">
        <v>4.5745097083891872</v>
      </c>
    </row>
    <row r="2887" spans="182:191">
      <c r="FZ2887" s="8">
        <v>6.9986943551828844</v>
      </c>
      <c r="GA2887" s="8">
        <v>9.2375103526553755</v>
      </c>
      <c r="GB2887" s="8">
        <v>3.2927332441834718</v>
      </c>
      <c r="GC2887" s="8">
        <v>0.65567471335093563</v>
      </c>
      <c r="GD2887" s="8">
        <v>0.61604277907508709</v>
      </c>
      <c r="GE2887" s="8">
        <v>1.0049404924227034</v>
      </c>
      <c r="GF2887" s="8">
        <v>2.6259138712221204</v>
      </c>
      <c r="GG2887" s="8">
        <v>1.5628049455265007</v>
      </c>
      <c r="GH2887" s="8">
        <v>0.3456493005258417</v>
      </c>
      <c r="GI2887" s="8">
        <v>4.390807591176304</v>
      </c>
    </row>
    <row r="2888" spans="182:191">
      <c r="FZ2888" s="8">
        <v>4.3673453320919977</v>
      </c>
      <c r="GA2888" s="8">
        <v>4.244730138731942</v>
      </c>
      <c r="GB2888" s="8">
        <v>0.12094085449398843</v>
      </c>
      <c r="GC2888" s="8">
        <v>0.57920610770937286</v>
      </c>
      <c r="GD2888" s="8">
        <v>0.76537779140129936</v>
      </c>
      <c r="GE2888" s="8">
        <v>1.7657346710027924</v>
      </c>
      <c r="GF2888" s="8">
        <v>4.1515872563515579</v>
      </c>
      <c r="GG2888" s="8">
        <v>2.3743523764979746</v>
      </c>
      <c r="GH2888" s="8">
        <v>0.3456493005258417</v>
      </c>
      <c r="GI2888" s="8">
        <v>3.5813182049327033</v>
      </c>
    </row>
    <row r="2889" spans="182:191">
      <c r="FZ2889" s="8">
        <v>6.2613527101972233</v>
      </c>
      <c r="GA2889" s="8">
        <v>10.306463591442004</v>
      </c>
      <c r="GB2889" s="8">
        <v>1.4187923659522887</v>
      </c>
      <c r="GC2889" s="8">
        <v>0.39528999852455504</v>
      </c>
      <c r="GD2889" s="8">
        <v>0.46697095746576484</v>
      </c>
      <c r="GE2889" s="8">
        <v>0.59948672800220559</v>
      </c>
      <c r="GF2889" s="8">
        <v>3.4958807371725795</v>
      </c>
      <c r="GG2889" s="8">
        <v>3.5492971601975971</v>
      </c>
      <c r="GH2889" s="8">
        <v>0.47158847029581613</v>
      </c>
      <c r="GI2889" s="8">
        <v>3.0570668930377809</v>
      </c>
    </row>
    <row r="2890" spans="182:191">
      <c r="FZ2890" s="8">
        <v>3.3188869482916896</v>
      </c>
      <c r="GA2890" s="8">
        <v>16.253145413120322</v>
      </c>
      <c r="GB2890" s="8">
        <v>5.6527616206901312</v>
      </c>
      <c r="GC2890" s="8">
        <v>0.65133358613908998</v>
      </c>
      <c r="GD2890" s="8">
        <v>0.44578436847212954</v>
      </c>
      <c r="GE2890" s="8">
        <v>1.6159705381236327</v>
      </c>
      <c r="GF2890" s="8">
        <v>7.921779937717619</v>
      </c>
      <c r="GG2890" s="8">
        <v>5.1338793500215374</v>
      </c>
      <c r="GH2890" s="8">
        <v>0</v>
      </c>
      <c r="GI2890" s="8">
        <v>4.7491960229721162</v>
      </c>
    </row>
    <row r="2891" spans="182:191">
      <c r="FZ2891" s="8">
        <v>5.8340527814520904</v>
      </c>
      <c r="GA2891" s="8">
        <v>16.000331857341749</v>
      </c>
      <c r="GB2891" s="8">
        <v>3.6915696690720834</v>
      </c>
      <c r="GC2891" s="8">
        <v>0.36587707144687998</v>
      </c>
      <c r="GD2891" s="8">
        <v>0.28422379059616032</v>
      </c>
      <c r="GE2891" s="8">
        <v>0.79976484384977198</v>
      </c>
      <c r="GF2891" s="8">
        <v>3.1618096074117892</v>
      </c>
      <c r="GG2891" s="8">
        <v>2.2337294396067464</v>
      </c>
      <c r="GH2891" s="8">
        <v>0.81723777082165783</v>
      </c>
      <c r="GI2891" s="8">
        <v>3.7273137849171212</v>
      </c>
    </row>
    <row r="2892" spans="182:191">
      <c r="FZ2892" s="8">
        <v>10.495556490031888</v>
      </c>
      <c r="GA2892" s="8">
        <v>5.9651722192190517</v>
      </c>
      <c r="GB2892" s="8">
        <v>0.32446586665972488</v>
      </c>
      <c r="GC2892" s="8">
        <v>0.74634349535331412</v>
      </c>
      <c r="GD2892" s="8">
        <v>0.99319726168175415</v>
      </c>
      <c r="GE2892" s="8">
        <v>1.7256529992931293</v>
      </c>
      <c r="GF2892" s="8">
        <v>3.5614227867548154</v>
      </c>
      <c r="GG2892" s="8">
        <v>2.7862839533742965</v>
      </c>
      <c r="GH2892" s="8">
        <v>1.0530320059695661</v>
      </c>
      <c r="GI2892" s="8">
        <v>3.6537764392762604</v>
      </c>
    </row>
    <row r="2893" spans="182:191">
      <c r="FZ2893" s="8">
        <v>5.7465680657366089</v>
      </c>
      <c r="GA2893" s="8">
        <v>11.732935904903778</v>
      </c>
      <c r="GB2893" s="8">
        <v>3.4775095547865265</v>
      </c>
      <c r="GC2893" s="8">
        <v>0.78457779817409556</v>
      </c>
      <c r="GD2893" s="8">
        <v>1.3046390536918766</v>
      </c>
      <c r="GE2893" s="8">
        <v>2.3894364872128282</v>
      </c>
      <c r="GF2893" s="8">
        <v>2.9674634562048041</v>
      </c>
      <c r="GG2893" s="8">
        <v>1.8585763946103251</v>
      </c>
      <c r="GH2893" s="8">
        <v>0.58144353567374973</v>
      </c>
      <c r="GI2893" s="8">
        <v>4.5600178445038173</v>
      </c>
    </row>
    <row r="2894" spans="182:191">
      <c r="FZ2894" s="8">
        <v>7.1435099137858389</v>
      </c>
      <c r="GA2894" s="8">
        <v>20.298537908891312</v>
      </c>
      <c r="GB2894" s="8">
        <v>5.5865048680858198</v>
      </c>
      <c r="GC2894" s="8">
        <v>0.37559699927643453</v>
      </c>
      <c r="GD2894" s="8">
        <v>0.5645778239992949</v>
      </c>
      <c r="GE2894" s="8">
        <v>1.7145524257312137</v>
      </c>
      <c r="GF2894" s="8">
        <v>3.9047986243165154</v>
      </c>
      <c r="GG2894" s="8">
        <v>2.3040409080523605</v>
      </c>
      <c r="GH2894" s="8">
        <v>0.40861888541082891</v>
      </c>
      <c r="GI2894" s="8">
        <v>5.1483699271683436</v>
      </c>
    </row>
    <row r="2895" spans="182:191">
      <c r="FZ2895" s="8">
        <v>6.3190639291235815</v>
      </c>
      <c r="GA2895" s="8">
        <v>16.000331857341749</v>
      </c>
      <c r="GB2895" s="8">
        <v>3.777610094211326</v>
      </c>
      <c r="GC2895" s="8">
        <v>1.1588044803271713</v>
      </c>
      <c r="GD2895" s="8">
        <v>0.88626479456590057</v>
      </c>
      <c r="GE2895" s="8">
        <v>0.62602305669535729</v>
      </c>
      <c r="GF2895" s="8">
        <v>4.7782287693446754</v>
      </c>
      <c r="GG2895" s="8">
        <v>3.9952373859207246</v>
      </c>
      <c r="GH2895" s="8">
        <v>0.75426818593667067</v>
      </c>
      <c r="GI2895" s="8">
        <v>4.4183809396346643</v>
      </c>
    </row>
    <row r="2896" spans="182:191">
      <c r="FZ2896" s="8">
        <v>8.0562013662413481</v>
      </c>
      <c r="GA2896" s="8">
        <v>3.2704090240096959</v>
      </c>
      <c r="GB2896" s="8">
        <v>0.38269407465458316</v>
      </c>
      <c r="GC2896" s="8">
        <v>1.0581626269062274</v>
      </c>
      <c r="GD2896" s="8">
        <v>0.86732510531784923</v>
      </c>
      <c r="GE2896" s="8">
        <v>0.88110576207764946</v>
      </c>
      <c r="GF2896" s="8">
        <v>3.3247977508257485</v>
      </c>
      <c r="GG2896" s="8">
        <v>2.6796696653298739</v>
      </c>
      <c r="GH2896" s="8">
        <v>0.40861888541082891</v>
      </c>
      <c r="GI2896" s="8">
        <v>3.3192153786025553</v>
      </c>
    </row>
    <row r="2897" spans="182:191">
      <c r="FZ2897" s="8">
        <v>6.8531180445021604</v>
      </c>
      <c r="GA2897" s="8">
        <v>6.8879465305503036</v>
      </c>
      <c r="GB2897" s="8">
        <v>1.517528251416101</v>
      </c>
      <c r="GC2897" s="8">
        <v>0.530685968690084</v>
      </c>
      <c r="GD2897" s="8">
        <v>0.72580170163738678</v>
      </c>
      <c r="GE2897" s="8">
        <v>1.4225998012838768</v>
      </c>
      <c r="GF2897" s="8">
        <v>4.5799876123855698</v>
      </c>
      <c r="GG2897" s="8">
        <v>3.4426828721531746</v>
      </c>
      <c r="GH2897" s="8">
        <v>0</v>
      </c>
      <c r="GI2897" s="8">
        <v>4.3687351754352264</v>
      </c>
    </row>
    <row r="2898" spans="182:191">
      <c r="FZ2898" s="8">
        <v>8.0678753725869683</v>
      </c>
      <c r="GA2898" s="8">
        <v>18.549233322407773</v>
      </c>
      <c r="GB2898" s="8">
        <v>5.9445726772149818</v>
      </c>
      <c r="GC2898" s="8">
        <v>0.84491000196253196</v>
      </c>
      <c r="GD2898" s="8">
        <v>0.72276973129071065</v>
      </c>
      <c r="GE2898" s="8">
        <v>1.2960840222507091</v>
      </c>
      <c r="GF2898" s="8">
        <v>2.8611893377759898</v>
      </c>
      <c r="GG2898" s="8">
        <v>1.5628049455265007</v>
      </c>
      <c r="GH2898" s="8">
        <v>0</v>
      </c>
      <c r="GI2898" s="8">
        <v>4.7063335520946534</v>
      </c>
    </row>
    <row r="2899" spans="182:191">
      <c r="FZ2899" s="8">
        <v>1.6488919693245148</v>
      </c>
      <c r="GA2899" s="8">
        <v>15.905699733277368</v>
      </c>
      <c r="GB2899" s="8">
        <v>5.7550416122591237</v>
      </c>
      <c r="GC2899" s="8">
        <v>0.95059801228368923</v>
      </c>
      <c r="GD2899" s="8">
        <v>1.3204249555949636</v>
      </c>
      <c r="GE2899" s="8">
        <v>2.2345120202198263</v>
      </c>
      <c r="GF2899" s="8">
        <v>3.8425856946885482</v>
      </c>
      <c r="GG2899" s="8">
        <v>2.7282038894780474</v>
      </c>
      <c r="GH2899" s="8">
        <v>0.64441312055873701</v>
      </c>
      <c r="GI2899" s="8">
        <v>5.2130629178877044</v>
      </c>
    </row>
    <row r="2900" spans="182:191">
      <c r="FZ2900" s="8">
        <v>8.647205948468514</v>
      </c>
      <c r="GA2900" s="8">
        <v>14.25722396314861</v>
      </c>
      <c r="GB2900" s="8">
        <v>3.2090262769017874</v>
      </c>
      <c r="GC2900" s="8">
        <v>0.30820291296698921</v>
      </c>
      <c r="GD2900" s="8">
        <v>0.59176619707752831</v>
      </c>
      <c r="GE2900" s="8">
        <v>1.8385091251485859</v>
      </c>
      <c r="GF2900" s="8">
        <v>6.1185295838464544</v>
      </c>
      <c r="GG2900" s="8">
        <v>4.7364733484465837</v>
      </c>
      <c r="GH2900" s="8">
        <v>0.47158847029581613</v>
      </c>
      <c r="GI2900" s="8">
        <v>4.7940827246455191</v>
      </c>
    </row>
    <row r="2901" spans="182:191">
      <c r="FZ2901" s="8">
        <v>5.6771828404646314</v>
      </c>
      <c r="GA2901" s="8">
        <v>8.0411857812661474</v>
      </c>
      <c r="GB2901" s="8">
        <v>2.7518738053806313</v>
      </c>
      <c r="GC2901" s="8">
        <v>0.13349735562401666</v>
      </c>
      <c r="GD2901" s="8">
        <v>0.70438694965250592</v>
      </c>
      <c r="GE2901" s="8">
        <v>2.2629207081796601</v>
      </c>
      <c r="GF2901" s="8">
        <v>4.0732633333096739</v>
      </c>
      <c r="GG2901" s="8">
        <v>2.6796696653298739</v>
      </c>
      <c r="GH2901" s="8">
        <v>0.40861888541082891</v>
      </c>
      <c r="GI2901" s="8">
        <v>4.4798040613250727</v>
      </c>
    </row>
    <row r="2902" spans="182:191">
      <c r="FZ2902" s="8">
        <v>11.805013622365635</v>
      </c>
      <c r="GA2902" s="8">
        <v>19.543973944097381</v>
      </c>
      <c r="GB2902" s="8">
        <v>4.6242745367488958</v>
      </c>
      <c r="GC2902" s="8">
        <v>0.44388963767232836</v>
      </c>
      <c r="GD2902" s="8">
        <v>0.43686072169144219</v>
      </c>
      <c r="GE2902" s="8">
        <v>1.1639999846153111</v>
      </c>
      <c r="GF2902" s="8">
        <v>4.3320418140297079</v>
      </c>
      <c r="GG2902" s="8">
        <v>2.9972183587111387</v>
      </c>
      <c r="GH2902" s="8">
        <v>0.17282465026292085</v>
      </c>
      <c r="GI2902" s="8">
        <v>5.0348784569686185</v>
      </c>
    </row>
    <row r="2903" spans="182:191">
      <c r="FZ2903" s="8">
        <v>5.8344331574909756</v>
      </c>
      <c r="GA2903" s="8">
        <v>4.8654088813208318</v>
      </c>
      <c r="GB2903" s="8">
        <v>0.86290400896732034</v>
      </c>
      <c r="GC2903" s="8">
        <v>0.77037762181328018</v>
      </c>
      <c r="GD2903" s="8">
        <v>1.1496587313222566</v>
      </c>
      <c r="GE2903" s="8">
        <v>2.6399657846403239</v>
      </c>
      <c r="GF2903" s="8">
        <v>5.4392135995733977</v>
      </c>
      <c r="GG2903" s="8">
        <v>3.2439798713656982</v>
      </c>
      <c r="GH2903" s="8">
        <v>0.40861888541082891</v>
      </c>
      <c r="GI2903" s="8">
        <v>4.7487339603461027</v>
      </c>
    </row>
    <row r="2904" spans="182:191">
      <c r="FZ2904" s="8">
        <v>18.902866699609625</v>
      </c>
      <c r="GA2904" s="8">
        <v>24.89071372746621</v>
      </c>
      <c r="GB2904" s="8">
        <v>5.7248959372571813</v>
      </c>
      <c r="GC2904" s="8">
        <v>0.4654812514619609</v>
      </c>
      <c r="GD2904" s="8">
        <v>1.1342159484511676</v>
      </c>
      <c r="GE2904" s="8">
        <v>2.6683593598546111</v>
      </c>
      <c r="GF2904" s="8">
        <v>5.0161642695946167</v>
      </c>
      <c r="GG2904" s="8">
        <v>3.5710744044950373</v>
      </c>
      <c r="GH2904" s="8">
        <v>0</v>
      </c>
      <c r="GI2904" s="8">
        <v>7.2871671428112705</v>
      </c>
    </row>
    <row r="2905" spans="182:191">
      <c r="FZ2905" s="8">
        <v>7.0978530772439861</v>
      </c>
      <c r="GA2905" s="8">
        <v>4.5921758185748986</v>
      </c>
      <c r="GB2905" s="8">
        <v>0.33034343062246418</v>
      </c>
      <c r="GC2905" s="8">
        <v>0.37086360715616284</v>
      </c>
      <c r="GD2905" s="8">
        <v>0.67603102570511742</v>
      </c>
      <c r="GE2905" s="8">
        <v>1.5478403918548276</v>
      </c>
      <c r="GF2905" s="8">
        <v>2.1007339066070725</v>
      </c>
      <c r="GG2905" s="8">
        <v>1.3155677205908503</v>
      </c>
      <c r="GH2905" s="8">
        <v>0.17282465026292085</v>
      </c>
      <c r="GI2905" s="8">
        <v>3.334205953836558</v>
      </c>
    </row>
    <row r="2906" spans="182:191">
      <c r="FZ2906" s="8">
        <v>6.7165903610795912</v>
      </c>
      <c r="GA2906" s="8">
        <v>16.074227277126731</v>
      </c>
      <c r="GB2906" s="8">
        <v>4.5056671401124655</v>
      </c>
      <c r="GC2906" s="8">
        <v>0.17495870093198365</v>
      </c>
      <c r="GD2906" s="8">
        <v>0.60800368000170901</v>
      </c>
      <c r="GE2906" s="8">
        <v>1.8812076406306444</v>
      </c>
      <c r="GF2906" s="8">
        <v>1.3070723080651032</v>
      </c>
      <c r="GG2906" s="8">
        <v>0.24723722493565062</v>
      </c>
      <c r="GH2906" s="8">
        <v>0.17282465026292085</v>
      </c>
      <c r="GI2906" s="8">
        <v>4.2278218157538605</v>
      </c>
    </row>
    <row r="2907" spans="182:191">
      <c r="FZ2907" s="8">
        <v>2.7761645816938412</v>
      </c>
      <c r="GA2907" s="8">
        <v>21.947013679020074</v>
      </c>
      <c r="GB2907" s="8">
        <v>8.0127899971967924</v>
      </c>
      <c r="GC2907" s="8">
        <v>0.86032149518973688</v>
      </c>
      <c r="GD2907" s="8">
        <v>1.0048263254441911</v>
      </c>
      <c r="GE2907" s="8">
        <v>1.0373054175328689</v>
      </c>
      <c r="GF2907" s="8">
        <v>1.4337289640649222</v>
      </c>
      <c r="GG2907" s="8">
        <v>1.2937904762934096</v>
      </c>
      <c r="GH2907" s="8">
        <v>0.64441312055873701</v>
      </c>
      <c r="GI2907" s="8">
        <v>4.5144730669694209</v>
      </c>
    </row>
    <row r="2908" spans="182:191">
      <c r="FZ2908" s="8">
        <v>0</v>
      </c>
      <c r="GA2908" s="8">
        <v>10.832510209966511</v>
      </c>
      <c r="GB2908" s="8">
        <v>3.9263631658496987</v>
      </c>
      <c r="GC2908" s="8">
        <v>0.47645438533559065</v>
      </c>
      <c r="GD2908" s="8">
        <v>1.1664127956478541</v>
      </c>
      <c r="GE2908" s="8">
        <v>2.5714275816575869</v>
      </c>
      <c r="GF2908" s="8">
        <v>4.0242391750299191</v>
      </c>
      <c r="GG2908" s="8">
        <v>2.6311354411817005</v>
      </c>
      <c r="GH2908" s="8">
        <v>0.17282465026292085</v>
      </c>
      <c r="GI2908" s="8">
        <v>4.6282265430657601</v>
      </c>
    </row>
    <row r="2909" spans="182:191">
      <c r="FZ2909" s="8">
        <v>12.786709924054236</v>
      </c>
      <c r="GA2909" s="8">
        <v>20.666403095701629</v>
      </c>
      <c r="GB2909" s="8">
        <v>4.3486152080161089</v>
      </c>
      <c r="GC2909" s="8">
        <v>0.76797272009374573</v>
      </c>
      <c r="GD2909" s="8">
        <v>1.0408631901206331</v>
      </c>
      <c r="GE2909" s="8">
        <v>1.3193905454512</v>
      </c>
      <c r="GF2909" s="8">
        <v>1.7102940440659116</v>
      </c>
      <c r="GG2909" s="8">
        <v>1.3641019447390237</v>
      </c>
      <c r="GH2909" s="8">
        <v>0.75426818593667067</v>
      </c>
      <c r="GI2909" s="8">
        <v>6.1634705056137351</v>
      </c>
    </row>
    <row r="2910" spans="182:191">
      <c r="FZ2910" s="8">
        <v>4.8523564797634879</v>
      </c>
      <c r="GA2910" s="8">
        <v>8.9846967968768006</v>
      </c>
      <c r="GB2910" s="8">
        <v>1.3826812883499204</v>
      </c>
      <c r="GC2910" s="8">
        <v>1.0130055628838517</v>
      </c>
      <c r="GD2910" s="8">
        <v>0.88808731743103664</v>
      </c>
      <c r="GE2910" s="8">
        <v>1.3407342146607149</v>
      </c>
      <c r="GF2910" s="8">
        <v>6.5451026792723006</v>
      </c>
      <c r="GG2910" s="8">
        <v>5.2890278622141338</v>
      </c>
      <c r="GH2910" s="8">
        <v>1.5715059567583287</v>
      </c>
      <c r="GI2910" s="8">
        <v>4.4301000843411886</v>
      </c>
    </row>
    <row r="2911" spans="182:191">
      <c r="FZ2911" s="8">
        <v>9.6594364990240109</v>
      </c>
      <c r="GA2911" s="8">
        <v>3.4697466669706492</v>
      </c>
      <c r="GB2911" s="8">
        <v>0.22209803645304543</v>
      </c>
      <c r="GC2911" s="8">
        <v>0.48273173803974784</v>
      </c>
      <c r="GD2911" s="8">
        <v>0.69569146586306418</v>
      </c>
      <c r="GE2911" s="8">
        <v>1.0862814106505805</v>
      </c>
      <c r="GF2911" s="8">
        <v>0.78975519593104504</v>
      </c>
      <c r="GG2911" s="8">
        <v>0.42416298142568709</v>
      </c>
      <c r="GH2911" s="8">
        <v>0.23579423514790807</v>
      </c>
      <c r="GI2911" s="8">
        <v>3.0188040999996204</v>
      </c>
    </row>
    <row r="2912" spans="182:191">
      <c r="FZ2912" s="8">
        <v>6.7165903610795912</v>
      </c>
      <c r="GA2912" s="8">
        <v>11.334260618981871</v>
      </c>
      <c r="GB2912" s="8">
        <v>3.2613769209339063</v>
      </c>
      <c r="GC2912" s="8">
        <v>0.5936594276591991</v>
      </c>
      <c r="GD2912" s="8">
        <v>0.85453091488134014</v>
      </c>
      <c r="GE2912" s="8">
        <v>2.1109473830441376</v>
      </c>
      <c r="GF2912" s="8">
        <v>1.96537476553413</v>
      </c>
      <c r="GG2912" s="8">
        <v>0.42416298142568709</v>
      </c>
      <c r="GH2912" s="8">
        <v>0.23579423514790807</v>
      </c>
      <c r="GI2912" s="8">
        <v>3.8268673062737841</v>
      </c>
    </row>
    <row r="2913" spans="182:191">
      <c r="FZ2913" s="8">
        <v>6.1440944976926186</v>
      </c>
      <c r="GA2913" s="8">
        <v>1.1736587576831998</v>
      </c>
      <c r="GB2913" s="8">
        <v>0.38036061679702465</v>
      </c>
      <c r="GC2913" s="8">
        <v>1.3184113092228806</v>
      </c>
      <c r="GD2913" s="8">
        <v>0.9557074029208189</v>
      </c>
      <c r="GE2913" s="8">
        <v>0.83025740969325557</v>
      </c>
      <c r="GF2913" s="8">
        <v>3.379298474684703</v>
      </c>
      <c r="GG2913" s="8">
        <v>2.1271151515623243</v>
      </c>
      <c r="GH2913" s="8">
        <v>0</v>
      </c>
      <c r="GI2913" s="8">
        <v>2.354926667479214</v>
      </c>
    </row>
    <row r="2914" spans="182:191">
      <c r="FZ2914" s="8">
        <v>6.1738679944817427</v>
      </c>
      <c r="GA2914" s="8">
        <v>17.227466527842569</v>
      </c>
      <c r="GB2914" s="8">
        <v>5.6166505430877631</v>
      </c>
      <c r="GC2914" s="8">
        <v>0.1049829806327898</v>
      </c>
      <c r="GD2914" s="8">
        <v>0.29656188799158684</v>
      </c>
      <c r="GE2914" s="8">
        <v>1.3042338591530445</v>
      </c>
      <c r="GF2914" s="8">
        <v>3.8824141971028165</v>
      </c>
      <c r="GG2914" s="8">
        <v>3.0335211783099472</v>
      </c>
      <c r="GH2914" s="8">
        <v>0.70738270544372439</v>
      </c>
      <c r="GI2914" s="8">
        <v>5.0735095705158351</v>
      </c>
    </row>
    <row r="2915" spans="182:191">
      <c r="FZ2915" s="8">
        <v>9.9988713360147763</v>
      </c>
      <c r="GA2915" s="8">
        <v>12.308581733704118</v>
      </c>
      <c r="GB2915" s="8">
        <v>3.1903654139767923</v>
      </c>
      <c r="GC2915" s="8">
        <v>0.25856560041335291</v>
      </c>
      <c r="GD2915" s="8">
        <v>0.49868484619580106</v>
      </c>
      <c r="GE2915" s="8">
        <v>1.8772514034803125</v>
      </c>
      <c r="GF2915" s="8">
        <v>3.020503069030906</v>
      </c>
      <c r="GG2915" s="8">
        <v>1.1871761882489873</v>
      </c>
      <c r="GH2915" s="8">
        <v>0.3456493005258417</v>
      </c>
      <c r="GI2915" s="8">
        <v>4.3010061835852751</v>
      </c>
    </row>
    <row r="2916" spans="182:191">
      <c r="FZ2916" s="8">
        <v>7.3377488161347646</v>
      </c>
      <c r="GA2916" s="8">
        <v>5.4183888964151414</v>
      </c>
      <c r="GB2916" s="8">
        <v>0.39781083147439761</v>
      </c>
      <c r="GC2916" s="8">
        <v>1.5029728269051357</v>
      </c>
      <c r="GD2916" s="8">
        <v>1.3643998876930208</v>
      </c>
      <c r="GE2916" s="8">
        <v>1.6574265957111667</v>
      </c>
      <c r="GF2916" s="8">
        <v>4.4386810740046858</v>
      </c>
      <c r="GG2916" s="8">
        <v>3.1038326467555613</v>
      </c>
      <c r="GH2916" s="8">
        <v>0.64441312055873701</v>
      </c>
      <c r="GI2916" s="8">
        <v>3.756099780331978</v>
      </c>
    </row>
    <row r="2917" spans="182:191">
      <c r="FZ2917" s="8">
        <v>3.94042577938575</v>
      </c>
      <c r="GA2917" s="8">
        <v>1.1736587576831998</v>
      </c>
      <c r="GB2917" s="8">
        <v>0.27444868048516441</v>
      </c>
      <c r="GC2917" s="8">
        <v>0.5090943549004513</v>
      </c>
      <c r="GD2917" s="8">
        <v>0.82168309028771047</v>
      </c>
      <c r="GE2917" s="8">
        <v>1.6655760274156033</v>
      </c>
      <c r="GF2917" s="8">
        <v>4.8068480509898039</v>
      </c>
      <c r="GG2917" s="8">
        <v>3.797010097414339</v>
      </c>
      <c r="GH2917" s="8">
        <v>0.40861888541082891</v>
      </c>
      <c r="GI2917" s="8">
        <v>2.9682579059995167</v>
      </c>
    </row>
    <row r="2918" spans="182:191">
      <c r="FZ2918" s="8">
        <v>6.9406027602176419</v>
      </c>
      <c r="GA2918" s="8">
        <v>12.507919376665072</v>
      </c>
      <c r="GB2918" s="8">
        <v>3.3101834588608448</v>
      </c>
      <c r="GC2918" s="8">
        <v>0.32506113463635</v>
      </c>
      <c r="GD2918" s="8">
        <v>0.51080164948672224</v>
      </c>
      <c r="GE2918" s="8">
        <v>1.0068128516893855</v>
      </c>
      <c r="GF2918" s="8">
        <v>3.4919519954980323</v>
      </c>
      <c r="GG2918" s="8">
        <v>3.232224179097424</v>
      </c>
      <c r="GH2918" s="8">
        <v>0.81723777082165783</v>
      </c>
      <c r="GI2918" s="8">
        <v>4.4470804962154364</v>
      </c>
    </row>
    <row r="2919" spans="182:191">
      <c r="FZ2919" s="8">
        <v>4.3677257081308829</v>
      </c>
      <c r="GA2919" s="8">
        <v>15.130716261516074</v>
      </c>
      <c r="GB2919" s="8">
        <v>5.8748596571431762</v>
      </c>
      <c r="GC2919" s="8">
        <v>0.52573704393160003</v>
      </c>
      <c r="GD2919" s="8">
        <v>0.33336912286817738</v>
      </c>
      <c r="GE2919" s="8">
        <v>0.89771683008519543</v>
      </c>
      <c r="GF2919" s="8">
        <v>4.6030187867938421</v>
      </c>
      <c r="GG2919" s="8">
        <v>3.1256098910530015</v>
      </c>
      <c r="GH2919" s="8">
        <v>0.3456493005258417</v>
      </c>
      <c r="GI2919" s="8">
        <v>4.2887310088618937</v>
      </c>
    </row>
    <row r="2920" spans="182:191">
      <c r="FZ2920" s="8">
        <v>4.0856217140275888</v>
      </c>
      <c r="GA2920" s="8">
        <v>8.4090509680764605</v>
      </c>
      <c r="GB2920" s="8">
        <v>1.5849956522680344</v>
      </c>
      <c r="GC2920" s="8">
        <v>0.32875685335075877</v>
      </c>
      <c r="GD2920" s="8">
        <v>0.33323660006798339</v>
      </c>
      <c r="GE2920" s="8">
        <v>0.8231130732816716</v>
      </c>
      <c r="GF2920" s="8">
        <v>3.4552602099836562</v>
      </c>
      <c r="GG2920" s="8">
        <v>2.5027439088398373</v>
      </c>
      <c r="GH2920" s="8">
        <v>0.17282465026292085</v>
      </c>
      <c r="GI2920" s="8">
        <v>3.0356109866403509</v>
      </c>
    </row>
    <row r="2921" spans="182:191">
      <c r="FZ2921" s="8">
        <v>8.2621142749358949</v>
      </c>
      <c r="GA2921" s="8">
        <v>10.77903429714889</v>
      </c>
      <c r="GB2921" s="8">
        <v>2.1373399031478222</v>
      </c>
      <c r="GC2921" s="8">
        <v>1.0471518820817987</v>
      </c>
      <c r="GD2921" s="8">
        <v>1.220045247504278</v>
      </c>
      <c r="GE2921" s="8">
        <v>1.6840594546898311</v>
      </c>
      <c r="GF2921" s="8">
        <v>2.6762484938227504</v>
      </c>
      <c r="GG2921" s="8">
        <v>1.788264926164711</v>
      </c>
      <c r="GH2921" s="8">
        <v>0.99006242108457876</v>
      </c>
      <c r="GI2921" s="8">
        <v>4.7081397570034218</v>
      </c>
    </row>
    <row r="2922" spans="182:191">
      <c r="FZ2922" s="8">
        <v>8.4650214285040928</v>
      </c>
      <c r="GA2922" s="8">
        <v>11.26036519919689</v>
      </c>
      <c r="GB2922" s="8">
        <v>2.4472794498935242</v>
      </c>
      <c r="GC2922" s="8">
        <v>0.75825279226419107</v>
      </c>
      <c r="GD2922" s="8">
        <v>1.1921425423102696</v>
      </c>
      <c r="GE2922" s="8">
        <v>2.0660275026626653</v>
      </c>
      <c r="GF2922" s="8">
        <v>4.874339291667515</v>
      </c>
      <c r="GG2922" s="8">
        <v>3.4426828721531746</v>
      </c>
      <c r="GH2922" s="8">
        <v>0.3456493005258417</v>
      </c>
      <c r="GI2922" s="8">
        <v>5.0816965038423945</v>
      </c>
    </row>
    <row r="2923" spans="182:191">
      <c r="FZ2923" s="8">
        <v>5.3494220098194845</v>
      </c>
      <c r="GA2923" s="8">
        <v>2.6947631952093558</v>
      </c>
      <c r="GB2923" s="8">
        <v>0.28835478905735645</v>
      </c>
      <c r="GC2923" s="8">
        <v>0.5612726016833498</v>
      </c>
      <c r="GD2923" s="8">
        <v>1.4230014884640574</v>
      </c>
      <c r="GE2923" s="8">
        <v>2.8871532283462003</v>
      </c>
      <c r="GF2923" s="8">
        <v>2.7499745889318898</v>
      </c>
      <c r="GG2923" s="8">
        <v>1.6113391696746744</v>
      </c>
      <c r="GH2923" s="8">
        <v>0.23579423514790807</v>
      </c>
      <c r="GI2923" s="8">
        <v>3.9338047198095385</v>
      </c>
    </row>
    <row r="2924" spans="182:191">
      <c r="FZ2924" s="8">
        <v>3.9981369983121078</v>
      </c>
      <c r="GA2924" s="8">
        <v>6.8675270235829462</v>
      </c>
      <c r="GB2924" s="8">
        <v>2.7915289890881807</v>
      </c>
      <c r="GC2924" s="8">
        <v>0.42355122992677074</v>
      </c>
      <c r="GD2924" s="8">
        <v>0.57974237684116747</v>
      </c>
      <c r="GE2924" s="8">
        <v>1.6371677446536681</v>
      </c>
      <c r="GF2924" s="8">
        <v>2.3863831008158938</v>
      </c>
      <c r="GG2924" s="8">
        <v>1.1168647198033732</v>
      </c>
      <c r="GH2924" s="8">
        <v>0.58144353567374973</v>
      </c>
      <c r="GI2924" s="8">
        <v>3.2896662838849444</v>
      </c>
    </row>
    <row r="2925" spans="182:191">
      <c r="FZ2925" s="8">
        <v>8.3495989906513763</v>
      </c>
      <c r="GA2925" s="8">
        <v>5.5664969332971452</v>
      </c>
      <c r="GB2925" s="8">
        <v>0.22685279080584869</v>
      </c>
      <c r="GC2925" s="8">
        <v>0.69150411445218263</v>
      </c>
      <c r="GD2925" s="8">
        <v>0.99476396966728098</v>
      </c>
      <c r="GE2925" s="8">
        <v>1.6205566766461221</v>
      </c>
      <c r="GF2925" s="8">
        <v>2.7493055026736934</v>
      </c>
      <c r="GG2925" s="8">
        <v>2.0568036831167102</v>
      </c>
      <c r="GH2925" s="8">
        <v>0.58144353567374973</v>
      </c>
      <c r="GI2925" s="8">
        <v>3.7393155674273766</v>
      </c>
    </row>
    <row r="2926" spans="182:191">
      <c r="FZ2926" s="8">
        <v>7.8645878429798852</v>
      </c>
      <c r="GA2926" s="8">
        <v>8.3351555482914801</v>
      </c>
      <c r="GB2926" s="8">
        <v>1.0314407531406244</v>
      </c>
      <c r="GC2926" s="8">
        <v>0.25078189807610951</v>
      </c>
      <c r="GD2926" s="8">
        <v>0.75356112379745532</v>
      </c>
      <c r="GE2926" s="8">
        <v>2.3051444271274719</v>
      </c>
      <c r="GF2926" s="8">
        <v>5.2203528238616643</v>
      </c>
      <c r="GG2926" s="8">
        <v>3.7480001609850739</v>
      </c>
      <c r="GH2926" s="8">
        <v>0.58144353567374973</v>
      </c>
      <c r="GI2926" s="8">
        <v>4.6647336975189004</v>
      </c>
    </row>
    <row r="2927" spans="182:191">
      <c r="FZ2927" s="8">
        <v>3.2310218565373234</v>
      </c>
      <c r="GA2927" s="8">
        <v>8.9642772899094414</v>
      </c>
      <c r="GB2927" s="8">
        <v>2.829973524548107</v>
      </c>
      <c r="GC2927" s="8">
        <v>1.297601136440413</v>
      </c>
      <c r="GD2927" s="8">
        <v>1.2536517250211501</v>
      </c>
      <c r="GE2927" s="8">
        <v>1.7881355692984393</v>
      </c>
      <c r="GF2927" s="8">
        <v>3.9502152339676377</v>
      </c>
      <c r="GG2927" s="8">
        <v>2.7282038894780474</v>
      </c>
      <c r="GH2927" s="8">
        <v>0.81723777082165783</v>
      </c>
      <c r="GI2927" s="8">
        <v>3.912070317724349</v>
      </c>
    </row>
    <row r="2928" spans="182:191">
      <c r="FZ2928" s="8">
        <v>1.4248795701864641</v>
      </c>
      <c r="GA2928" s="8">
        <v>5.9136254158280579</v>
      </c>
      <c r="GB2928" s="8">
        <v>1.517528251416101</v>
      </c>
      <c r="GC2928" s="8">
        <v>0.41343903718879016</v>
      </c>
      <c r="GD2928" s="8">
        <v>0.63703934003223228</v>
      </c>
      <c r="GE2928" s="8">
        <v>1.4685833515105995</v>
      </c>
      <c r="GF2928" s="8">
        <v>2.363998673602195</v>
      </c>
      <c r="GG2928" s="8">
        <v>1.669419233570923</v>
      </c>
      <c r="GH2928" s="8">
        <v>0.64441312055873701</v>
      </c>
      <c r="GI2928" s="8">
        <v>2.6054816831948786</v>
      </c>
    </row>
    <row r="2929" spans="182:191">
      <c r="FZ2929" s="8">
        <v>2.2794794276767298</v>
      </c>
      <c r="GA2929" s="8">
        <v>7.0668646665438999</v>
      </c>
      <c r="GB2929" s="8">
        <v>2.874025308122242</v>
      </c>
      <c r="GC2929" s="8">
        <v>0.60337935548875388</v>
      </c>
      <c r="GD2929" s="8">
        <v>0.7880390110954435</v>
      </c>
      <c r="GE2929" s="8">
        <v>1.1070705604666846</v>
      </c>
      <c r="GF2929" s="8">
        <v>1.9501449994889022</v>
      </c>
      <c r="GG2929" s="8">
        <v>1.7397307020165371</v>
      </c>
      <c r="GH2929" s="8">
        <v>0.58144353567374973</v>
      </c>
      <c r="GI2929" s="8">
        <v>3.1226221625766195</v>
      </c>
    </row>
    <row r="2930" spans="182:191">
      <c r="FZ2930" s="8">
        <v>9.5142405643821721</v>
      </c>
      <c r="GA2930" s="8">
        <v>17.301361947627552</v>
      </c>
      <c r="GB2930" s="8">
        <v>6.2562458673544157</v>
      </c>
      <c r="GC2930" s="8">
        <v>1.3047394302802191</v>
      </c>
      <c r="GD2930" s="8">
        <v>1.4163180615221935</v>
      </c>
      <c r="GE2930" s="8">
        <v>1.7411852847098785</v>
      </c>
      <c r="GF2930" s="8">
        <v>4.0600745619614624</v>
      </c>
      <c r="GG2930" s="8">
        <v>2.7985153579236619</v>
      </c>
      <c r="GH2930" s="8">
        <v>0.40861888541082891</v>
      </c>
      <c r="GI2930" s="8">
        <v>5.9714802861576031</v>
      </c>
    </row>
    <row r="2931" spans="182:191">
      <c r="FZ2931" s="8">
        <v>10.553648084997132</v>
      </c>
      <c r="GA2931" s="8">
        <v>12.929260476293006</v>
      </c>
      <c r="GB2931" s="8">
        <v>3.9136677055251292</v>
      </c>
      <c r="GC2931" s="8">
        <v>0.29181336752485143</v>
      </c>
      <c r="GD2931" s="8">
        <v>0.60758407625389066</v>
      </c>
      <c r="GE2931" s="8">
        <v>1.4223301133124109</v>
      </c>
      <c r="GF2931" s="8">
        <v>2.4042589026908825</v>
      </c>
      <c r="GG2931" s="8">
        <v>1.5628049455265007</v>
      </c>
      <c r="GH2931" s="8">
        <v>0</v>
      </c>
      <c r="GI2931" s="8">
        <v>5.3937569037213811</v>
      </c>
    </row>
    <row r="2932" spans="182:191">
      <c r="FZ2932" s="8">
        <v>4.3673453320919977</v>
      </c>
      <c r="GA2932" s="8">
        <v>12.707257019626024</v>
      </c>
      <c r="GB2932" s="8">
        <v>3.4287908554972746</v>
      </c>
      <c r="GC2932" s="8">
        <v>0.3710791397943749</v>
      </c>
      <c r="GD2932" s="8">
        <v>1.0405182162051374</v>
      </c>
      <c r="GE2932" s="8">
        <v>2.2386263023105646</v>
      </c>
      <c r="GF2932" s="8">
        <v>3.7716537923989129</v>
      </c>
      <c r="GG2932" s="8">
        <v>3.4091499355874602</v>
      </c>
      <c r="GH2932" s="8">
        <v>1.2258566562324869</v>
      </c>
      <c r="GI2932" s="8">
        <v>4.9995814359209625</v>
      </c>
    </row>
    <row r="2933" spans="182:191">
      <c r="FZ2933" s="8">
        <v>5.6888568468102516</v>
      </c>
      <c r="GA2933" s="8">
        <v>19.597449856914999</v>
      </c>
      <c r="GB2933" s="8">
        <v>6.5342386539447608</v>
      </c>
      <c r="GC2933" s="8">
        <v>0.52724339356468641</v>
      </c>
      <c r="GD2933" s="8">
        <v>0.95165880961805316</v>
      </c>
      <c r="GE2933" s="8">
        <v>2.0851081007413583</v>
      </c>
      <c r="GF2933" s="8">
        <v>4.9837277879325983</v>
      </c>
      <c r="GG2933" s="8">
        <v>3.818311629430688</v>
      </c>
      <c r="GH2933" s="8">
        <v>0</v>
      </c>
      <c r="GI2933" s="8">
        <v>5.8870622984580319</v>
      </c>
    </row>
    <row r="2934" spans="182:191">
      <c r="FZ2934" s="8">
        <v>13.011102699231174</v>
      </c>
      <c r="GA2934" s="8">
        <v>11.26036519919689</v>
      </c>
      <c r="GB2934" s="8">
        <v>2.517080308603016</v>
      </c>
      <c r="GC2934" s="8">
        <v>0.51719082201763622</v>
      </c>
      <c r="GD2934" s="8">
        <v>0.7880390110954435</v>
      </c>
      <c r="GE2934" s="8">
        <v>1.8222094513439151</v>
      </c>
      <c r="GF2934" s="8">
        <v>5.5220965238958568</v>
      </c>
      <c r="GG2934" s="8">
        <v>4.477480431242661</v>
      </c>
      <c r="GH2934" s="8">
        <v>1.0530320059695661</v>
      </c>
      <c r="GI2934" s="8">
        <v>5.1238454308824579</v>
      </c>
    </row>
    <row r="2935" spans="182:191">
      <c r="FZ2935" s="8">
        <v>14.477810148591267</v>
      </c>
      <c r="GA2935" s="8">
        <v>12.026905671929114</v>
      </c>
      <c r="GB2935" s="8">
        <v>1.6909075885798948</v>
      </c>
      <c r="GC2935" s="8">
        <v>0.78805798425029205</v>
      </c>
      <c r="GD2935" s="8">
        <v>0.70260498593720788</v>
      </c>
      <c r="GE2935" s="8">
        <v>0.68126141470317536</v>
      </c>
      <c r="GF2935" s="8">
        <v>1.3600028689557826</v>
      </c>
      <c r="GG2935" s="8">
        <v>1.2937904762934096</v>
      </c>
      <c r="GH2935" s="8">
        <v>0.47158847029581613</v>
      </c>
      <c r="GI2935" s="8">
        <v>4.4072997133219234</v>
      </c>
    </row>
    <row r="2936" spans="182:191">
      <c r="FZ2936" s="8">
        <v>11.220463376594157</v>
      </c>
      <c r="GA2936" s="8">
        <v>16.826544935181992</v>
      </c>
      <c r="GB2936" s="8">
        <v>3.7927268510311407</v>
      </c>
      <c r="GC2936" s="8">
        <v>0.70771692762410654</v>
      </c>
      <c r="GD2936" s="8">
        <v>0.8856640057707954</v>
      </c>
      <c r="GE2936" s="8">
        <v>1.033545586253958</v>
      </c>
      <c r="GF2936" s="8">
        <v>3.0602225195097512</v>
      </c>
      <c r="GG2936" s="8">
        <v>2.5027439088398373</v>
      </c>
      <c r="GH2936" s="8">
        <v>0.17282465026292085</v>
      </c>
      <c r="GI2936" s="8">
        <v>5.3695975170915169</v>
      </c>
    </row>
    <row r="2937" spans="182:191">
      <c r="FZ2937" s="8">
        <v>10.201778489582974</v>
      </c>
      <c r="GA2937" s="8">
        <v>9.1101390200527739</v>
      </c>
      <c r="GB2937" s="8">
        <v>0.81055336493520136</v>
      </c>
      <c r="GC2937" s="8">
        <v>0.76642875950986045</v>
      </c>
      <c r="GD2937" s="8">
        <v>0.64201419914512359</v>
      </c>
      <c r="GE2937" s="8">
        <v>0.68395757613683617</v>
      </c>
      <c r="GF2937" s="8">
        <v>2.4042589026908825</v>
      </c>
      <c r="GG2937" s="8">
        <v>1.9166564585065737</v>
      </c>
      <c r="GH2937" s="8">
        <v>0.47158847029581613</v>
      </c>
      <c r="GI2937" s="8">
        <v>4.0742123962744321</v>
      </c>
    </row>
    <row r="2938" spans="182:191">
      <c r="FZ2938" s="8">
        <v>11.892498338081115</v>
      </c>
      <c r="GA2938" s="8">
        <v>21.840061853384832</v>
      </c>
      <c r="GB2938" s="8">
        <v>4.5159413039417906</v>
      </c>
      <c r="GC2938" s="8">
        <v>0.59886149600669425</v>
      </c>
      <c r="GD2938" s="8">
        <v>0.94001027232204315</v>
      </c>
      <c r="GE2938" s="8">
        <v>1.6042570028414513</v>
      </c>
      <c r="GF2938" s="8">
        <v>2.2665609209677822</v>
      </c>
      <c r="GG2938" s="8">
        <v>1.6113391696746744</v>
      </c>
      <c r="GH2938" s="8">
        <v>0.23579423514790807</v>
      </c>
      <c r="GI2938" s="8">
        <v>5.1626396691185121</v>
      </c>
    </row>
    <row r="2939" spans="182:191">
      <c r="FZ2939" s="8">
        <v>6.9406027602176419</v>
      </c>
      <c r="GA2939" s="8">
        <v>12.507919376665072</v>
      </c>
      <c r="GB2939" s="8">
        <v>3.3252123770429729</v>
      </c>
      <c r="GC2939" s="8">
        <v>0.76732731159630863</v>
      </c>
      <c r="GD2939" s="8">
        <v>0.808828419420072</v>
      </c>
      <c r="GE2939" s="8">
        <v>1.6543759834656786</v>
      </c>
      <c r="GF2939" s="8">
        <v>3.5474419906319472</v>
      </c>
      <c r="GG2939" s="8">
        <v>1.8100421704621514</v>
      </c>
      <c r="GH2939" s="8">
        <v>0</v>
      </c>
      <c r="GI2939" s="8">
        <v>5.0332685396212478</v>
      </c>
    </row>
    <row r="2940" spans="182:191">
      <c r="FZ2940" s="8">
        <v>5.1043066010387736</v>
      </c>
      <c r="GA2940" s="8">
        <v>15.926119240244727</v>
      </c>
      <c r="GB2940" s="8">
        <v>4.4497723899751662</v>
      </c>
      <c r="GC2940" s="8">
        <v>0.21319300375276518</v>
      </c>
      <c r="GD2940" s="8">
        <v>0.39804093591322542</v>
      </c>
      <c r="GE2940" s="8">
        <v>0.82606380994125184</v>
      </c>
      <c r="GF2940" s="8">
        <v>3.5689263491647187</v>
      </c>
      <c r="GG2940" s="8">
        <v>2.9972183587111387</v>
      </c>
      <c r="GH2940" s="8">
        <v>0</v>
      </c>
      <c r="GI2940" s="8">
        <v>4.7427740789427029</v>
      </c>
    </row>
    <row r="2941" spans="182:191">
      <c r="FZ2941" s="8">
        <v>6.1161567755553836</v>
      </c>
      <c r="GA2941" s="8">
        <v>5.6403923530821247</v>
      </c>
      <c r="GB2941" s="8">
        <v>0.89771659968438</v>
      </c>
      <c r="GC2941" s="8">
        <v>0.65847187997889611</v>
      </c>
      <c r="GD2941" s="8">
        <v>0.59700768257739256</v>
      </c>
      <c r="GE2941" s="8">
        <v>1.0591151805852712</v>
      </c>
      <c r="GF2941" s="8">
        <v>4.5261559747848121</v>
      </c>
      <c r="GG2941" s="8">
        <v>3.5497728724786888</v>
      </c>
      <c r="GH2941" s="8">
        <v>0.58144353567374973</v>
      </c>
      <c r="GI2941" s="8">
        <v>3.0124766249997332</v>
      </c>
    </row>
    <row r="2942" spans="182:191">
      <c r="FZ2942" s="8">
        <v>7.0401418583176287</v>
      </c>
      <c r="GA2942" s="8">
        <v>7.3608344335692344</v>
      </c>
      <c r="GB2942" s="8">
        <v>1.1012416118501163</v>
      </c>
      <c r="GC2942" s="8">
        <v>0.62444267186023295</v>
      </c>
      <c r="GD2942" s="8">
        <v>0.82482382289322231</v>
      </c>
      <c r="GE2942" s="8">
        <v>1.6922092915921669</v>
      </c>
      <c r="GF2942" s="8">
        <v>1.4077583192570629</v>
      </c>
      <c r="GG2942" s="8">
        <v>0.42416298142568709</v>
      </c>
      <c r="GH2942" s="8">
        <v>0.40861888541082891</v>
      </c>
      <c r="GI2942" s="8">
        <v>2.8272650222221021</v>
      </c>
    </row>
    <row r="2943" spans="182:191">
      <c r="FZ2943" s="8">
        <v>7.1435099137858389</v>
      </c>
      <c r="GA2943" s="8">
        <v>15.003344928913474</v>
      </c>
      <c r="GB2943" s="8">
        <v>3.4287908554972746</v>
      </c>
      <c r="GC2943" s="8">
        <v>0.24514995386938954</v>
      </c>
      <c r="GD2943" s="8">
        <v>0.50618151304807246</v>
      </c>
      <c r="GE2943" s="8">
        <v>1.3276402579394426</v>
      </c>
      <c r="GF2943" s="8">
        <v>2.7790819506396409</v>
      </c>
      <c r="GG2943" s="8">
        <v>2.0568036831167102</v>
      </c>
      <c r="GH2943" s="8">
        <v>0.23579423514790807</v>
      </c>
      <c r="GI2943" s="8">
        <v>4.6352047930288514</v>
      </c>
    </row>
    <row r="2944" spans="182:191">
      <c r="FZ2944" s="8">
        <v>7.2804179732472925</v>
      </c>
      <c r="GA2944" s="8">
        <v>1.9486422294444932</v>
      </c>
      <c r="GB2944" s="8">
        <v>0.24430300548322173</v>
      </c>
      <c r="GC2944" s="8">
        <v>0.37215442415103706</v>
      </c>
      <c r="GD2944" s="8">
        <v>0.36990388187525941</v>
      </c>
      <c r="GE2944" s="8">
        <v>1.536818730756278</v>
      </c>
      <c r="GF2944" s="8">
        <v>6.2195357800551783</v>
      </c>
      <c r="GG2944" s="8">
        <v>4.489236123510933</v>
      </c>
      <c r="GH2944" s="8">
        <v>0.64441312055873701</v>
      </c>
      <c r="GI2944" s="8">
        <v>3.46042586688319</v>
      </c>
    </row>
    <row r="2945" spans="182:191">
      <c r="FZ2945" s="8">
        <v>8.3775367127886113</v>
      </c>
      <c r="GA2945" s="8">
        <v>9.1636149328703951</v>
      </c>
      <c r="GB2945" s="8">
        <v>2.7379676968084392</v>
      </c>
      <c r="GC2945" s="8">
        <v>1.2192758054350228</v>
      </c>
      <c r="GD2945" s="8">
        <v>1.0544069733399704</v>
      </c>
      <c r="GE2945" s="8">
        <v>1.6770526052940113</v>
      </c>
      <c r="GF2945" s="8">
        <v>4.9444568301188712</v>
      </c>
      <c r="GG2945" s="8">
        <v>3.0552984226073874</v>
      </c>
      <c r="GH2945" s="8">
        <v>0.58144353567374973</v>
      </c>
      <c r="GI2945" s="8">
        <v>4.3600221146931517</v>
      </c>
    </row>
    <row r="2946" spans="182:191">
      <c r="FZ2946" s="8">
        <v>7.4256139078891312</v>
      </c>
      <c r="GA2946" s="8">
        <v>7.0133887537262787</v>
      </c>
      <c r="GB2946" s="8">
        <v>1.1024522600977389</v>
      </c>
      <c r="GC2946" s="8">
        <v>1.1625001990415802</v>
      </c>
      <c r="GD2946" s="8">
        <v>0.76234339685954056</v>
      </c>
      <c r="GE2946" s="8">
        <v>0.32072793586204867</v>
      </c>
      <c r="GF2946" s="8">
        <v>3.1609085307017111</v>
      </c>
      <c r="GG2946" s="8">
        <v>2.6796696653298739</v>
      </c>
      <c r="GH2946" s="8">
        <v>0.58144353567374973</v>
      </c>
      <c r="GI2946" s="8">
        <v>3.2063644389371913</v>
      </c>
    </row>
    <row r="2947" spans="182:191">
      <c r="FZ2947" s="8">
        <v>11.659817687723798</v>
      </c>
      <c r="GA2947" s="8">
        <v>18.201787642564817</v>
      </c>
      <c r="GB2947" s="8">
        <v>5.6864514017972549</v>
      </c>
      <c r="GC2947" s="8">
        <v>0.57920610770937275</v>
      </c>
      <c r="GD2947" s="8">
        <v>0.59530940883483208</v>
      </c>
      <c r="GE2947" s="8">
        <v>0.95301335744751237</v>
      </c>
      <c r="GF2947" s="8">
        <v>2.6982903969560628</v>
      </c>
      <c r="GG2947" s="8">
        <v>1.8100421704621514</v>
      </c>
      <c r="GH2947" s="8">
        <v>0.51847395078876257</v>
      </c>
      <c r="GI2947" s="8">
        <v>5.3567290631733551</v>
      </c>
    </row>
    <row r="2948" spans="182:191">
      <c r="FZ2948" s="8">
        <v>3.5428993474297403</v>
      </c>
      <c r="GA2948" s="8">
        <v>10.77903429714889</v>
      </c>
      <c r="GB2948" s="8">
        <v>2.2594914058894333</v>
      </c>
      <c r="GC2948" s="8">
        <v>0.24041656174911782</v>
      </c>
      <c r="GD2948" s="8">
        <v>0.48856003354039673</v>
      </c>
      <c r="GE2948" s="8">
        <v>1.0640381520974413</v>
      </c>
      <c r="GF2948" s="8">
        <v>2.7245812267806864</v>
      </c>
      <c r="GG2948" s="8">
        <v>2.6093581968842599</v>
      </c>
      <c r="GH2948" s="8">
        <v>0.47158847029581613</v>
      </c>
      <c r="GI2948" s="8">
        <v>3.5842051603931493</v>
      </c>
    </row>
    <row r="2949" spans="182:191">
      <c r="FZ2949" s="8">
        <v>4.7071605451216492</v>
      </c>
      <c r="GA2949" s="8">
        <v>15.706362090316414</v>
      </c>
      <c r="GB2949" s="8">
        <v>5.7597963666119272</v>
      </c>
      <c r="GC2949" s="8">
        <v>0.81528154224664473</v>
      </c>
      <c r="GD2949" s="8">
        <v>0.9242195893571219</v>
      </c>
      <c r="GE2949" s="8">
        <v>1.7206179795520005</v>
      </c>
      <c r="GF2949" s="8">
        <v>7.3873176043652835</v>
      </c>
      <c r="GG2949" s="8">
        <v>5.8265810883992248</v>
      </c>
      <c r="GH2949" s="8">
        <v>0.3456493005258417</v>
      </c>
      <c r="GI2949" s="8">
        <v>5.6130857995209942</v>
      </c>
    </row>
    <row r="2950" spans="182:191">
      <c r="FZ2950" s="8">
        <v>14.42009892966491</v>
      </c>
      <c r="GA2950" s="8">
        <v>14.952115322834526</v>
      </c>
      <c r="GB2950" s="8">
        <v>3.1031143405899275</v>
      </c>
      <c r="GC2950" s="8">
        <v>0.50682548569064445</v>
      </c>
      <c r="GD2950" s="8">
        <v>0.69408382623751741</v>
      </c>
      <c r="GE2950" s="8">
        <v>1.3448484967514533</v>
      </c>
      <c r="GF2950" s="8">
        <v>4.6701507374004683</v>
      </c>
      <c r="GG2950" s="8">
        <v>3.6196086286432112</v>
      </c>
      <c r="GH2950" s="8">
        <v>0.23579423514790807</v>
      </c>
      <c r="GI2950" s="8">
        <v>5.7272204092064545</v>
      </c>
    </row>
    <row r="2951" spans="182:191">
      <c r="FZ2951" s="8">
        <v>3.1155994186846074</v>
      </c>
      <c r="GA2951" s="8">
        <v>14.658145555809188</v>
      </c>
      <c r="GB2951" s="8">
        <v>4.9968388913560418</v>
      </c>
      <c r="GC2951" s="8">
        <v>0.93549928383642578</v>
      </c>
      <c r="GD2951" s="8">
        <v>1.0489047213182987</v>
      </c>
      <c r="GE2951" s="8">
        <v>1.0343542756753896</v>
      </c>
      <c r="GF2951" s="8">
        <v>3.5912884373147951</v>
      </c>
      <c r="GG2951" s="8">
        <v>3.4794614040330742</v>
      </c>
      <c r="GH2951" s="8">
        <v>0.47158847029581613</v>
      </c>
      <c r="GI2951" s="8">
        <v>4.6813172212645373</v>
      </c>
    </row>
    <row r="2952" spans="182:191">
      <c r="FZ2952" s="8">
        <v>6.7739212039670642</v>
      </c>
      <c r="GA2952" s="8">
        <v>6.5408180480193918</v>
      </c>
      <c r="GB2952" s="8">
        <v>0.24430300548322173</v>
      </c>
      <c r="GC2952" s="8">
        <v>0.28144803119785977</v>
      </c>
      <c r="GD2952" s="8">
        <v>0.55290686362447317</v>
      </c>
      <c r="GE2952" s="8">
        <v>1.8475033221425421</v>
      </c>
      <c r="GF2952" s="8">
        <v>3.7625028146606709</v>
      </c>
      <c r="GG2952" s="8">
        <v>2.4809666645423967</v>
      </c>
      <c r="GH2952" s="8">
        <v>0.64441312055873701</v>
      </c>
      <c r="GI2952" s="8">
        <v>2.8961797836872956</v>
      </c>
    </row>
    <row r="2953" spans="182:191">
      <c r="FZ2953" s="8">
        <v>6.174248370520627</v>
      </c>
      <c r="GA2953" s="8">
        <v>8.263189237933128</v>
      </c>
      <c r="GB2953" s="8">
        <v>3.2903119476882265</v>
      </c>
      <c r="GC2953" s="8">
        <v>0.46956923508479553</v>
      </c>
      <c r="GD2953" s="8">
        <v>0.82552643773209122</v>
      </c>
      <c r="GE2953" s="8">
        <v>1.9913389830187804</v>
      </c>
      <c r="GF2953" s="8">
        <v>4.7721863179676252</v>
      </c>
      <c r="GG2953" s="8">
        <v>3.1954456472175239</v>
      </c>
      <c r="GH2953" s="8">
        <v>0</v>
      </c>
      <c r="GI2953" s="8">
        <v>4.3287871733914942</v>
      </c>
    </row>
    <row r="2954" spans="182:191">
      <c r="FZ2954" s="8">
        <v>9.0288490406717941</v>
      </c>
      <c r="GA2954" s="8">
        <v>6.814051110765325</v>
      </c>
      <c r="GB2954" s="8">
        <v>1.0536457221708007</v>
      </c>
      <c r="GC2954" s="8">
        <v>0.57856069921193576</v>
      </c>
      <c r="GD2954" s="8">
        <v>0.54997858213426332</v>
      </c>
      <c r="GE2954" s="8">
        <v>1.0087997940896229</v>
      </c>
      <c r="GF2954" s="8">
        <v>3.0556470306406305</v>
      </c>
      <c r="GG2954" s="8">
        <v>2.6578924210324333</v>
      </c>
      <c r="GH2954" s="8">
        <v>0.70738270544372439</v>
      </c>
      <c r="GI2954" s="8">
        <v>4.1312321251648312</v>
      </c>
    </row>
    <row r="2955" spans="182:191">
      <c r="FZ2955" s="8">
        <v>5.4071332287458427</v>
      </c>
      <c r="GA2955" s="8">
        <v>7.2353922103932602</v>
      </c>
      <c r="GB2955" s="8">
        <v>1.602358028307721</v>
      </c>
      <c r="GC2955" s="8">
        <v>0.81614248338229389</v>
      </c>
      <c r="GD2955" s="8">
        <v>0.85321027301667707</v>
      </c>
      <c r="GE2955" s="8">
        <v>1.7542732058699309</v>
      </c>
      <c r="GF2955" s="8">
        <v>6.2091635405900938</v>
      </c>
      <c r="GG2955" s="8">
        <v>4.608081816104721</v>
      </c>
      <c r="GH2955" s="8">
        <v>0.47158847029581613</v>
      </c>
      <c r="GI2955" s="8">
        <v>3.4327051373320385</v>
      </c>
    </row>
    <row r="2956" spans="182:191">
      <c r="FZ2956" s="8">
        <v>9.0865602595981514</v>
      </c>
      <c r="GA2956" s="8">
        <v>12.507919376665072</v>
      </c>
      <c r="GB2956" s="8">
        <v>3.3950132357524647</v>
      </c>
      <c r="GC2956" s="8">
        <v>0.34733576787421883</v>
      </c>
      <c r="GD2956" s="8">
        <v>0.52619413237843193</v>
      </c>
      <c r="GE2956" s="8">
        <v>1.5949440257058567</v>
      </c>
      <c r="GF2956" s="8">
        <v>2.6853102689669601</v>
      </c>
      <c r="GG2956" s="8">
        <v>1.3155677205908503</v>
      </c>
      <c r="GH2956" s="8">
        <v>0.17282465026292085</v>
      </c>
      <c r="GI2956" s="8">
        <v>4.4310290478412506</v>
      </c>
    </row>
    <row r="2957" spans="182:191">
      <c r="FZ2957" s="8">
        <v>4.806699643221636</v>
      </c>
      <c r="GA2957" s="8">
        <v>20.99311207126518</v>
      </c>
      <c r="GB2957" s="8">
        <v>6.9494024839008093</v>
      </c>
      <c r="GC2957" s="8">
        <v>0.48621192411594444</v>
      </c>
      <c r="GD2957" s="8">
        <v>0.57014827912996402</v>
      </c>
      <c r="GE2957" s="8">
        <v>1.4632933513456521</v>
      </c>
      <c r="GF2957" s="8">
        <v>5.3119770599094149</v>
      </c>
      <c r="GG2957" s="8">
        <v>3.6899200970888253</v>
      </c>
      <c r="GH2957" s="8">
        <v>0.17282465026292085</v>
      </c>
      <c r="GI2957" s="8">
        <v>5.0212841548998668</v>
      </c>
    </row>
    <row r="2958" spans="182:191">
      <c r="FZ2958" s="8">
        <v>6.5710140503988672</v>
      </c>
      <c r="GA2958" s="8">
        <v>4.4440677816928957</v>
      </c>
      <c r="GB2958" s="8">
        <v>0.31055975808753272</v>
      </c>
      <c r="GC2958" s="8">
        <v>1.4489943871396531</v>
      </c>
      <c r="GD2958" s="8">
        <v>1.7074041151699579</v>
      </c>
      <c r="GE2958" s="8">
        <v>1.9137840843577778</v>
      </c>
      <c r="GF2958" s="8">
        <v>2.4042589026908825</v>
      </c>
      <c r="GG2958" s="8">
        <v>1.7397307020165371</v>
      </c>
      <c r="GH2958" s="8">
        <v>0.92709283619959149</v>
      </c>
      <c r="GI2958" s="8">
        <v>3.3871294500633353</v>
      </c>
    </row>
    <row r="2959" spans="182:191">
      <c r="FZ2959" s="8">
        <v>8.4073102095777337</v>
      </c>
      <c r="GA2959" s="8">
        <v>13.829686171230275</v>
      </c>
      <c r="GB2959" s="8">
        <v>3.3950132357524647</v>
      </c>
      <c r="GC2959" s="8">
        <v>0.78676716725541795</v>
      </c>
      <c r="GD2959" s="8">
        <v>0.92519711218978706</v>
      </c>
      <c r="GE2959" s="8">
        <v>1.8371115624161509</v>
      </c>
      <c r="GF2959" s="8">
        <v>1.4699712488850301</v>
      </c>
      <c r="GG2959" s="8">
        <v>0.353851512980073</v>
      </c>
      <c r="GH2959" s="8">
        <v>0.47158847029581613</v>
      </c>
      <c r="GI2959" s="8">
        <v>3.8747899488754221</v>
      </c>
    </row>
    <row r="2960" spans="182:191">
      <c r="FZ2960" s="8">
        <v>7.9106250555606223</v>
      </c>
      <c r="GA2960" s="8">
        <v>9.9385984046316889</v>
      </c>
      <c r="GB2960" s="8">
        <v>2.5682203043875127</v>
      </c>
      <c r="GC2960" s="8">
        <v>0.81438299016019655</v>
      </c>
      <c r="GD2960" s="8">
        <v>0.99369103958497274</v>
      </c>
      <c r="GE2960" s="8">
        <v>1.2695476935575574</v>
      </c>
      <c r="GF2960" s="8">
        <v>1.5788413056038935</v>
      </c>
      <c r="GG2960" s="8">
        <v>1.4707162327834462</v>
      </c>
      <c r="GH2960" s="8">
        <v>0.70738270544372439</v>
      </c>
      <c r="GI2960" s="8">
        <v>3.4576960553995177</v>
      </c>
    </row>
    <row r="2961" spans="182:191">
      <c r="FZ2961" s="8">
        <v>9.0865602595981514</v>
      </c>
      <c r="GA2961" s="8">
        <v>14.678565062776546</v>
      </c>
      <c r="GB2961" s="8">
        <v>3.7788207424589482</v>
      </c>
      <c r="GC2961" s="8">
        <v>0.29873612872644562</v>
      </c>
      <c r="GD2961" s="8">
        <v>0.63411747733614299</v>
      </c>
      <c r="GE2961" s="8">
        <v>1.6840594546898311</v>
      </c>
      <c r="GF2961" s="8">
        <v>3.7642617716466651</v>
      </c>
      <c r="GG2961" s="8">
        <v>2.8565954218199106</v>
      </c>
      <c r="GH2961" s="8">
        <v>0.81723777082165783</v>
      </c>
      <c r="GI2961" s="8">
        <v>4.508763514241477</v>
      </c>
    </row>
    <row r="2962" spans="182:191">
      <c r="FZ2962" s="8">
        <v>11.095990075556095</v>
      </c>
      <c r="GA2962" s="8">
        <v>21.893537766202449</v>
      </c>
      <c r="GB2962" s="8">
        <v>6.3958475847733993</v>
      </c>
      <c r="GC2962" s="8">
        <v>1.3163955836020851</v>
      </c>
      <c r="GD2962" s="8">
        <v>1.0489271443971104</v>
      </c>
      <c r="GE2962" s="8">
        <v>0.88023890330171861</v>
      </c>
      <c r="GF2962" s="8">
        <v>4.6439594989995303</v>
      </c>
      <c r="GG2962" s="8">
        <v>3.7480001609850739</v>
      </c>
      <c r="GH2962" s="8">
        <v>0.58144353567374973</v>
      </c>
      <c r="GI2962" s="8">
        <v>5.9416288206758905</v>
      </c>
    </row>
    <row r="2963" spans="182:191">
      <c r="FZ2963" s="8">
        <v>0.48501114767149078</v>
      </c>
      <c r="GA2963" s="8">
        <v>5.8932059088606996</v>
      </c>
      <c r="GB2963" s="8">
        <v>2.6519272716691966</v>
      </c>
      <c r="GC2963" s="8">
        <v>0.87004142301929166</v>
      </c>
      <c r="GD2963" s="8">
        <v>1.3295541093466763</v>
      </c>
      <c r="GE2963" s="8">
        <v>2.4796306987876</v>
      </c>
      <c r="GF2963" s="8">
        <v>7.6505823713604055</v>
      </c>
      <c r="GG2963" s="8">
        <v>6.3573583578693338</v>
      </c>
      <c r="GH2963" s="8">
        <v>0.88020735570664521</v>
      </c>
      <c r="GI2963" s="8">
        <v>4.4198843730921942</v>
      </c>
    </row>
    <row r="2964" spans="182:191">
      <c r="FZ2964" s="8">
        <v>0.48501114767149078</v>
      </c>
      <c r="GA2964" s="8">
        <v>2.5693209720333821</v>
      </c>
      <c r="GB2964" s="8">
        <v>0.77565293558045545</v>
      </c>
      <c r="GC2964" s="8">
        <v>0.95253423777600044</v>
      </c>
      <c r="GD2964" s="8">
        <v>0.88638904368847604</v>
      </c>
      <c r="GE2964" s="8">
        <v>1.1743335749872037</v>
      </c>
      <c r="GF2964" s="8">
        <v>1.2616556984139808</v>
      </c>
      <c r="GG2964" s="8">
        <v>0.1769257564900365</v>
      </c>
      <c r="GH2964" s="8">
        <v>0.40861888541082891</v>
      </c>
      <c r="GI2964" s="8">
        <v>2.4393518676550876</v>
      </c>
    </row>
    <row r="2965" spans="182:191">
      <c r="FZ2965" s="8">
        <v>9.1325974721788903</v>
      </c>
      <c r="GA2965" s="8">
        <v>3.520976273049599</v>
      </c>
      <c r="GB2965" s="8">
        <v>0.68737626877937663</v>
      </c>
      <c r="GC2965" s="8">
        <v>1.7335899606962142</v>
      </c>
      <c r="GD2965" s="8">
        <v>1.314642566769944</v>
      </c>
      <c r="GE2965" s="8">
        <v>1.1284723990306986</v>
      </c>
      <c r="GF2965" s="8">
        <v>3.9281509917707025</v>
      </c>
      <c r="GG2965" s="8">
        <v>2.6796696653298739</v>
      </c>
      <c r="GH2965" s="8">
        <v>0.40861888541082891</v>
      </c>
      <c r="GI2965" s="8">
        <v>4.2097714040481575</v>
      </c>
    </row>
    <row r="2966" spans="182:191">
      <c r="FZ2966" s="8">
        <v>0.48501114767149078</v>
      </c>
      <c r="GA2966" s="8">
        <v>2.5693209720333821</v>
      </c>
      <c r="GB2966" s="8">
        <v>1.0548563704184231</v>
      </c>
      <c r="GC2966" s="8">
        <v>0.49657726044293621</v>
      </c>
      <c r="GD2966" s="8">
        <v>0.60598042329817692</v>
      </c>
      <c r="GE2966" s="8">
        <v>1.4746906115627954</v>
      </c>
      <c r="GF2966" s="8">
        <v>1.1165433568750096</v>
      </c>
      <c r="GG2966" s="8">
        <v>0</v>
      </c>
      <c r="GH2966" s="8">
        <v>0.17282465026292085</v>
      </c>
      <c r="GI2966" s="8">
        <v>2.0660919692019259</v>
      </c>
    </row>
    <row r="2967" spans="182:191">
      <c r="FZ2967" s="8">
        <v>8.4809047682568206</v>
      </c>
      <c r="GA2967" s="8">
        <v>10.15835555456</v>
      </c>
      <c r="GB2967" s="8">
        <v>1.4326984745244808</v>
      </c>
      <c r="GC2967" s="8">
        <v>1.043709306956401</v>
      </c>
      <c r="GD2967" s="8">
        <v>1.3086472014794663</v>
      </c>
      <c r="GE2967" s="8">
        <v>1.9524268923014954</v>
      </c>
      <c r="GF2967" s="8">
        <v>3.2894555346865695</v>
      </c>
      <c r="GG2967" s="8">
        <v>2.0568036831167102</v>
      </c>
      <c r="GH2967" s="8">
        <v>0.40861888541082891</v>
      </c>
      <c r="GI2967" s="8">
        <v>4.6852144177136461</v>
      </c>
    </row>
    <row r="2968" spans="182:191">
      <c r="FZ2968" s="8">
        <v>5.5893177487102639</v>
      </c>
      <c r="GA2968" s="8">
        <v>10.23225097434498</v>
      </c>
      <c r="GB2968" s="8">
        <v>2.0885333652208842</v>
      </c>
      <c r="GC2968" s="8">
        <v>0.46450319924702832</v>
      </c>
      <c r="GD2968" s="8">
        <v>0.4996287540229043</v>
      </c>
      <c r="GE2968" s="8">
        <v>1.2462993397115654</v>
      </c>
      <c r="GF2968" s="8">
        <v>4.8918057059317057</v>
      </c>
      <c r="GG2968" s="8">
        <v>3.6196086286432112</v>
      </c>
      <c r="GH2968" s="8">
        <v>0.58144353567374973</v>
      </c>
      <c r="GI2968" s="8">
        <v>4.8909767928774723</v>
      </c>
    </row>
    <row r="2969" spans="182:191">
      <c r="FZ2969" s="8">
        <v>3.6583217852824563</v>
      </c>
      <c r="GA2969" s="8">
        <v>11.334260618981871</v>
      </c>
      <c r="GB2969" s="8">
        <v>3.3474173460731489</v>
      </c>
      <c r="GC2969" s="8">
        <v>0.30716523956112618</v>
      </c>
      <c r="GD2969" s="8">
        <v>0.53263842941450434</v>
      </c>
      <c r="GE2969" s="8">
        <v>1.4085063796330732</v>
      </c>
      <c r="GF2969" s="8">
        <v>5.7994536286715022</v>
      </c>
      <c r="GG2969" s="8">
        <v>4.9351763492340606</v>
      </c>
      <c r="GH2969" s="8">
        <v>0.23579423514790807</v>
      </c>
      <c r="GI2969" s="8">
        <v>4.1115706812506492</v>
      </c>
    </row>
    <row r="2970" spans="182:191">
      <c r="FZ2970" s="8">
        <v>10.495556490031888</v>
      </c>
      <c r="GA2970" s="8">
        <v>14.029023814191227</v>
      </c>
      <c r="GB2970" s="8">
        <v>3.4787202030341486</v>
      </c>
      <c r="GC2970" s="8">
        <v>1.0233708992108435</v>
      </c>
      <c r="GD2970" s="8">
        <v>0.98056146072353811</v>
      </c>
      <c r="GE2970" s="8">
        <v>1.4093154742524039</v>
      </c>
      <c r="GF2970" s="8">
        <v>4.6124240940475891</v>
      </c>
      <c r="GG2970" s="8">
        <v>3.3723714037075605</v>
      </c>
      <c r="GH2970" s="8">
        <v>0.40861888541082891</v>
      </c>
      <c r="GI2970" s="8">
        <v>5.2818139862927511</v>
      </c>
    </row>
    <row r="2971" spans="182:191">
      <c r="FZ2971" s="8">
        <v>4.3375718353028745</v>
      </c>
      <c r="GA2971" s="8">
        <v>15.706362090316414</v>
      </c>
      <c r="GB2971" s="8">
        <v>5.5503937904834517</v>
      </c>
      <c r="GC2971" s="8">
        <v>0.49679279308114821</v>
      </c>
      <c r="GD2971" s="8">
        <v>0.8009390142455497</v>
      </c>
      <c r="GE2971" s="8">
        <v>1.8087028744563169</v>
      </c>
      <c r="GF2971" s="8">
        <v>4.6170219219803332</v>
      </c>
      <c r="GG2971" s="8">
        <v>3.2439798713656982</v>
      </c>
      <c r="GH2971" s="8">
        <v>0.58144353567374973</v>
      </c>
      <c r="GI2971" s="8">
        <v>4.7798497225269703</v>
      </c>
    </row>
    <row r="2972" spans="182:191">
      <c r="FZ2972" s="8">
        <v>7.3007602308121831</v>
      </c>
      <c r="GA2972" s="8">
        <v>12.781469636723049</v>
      </c>
      <c r="GB2972" s="8">
        <v>2.7379676968084392</v>
      </c>
      <c r="GC2972" s="8">
        <v>0.49172675724338094</v>
      </c>
      <c r="GD2972" s="8">
        <v>0.7850883065264217</v>
      </c>
      <c r="GE2972" s="8">
        <v>1.3193905454511998</v>
      </c>
      <c r="GF2972" s="8">
        <v>2.7168690210116742</v>
      </c>
      <c r="GG2972" s="8">
        <v>2.1271151515623243</v>
      </c>
      <c r="GH2972" s="8">
        <v>0.17282465026292085</v>
      </c>
      <c r="GI2972" s="8">
        <v>3.4405882719651655</v>
      </c>
    </row>
    <row r="2973" spans="182:191">
      <c r="FZ2973" s="8">
        <v>7.62852106145733</v>
      </c>
      <c r="GA2973" s="8">
        <v>22.867858880924697</v>
      </c>
      <c r="GB2973" s="8">
        <v>6.240006300924664</v>
      </c>
      <c r="GC2973" s="8">
        <v>0.53254269405391086</v>
      </c>
      <c r="GD2973" s="8">
        <v>0.70635371259474189</v>
      </c>
      <c r="GE2973" s="8">
        <v>1.4019743267715004</v>
      </c>
      <c r="GF2973" s="8">
        <v>1.6696735168769883</v>
      </c>
      <c r="GG2973" s="8">
        <v>1.0252517193414108</v>
      </c>
      <c r="GH2973" s="8">
        <v>1.0530320059695661</v>
      </c>
      <c r="GI2973" s="8">
        <v>5.4602224704328002</v>
      </c>
    </row>
    <row r="2974" spans="182:191">
      <c r="FZ2974" s="8">
        <v>7.8649682190187704</v>
      </c>
      <c r="GA2974" s="8">
        <v>3.292776124092216</v>
      </c>
      <c r="GB2974" s="8">
        <v>0.62672676428927343</v>
      </c>
      <c r="GC2974" s="8">
        <v>0.87068683151672865</v>
      </c>
      <c r="GD2974" s="8">
        <v>1.0510786368930511</v>
      </c>
      <c r="GE2974" s="8">
        <v>1.5370733059821975</v>
      </c>
      <c r="GF2974" s="8">
        <v>2.999230851608627</v>
      </c>
      <c r="GG2974" s="8">
        <v>2.0568036831167102</v>
      </c>
      <c r="GH2974" s="8">
        <v>0.23579423514790807</v>
      </c>
      <c r="GI2974" s="8">
        <v>3.950127781982113</v>
      </c>
    </row>
    <row r="2975" spans="182:191">
      <c r="FZ2975" s="8">
        <v>7.3381291921736516</v>
      </c>
      <c r="GA2975" s="8">
        <v>15.905699733277368</v>
      </c>
      <c r="GB2975" s="8">
        <v>5.5655105473032656</v>
      </c>
      <c r="GC2975" s="8">
        <v>0.57920610770937275</v>
      </c>
      <c r="GD2975" s="8">
        <v>0.46189760227373466</v>
      </c>
      <c r="GE2975" s="8">
        <v>0.53616273800777048</v>
      </c>
      <c r="GF2975" s="8">
        <v>3.025870582674683</v>
      </c>
      <c r="GG2975" s="8">
        <v>2.4809666645423967</v>
      </c>
      <c r="GH2975" s="8">
        <v>0.47158847029581613</v>
      </c>
      <c r="GI2975" s="8">
        <v>4.2692259788409519</v>
      </c>
    </row>
    <row r="2976" spans="182:191">
      <c r="FZ2976" s="8">
        <v>7.8649682190187704</v>
      </c>
      <c r="GA2976" s="8">
        <v>5.2640841672427374</v>
      </c>
      <c r="GB2976" s="8">
        <v>1.0640077246378121</v>
      </c>
      <c r="GC2976" s="8">
        <v>1.3436191415984378</v>
      </c>
      <c r="GD2976" s="8">
        <v>1.1484511466534189</v>
      </c>
      <c r="GE2976" s="8">
        <v>1.2264825546206208</v>
      </c>
      <c r="GF2976" s="8">
        <v>3.891139021239562</v>
      </c>
      <c r="GG2976" s="8">
        <v>2.905129645968084</v>
      </c>
      <c r="GH2976" s="8">
        <v>0.70738270544372439</v>
      </c>
      <c r="GI2976" s="8">
        <v>4.1644181867958157</v>
      </c>
    </row>
    <row r="2977" spans="182:191">
      <c r="FZ2977" s="8">
        <v>6.9108292634285178</v>
      </c>
      <c r="GA2977" s="8">
        <v>12.781152439411002</v>
      </c>
      <c r="GB2977" s="8">
        <v>4.1718768195805422</v>
      </c>
      <c r="GC2977" s="8">
        <v>1.4574234979743337</v>
      </c>
      <c r="GD2977" s="8">
        <v>1.3717928656888259</v>
      </c>
      <c r="GE2977" s="8">
        <v>1.4858910607106184</v>
      </c>
      <c r="GF2977" s="8">
        <v>3.6635757604547052</v>
      </c>
      <c r="GG2977" s="8">
        <v>2.8565954218199106</v>
      </c>
      <c r="GH2977" s="8">
        <v>0.47158847029581613</v>
      </c>
      <c r="GI2977" s="8">
        <v>4.4985395586463373</v>
      </c>
    </row>
    <row r="2978" spans="182:191">
      <c r="FZ2978" s="8">
        <v>8.747125422607386</v>
      </c>
      <c r="GA2978" s="8">
        <v>17.227466527842569</v>
      </c>
      <c r="GB2978" s="8">
        <v>5.7923633381091149</v>
      </c>
      <c r="GC2978" s="8">
        <v>1.1477937355027428</v>
      </c>
      <c r="GD2978" s="8">
        <v>1.48308965436372</v>
      </c>
      <c r="GE2978" s="8">
        <v>2.397686199701071</v>
      </c>
      <c r="GF2978" s="8">
        <v>4.0362513627785335</v>
      </c>
      <c r="GG2978" s="8">
        <v>2.5512781329880112</v>
      </c>
      <c r="GH2978" s="8">
        <v>0.23579423514790807</v>
      </c>
      <c r="GI2978" s="8">
        <v>6.5981736391465446</v>
      </c>
    </row>
    <row r="2979" spans="182:191">
      <c r="FZ2979" s="8">
        <v>7.0560251980703566</v>
      </c>
      <c r="GA2979" s="8">
        <v>14.678565062776546</v>
      </c>
      <c r="GB2979" s="8">
        <v>3.8125105235660719</v>
      </c>
      <c r="GC2979" s="8">
        <v>0.95124342078112623</v>
      </c>
      <c r="GD2979" s="8">
        <v>1.45675862485215</v>
      </c>
      <c r="GE2979" s="8">
        <v>2.5327851789117681</v>
      </c>
      <c r="GF2979" s="8">
        <v>5.3518055623236815</v>
      </c>
      <c r="GG2979" s="8">
        <v>4.1721631424107617</v>
      </c>
      <c r="GH2979" s="8">
        <v>0.64441312055873701</v>
      </c>
      <c r="GI2979" s="8">
        <v>6.3784448206059601</v>
      </c>
    </row>
    <row r="2980" spans="182:191">
      <c r="FZ2980" s="8">
        <v>8.8346101383228675</v>
      </c>
      <c r="GA2980" s="8">
        <v>17.153571108057591</v>
      </c>
      <c r="GB2980" s="8">
        <v>5.0655169404555975</v>
      </c>
      <c r="GC2980" s="8">
        <v>0.81236726453940089</v>
      </c>
      <c r="GD2980" s="8">
        <v>1.1332188384502668</v>
      </c>
      <c r="GE2980" s="8">
        <v>1.9268720055178301</v>
      </c>
      <c r="GF2980" s="8">
        <v>4.9113512621986555</v>
      </c>
      <c r="GG2980" s="8">
        <v>3.5710744044950373</v>
      </c>
      <c r="GH2980" s="8">
        <v>0</v>
      </c>
      <c r="GI2980" s="8">
        <v>5.6222687308531487</v>
      </c>
    </row>
    <row r="2981" spans="182:191">
      <c r="FZ2981" s="8">
        <v>4.5404789888710724</v>
      </c>
      <c r="GA2981" s="8">
        <v>8.9846967968768006</v>
      </c>
      <c r="GB2981" s="8">
        <v>1.4362425806296617</v>
      </c>
      <c r="GC2981" s="8">
        <v>0.62281921114786321</v>
      </c>
      <c r="GD2981" s="8">
        <v>0.78684261835335589</v>
      </c>
      <c r="GE2981" s="8">
        <v>1.5133330143086143</v>
      </c>
      <c r="GF2981" s="8">
        <v>1.072117026527998</v>
      </c>
      <c r="GG2981" s="8">
        <v>0.1769257564900365</v>
      </c>
      <c r="GH2981" s="8">
        <v>0.40861888541082891</v>
      </c>
      <c r="GI2981" s="8">
        <v>2.7891510593923505</v>
      </c>
    </row>
    <row r="2982" spans="182:191">
      <c r="FZ2982" s="8">
        <v>6.6015482992657599</v>
      </c>
      <c r="GA2982" s="8">
        <v>10.433834924044604</v>
      </c>
      <c r="GB2982" s="8">
        <v>3.6566692397173375</v>
      </c>
      <c r="GC2982" s="8">
        <v>1.2580760166247571</v>
      </c>
      <c r="GD2982" s="8">
        <v>0.94562557361033583</v>
      </c>
      <c r="GE2982" s="8">
        <v>0.84370581722635474</v>
      </c>
      <c r="GF2982" s="8">
        <v>3.161129124294789</v>
      </c>
      <c r="GG2982" s="8">
        <v>1.6816506381202889</v>
      </c>
      <c r="GH2982" s="8">
        <v>0.17282465026292085</v>
      </c>
      <c r="GI2982" s="8">
        <v>4.2813461587849213</v>
      </c>
    </row>
    <row r="2983" spans="182:191">
      <c r="FZ2983" s="8">
        <v>7.1435099137858389</v>
      </c>
      <c r="GA2983" s="8">
        <v>6.9394933339412983</v>
      </c>
      <c r="GB2983" s="8">
        <v>0.28835478905735645</v>
      </c>
      <c r="GC2983" s="8">
        <v>0.24385913687451533</v>
      </c>
      <c r="GD2983" s="8">
        <v>0.37276970648697511</v>
      </c>
      <c r="GE2983" s="8">
        <v>1.1365580310173156</v>
      </c>
      <c r="GF2983" s="8">
        <v>3.8040902740609326</v>
      </c>
      <c r="GG2983" s="8">
        <v>2.8080611976717367</v>
      </c>
      <c r="GH2983" s="8">
        <v>0.58144353567374973</v>
      </c>
      <c r="GI2983" s="8">
        <v>2.9783027011713603</v>
      </c>
    </row>
    <row r="2984" spans="182:191">
      <c r="FZ2984" s="8">
        <v>7.0401418583176287</v>
      </c>
      <c r="GA2984" s="8">
        <v>28.783730603491428</v>
      </c>
      <c r="GB2984" s="8">
        <v>9.2582030259852885</v>
      </c>
      <c r="GC2984" s="8">
        <v>0.6457016419323699</v>
      </c>
      <c r="GD2984" s="8">
        <v>1.0012831136868872</v>
      </c>
      <c r="GE2984" s="8">
        <v>1.4846486028160943</v>
      </c>
      <c r="GF2984" s="8">
        <v>4.0667974964555142</v>
      </c>
      <c r="GG2984" s="8">
        <v>3.7965343851332478</v>
      </c>
      <c r="GH2984" s="8">
        <v>0.64441312055873701</v>
      </c>
      <c r="GI2984" s="8">
        <v>7.227193990381469</v>
      </c>
    </row>
    <row r="2985" spans="182:191">
      <c r="FZ2985" s="8">
        <v>8.6894142036810287</v>
      </c>
      <c r="GA2985" s="8">
        <v>9.3629525758313488</v>
      </c>
      <c r="GB2985" s="8">
        <v>2.7879848829829998</v>
      </c>
      <c r="GC2985" s="8">
        <v>0.33133848734050719</v>
      </c>
      <c r="GD2985" s="8">
        <v>1.0532621066622672</v>
      </c>
      <c r="GE2985" s="8">
        <v>2.2791414695209644</v>
      </c>
      <c r="GF2985" s="8">
        <v>3.9814304539028145</v>
      </c>
      <c r="GG2985" s="8">
        <v>3.1741441152011753</v>
      </c>
      <c r="GH2985" s="8">
        <v>0.23579423514790807</v>
      </c>
      <c r="GI2985" s="8">
        <v>5.0424725075645949</v>
      </c>
    </row>
    <row r="2986" spans="182:191">
      <c r="FZ2986" s="8">
        <v>10.098410434114763</v>
      </c>
      <c r="GA2986" s="8">
        <v>4.7915134615358523</v>
      </c>
      <c r="GB2986" s="8">
        <v>0.30934910983991032</v>
      </c>
      <c r="GC2986" s="8">
        <v>0.11599372545721866</v>
      </c>
      <c r="GD2986" s="8">
        <v>0.56294776129493651</v>
      </c>
      <c r="GE2986" s="8">
        <v>1.9331347756058355</v>
      </c>
      <c r="GF2986" s="8">
        <v>4.4355443571047948</v>
      </c>
      <c r="GG2986" s="8">
        <v>2.9972183587111387</v>
      </c>
      <c r="GH2986" s="8">
        <v>0.17282465026292085</v>
      </c>
      <c r="GI2986" s="8">
        <v>3.911771879804868</v>
      </c>
    </row>
    <row r="2987" spans="182:191">
      <c r="FZ2987" s="8">
        <v>7.8227599638062557</v>
      </c>
      <c r="GA2987" s="8">
        <v>18.022869506571222</v>
      </c>
      <c r="GB2987" s="8">
        <v>4.5219067065422163</v>
      </c>
      <c r="GC2987" s="8">
        <v>0.31125322318396076</v>
      </c>
      <c r="GD2987" s="8">
        <v>0.30118202443023656</v>
      </c>
      <c r="GE2987" s="8">
        <v>1.4082518044071537</v>
      </c>
      <c r="GF2987" s="8">
        <v>3.6428834266965899</v>
      </c>
      <c r="GG2987" s="8">
        <v>2.2337294396067464</v>
      </c>
      <c r="GH2987" s="8">
        <v>0.64441312055873701</v>
      </c>
      <c r="GI2987" s="8">
        <v>4.6755703578857775</v>
      </c>
    </row>
    <row r="2988" spans="182:191">
      <c r="FZ2988" s="8">
        <v>5.4067528527069575</v>
      </c>
      <c r="GA2988" s="8">
        <v>12.875784563475387</v>
      </c>
      <c r="GB2988" s="8">
        <v>2.1769950868553716</v>
      </c>
      <c r="GC2988" s="8">
        <v>0.96724070131483808</v>
      </c>
      <c r="GD2988" s="8">
        <v>0.69458092617615619</v>
      </c>
      <c r="GE2988" s="8">
        <v>0.81171581306452856</v>
      </c>
      <c r="GF2988" s="8">
        <v>2.3552570834747497</v>
      </c>
      <c r="GG2988" s="8">
        <v>1.7179534577190969</v>
      </c>
      <c r="GH2988" s="8">
        <v>1.0530320059695661</v>
      </c>
      <c r="GI2988" s="8">
        <v>3.631462924197236</v>
      </c>
    </row>
    <row r="2989" spans="182:191">
      <c r="FZ2989" s="8">
        <v>6.716209985040706</v>
      </c>
      <c r="GA2989" s="8">
        <v>17.173990615024952</v>
      </c>
      <c r="GB2989" s="8">
        <v>4.1579707110083506</v>
      </c>
      <c r="GC2989" s="8">
        <v>0.97987490685163658</v>
      </c>
      <c r="GD2989" s="8">
        <v>0.81707467112596643</v>
      </c>
      <c r="GE2989" s="8">
        <v>1.2285664325042704</v>
      </c>
      <c r="GF2989" s="8">
        <v>4.4942716685914386</v>
      </c>
      <c r="GG2989" s="8">
        <v>3.3723714037075605</v>
      </c>
      <c r="GH2989" s="8">
        <v>0.58144353567374973</v>
      </c>
      <c r="GI2989" s="8">
        <v>4.3505101984855674</v>
      </c>
    </row>
    <row r="2990" spans="182:191">
      <c r="FZ2990" s="8">
        <v>1.5980132269655378</v>
      </c>
      <c r="GA2990" s="8">
        <v>11.408156038766851</v>
      </c>
      <c r="GB2990" s="8">
        <v>3.6915696690720834</v>
      </c>
      <c r="GC2990" s="8">
        <v>0.67012803330076209</v>
      </c>
      <c r="GD2990" s="8">
        <v>0.9205951118221638</v>
      </c>
      <c r="GE2990" s="8">
        <v>1.8353361386328806</v>
      </c>
      <c r="GF2990" s="8">
        <v>1.757059215063081</v>
      </c>
      <c r="GG2990" s="8">
        <v>0.42416298142568709</v>
      </c>
      <c r="GH2990" s="8">
        <v>0.23579423514790807</v>
      </c>
      <c r="GI2990" s="8">
        <v>3.6943024340428501</v>
      </c>
    </row>
    <row r="2991" spans="182:191">
      <c r="FZ2991" s="8">
        <v>3.1155994186846074</v>
      </c>
      <c r="GA2991" s="8">
        <v>3.4697466669706492</v>
      </c>
      <c r="GB2991" s="8">
        <v>0.34061759445178907</v>
      </c>
      <c r="GC2991" s="8">
        <v>0.95773630612349547</v>
      </c>
      <c r="GD2991" s="8">
        <v>1.070369548270355</v>
      </c>
      <c r="GE2991" s="8">
        <v>1.1405142681676474</v>
      </c>
      <c r="GF2991" s="8">
        <v>3.0157961891627396</v>
      </c>
      <c r="GG2991" s="8">
        <v>2.5027439088398373</v>
      </c>
      <c r="GH2991" s="8">
        <v>0.17282465026292085</v>
      </c>
      <c r="GI2991" s="8">
        <v>2.8492963364919062</v>
      </c>
    </row>
    <row r="2992" spans="182:191">
      <c r="FZ2992" s="8">
        <v>5.0673180157161912</v>
      </c>
      <c r="GA2992" s="8">
        <v>10.286044084474646</v>
      </c>
      <c r="GB2992" s="8">
        <v>2.6205709484196316</v>
      </c>
      <c r="GC2992" s="8">
        <v>0.90393459862822723</v>
      </c>
      <c r="GD2992" s="8">
        <v>1.1939314501698441</v>
      </c>
      <c r="GE2992" s="8">
        <v>2.0169933401904547</v>
      </c>
      <c r="GF2992" s="8">
        <v>5.550517551011529</v>
      </c>
      <c r="GG2992" s="8">
        <v>4.4194003673464124</v>
      </c>
      <c r="GH2992" s="8">
        <v>0.64441312055873701</v>
      </c>
      <c r="GI2992" s="8">
        <v>4.4056068944126556</v>
      </c>
    </row>
    <row r="2993" spans="182:191">
      <c r="FZ2993" s="8">
        <v>1.4550334430144727</v>
      </c>
      <c r="GA2993" s="8">
        <v>2.7686586149943353</v>
      </c>
      <c r="GB2993" s="8">
        <v>1.0152011867108739</v>
      </c>
      <c r="GC2993" s="8">
        <v>0.33133848734050719</v>
      </c>
      <c r="GD2993" s="8">
        <v>0.32024596280086348</v>
      </c>
      <c r="GE2993" s="8">
        <v>0.61588627739278412</v>
      </c>
      <c r="GF2993" s="8">
        <v>3.1192987322378265</v>
      </c>
      <c r="GG2993" s="8">
        <v>2.8565954218199106</v>
      </c>
      <c r="GH2993" s="8">
        <v>0.47158847029581613</v>
      </c>
      <c r="GI2993" s="8">
        <v>2.4043528951649389</v>
      </c>
    </row>
    <row r="2994" spans="182:191">
      <c r="FZ2994" s="8">
        <v>5.7465680657366089</v>
      </c>
      <c r="GA2994" s="8">
        <v>11.732935904903778</v>
      </c>
      <c r="GB2994" s="8">
        <v>3.3415397821104098</v>
      </c>
      <c r="GC2994" s="8">
        <v>0.70057863378430019</v>
      </c>
      <c r="GD2994" s="8">
        <v>0.51737205052886792</v>
      </c>
      <c r="GE2994" s="8">
        <v>0.33192838500987215</v>
      </c>
      <c r="GF2994" s="8">
        <v>2.0536475425639891</v>
      </c>
      <c r="GG2994" s="8">
        <v>1.9166564585065737</v>
      </c>
      <c r="GH2994" s="8">
        <v>0.47158847029581613</v>
      </c>
      <c r="GI2994" s="8">
        <v>4.3694363504096545</v>
      </c>
    </row>
    <row r="2995" spans="182:191">
      <c r="FZ2995" s="8">
        <v>10.698463643600084</v>
      </c>
      <c r="GA2995" s="8">
        <v>21.819642346417471</v>
      </c>
      <c r="GB2995" s="8">
        <v>5.722562479399623</v>
      </c>
      <c r="GC2995" s="8">
        <v>0.75889820076162817</v>
      </c>
      <c r="GD2995" s="8">
        <v>0.75128538217893892</v>
      </c>
      <c r="GE2995" s="8">
        <v>1.5910515882733445</v>
      </c>
      <c r="GF2995" s="8">
        <v>3.6078286676808986</v>
      </c>
      <c r="GG2995" s="8">
        <v>1.8100421704621514</v>
      </c>
      <c r="GH2995" s="8">
        <v>0</v>
      </c>
      <c r="GI2995" s="8">
        <v>4.9240891839142336</v>
      </c>
    </row>
    <row r="2996" spans="182:191">
      <c r="FZ2996" s="8">
        <v>6.1738679944817427</v>
      </c>
      <c r="GA2996" s="8">
        <v>11.932273547864732</v>
      </c>
      <c r="GB2996" s="8">
        <v>3.4589365304992175</v>
      </c>
      <c r="GC2996" s="8">
        <v>0.23912574475424361</v>
      </c>
      <c r="GD2996" s="8">
        <v>0.41103157318034539</v>
      </c>
      <c r="GE2996" s="8">
        <v>1.2968927116721407</v>
      </c>
      <c r="GF2996" s="8">
        <v>4.1222651525258058</v>
      </c>
      <c r="GG2996" s="8">
        <v>3.4091499355874602</v>
      </c>
      <c r="GH2996" s="8">
        <v>0.88020735570664521</v>
      </c>
      <c r="GI2996" s="8">
        <v>3.6348676659141841</v>
      </c>
    </row>
    <row r="2997" spans="182:191">
      <c r="FZ2997" s="8">
        <v>6.1440944976926186</v>
      </c>
      <c r="GA2997" s="8">
        <v>3.9423173726775351</v>
      </c>
      <c r="GB2997" s="8">
        <v>1.1001188022401804</v>
      </c>
      <c r="GC2997" s="8">
        <v>0.76169536738958865</v>
      </c>
      <c r="GD2997" s="8">
        <v>0.68913870683789602</v>
      </c>
      <c r="GE2997" s="8">
        <v>1.4186435641335449</v>
      </c>
      <c r="GF2997" s="8">
        <v>5.2868433964056099</v>
      </c>
      <c r="GG2997" s="8">
        <v>3.6196086286432112</v>
      </c>
      <c r="GH2997" s="8">
        <v>0.40861888541082891</v>
      </c>
      <c r="GI2997" s="8">
        <v>3.6214481353580457</v>
      </c>
    </row>
    <row r="2998" spans="182:191">
      <c r="FZ2998" s="8">
        <v>5.3494220098194845</v>
      </c>
      <c r="GA2998" s="8">
        <v>10.359939504259625</v>
      </c>
      <c r="GB2998" s="8">
        <v>3.1542543363744242</v>
      </c>
      <c r="GC2998" s="8">
        <v>0.6444108249374958</v>
      </c>
      <c r="GD2998" s="8">
        <v>1.1853196563531398</v>
      </c>
      <c r="GE2998" s="8">
        <v>2.4220133361378604</v>
      </c>
      <c r="GF2998" s="8">
        <v>3.4345678762255409</v>
      </c>
      <c r="GG2998" s="8">
        <v>2.0568036831167102</v>
      </c>
      <c r="GH2998" s="8">
        <v>0.23579423514790807</v>
      </c>
      <c r="GI2998" s="8">
        <v>5.0984547849781885</v>
      </c>
    </row>
    <row r="2999" spans="182:191">
      <c r="FZ2999" s="8">
        <v>5.6470289676366221</v>
      </c>
      <c r="GA2999" s="8">
        <v>9.0155068959883913</v>
      </c>
      <c r="GB2999" s="8">
        <v>2.7193946725211302</v>
      </c>
      <c r="GC2999" s="8">
        <v>0.94009664344696986</v>
      </c>
      <c r="GD2999" s="8">
        <v>0.96078075811284891</v>
      </c>
      <c r="GE2999" s="8">
        <v>1.3918522550165751</v>
      </c>
      <c r="GF2999" s="8">
        <v>5.0120372733906144</v>
      </c>
      <c r="GG2999" s="8">
        <v>3.5710744044950373</v>
      </c>
      <c r="GH2999" s="8">
        <v>0.17282465026292085</v>
      </c>
      <c r="GI2999" s="8">
        <v>3.3963736486601275</v>
      </c>
    </row>
    <row r="3000" spans="182:191">
      <c r="FZ3000" s="8">
        <v>5.6311456278838934</v>
      </c>
      <c r="GA3000" s="8">
        <v>22.721997150781366</v>
      </c>
      <c r="GB3000" s="8">
        <v>8.240765597612576</v>
      </c>
      <c r="GC3000" s="8">
        <v>0.50629718827249082</v>
      </c>
      <c r="GD3000" s="8">
        <v>0.78086967614169023</v>
      </c>
      <c r="GE3000" s="8">
        <v>1.6124068397437867</v>
      </c>
      <c r="GF3000" s="8">
        <v>3.6457891611737496</v>
      </c>
      <c r="GG3000" s="8">
        <v>2.9269068902655246</v>
      </c>
      <c r="GH3000" s="8">
        <v>0.40861888541082891</v>
      </c>
      <c r="GI3000" s="8">
        <v>5.6326723077953673</v>
      </c>
    </row>
    <row r="3001" spans="182:191">
      <c r="FZ3001" s="8">
        <v>6.455971988585036</v>
      </c>
      <c r="GA3001" s="8">
        <v>1.1736587576831998</v>
      </c>
      <c r="GB3001" s="8">
        <v>0.27444868048516441</v>
      </c>
      <c r="GC3001" s="8">
        <v>0.831161711701073</v>
      </c>
      <c r="GD3001" s="8">
        <v>0.87059008704593666</v>
      </c>
      <c r="GE3001" s="8">
        <v>0.70456834310156502</v>
      </c>
      <c r="GF3001" s="8">
        <v>3.1378773562934388</v>
      </c>
      <c r="GG3001" s="8">
        <v>2.8198168899400109</v>
      </c>
      <c r="GH3001" s="8">
        <v>0.17282465026292085</v>
      </c>
      <c r="GI3001" s="8">
        <v>2.9353920258654647</v>
      </c>
    </row>
    <row r="3002" spans="182:191">
      <c r="FZ3002" s="8">
        <v>5.8921443764173329</v>
      </c>
      <c r="GA3002" s="8">
        <v>9.6053755394656903</v>
      </c>
      <c r="GB3002" s="8">
        <v>2.002492940081642</v>
      </c>
      <c r="GC3002" s="8">
        <v>0.59541892088129655</v>
      </c>
      <c r="GD3002" s="8">
        <v>0.85980601538676615</v>
      </c>
      <c r="GE3002" s="8">
        <v>2.0628799549337651</v>
      </c>
      <c r="GF3002" s="8">
        <v>4.1131141747875635</v>
      </c>
      <c r="GG3002" s="8">
        <v>2.4809666645423967</v>
      </c>
      <c r="GH3002" s="8">
        <v>0.47158847029581613</v>
      </c>
      <c r="GI3002" s="8">
        <v>4.1938771269663784</v>
      </c>
    </row>
    <row r="3003" spans="182:191">
      <c r="FZ3003" s="8">
        <v>4.4250565510183559</v>
      </c>
      <c r="GA3003" s="8">
        <v>10.137936047592643</v>
      </c>
      <c r="GB3003" s="8">
        <v>2.8065579072703084</v>
      </c>
      <c r="GC3003" s="8">
        <v>1.0715782734501909</v>
      </c>
      <c r="GD3003" s="8">
        <v>1.0378584239146029</v>
      </c>
      <c r="GE3003" s="8">
        <v>1.2437235240003246</v>
      </c>
      <c r="GF3003" s="8">
        <v>3.5143364227117315</v>
      </c>
      <c r="GG3003" s="8">
        <v>2.6796696653298739</v>
      </c>
      <c r="GH3003" s="8">
        <v>0.23579423514790807</v>
      </c>
      <c r="GI3003" s="8">
        <v>3.6847459114506425</v>
      </c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2011-01-12T19:33:35Z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