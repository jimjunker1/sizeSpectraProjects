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575" yWindow="105" windowWidth="14325" windowHeight="8070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DG212" i="1"/>
  <c r="DH212"/>
  <c r="DM212"/>
  <c r="DN212"/>
  <c r="DO212"/>
  <c r="DG213"/>
  <c r="DH213"/>
  <c r="DM213"/>
  <c r="DN213"/>
  <c r="DO213"/>
  <c r="DG214"/>
  <c r="DH214"/>
  <c r="DM214"/>
  <c r="DN214"/>
  <c r="DO214"/>
  <c r="DG215"/>
  <c r="DH215"/>
  <c r="DI215"/>
  <c r="DM215"/>
  <c r="DN215"/>
  <c r="DO215"/>
  <c r="DG216"/>
  <c r="DH216"/>
  <c r="DI216"/>
  <c r="DJ216"/>
  <c r="DN216"/>
  <c r="DO216"/>
  <c r="DG217"/>
  <c r="DH217"/>
  <c r="DI217"/>
  <c r="DJ217"/>
  <c r="DN217"/>
  <c r="DO217"/>
  <c r="DG218"/>
  <c r="DH218"/>
  <c r="DI218"/>
  <c r="DJ218"/>
  <c r="DG219"/>
  <c r="DH219"/>
  <c r="DI219"/>
  <c r="DJ219"/>
  <c r="DK219"/>
  <c r="DL219"/>
  <c r="DG220"/>
  <c r="DI220"/>
  <c r="DJ220"/>
  <c r="DK220"/>
  <c r="DL220"/>
  <c r="DN220"/>
  <c r="DO220"/>
  <c r="DG221"/>
  <c r="DH221"/>
  <c r="DI221"/>
  <c r="DJ221"/>
  <c r="DK221"/>
  <c r="DL221"/>
  <c r="DM221"/>
  <c r="DN221"/>
  <c r="DO221"/>
  <c r="H422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D422"/>
  <c r="AE422"/>
  <c r="AF422"/>
  <c r="AG422"/>
  <c r="AH422"/>
  <c r="AI422"/>
  <c r="AJ422"/>
  <c r="AK422"/>
  <c r="G422"/>
  <c r="FM16"/>
  <c r="FK16"/>
  <c r="FI16"/>
  <c r="FH16"/>
  <c r="FM15"/>
  <c r="FK15"/>
  <c r="FI15"/>
  <c r="FH15"/>
  <c r="FM14"/>
  <c r="FK14"/>
  <c r="FI14"/>
  <c r="FH14"/>
  <c r="FM13"/>
  <c r="FK13"/>
  <c r="FI13"/>
  <c r="FH13"/>
  <c r="FM12"/>
  <c r="FK12"/>
  <c r="FI12"/>
  <c r="FH12"/>
  <c r="FM11"/>
  <c r="FK11"/>
  <c r="FI11"/>
  <c r="FH11"/>
  <c r="FM10"/>
  <c r="FK10"/>
  <c r="FI10"/>
  <c r="FH10"/>
  <c r="FM9"/>
  <c r="FK9"/>
  <c r="FI9"/>
  <c r="FH9"/>
  <c r="FM8"/>
  <c r="FK8"/>
  <c r="FI8"/>
  <c r="FH8"/>
  <c r="FM7"/>
  <c r="FK7"/>
  <c r="FI7"/>
  <c r="FH7"/>
  <c r="GI4"/>
  <c r="GH4"/>
  <c r="GG4"/>
  <c r="GF4"/>
  <c r="GE4"/>
  <c r="GD4"/>
  <c r="GC4"/>
  <c r="GB4"/>
  <c r="GA4"/>
  <c r="FZ4"/>
  <c r="CX117"/>
  <c r="CX108"/>
  <c r="CX155"/>
  <c r="CX110"/>
  <c r="CX116"/>
  <c r="DE234"/>
  <c r="DE233"/>
  <c r="DE232"/>
  <c r="DE231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A438"/>
  <c r="I36"/>
  <c r="I372" s="1"/>
  <c r="J36"/>
  <c r="E463" s="1"/>
  <c r="K36"/>
  <c r="E465"/>
  <c r="H466" s="1"/>
  <c r="L36"/>
  <c r="E467" s="1"/>
  <c r="M36"/>
  <c r="E469" s="1"/>
  <c r="N36"/>
  <c r="E471" s="1"/>
  <c r="O36"/>
  <c r="O372" s="1"/>
  <c r="O381" s="1"/>
  <c r="P36"/>
  <c r="E475" s="1"/>
  <c r="Q36"/>
  <c r="R36"/>
  <c r="E479" s="1"/>
  <c r="S36"/>
  <c r="E481" s="1"/>
  <c r="T36"/>
  <c r="U36"/>
  <c r="E485" s="1"/>
  <c r="V36"/>
  <c r="W36"/>
  <c r="E489" s="1"/>
  <c r="X36"/>
  <c r="Y36"/>
  <c r="E493"/>
  <c r="Z36"/>
  <c r="E495" s="1"/>
  <c r="AA36"/>
  <c r="AB36"/>
  <c r="E499" s="1"/>
  <c r="AC36"/>
  <c r="AD36"/>
  <c r="E503" s="1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H372"/>
  <c r="H382" s="1"/>
  <c r="J372"/>
  <c r="J376" s="1"/>
  <c r="L372"/>
  <c r="L376" s="1"/>
  <c r="M372"/>
  <c r="M379" s="1"/>
  <c r="U372"/>
  <c r="U378" s="1"/>
  <c r="Y372"/>
  <c r="Y375" s="1"/>
  <c r="AB372"/>
  <c r="AB376" s="1"/>
  <c r="AK372"/>
  <c r="AK381"/>
  <c r="H380"/>
  <c r="H378"/>
  <c r="M375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EK20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P198"/>
  <c r="FU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EK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EK19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/>
  <c r="EC189"/>
  <c r="FM189" s="1"/>
  <c r="EB189"/>
  <c r="FL189"/>
  <c r="EA189"/>
  <c r="FK189" s="1"/>
  <c r="DZ189"/>
  <c r="FJ189" s="1"/>
  <c r="DY189"/>
  <c r="FI189" s="1"/>
  <c r="DX189"/>
  <c r="FH189"/>
  <c r="DW189"/>
  <c r="FG189" s="1"/>
  <c r="DV189"/>
  <c r="FF189"/>
  <c r="DU189"/>
  <c r="FE189" s="1"/>
  <c r="DT189"/>
  <c r="FD189"/>
  <c r="DS189"/>
  <c r="FC189" s="1"/>
  <c r="DR189"/>
  <c r="FB189" s="1"/>
  <c r="DQ189"/>
  <c r="FA189" s="1"/>
  <c r="DP189"/>
  <c r="EZ189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/>
  <c r="DM188"/>
  <c r="EW188"/>
  <c r="DL188"/>
  <c r="EV188"/>
  <c r="DK188"/>
  <c r="EU188"/>
  <c r="DJ188"/>
  <c r="ET188"/>
  <c r="DI188"/>
  <c r="ES188"/>
  <c r="DH188"/>
  <c r="ER188"/>
  <c r="DG188"/>
  <c r="EQ188"/>
  <c r="DD188"/>
  <c r="DE188" s="1"/>
  <c r="DC188"/>
  <c r="CZ188"/>
  <c r="CM188"/>
  <c r="CL188"/>
  <c r="CK188"/>
  <c r="AY188"/>
  <c r="B188"/>
  <c r="CX187"/>
  <c r="CZ187"/>
  <c r="DZ187" s="1"/>
  <c r="DH187"/>
  <c r="DP187"/>
  <c r="EZ187" s="1"/>
  <c r="DV187"/>
  <c r="ED187"/>
  <c r="EH187"/>
  <c r="DD187"/>
  <c r="BA187"/>
  <c r="CM187"/>
  <c r="CL187"/>
  <c r="CK187"/>
  <c r="AY187"/>
  <c r="B185"/>
  <c r="CX186"/>
  <c r="CZ186"/>
  <c r="DJ186"/>
  <c r="DN186"/>
  <c r="DO186"/>
  <c r="DP186"/>
  <c r="DQ186"/>
  <c r="DR186"/>
  <c r="DS186"/>
  <c r="DT186"/>
  <c r="FD186" s="1"/>
  <c r="DU186"/>
  <c r="DV186"/>
  <c r="DW186"/>
  <c r="DX186"/>
  <c r="FH186" s="1"/>
  <c r="DY186"/>
  <c r="DZ186"/>
  <c r="EA186"/>
  <c r="FK186" s="1"/>
  <c r="EB186"/>
  <c r="EC186"/>
  <c r="ED186"/>
  <c r="EE186"/>
  <c r="EF186"/>
  <c r="FP186" s="1"/>
  <c r="EG186"/>
  <c r="EH186"/>
  <c r="EI186"/>
  <c r="EJ186"/>
  <c r="FT186" s="1"/>
  <c r="DD186"/>
  <c r="BA186"/>
  <c r="CM186"/>
  <c r="CL186"/>
  <c r="CK186"/>
  <c r="AY186"/>
  <c r="B184"/>
  <c r="CX185"/>
  <c r="CZ185"/>
  <c r="DK185"/>
  <c r="DO185"/>
  <c r="DS185"/>
  <c r="DW185"/>
  <c r="EA185"/>
  <c r="FK185" s="1"/>
  <c r="EC185"/>
  <c r="EE185"/>
  <c r="DD185"/>
  <c r="DE185"/>
  <c r="DC185"/>
  <c r="BA185"/>
  <c r="CM185" s="1"/>
  <c r="CL185"/>
  <c r="CK185"/>
  <c r="AY185"/>
  <c r="B183"/>
  <c r="CX184"/>
  <c r="CZ184"/>
  <c r="DF184"/>
  <c r="DL184"/>
  <c r="EV184" s="1"/>
  <c r="DT184"/>
  <c r="FD184" s="1"/>
  <c r="EA184"/>
  <c r="FK184" s="1"/>
  <c r="EI184"/>
  <c r="FS184" s="1"/>
  <c r="DD184"/>
  <c r="BA184"/>
  <c r="CM184"/>
  <c r="CL184"/>
  <c r="CK184"/>
  <c r="AY184"/>
  <c r="B178"/>
  <c r="CX183"/>
  <c r="CZ183"/>
  <c r="DH183"/>
  <c r="DL183"/>
  <c r="DP183"/>
  <c r="EZ183" s="1"/>
  <c r="DR183"/>
  <c r="DT183"/>
  <c r="FD183" s="1"/>
  <c r="DZ183"/>
  <c r="FJ183" s="1"/>
  <c r="EF183"/>
  <c r="FP183" s="1"/>
  <c r="EH183"/>
  <c r="EJ183"/>
  <c r="FT183" s="1"/>
  <c r="DD183"/>
  <c r="DC183" s="1"/>
  <c r="DE183"/>
  <c r="BA183"/>
  <c r="CM183" s="1"/>
  <c r="CL183"/>
  <c r="CK183"/>
  <c r="AY183"/>
  <c r="B179"/>
  <c r="CX182"/>
  <c r="CZ182"/>
  <c r="DF182"/>
  <c r="DG182"/>
  <c r="EQ182" s="1"/>
  <c r="DH182"/>
  <c r="DI182"/>
  <c r="ES182" s="1"/>
  <c r="DJ182"/>
  <c r="DK182"/>
  <c r="DL182"/>
  <c r="EV182" s="1"/>
  <c r="DM182"/>
  <c r="DN182"/>
  <c r="DO182"/>
  <c r="DP182"/>
  <c r="DQ182"/>
  <c r="DR182"/>
  <c r="DS182"/>
  <c r="DT182"/>
  <c r="FD182" s="1"/>
  <c r="DU182"/>
  <c r="DV182"/>
  <c r="DW182"/>
  <c r="DX182"/>
  <c r="FH182" s="1"/>
  <c r="DY182"/>
  <c r="DZ182"/>
  <c r="EA182"/>
  <c r="FK182" s="1"/>
  <c r="EB182"/>
  <c r="EC182"/>
  <c r="ED182"/>
  <c r="EE182"/>
  <c r="EF182"/>
  <c r="EG182"/>
  <c r="EH182"/>
  <c r="EI182"/>
  <c r="EJ182"/>
  <c r="FT182" s="1"/>
  <c r="DD182"/>
  <c r="BA182"/>
  <c r="CM182"/>
  <c r="CL182"/>
  <c r="CK182"/>
  <c r="AY182"/>
  <c r="B187"/>
  <c r="CX181"/>
  <c r="CZ181"/>
  <c r="DO181"/>
  <c r="DQ181"/>
  <c r="DS181"/>
  <c r="FC181" s="1"/>
  <c r="DU181"/>
  <c r="DW181"/>
  <c r="DY181"/>
  <c r="EA181"/>
  <c r="FK181" s="1"/>
  <c r="EC181"/>
  <c r="EE181"/>
  <c r="EG181"/>
  <c r="EI181"/>
  <c r="DD181"/>
  <c r="DE181"/>
  <c r="DC181"/>
  <c r="BA181"/>
  <c r="CM181" s="1"/>
  <c r="CL181"/>
  <c r="CK181"/>
  <c r="AY181"/>
  <c r="B182"/>
  <c r="CX180"/>
  <c r="CZ180"/>
  <c r="DF180"/>
  <c r="DH180"/>
  <c r="DJ180"/>
  <c r="ET180" s="1"/>
  <c r="DK180"/>
  <c r="DN180"/>
  <c r="DP180"/>
  <c r="DQ180"/>
  <c r="DR180"/>
  <c r="DS180"/>
  <c r="DU180"/>
  <c r="DV180"/>
  <c r="DX180"/>
  <c r="FH180" s="1"/>
  <c r="DY180"/>
  <c r="DZ180"/>
  <c r="FJ180" s="1"/>
  <c r="EA180"/>
  <c r="FK180" s="1"/>
  <c r="EC180"/>
  <c r="ED180"/>
  <c r="EF180"/>
  <c r="EG180"/>
  <c r="EH180"/>
  <c r="EI180"/>
  <c r="DD180"/>
  <c r="DE180" s="1"/>
  <c r="DC180"/>
  <c r="BA180"/>
  <c r="CM180" s="1"/>
  <c r="CL180"/>
  <c r="CK180"/>
  <c r="AY180"/>
  <c r="B181"/>
  <c r="CX179"/>
  <c r="CZ179"/>
  <c r="DP179"/>
  <c r="DR179"/>
  <c r="EF179"/>
  <c r="EH179"/>
  <c r="FR179" s="1"/>
  <c r="DD179"/>
  <c r="DC179" s="1"/>
  <c r="BA179"/>
  <c r="CM179"/>
  <c r="CL179"/>
  <c r="CK179"/>
  <c r="AY179"/>
  <c r="B180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FH178" s="1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6"/>
  <c r="CX177"/>
  <c r="CZ177"/>
  <c r="DF177"/>
  <c r="DH177"/>
  <c r="DN177"/>
  <c r="DP177"/>
  <c r="DV177"/>
  <c r="DX177"/>
  <c r="FH177" s="1"/>
  <c r="ED177"/>
  <c r="EF177"/>
  <c r="FP177" s="1"/>
  <c r="DD177"/>
  <c r="BA177"/>
  <c r="CM177"/>
  <c r="CL177"/>
  <c r="CK177"/>
  <c r="AY177"/>
  <c r="B174"/>
  <c r="CZ176"/>
  <c r="DK176"/>
  <c r="DM176"/>
  <c r="EW176" s="1"/>
  <c r="DS176"/>
  <c r="DU176"/>
  <c r="EA176"/>
  <c r="FK176" s="1"/>
  <c r="EC176"/>
  <c r="EI176"/>
  <c r="DD176"/>
  <c r="DE176"/>
  <c r="DC176"/>
  <c r="BA176"/>
  <c r="CM176" s="1"/>
  <c r="CL176"/>
  <c r="CK176"/>
  <c r="AY176"/>
  <c r="B171"/>
  <c r="CZ175"/>
  <c r="DH175"/>
  <c r="DJ175"/>
  <c r="ET175" s="1"/>
  <c r="DL175"/>
  <c r="DP175"/>
  <c r="DR175"/>
  <c r="DT175"/>
  <c r="FD175" s="1"/>
  <c r="DX175"/>
  <c r="FH175" s="1"/>
  <c r="DZ175"/>
  <c r="EB175"/>
  <c r="EF175"/>
  <c r="EH175"/>
  <c r="EJ175"/>
  <c r="FT175" s="1"/>
  <c r="DD175"/>
  <c r="DC175" s="1"/>
  <c r="DE175"/>
  <c r="BA175"/>
  <c r="CM175" s="1"/>
  <c r="CL175"/>
  <c r="CK175"/>
  <c r="AY175"/>
  <c r="B170"/>
  <c r="CZ174"/>
  <c r="DG174"/>
  <c r="EQ174" s="1"/>
  <c r="DI174"/>
  <c r="ES174" s="1"/>
  <c r="DK174"/>
  <c r="DM174"/>
  <c r="DO174"/>
  <c r="DQ174"/>
  <c r="DR174"/>
  <c r="DS174"/>
  <c r="DT174"/>
  <c r="FD174" s="1"/>
  <c r="DU174"/>
  <c r="DV174"/>
  <c r="DW174"/>
  <c r="DX174"/>
  <c r="FH174" s="1"/>
  <c r="DY174"/>
  <c r="DZ174"/>
  <c r="EA174"/>
  <c r="FK174" s="1"/>
  <c r="EB174"/>
  <c r="EC174"/>
  <c r="ED174"/>
  <c r="EE174"/>
  <c r="EF174"/>
  <c r="EG174"/>
  <c r="FQ174" s="1"/>
  <c r="EH174"/>
  <c r="EI174"/>
  <c r="EJ174"/>
  <c r="FT174" s="1"/>
  <c r="DD174"/>
  <c r="DE174" s="1"/>
  <c r="DC174"/>
  <c r="BA174"/>
  <c r="CM174" s="1"/>
  <c r="CL174"/>
  <c r="CK174"/>
  <c r="AY174"/>
  <c r="B173"/>
  <c r="CZ173"/>
  <c r="DF173"/>
  <c r="DG173"/>
  <c r="EQ173" s="1"/>
  <c r="DH173"/>
  <c r="DI173"/>
  <c r="ES173" s="1"/>
  <c r="DJ173"/>
  <c r="DK173"/>
  <c r="EU173" s="1"/>
  <c r="DL173"/>
  <c r="EV173" s="1"/>
  <c r="DM173"/>
  <c r="EW173" s="1"/>
  <c r="DN173"/>
  <c r="DO173"/>
  <c r="EY173" s="1"/>
  <c r="DP173"/>
  <c r="DQ173"/>
  <c r="DR173"/>
  <c r="DS173"/>
  <c r="DT173"/>
  <c r="FD173" s="1"/>
  <c r="DU173"/>
  <c r="DV173"/>
  <c r="DW173"/>
  <c r="DX173"/>
  <c r="FH173" s="1"/>
  <c r="DY173"/>
  <c r="DZ173"/>
  <c r="EA173"/>
  <c r="FK173" s="1"/>
  <c r="EB173"/>
  <c r="EC173"/>
  <c r="ED173"/>
  <c r="EE173"/>
  <c r="EF173"/>
  <c r="FP173" s="1"/>
  <c r="EG173"/>
  <c r="EH173"/>
  <c r="EI173"/>
  <c r="EJ173"/>
  <c r="FT173" s="1"/>
  <c r="DD173"/>
  <c r="BA173"/>
  <c r="CM173"/>
  <c r="CL173"/>
  <c r="CK173"/>
  <c r="AY173"/>
  <c r="B168"/>
  <c r="CZ172"/>
  <c r="DD172"/>
  <c r="DE172" s="1"/>
  <c r="DC172"/>
  <c r="BA172"/>
  <c r="CM172" s="1"/>
  <c r="CL172"/>
  <c r="CK172"/>
  <c r="AY172"/>
  <c r="B177"/>
  <c r="CX171"/>
  <c r="CZ171"/>
  <c r="DF171"/>
  <c r="DH171"/>
  <c r="ER171" s="1"/>
  <c r="DJ171"/>
  <c r="ET171" s="1"/>
  <c r="DL171"/>
  <c r="DN171"/>
  <c r="DP171"/>
  <c r="EZ171" s="1"/>
  <c r="DR171"/>
  <c r="DT171"/>
  <c r="FD171" s="1"/>
  <c r="DV171"/>
  <c r="DX171"/>
  <c r="FH171" s="1"/>
  <c r="DZ171"/>
  <c r="EB171"/>
  <c r="ED171"/>
  <c r="EF171"/>
  <c r="FP171" s="1"/>
  <c r="EH171"/>
  <c r="EJ171"/>
  <c r="FT171" s="1"/>
  <c r="DD171"/>
  <c r="BA171"/>
  <c r="CM171"/>
  <c r="CL171"/>
  <c r="CK171"/>
  <c r="AY171"/>
  <c r="B172"/>
  <c r="CX170"/>
  <c r="CZ170"/>
  <c r="DF170"/>
  <c r="DG170"/>
  <c r="EQ170" s="1"/>
  <c r="DH170"/>
  <c r="DI170"/>
  <c r="ES170" s="1"/>
  <c r="DJ170"/>
  <c r="DK170"/>
  <c r="DL170"/>
  <c r="EV170" s="1"/>
  <c r="DM170"/>
  <c r="DN170"/>
  <c r="DO170"/>
  <c r="DP170"/>
  <c r="DQ170"/>
  <c r="DR170"/>
  <c r="DS170"/>
  <c r="DT170"/>
  <c r="FD170" s="1"/>
  <c r="DU170"/>
  <c r="DV170"/>
  <c r="DW170"/>
  <c r="DX170"/>
  <c r="FH170" s="1"/>
  <c r="DY170"/>
  <c r="DZ170"/>
  <c r="EA170"/>
  <c r="FK170" s="1"/>
  <c r="EB170"/>
  <c r="EC170"/>
  <c r="ED170"/>
  <c r="EE170"/>
  <c r="EF170"/>
  <c r="EG170"/>
  <c r="EH170"/>
  <c r="EI170"/>
  <c r="EJ170"/>
  <c r="FT170" s="1"/>
  <c r="DD170"/>
  <c r="DC170" s="1"/>
  <c r="DE170"/>
  <c r="BA170"/>
  <c r="CM170"/>
  <c r="CL170"/>
  <c r="CK170"/>
  <c r="AY170"/>
  <c r="B175"/>
  <c r="CZ169"/>
  <c r="DI169" s="1"/>
  <c r="ES169" s="1"/>
  <c r="DG169"/>
  <c r="EQ169" s="1"/>
  <c r="DK169"/>
  <c r="DO169"/>
  <c r="DS169"/>
  <c r="DW169"/>
  <c r="EA169"/>
  <c r="FK169" s="1"/>
  <c r="EE169"/>
  <c r="EI169"/>
  <c r="DD169"/>
  <c r="DE169" s="1"/>
  <c r="DC169"/>
  <c r="BA169"/>
  <c r="CM169"/>
  <c r="CL169"/>
  <c r="CK169"/>
  <c r="AY169"/>
  <c r="B169"/>
  <c r="CX168"/>
  <c r="CZ168"/>
  <c r="DZ168" s="1"/>
  <c r="DJ168"/>
  <c r="DP168"/>
  <c r="EF168"/>
  <c r="DD168"/>
  <c r="DC168" s="1"/>
  <c r="DE168"/>
  <c r="CL168"/>
  <c r="CK168"/>
  <c r="AY168"/>
  <c r="B176"/>
  <c r="CX167"/>
  <c r="CZ167"/>
  <c r="DZ167" s="1"/>
  <c r="DJ167"/>
  <c r="ET167" s="1"/>
  <c r="DK167"/>
  <c r="DP167"/>
  <c r="DU167"/>
  <c r="EA167"/>
  <c r="FK167" s="1"/>
  <c r="EF167"/>
  <c r="DD167"/>
  <c r="DE167" s="1"/>
  <c r="DC167"/>
  <c r="BA167"/>
  <c r="CM167"/>
  <c r="CL167"/>
  <c r="CK167"/>
  <c r="AY167"/>
  <c r="B159"/>
  <c r="CW166"/>
  <c r="CX166"/>
  <c r="CZ166"/>
  <c r="DF166"/>
  <c r="DK166"/>
  <c r="DP166"/>
  <c r="DQ166"/>
  <c r="DV166"/>
  <c r="EA166"/>
  <c r="FK166" s="1"/>
  <c r="EF166"/>
  <c r="FP166" s="1"/>
  <c r="EG166"/>
  <c r="DD166"/>
  <c r="BA166"/>
  <c r="CM166"/>
  <c r="CL166"/>
  <c r="CK166"/>
  <c r="AY166"/>
  <c r="B164"/>
  <c r="CZ165"/>
  <c r="DF165"/>
  <c r="DG165"/>
  <c r="EQ165" s="1"/>
  <c r="DH165"/>
  <c r="ER165" s="1"/>
  <c r="DI165"/>
  <c r="ES165" s="1"/>
  <c r="DJ165"/>
  <c r="ET165" s="1"/>
  <c r="DK165"/>
  <c r="DL165"/>
  <c r="DM165"/>
  <c r="DN165"/>
  <c r="DO165"/>
  <c r="DP165"/>
  <c r="EZ165" s="1"/>
  <c r="DQ165"/>
  <c r="DR165"/>
  <c r="DS165"/>
  <c r="DT165"/>
  <c r="FD165" s="1"/>
  <c r="DU165"/>
  <c r="DV165"/>
  <c r="DW165"/>
  <c r="DX165"/>
  <c r="FH165" s="1"/>
  <c r="DY165"/>
  <c r="DZ165"/>
  <c r="EA165"/>
  <c r="FK165" s="1"/>
  <c r="EB165"/>
  <c r="EC165"/>
  <c r="ED165"/>
  <c r="EE165"/>
  <c r="EF165"/>
  <c r="FP165" s="1"/>
  <c r="EG165"/>
  <c r="EH165"/>
  <c r="EI165"/>
  <c r="EJ165"/>
  <c r="FT165" s="1"/>
  <c r="DD165"/>
  <c r="DE165"/>
  <c r="DC165"/>
  <c r="BA165"/>
  <c r="CM165"/>
  <c r="CL165"/>
  <c r="CK165"/>
  <c r="AY165"/>
  <c r="B160"/>
  <c r="CZ164"/>
  <c r="DJ164" s="1"/>
  <c r="ET164" s="1"/>
  <c r="DF164"/>
  <c r="DG164"/>
  <c r="EQ164" s="1"/>
  <c r="DH164"/>
  <c r="DI164"/>
  <c r="ES164" s="1"/>
  <c r="DK164"/>
  <c r="DL164"/>
  <c r="EV164" s="1"/>
  <c r="DN164"/>
  <c r="DO164"/>
  <c r="DP164"/>
  <c r="DQ164"/>
  <c r="FA164" s="1"/>
  <c r="DS164"/>
  <c r="DT164"/>
  <c r="FD164" s="1"/>
  <c r="DV164"/>
  <c r="DW164"/>
  <c r="DX164"/>
  <c r="FH164" s="1"/>
  <c r="DY164"/>
  <c r="EA164"/>
  <c r="FK164" s="1"/>
  <c r="EB164"/>
  <c r="ED164"/>
  <c r="EE164"/>
  <c r="EF164"/>
  <c r="EG164"/>
  <c r="EI164"/>
  <c r="EJ164"/>
  <c r="FT164" s="1"/>
  <c r="DD164"/>
  <c r="DE164" s="1"/>
  <c r="DC164"/>
  <c r="BA164"/>
  <c r="CM164"/>
  <c r="CL164"/>
  <c r="CK164"/>
  <c r="AY164"/>
  <c r="B163"/>
  <c r="CZ163"/>
  <c r="DF163"/>
  <c r="DG163"/>
  <c r="EQ163" s="1"/>
  <c r="DH163"/>
  <c r="DI163"/>
  <c r="ES163" s="1"/>
  <c r="DJ163"/>
  <c r="ET163" s="1"/>
  <c r="DK163"/>
  <c r="DL163"/>
  <c r="DM163"/>
  <c r="DN163"/>
  <c r="DO163"/>
  <c r="DP163"/>
  <c r="DQ163"/>
  <c r="DR163"/>
  <c r="DS163"/>
  <c r="DT163"/>
  <c r="FD163" s="1"/>
  <c r="DU163"/>
  <c r="DV163"/>
  <c r="DW163"/>
  <c r="DX163"/>
  <c r="FH163" s="1"/>
  <c r="DY163"/>
  <c r="DZ163"/>
  <c r="FJ163" s="1"/>
  <c r="EA163"/>
  <c r="FK163" s="1"/>
  <c r="EB163"/>
  <c r="EC163"/>
  <c r="ED163"/>
  <c r="FN163" s="1"/>
  <c r="EE163"/>
  <c r="EF163"/>
  <c r="EG163"/>
  <c r="FQ163" s="1"/>
  <c r="EH163"/>
  <c r="EI163"/>
  <c r="EJ163"/>
  <c r="FT163"/>
  <c r="DD163"/>
  <c r="BA163"/>
  <c r="CM163"/>
  <c r="CL163"/>
  <c r="CK163"/>
  <c r="AY163"/>
  <c r="B162"/>
  <c r="CZ162"/>
  <c r="DF162"/>
  <c r="DG162"/>
  <c r="EQ162" s="1"/>
  <c r="DH162"/>
  <c r="DI162"/>
  <c r="ES162" s="1"/>
  <c r="DJ162"/>
  <c r="ET162" s="1"/>
  <c r="DK162"/>
  <c r="DL162"/>
  <c r="DM162"/>
  <c r="DN162"/>
  <c r="DO162"/>
  <c r="DP162"/>
  <c r="DQ162"/>
  <c r="DR162"/>
  <c r="DS162"/>
  <c r="DT162"/>
  <c r="FD162" s="1"/>
  <c r="DU162"/>
  <c r="DV162"/>
  <c r="DW162"/>
  <c r="DX162"/>
  <c r="FH162" s="1"/>
  <c r="DY162"/>
  <c r="DZ162"/>
  <c r="EA162"/>
  <c r="FK162" s="1"/>
  <c r="EB162"/>
  <c r="EC162"/>
  <c r="ED162"/>
  <c r="EE162"/>
  <c r="EF162"/>
  <c r="EG162"/>
  <c r="EH162"/>
  <c r="EI162"/>
  <c r="EJ162"/>
  <c r="FT162" s="1"/>
  <c r="DD162"/>
  <c r="DE162" s="1"/>
  <c r="DC162"/>
  <c r="BA162"/>
  <c r="CM162" s="1"/>
  <c r="CL162"/>
  <c r="CK162"/>
  <c r="AY162"/>
  <c r="B158"/>
  <c r="CX161"/>
  <c r="CZ161"/>
  <c r="DP161"/>
  <c r="DV161"/>
  <c r="DD161"/>
  <c r="BA161"/>
  <c r="CM161"/>
  <c r="CL161"/>
  <c r="CK161"/>
  <c r="AY161"/>
  <c r="B161"/>
  <c r="CW160"/>
  <c r="CX160"/>
  <c r="CZ160"/>
  <c r="EB160"/>
  <c r="ED160"/>
  <c r="DD160"/>
  <c r="DC160" s="1"/>
  <c r="DE160"/>
  <c r="BA160"/>
  <c r="CM160"/>
  <c r="CL160"/>
  <c r="CK160"/>
  <c r="AY160"/>
  <c r="B166"/>
  <c r="CX159"/>
  <c r="DH159" s="1"/>
  <c r="CZ159"/>
  <c r="DG159"/>
  <c r="EQ159" s="1"/>
  <c r="DJ159"/>
  <c r="ET159" s="1"/>
  <c r="DN159"/>
  <c r="DO159"/>
  <c r="DP159"/>
  <c r="DQ159"/>
  <c r="DR159"/>
  <c r="DS159"/>
  <c r="DT159"/>
  <c r="FD159" s="1"/>
  <c r="DU159"/>
  <c r="DV159"/>
  <c r="DW159"/>
  <c r="DX159"/>
  <c r="FH159" s="1"/>
  <c r="DY159"/>
  <c r="DZ159"/>
  <c r="EA159"/>
  <c r="FK159" s="1"/>
  <c r="EB159"/>
  <c r="EC159"/>
  <c r="ED159"/>
  <c r="EE159"/>
  <c r="EF159"/>
  <c r="EG159"/>
  <c r="EH159"/>
  <c r="EI159"/>
  <c r="EJ159"/>
  <c r="FT159" s="1"/>
  <c r="DD159"/>
  <c r="DE159"/>
  <c r="DC159"/>
  <c r="CL159"/>
  <c r="CK159"/>
  <c r="AY159"/>
  <c r="B167"/>
  <c r="CZ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65"/>
  <c r="CZ157"/>
  <c r="DF157"/>
  <c r="DH157"/>
  <c r="DJ157"/>
  <c r="DL157"/>
  <c r="EV157" s="1"/>
  <c r="DN157"/>
  <c r="DP157"/>
  <c r="DR157"/>
  <c r="DT157"/>
  <c r="FD157" s="1"/>
  <c r="DV157"/>
  <c r="DX157"/>
  <c r="FH157" s="1"/>
  <c r="DZ157"/>
  <c r="FJ157" s="1"/>
  <c r="EB157"/>
  <c r="ED157"/>
  <c r="EF157"/>
  <c r="EH157"/>
  <c r="EJ157"/>
  <c r="FT157" s="1"/>
  <c r="DD157"/>
  <c r="DC157" s="1"/>
  <c r="DE157"/>
  <c r="BA157"/>
  <c r="CM157" s="1"/>
  <c r="CL157"/>
  <c r="CK157"/>
  <c r="AY157"/>
  <c r="B149"/>
  <c r="CX156"/>
  <c r="DI156" s="1"/>
  <c r="ES156" s="1"/>
  <c r="CZ156"/>
  <c r="DF156"/>
  <c r="DG156"/>
  <c r="EQ156" s="1"/>
  <c r="DH156"/>
  <c r="DJ156"/>
  <c r="ET156" s="1"/>
  <c r="DL156"/>
  <c r="DN156"/>
  <c r="DO156"/>
  <c r="EY156" s="1"/>
  <c r="DP156"/>
  <c r="EZ156" s="1"/>
  <c r="DQ156"/>
  <c r="DR156"/>
  <c r="DS156"/>
  <c r="DT156"/>
  <c r="FD156" s="1"/>
  <c r="DU156"/>
  <c r="DV156"/>
  <c r="DW156"/>
  <c r="DX156"/>
  <c r="FH156" s="1"/>
  <c r="DY156"/>
  <c r="DZ156"/>
  <c r="FJ156" s="1"/>
  <c r="EA156"/>
  <c r="FK156" s="1"/>
  <c r="EB156"/>
  <c r="EC156"/>
  <c r="ED156"/>
  <c r="EE156"/>
  <c r="EF156"/>
  <c r="FP156" s="1"/>
  <c r="EG156"/>
  <c r="EH156"/>
  <c r="EI156"/>
  <c r="EJ156"/>
  <c r="FT156" s="1"/>
  <c r="DD156"/>
  <c r="DC156" s="1"/>
  <c r="DE156"/>
  <c r="BA156"/>
  <c r="CM156"/>
  <c r="CL156"/>
  <c r="CK156"/>
  <c r="AY156"/>
  <c r="B156"/>
  <c r="CZ155"/>
  <c r="DK155" s="1"/>
  <c r="DG155"/>
  <c r="DO155"/>
  <c r="EY155" s="1"/>
  <c r="DW155"/>
  <c r="EE155"/>
  <c r="DD155"/>
  <c r="DE155"/>
  <c r="DC155"/>
  <c r="BA155"/>
  <c r="CM155" s="1"/>
  <c r="CL155"/>
  <c r="CK155"/>
  <c r="AY155"/>
  <c r="B152"/>
  <c r="CZ154"/>
  <c r="DG154" s="1"/>
  <c r="EQ154" s="1"/>
  <c r="DF154"/>
  <c r="DH154"/>
  <c r="DJ154"/>
  <c r="ET154" s="1"/>
  <c r="DL154"/>
  <c r="DN154"/>
  <c r="DP154"/>
  <c r="DR154"/>
  <c r="DT154"/>
  <c r="FD154" s="1"/>
  <c r="DV154"/>
  <c r="DX154"/>
  <c r="FH154" s="1"/>
  <c r="DZ154"/>
  <c r="EB154"/>
  <c r="ED154"/>
  <c r="EF154"/>
  <c r="EH154"/>
  <c r="EJ154"/>
  <c r="FT154" s="1"/>
  <c r="DD154"/>
  <c r="DC154" s="1"/>
  <c r="DE154"/>
  <c r="BA154"/>
  <c r="CM154"/>
  <c r="CL154"/>
  <c r="CK154"/>
  <c r="AY154"/>
  <c r="B150"/>
  <c r="CZ153"/>
  <c r="DG153"/>
  <c r="EQ153" s="1"/>
  <c r="DI153"/>
  <c r="ES153" s="1"/>
  <c r="DK153"/>
  <c r="DM153"/>
  <c r="DO153"/>
  <c r="DQ153"/>
  <c r="DS153"/>
  <c r="DU153"/>
  <c r="DW153"/>
  <c r="DY153"/>
  <c r="EA153"/>
  <c r="FK153" s="1"/>
  <c r="EC153"/>
  <c r="EE153"/>
  <c r="EG153"/>
  <c r="EI153"/>
  <c r="DD153"/>
  <c r="DE153"/>
  <c r="DC153"/>
  <c r="BA153"/>
  <c r="CM153" s="1"/>
  <c r="CL153"/>
  <c r="CK153"/>
  <c r="AY153"/>
  <c r="B157"/>
  <c r="CZ152"/>
  <c r="DG152" s="1"/>
  <c r="EQ152" s="1"/>
  <c r="DF152"/>
  <c r="DH152"/>
  <c r="DJ152"/>
  <c r="ET152" s="1"/>
  <c r="DL152"/>
  <c r="DN152"/>
  <c r="DP152"/>
  <c r="DR152"/>
  <c r="DT152"/>
  <c r="FD152" s="1"/>
  <c r="DV152"/>
  <c r="DX152"/>
  <c r="FH152" s="1"/>
  <c r="DZ152"/>
  <c r="EB152"/>
  <c r="ED152"/>
  <c r="EF152"/>
  <c r="EH152"/>
  <c r="EJ152"/>
  <c r="FT152" s="1"/>
  <c r="DD152"/>
  <c r="DC152" s="1"/>
  <c r="DE152"/>
  <c r="BA152"/>
  <c r="CM152"/>
  <c r="CL152"/>
  <c r="CK152"/>
  <c r="AY152"/>
  <c r="B154"/>
  <c r="CZ151"/>
  <c r="DK151" s="1"/>
  <c r="DG151"/>
  <c r="EQ151" s="1"/>
  <c r="DO151"/>
  <c r="DW151"/>
  <c r="EE151"/>
  <c r="DD151"/>
  <c r="DE151"/>
  <c r="DC151"/>
  <c r="BA151"/>
  <c r="CM151" s="1"/>
  <c r="CL151"/>
  <c r="CK151"/>
  <c r="AY151"/>
  <c r="B148"/>
  <c r="CZ150"/>
  <c r="DG150" s="1"/>
  <c r="EQ150" s="1"/>
  <c r="DF150"/>
  <c r="DH150"/>
  <c r="DJ150"/>
  <c r="DL150"/>
  <c r="EV150" s="1"/>
  <c r="DN150"/>
  <c r="DP150"/>
  <c r="EZ150" s="1"/>
  <c r="DR150"/>
  <c r="DT150"/>
  <c r="FD150" s="1"/>
  <c r="DV150"/>
  <c r="DX150"/>
  <c r="FH150" s="1"/>
  <c r="DZ150"/>
  <c r="EB150"/>
  <c r="ED150"/>
  <c r="EF150"/>
  <c r="FP150" s="1"/>
  <c r="EH150"/>
  <c r="EJ150"/>
  <c r="FT150" s="1"/>
  <c r="DD150"/>
  <c r="DC150" s="1"/>
  <c r="DE150"/>
  <c r="BA150"/>
  <c r="CM150"/>
  <c r="CL150"/>
  <c r="CK150"/>
  <c r="AY150"/>
  <c r="B151"/>
  <c r="CW149"/>
  <c r="CX149"/>
  <c r="CZ149"/>
  <c r="DF149"/>
  <c r="DH149"/>
  <c r="DJ149"/>
  <c r="ET149" s="1"/>
  <c r="DL149"/>
  <c r="DN149"/>
  <c r="DP149"/>
  <c r="EZ149" s="1"/>
  <c r="DR149"/>
  <c r="DT149"/>
  <c r="FD149" s="1"/>
  <c r="DV149"/>
  <c r="DX149"/>
  <c r="FH149" s="1"/>
  <c r="DZ149"/>
  <c r="FJ149" s="1"/>
  <c r="EB149"/>
  <c r="ED149"/>
  <c r="EF149"/>
  <c r="EH149"/>
  <c r="EJ149"/>
  <c r="FT149" s="1"/>
  <c r="DD149"/>
  <c r="CM149"/>
  <c r="CL149"/>
  <c r="CK149"/>
  <c r="AY149"/>
  <c r="B155"/>
  <c r="CZ148"/>
  <c r="DF148"/>
  <c r="DJ148"/>
  <c r="ET148" s="1"/>
  <c r="DN148"/>
  <c r="DR148"/>
  <c r="DV148"/>
  <c r="DZ148"/>
  <c r="ED148"/>
  <c r="EH148"/>
  <c r="DD148"/>
  <c r="CL148"/>
  <c r="CK148"/>
  <c r="AY148"/>
  <c r="B153"/>
  <c r="CZ147"/>
  <c r="DF147"/>
  <c r="DH147"/>
  <c r="DJ147"/>
  <c r="ET147" s="1"/>
  <c r="DL147"/>
  <c r="EV147" s="1"/>
  <c r="DN147"/>
  <c r="DP147"/>
  <c r="DR147"/>
  <c r="DT147"/>
  <c r="FD147" s="1"/>
  <c r="DV147"/>
  <c r="DX147"/>
  <c r="FH147" s="1"/>
  <c r="DZ147"/>
  <c r="EB147"/>
  <c r="ED147"/>
  <c r="EF147"/>
  <c r="EH147"/>
  <c r="EJ147"/>
  <c r="FT147" s="1"/>
  <c r="DD147"/>
  <c r="BA147"/>
  <c r="CM147"/>
  <c r="CL147"/>
  <c r="CK147"/>
  <c r="AY147"/>
  <c r="B142"/>
  <c r="CX146"/>
  <c r="CZ146"/>
  <c r="DG146" s="1"/>
  <c r="EQ146" s="1"/>
  <c r="DF146"/>
  <c r="DH146"/>
  <c r="DJ146"/>
  <c r="ET146" s="1"/>
  <c r="DL146"/>
  <c r="DN146"/>
  <c r="DP146"/>
  <c r="DR146"/>
  <c r="DT146"/>
  <c r="FD146" s="1"/>
  <c r="DV146"/>
  <c r="DX146"/>
  <c r="FH146" s="1"/>
  <c r="DZ146"/>
  <c r="EB146"/>
  <c r="ED146"/>
  <c r="EF146"/>
  <c r="EH146"/>
  <c r="EJ146"/>
  <c r="FT146" s="1"/>
  <c r="DD146"/>
  <c r="DC146" s="1"/>
  <c r="DE146"/>
  <c r="BA146"/>
  <c r="CM146"/>
  <c r="CL146"/>
  <c r="CK146"/>
  <c r="AY146"/>
  <c r="B143"/>
  <c r="CX145"/>
  <c r="CZ145"/>
  <c r="DI145"/>
  <c r="ES145" s="1"/>
  <c r="DM145"/>
  <c r="DN145"/>
  <c r="DO145"/>
  <c r="DP145"/>
  <c r="DQ145"/>
  <c r="DR145"/>
  <c r="DS145"/>
  <c r="DT145"/>
  <c r="FD145" s="1"/>
  <c r="DU145"/>
  <c r="DV145"/>
  <c r="DW145"/>
  <c r="DX145"/>
  <c r="FH145" s="1"/>
  <c r="DY145"/>
  <c r="DZ145"/>
  <c r="EA145"/>
  <c r="FK145" s="1"/>
  <c r="EB145"/>
  <c r="EC145"/>
  <c r="ED145"/>
  <c r="FN145" s="1"/>
  <c r="EE145"/>
  <c r="EF145"/>
  <c r="EG145"/>
  <c r="EH145"/>
  <c r="EI145"/>
  <c r="EJ145"/>
  <c r="FT145" s="1"/>
  <c r="DD145"/>
  <c r="DE145"/>
  <c r="DC145"/>
  <c r="BA145"/>
  <c r="CM145"/>
  <c r="CL145"/>
  <c r="CK145"/>
  <c r="AY145"/>
  <c r="B144"/>
  <c r="CX144"/>
  <c r="CZ144"/>
  <c r="DG144"/>
  <c r="EQ144" s="1"/>
  <c r="DK144"/>
  <c r="DO144"/>
  <c r="EY144" s="1"/>
  <c r="DS144"/>
  <c r="DW144"/>
  <c r="EA144"/>
  <c r="FK144" s="1"/>
  <c r="EE144"/>
  <c r="EI144"/>
  <c r="DD144"/>
  <c r="DE144"/>
  <c r="DC144"/>
  <c r="BA144"/>
  <c r="CM144" s="1"/>
  <c r="CL144"/>
  <c r="CK144"/>
  <c r="AY144"/>
  <c r="B141"/>
  <c r="CZ143"/>
  <c r="DG143" s="1"/>
  <c r="EQ143" s="1"/>
  <c r="DF143"/>
  <c r="DH143"/>
  <c r="DJ143"/>
  <c r="DL143"/>
  <c r="EV143" s="1"/>
  <c r="DN143"/>
  <c r="DP143"/>
  <c r="EZ143" s="1"/>
  <c r="DR143"/>
  <c r="DT143"/>
  <c r="FD143" s="1"/>
  <c r="DV143"/>
  <c r="DW143"/>
  <c r="DX143"/>
  <c r="FH143" s="1"/>
  <c r="DY143"/>
  <c r="DZ143"/>
  <c r="EA143"/>
  <c r="FK143" s="1"/>
  <c r="EB143"/>
  <c r="EC143"/>
  <c r="ED143"/>
  <c r="EE143"/>
  <c r="EF143"/>
  <c r="EG143"/>
  <c r="EH143"/>
  <c r="EI143"/>
  <c r="FS143" s="1"/>
  <c r="EJ143"/>
  <c r="FT143" s="1"/>
  <c r="DD143"/>
  <c r="DC143" s="1"/>
  <c r="DE143"/>
  <c r="BA143"/>
  <c r="CM143"/>
  <c r="CL143"/>
  <c r="CK143"/>
  <c r="AY143"/>
  <c r="B138"/>
  <c r="CX142"/>
  <c r="CZ142"/>
  <c r="DI142"/>
  <c r="ES142" s="1"/>
  <c r="DM142"/>
  <c r="DN142"/>
  <c r="DO142"/>
  <c r="DP142"/>
  <c r="EZ142" s="1"/>
  <c r="DQ142"/>
  <c r="DR142"/>
  <c r="DS142"/>
  <c r="FC142" s="1"/>
  <c r="DT142"/>
  <c r="FD142" s="1"/>
  <c r="DU142"/>
  <c r="DV142"/>
  <c r="DW142"/>
  <c r="DX142"/>
  <c r="FH142" s="1"/>
  <c r="DY142"/>
  <c r="DZ142"/>
  <c r="EA142"/>
  <c r="FK142" s="1"/>
  <c r="EB142"/>
  <c r="EC142"/>
  <c r="ED142"/>
  <c r="EE142"/>
  <c r="EF142"/>
  <c r="FP142" s="1"/>
  <c r="EG142"/>
  <c r="EH142"/>
  <c r="EI142"/>
  <c r="EJ142"/>
  <c r="FT142" s="1"/>
  <c r="DD142"/>
  <c r="DE142"/>
  <c r="DC142"/>
  <c r="BA142"/>
  <c r="CM142"/>
  <c r="CL142"/>
  <c r="CK142"/>
  <c r="AY142"/>
  <c r="B140"/>
  <c r="CW141"/>
  <c r="CX141"/>
  <c r="CZ141"/>
  <c r="DI141"/>
  <c r="ES141" s="1"/>
  <c r="DM141"/>
  <c r="EW141" s="1"/>
  <c r="DO141"/>
  <c r="DQ141"/>
  <c r="DS141"/>
  <c r="DU141"/>
  <c r="DW141"/>
  <c r="DY141"/>
  <c r="EA141"/>
  <c r="FK141" s="1"/>
  <c r="EC141"/>
  <c r="EE141"/>
  <c r="EG141"/>
  <c r="EI141"/>
  <c r="DD141"/>
  <c r="DE141"/>
  <c r="DC141"/>
  <c r="BA141"/>
  <c r="CM141"/>
  <c r="CL141"/>
  <c r="CK141"/>
  <c r="AY141"/>
  <c r="B145"/>
  <c r="CW140"/>
  <c r="CX140"/>
  <c r="CZ140"/>
  <c r="DO140"/>
  <c r="DQ140"/>
  <c r="DS140"/>
  <c r="DU140"/>
  <c r="DW140"/>
  <c r="DY140"/>
  <c r="EA140"/>
  <c r="FK140" s="1"/>
  <c r="EC140"/>
  <c r="EE140"/>
  <c r="EG140"/>
  <c r="EI140"/>
  <c r="DD140"/>
  <c r="DE140"/>
  <c r="DC140"/>
  <c r="BA140"/>
  <c r="CM140"/>
  <c r="CL140"/>
  <c r="CK140"/>
  <c r="AY140"/>
  <c r="B146"/>
  <c r="CZ139"/>
  <c r="DJ139" s="1"/>
  <c r="ET139" s="1"/>
  <c r="DF139"/>
  <c r="DG139"/>
  <c r="EQ139" s="1"/>
  <c r="DH139"/>
  <c r="DI139"/>
  <c r="ES139" s="1"/>
  <c r="DK139"/>
  <c r="DL139"/>
  <c r="DN139"/>
  <c r="DO139"/>
  <c r="DP139"/>
  <c r="DQ139"/>
  <c r="DS139"/>
  <c r="DT139"/>
  <c r="FD139" s="1"/>
  <c r="DV139"/>
  <c r="DW139"/>
  <c r="DX139"/>
  <c r="FH139" s="1"/>
  <c r="DY139"/>
  <c r="EA139"/>
  <c r="FK139" s="1"/>
  <c r="EB139"/>
  <c r="ED139"/>
  <c r="EE139"/>
  <c r="EF139"/>
  <c r="EG139"/>
  <c r="EI139"/>
  <c r="EJ139"/>
  <c r="FT139" s="1"/>
  <c r="DD139"/>
  <c r="DE139" s="1"/>
  <c r="DC139"/>
  <c r="BA139"/>
  <c r="CM139"/>
  <c r="CL139"/>
  <c r="CK139"/>
  <c r="AY139"/>
  <c r="B147"/>
  <c r="CZ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39"/>
  <c r="CZ137"/>
  <c r="DF137"/>
  <c r="DG137"/>
  <c r="EQ137" s="1"/>
  <c r="DH137"/>
  <c r="DI137"/>
  <c r="ES137" s="1"/>
  <c r="DJ137"/>
  <c r="DK137"/>
  <c r="DL137"/>
  <c r="DM137"/>
  <c r="DN137"/>
  <c r="DO137"/>
  <c r="DP137"/>
  <c r="DQ137"/>
  <c r="FA137" s="1"/>
  <c r="DR137"/>
  <c r="DS137"/>
  <c r="DT137"/>
  <c r="FD137" s="1"/>
  <c r="DU137"/>
  <c r="DV137"/>
  <c r="DW137"/>
  <c r="DX137"/>
  <c r="FH137" s="1"/>
  <c r="DY137"/>
  <c r="DZ137"/>
  <c r="EA137"/>
  <c r="FK137" s="1"/>
  <c r="EB137"/>
  <c r="EC137"/>
  <c r="ED137"/>
  <c r="EE137"/>
  <c r="EF137"/>
  <c r="EG137"/>
  <c r="EH137"/>
  <c r="EI137"/>
  <c r="EJ137"/>
  <c r="FT137" s="1"/>
  <c r="DD137"/>
  <c r="DE137"/>
  <c r="DC137"/>
  <c r="BA137"/>
  <c r="CM137" s="1"/>
  <c r="CL137"/>
  <c r="CK137"/>
  <c r="AY137"/>
  <c r="B131"/>
  <c r="CZ136"/>
  <c r="DG136" s="1"/>
  <c r="EQ136" s="1"/>
  <c r="DF136"/>
  <c r="DH136"/>
  <c r="DJ136"/>
  <c r="ET136" s="1"/>
  <c r="DL136"/>
  <c r="DN136"/>
  <c r="DP136"/>
  <c r="DR136"/>
  <c r="DT136"/>
  <c r="FD136" s="1"/>
  <c r="DV136"/>
  <c r="DX136"/>
  <c r="FH136" s="1"/>
  <c r="DZ136"/>
  <c r="EB136"/>
  <c r="ED136"/>
  <c r="EF136"/>
  <c r="EH136"/>
  <c r="EJ136"/>
  <c r="FT136" s="1"/>
  <c r="DD136"/>
  <c r="DC136" s="1"/>
  <c r="DE136"/>
  <c r="BA136"/>
  <c r="CM136"/>
  <c r="CL136"/>
  <c r="CK136"/>
  <c r="AY136"/>
  <c r="B132"/>
  <c r="CW135"/>
  <c r="CX135"/>
  <c r="CZ135"/>
  <c r="DF135"/>
  <c r="DH135"/>
  <c r="DJ135"/>
  <c r="DL135"/>
  <c r="EV135" s="1"/>
  <c r="DN135"/>
  <c r="DP135"/>
  <c r="EZ135" s="1"/>
  <c r="DR135"/>
  <c r="DT135"/>
  <c r="FD135" s="1"/>
  <c r="DV135"/>
  <c r="DX135"/>
  <c r="FH135" s="1"/>
  <c r="DZ135"/>
  <c r="EB135"/>
  <c r="ED135"/>
  <c r="EF135"/>
  <c r="FP135" s="1"/>
  <c r="EH135"/>
  <c r="EJ135"/>
  <c r="FT135" s="1"/>
  <c r="DD135"/>
  <c r="DC135" s="1"/>
  <c r="BA135"/>
  <c r="CM135"/>
  <c r="CL135"/>
  <c r="CK135"/>
  <c r="AY135"/>
  <c r="B129"/>
  <c r="CW134"/>
  <c r="CX134"/>
  <c r="CZ134"/>
  <c r="DF134"/>
  <c r="DJ134"/>
  <c r="DN134"/>
  <c r="DR134"/>
  <c r="DV134"/>
  <c r="DZ134"/>
  <c r="ED134"/>
  <c r="FN134" s="1"/>
  <c r="EH134"/>
  <c r="DD134"/>
  <c r="DC134" s="1"/>
  <c r="BA134"/>
  <c r="CM134"/>
  <c r="CL134"/>
  <c r="CK134"/>
  <c r="AY134"/>
  <c r="B130"/>
  <c r="CZ133"/>
  <c r="DG133" s="1"/>
  <c r="EQ133" s="1"/>
  <c r="DD133"/>
  <c r="DE133"/>
  <c r="DC133"/>
  <c r="BA133"/>
  <c r="CM133" s="1"/>
  <c r="CL133"/>
  <c r="CK133"/>
  <c r="AY133"/>
  <c r="B136"/>
  <c r="CX132"/>
  <c r="CZ132"/>
  <c r="DF132"/>
  <c r="EP132" s="1"/>
  <c r="DH132"/>
  <c r="DJ132"/>
  <c r="DL132"/>
  <c r="DN132"/>
  <c r="DP132"/>
  <c r="EZ132" s="1"/>
  <c r="DR132"/>
  <c r="DT132"/>
  <c r="FD132" s="1"/>
  <c r="DV132"/>
  <c r="DX132"/>
  <c r="FH132" s="1"/>
  <c r="DZ132"/>
  <c r="EB132"/>
  <c r="ED132"/>
  <c r="FN132" s="1"/>
  <c r="EF132"/>
  <c r="FP132" s="1"/>
  <c r="EH132"/>
  <c r="EJ132"/>
  <c r="FT132" s="1"/>
  <c r="DD132"/>
  <c r="BA132"/>
  <c r="CM132" s="1"/>
  <c r="CL132"/>
  <c r="CK132"/>
  <c r="AY132"/>
  <c r="B137"/>
  <c r="CZ131"/>
  <c r="DF131"/>
  <c r="EP131" s="1"/>
  <c r="DG131"/>
  <c r="EQ131" s="1"/>
  <c r="DH131"/>
  <c r="DI131"/>
  <c r="ES131" s="1"/>
  <c r="DJ131"/>
  <c r="DK131"/>
  <c r="EU131" s="1"/>
  <c r="DL131"/>
  <c r="EV131" s="1"/>
  <c r="DM131"/>
  <c r="EW131" s="1"/>
  <c r="DN131"/>
  <c r="DO131"/>
  <c r="EY131" s="1"/>
  <c r="DP131"/>
  <c r="DQ131"/>
  <c r="DR131"/>
  <c r="DS131"/>
  <c r="DT131"/>
  <c r="FD131" s="1"/>
  <c r="DU131"/>
  <c r="DV131"/>
  <c r="DW131"/>
  <c r="DX131"/>
  <c r="FH131" s="1"/>
  <c r="DY131"/>
  <c r="DZ131"/>
  <c r="EA131"/>
  <c r="FK131" s="1"/>
  <c r="EB131"/>
  <c r="EC131"/>
  <c r="ED131"/>
  <c r="FN131" s="1"/>
  <c r="EE131"/>
  <c r="EF131"/>
  <c r="EG131"/>
  <c r="EH131"/>
  <c r="EI131"/>
  <c r="EJ131"/>
  <c r="FT131" s="1"/>
  <c r="DD131"/>
  <c r="DE131"/>
  <c r="DC131"/>
  <c r="BA131"/>
  <c r="CM131"/>
  <c r="CL131"/>
  <c r="CK131"/>
  <c r="AY131"/>
  <c r="B134"/>
  <c r="CX130"/>
  <c r="DG130" s="1"/>
  <c r="EQ130" s="1"/>
  <c r="CZ130"/>
  <c r="DI130"/>
  <c r="ES130" s="1"/>
  <c r="DM130"/>
  <c r="DQ130"/>
  <c r="DU130"/>
  <c r="DY130"/>
  <c r="EC130"/>
  <c r="EG130"/>
  <c r="DD130"/>
  <c r="DE130"/>
  <c r="DC130"/>
  <c r="BA130"/>
  <c r="CM130" s="1"/>
  <c r="CL130"/>
  <c r="CK130"/>
  <c r="AY130"/>
  <c r="B135"/>
  <c r="CX129"/>
  <c r="CZ129"/>
  <c r="DH129" s="1"/>
  <c r="DF129"/>
  <c r="DJ129"/>
  <c r="DN129"/>
  <c r="DR129"/>
  <c r="DV129"/>
  <c r="DZ129"/>
  <c r="ED129"/>
  <c r="EH129"/>
  <c r="DD129"/>
  <c r="BA129"/>
  <c r="CM129" s="1"/>
  <c r="CL129"/>
  <c r="CK129"/>
  <c r="AY129"/>
  <c r="B128"/>
  <c r="CW128"/>
  <c r="CX128"/>
  <c r="CZ128"/>
  <c r="DH128"/>
  <c r="DL128"/>
  <c r="DP128"/>
  <c r="DT128"/>
  <c r="DX128"/>
  <c r="EB128"/>
  <c r="EF128"/>
  <c r="EJ128"/>
  <c r="DD128"/>
  <c r="CL128"/>
  <c r="CK128"/>
  <c r="AY128"/>
  <c r="B133"/>
  <c r="CX127"/>
  <c r="CZ127"/>
  <c r="DD127"/>
  <c r="DE127"/>
  <c r="DC127"/>
  <c r="BA127"/>
  <c r="CM127" s="1"/>
  <c r="CL127"/>
  <c r="CK127"/>
  <c r="AY127"/>
  <c r="B122"/>
  <c r="CX126"/>
  <c r="CZ126"/>
  <c r="DF126"/>
  <c r="DH126"/>
  <c r="DJ126"/>
  <c r="DL126"/>
  <c r="DN126"/>
  <c r="DP126"/>
  <c r="EZ126" s="1"/>
  <c r="DR126"/>
  <c r="DT126"/>
  <c r="FD126" s="1"/>
  <c r="DV126"/>
  <c r="DX126"/>
  <c r="FH126" s="1"/>
  <c r="DZ126"/>
  <c r="EB126"/>
  <c r="ED126"/>
  <c r="EF126"/>
  <c r="EH126"/>
  <c r="EJ126"/>
  <c r="FT126" s="1"/>
  <c r="DD126"/>
  <c r="BA126"/>
  <c r="CM126" s="1"/>
  <c r="CL126"/>
  <c r="CK126"/>
  <c r="AY126"/>
  <c r="B126"/>
  <c r="CX125"/>
  <c r="CZ125"/>
  <c r="DG125" s="1"/>
  <c r="EQ125" s="1"/>
  <c r="DF125"/>
  <c r="DH125"/>
  <c r="DJ125"/>
  <c r="DL125"/>
  <c r="EV125" s="1"/>
  <c r="DN125"/>
  <c r="DP125"/>
  <c r="DR125"/>
  <c r="DT125"/>
  <c r="FD125" s="1"/>
  <c r="DV125"/>
  <c r="DX125"/>
  <c r="FH125" s="1"/>
  <c r="DZ125"/>
  <c r="EB125"/>
  <c r="ED125"/>
  <c r="EF125"/>
  <c r="EH125"/>
  <c r="EJ125"/>
  <c r="FT125" s="1"/>
  <c r="DD125"/>
  <c r="DC125" s="1"/>
  <c r="BA125"/>
  <c r="CM125"/>
  <c r="CL125"/>
  <c r="CK125"/>
  <c r="AY125"/>
  <c r="B124"/>
  <c r="CX124"/>
  <c r="DI124" s="1"/>
  <c r="ES124" s="1"/>
  <c r="CZ124"/>
  <c r="DN124"/>
  <c r="DO124"/>
  <c r="DP124"/>
  <c r="DQ124"/>
  <c r="DR124"/>
  <c r="DS124"/>
  <c r="DT124"/>
  <c r="FD124" s="1"/>
  <c r="DU124"/>
  <c r="DV124"/>
  <c r="DW124"/>
  <c r="DX124"/>
  <c r="FH124" s="1"/>
  <c r="DY124"/>
  <c r="DZ124"/>
  <c r="EA124"/>
  <c r="FK124" s="1"/>
  <c r="EB124"/>
  <c r="EC124"/>
  <c r="ED124"/>
  <c r="EE124"/>
  <c r="EF124"/>
  <c r="FP124" s="1"/>
  <c r="EG124"/>
  <c r="EH124"/>
  <c r="EI124"/>
  <c r="EJ124"/>
  <c r="FT124" s="1"/>
  <c r="DD124"/>
  <c r="DE124"/>
  <c r="DC124"/>
  <c r="BA124"/>
  <c r="CM124"/>
  <c r="CL124"/>
  <c r="CK124"/>
  <c r="AY124"/>
  <c r="B125"/>
  <c r="CX123"/>
  <c r="CZ123"/>
  <c r="DD123"/>
  <c r="DE123"/>
  <c r="DC123"/>
  <c r="BA123"/>
  <c r="CM123" s="1"/>
  <c r="CL123"/>
  <c r="CK123"/>
  <c r="AY123"/>
  <c r="B123"/>
  <c r="CX122"/>
  <c r="CZ122"/>
  <c r="DF122"/>
  <c r="EP122" s="1"/>
  <c r="DH122"/>
  <c r="DJ122"/>
  <c r="DL122"/>
  <c r="EV122" s="1"/>
  <c r="DN122"/>
  <c r="DP122"/>
  <c r="DR122"/>
  <c r="DT122"/>
  <c r="FD122" s="1"/>
  <c r="DV122"/>
  <c r="DX122"/>
  <c r="FH122" s="1"/>
  <c r="DZ122"/>
  <c r="EB122"/>
  <c r="ED122"/>
  <c r="EF122"/>
  <c r="EH122"/>
  <c r="EJ122"/>
  <c r="FT122" s="1"/>
  <c r="DD122"/>
  <c r="BA122"/>
  <c r="CM122" s="1"/>
  <c r="CL122"/>
  <c r="CK122"/>
  <c r="AY122"/>
  <c r="B119"/>
  <c r="CW121"/>
  <c r="CX121"/>
  <c r="CZ121"/>
  <c r="DD121"/>
  <c r="BA121"/>
  <c r="CM121"/>
  <c r="CL121"/>
  <c r="CK121"/>
  <c r="AY121"/>
  <c r="B120"/>
  <c r="CZ120"/>
  <c r="DF120"/>
  <c r="DG120"/>
  <c r="EQ120" s="1"/>
  <c r="DH120"/>
  <c r="DI120"/>
  <c r="ES120" s="1"/>
  <c r="DJ120"/>
  <c r="ET120" s="1"/>
  <c r="DK120"/>
  <c r="EU120" s="1"/>
  <c r="DL120"/>
  <c r="EV120" s="1"/>
  <c r="DM120"/>
  <c r="EW120" s="1"/>
  <c r="DN120"/>
  <c r="DO120"/>
  <c r="EY120" s="1"/>
  <c r="DP120"/>
  <c r="DQ120"/>
  <c r="DR120"/>
  <c r="DS120"/>
  <c r="DT120"/>
  <c r="FD120" s="1"/>
  <c r="DU120"/>
  <c r="DV120"/>
  <c r="DW120"/>
  <c r="DX120"/>
  <c r="FH120" s="1"/>
  <c r="DY120"/>
  <c r="DZ120"/>
  <c r="FJ120" s="1"/>
  <c r="EA120"/>
  <c r="FK120" s="1"/>
  <c r="EB120"/>
  <c r="EC120"/>
  <c r="ED120"/>
  <c r="EE120"/>
  <c r="EF120"/>
  <c r="EG120"/>
  <c r="EH120"/>
  <c r="EI120"/>
  <c r="EJ120"/>
  <c r="FT120" s="1"/>
  <c r="DD120"/>
  <c r="DE120"/>
  <c r="DC120"/>
  <c r="BA120"/>
  <c r="CM120"/>
  <c r="CL120"/>
  <c r="CK120"/>
  <c r="AY120"/>
  <c r="B127"/>
  <c r="CW119"/>
  <c r="CX119"/>
  <c r="DG119" s="1"/>
  <c r="EQ119" s="1"/>
  <c r="CZ119"/>
  <c r="DI119"/>
  <c r="ES119" s="1"/>
  <c r="DM119"/>
  <c r="DO119"/>
  <c r="EY119" s="1"/>
  <c r="DQ119"/>
  <c r="DS119"/>
  <c r="DU119"/>
  <c r="DW119"/>
  <c r="DY119"/>
  <c r="EA119"/>
  <c r="FK119" s="1"/>
  <c r="EC119"/>
  <c r="EE119"/>
  <c r="EG119"/>
  <c r="EI119"/>
  <c r="DD119"/>
  <c r="DE119"/>
  <c r="DC119"/>
  <c r="BA119"/>
  <c r="CM119"/>
  <c r="CL119"/>
  <c r="CK119"/>
  <c r="AY119"/>
  <c r="B121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18"/>
  <c r="CZ117"/>
  <c r="DI117" s="1"/>
  <c r="ES117" s="1"/>
  <c r="DG117"/>
  <c r="EQ117" s="1"/>
  <c r="DK117"/>
  <c r="DO117"/>
  <c r="EY117" s="1"/>
  <c r="DS117"/>
  <c r="DW117"/>
  <c r="EA117"/>
  <c r="FK117" s="1"/>
  <c r="EE117"/>
  <c r="EI117"/>
  <c r="DD117"/>
  <c r="DE117"/>
  <c r="DC117"/>
  <c r="BA117"/>
  <c r="CM117" s="1"/>
  <c r="CL117"/>
  <c r="CK117"/>
  <c r="AY117"/>
  <c r="B113"/>
  <c r="CZ116"/>
  <c r="DG116" s="1"/>
  <c r="DF116"/>
  <c r="DH116"/>
  <c r="DJ116"/>
  <c r="DL116"/>
  <c r="DN116"/>
  <c r="DP116"/>
  <c r="DR116"/>
  <c r="DT116"/>
  <c r="FD116" s="1"/>
  <c r="DV116"/>
  <c r="DX116"/>
  <c r="FH116" s="1"/>
  <c r="DZ116"/>
  <c r="EB116"/>
  <c r="ED116"/>
  <c r="EF116"/>
  <c r="EH116"/>
  <c r="EJ116"/>
  <c r="FT116" s="1"/>
  <c r="DD116"/>
  <c r="DC116" s="1"/>
  <c r="BA116"/>
  <c r="CM116"/>
  <c r="CL116"/>
  <c r="CK116"/>
  <c r="AY116"/>
  <c r="B110"/>
  <c r="CZ115"/>
  <c r="DI115"/>
  <c r="ES115" s="1"/>
  <c r="DM115"/>
  <c r="DQ115"/>
  <c r="DU115"/>
  <c r="DY115"/>
  <c r="EC115"/>
  <c r="EG115"/>
  <c r="DD115"/>
  <c r="DE115"/>
  <c r="DC115"/>
  <c r="BA115"/>
  <c r="CM115" s="1"/>
  <c r="CL115"/>
  <c r="CK115"/>
  <c r="AY115"/>
  <c r="B108"/>
  <c r="CZ114"/>
  <c r="DG114" s="1"/>
  <c r="EQ114" s="1"/>
  <c r="DF114"/>
  <c r="DH114"/>
  <c r="ER114" s="1"/>
  <c r="DJ114"/>
  <c r="DL114"/>
  <c r="EV114" s="1"/>
  <c r="DN114"/>
  <c r="DP114"/>
  <c r="DR114"/>
  <c r="DT114"/>
  <c r="FD114" s="1"/>
  <c r="DV114"/>
  <c r="DX114"/>
  <c r="FH114" s="1"/>
  <c r="DZ114"/>
  <c r="EB114"/>
  <c r="ED114"/>
  <c r="EF114"/>
  <c r="EH114"/>
  <c r="EJ114"/>
  <c r="FT114" s="1"/>
  <c r="DD114"/>
  <c r="DC114" s="1"/>
  <c r="DE114"/>
  <c r="BA114"/>
  <c r="CM114"/>
  <c r="CL114"/>
  <c r="CK114"/>
  <c r="AY114"/>
  <c r="B115"/>
  <c r="CZ113"/>
  <c r="DI113" s="1"/>
  <c r="ES113" s="1"/>
  <c r="DG113"/>
  <c r="EQ113" s="1"/>
  <c r="DK113"/>
  <c r="DO113"/>
  <c r="DS113"/>
  <c r="DW113"/>
  <c r="EA113"/>
  <c r="FK113" s="1"/>
  <c r="EE113"/>
  <c r="EI113"/>
  <c r="DD113"/>
  <c r="DE113"/>
  <c r="DC113"/>
  <c r="BA113"/>
  <c r="CM113" s="1"/>
  <c r="CL113"/>
  <c r="CK113"/>
  <c r="AY113"/>
  <c r="B114"/>
  <c r="CZ112"/>
  <c r="DG112" s="1"/>
  <c r="EQ112" s="1"/>
  <c r="DF112"/>
  <c r="DH112"/>
  <c r="DJ112"/>
  <c r="ET112" s="1"/>
  <c r="DL112"/>
  <c r="DN112"/>
  <c r="DP112"/>
  <c r="DR112"/>
  <c r="DT112"/>
  <c r="FD112" s="1"/>
  <c r="DV112"/>
  <c r="DX112"/>
  <c r="FH112" s="1"/>
  <c r="DZ112"/>
  <c r="FJ112" s="1"/>
  <c r="EB112"/>
  <c r="ED112"/>
  <c r="EF112"/>
  <c r="EH112"/>
  <c r="EJ112"/>
  <c r="FT112" s="1"/>
  <c r="DD112"/>
  <c r="DC112" s="1"/>
  <c r="BA112"/>
  <c r="CM112"/>
  <c r="CL112"/>
  <c r="CK112"/>
  <c r="AY112"/>
  <c r="B109"/>
  <c r="CZ111"/>
  <c r="DI111"/>
  <c r="ES111" s="1"/>
  <c r="DM111"/>
  <c r="EW111" s="1"/>
  <c r="DQ111"/>
  <c r="DU111"/>
  <c r="FE111" s="1"/>
  <c r="DY111"/>
  <c r="EC111"/>
  <c r="EG111"/>
  <c r="DD111"/>
  <c r="DE111"/>
  <c r="DC111"/>
  <c r="BA111"/>
  <c r="CM111" s="1"/>
  <c r="CL111"/>
  <c r="CK111"/>
  <c r="AY111"/>
  <c r="B112"/>
  <c r="CZ110"/>
  <c r="DG110" s="1"/>
  <c r="EQ110" s="1"/>
  <c r="DF110"/>
  <c r="DH110"/>
  <c r="DJ110"/>
  <c r="ET110" s="1"/>
  <c r="DL110"/>
  <c r="DN110"/>
  <c r="DP110"/>
  <c r="EZ110" s="1"/>
  <c r="DR110"/>
  <c r="DT110"/>
  <c r="FD110" s="1"/>
  <c r="DV110"/>
  <c r="DX110"/>
  <c r="FH110" s="1"/>
  <c r="DZ110"/>
  <c r="FJ110" s="1"/>
  <c r="EB110"/>
  <c r="ED110"/>
  <c r="EF110"/>
  <c r="EH110"/>
  <c r="EJ110"/>
  <c r="FT110" s="1"/>
  <c r="DD110"/>
  <c r="DC110" s="1"/>
  <c r="DE110"/>
  <c r="BA110"/>
  <c r="CM110"/>
  <c r="CL110"/>
  <c r="CK110"/>
  <c r="AY110"/>
  <c r="B116"/>
  <c r="CZ109"/>
  <c r="DI109" s="1"/>
  <c r="ES109" s="1"/>
  <c r="DG109"/>
  <c r="EQ109" s="1"/>
  <c r="DK109"/>
  <c r="DO109"/>
  <c r="EY109" s="1"/>
  <c r="DS109"/>
  <c r="DW109"/>
  <c r="EA109"/>
  <c r="FK109" s="1"/>
  <c r="EE109"/>
  <c r="EI109"/>
  <c r="DD109"/>
  <c r="DE109"/>
  <c r="DC109"/>
  <c r="BA109"/>
  <c r="CM109" s="1"/>
  <c r="CL109"/>
  <c r="CK109"/>
  <c r="AY109"/>
  <c r="B117"/>
  <c r="CZ108"/>
  <c r="DG108" s="1"/>
  <c r="DF108"/>
  <c r="DH108"/>
  <c r="DJ108"/>
  <c r="DL108"/>
  <c r="DN108"/>
  <c r="DP108"/>
  <c r="DR108"/>
  <c r="DT108"/>
  <c r="DV108"/>
  <c r="DX108"/>
  <c r="DZ108"/>
  <c r="EB108"/>
  <c r="ED108"/>
  <c r="EF108"/>
  <c r="FP108" s="1"/>
  <c r="EH108"/>
  <c r="EJ108"/>
  <c r="DD108"/>
  <c r="DC108" s="1"/>
  <c r="CL108"/>
  <c r="CK108"/>
  <c r="AY108"/>
  <c r="B111"/>
  <c r="CW107"/>
  <c r="CX107"/>
  <c r="DG107" s="1"/>
  <c r="EQ107" s="1"/>
  <c r="CZ107"/>
  <c r="DO107" s="1"/>
  <c r="DI107"/>
  <c r="ES107" s="1"/>
  <c r="DM107"/>
  <c r="DQ107"/>
  <c r="DU107"/>
  <c r="DY107"/>
  <c r="EC107"/>
  <c r="EG107"/>
  <c r="DD107"/>
  <c r="DE107"/>
  <c r="DC107"/>
  <c r="BA107"/>
  <c r="CM107" s="1"/>
  <c r="CL107"/>
  <c r="CK107"/>
  <c r="AY107"/>
  <c r="B101"/>
  <c r="CZ106"/>
  <c r="DG106" s="1"/>
  <c r="EQ106" s="1"/>
  <c r="DF106"/>
  <c r="DH106"/>
  <c r="ER106" s="1"/>
  <c r="DJ106"/>
  <c r="ET106" s="1"/>
  <c r="DL106"/>
  <c r="EV106" s="1"/>
  <c r="DN106"/>
  <c r="DP106"/>
  <c r="DR106"/>
  <c r="DT106"/>
  <c r="FD106" s="1"/>
  <c r="DV106"/>
  <c r="DX106"/>
  <c r="FH106" s="1"/>
  <c r="DZ106"/>
  <c r="EB106"/>
  <c r="ED106"/>
  <c r="EF106"/>
  <c r="FP106" s="1"/>
  <c r="EH106"/>
  <c r="EJ106"/>
  <c r="FT106" s="1"/>
  <c r="DD106"/>
  <c r="DC106" s="1"/>
  <c r="DE106"/>
  <c r="BA106"/>
  <c r="CM106"/>
  <c r="CL106"/>
  <c r="CK106"/>
  <c r="AY106"/>
  <c r="B102"/>
  <c r="CZ105"/>
  <c r="DI105" s="1"/>
  <c r="ES105" s="1"/>
  <c r="DG105"/>
  <c r="EQ105" s="1"/>
  <c r="DK105"/>
  <c r="DO105"/>
  <c r="DS105"/>
  <c r="DW105"/>
  <c r="EA105"/>
  <c r="FK105" s="1"/>
  <c r="EE105"/>
  <c r="EI105"/>
  <c r="DD105"/>
  <c r="DE105"/>
  <c r="DC105"/>
  <c r="BA105"/>
  <c r="CM105" s="1"/>
  <c r="CL105"/>
  <c r="CK105"/>
  <c r="AY105"/>
  <c r="B103"/>
  <c r="CZ104"/>
  <c r="DG104" s="1"/>
  <c r="EQ104" s="1"/>
  <c r="DF104"/>
  <c r="DH104"/>
  <c r="DJ104"/>
  <c r="ET104" s="1"/>
  <c r="DL104"/>
  <c r="EV104" s="1"/>
  <c r="DN104"/>
  <c r="DP104"/>
  <c r="EZ104" s="1"/>
  <c r="DR104"/>
  <c r="DT104"/>
  <c r="FD104" s="1"/>
  <c r="DV104"/>
  <c r="DX104"/>
  <c r="FH104" s="1"/>
  <c r="DZ104"/>
  <c r="FJ104" s="1"/>
  <c r="EB104"/>
  <c r="ED104"/>
  <c r="EF104"/>
  <c r="EH104"/>
  <c r="EJ104"/>
  <c r="FT104" s="1"/>
  <c r="DD104"/>
  <c r="DC104" s="1"/>
  <c r="BA104"/>
  <c r="CM104"/>
  <c r="CL104"/>
  <c r="CK104"/>
  <c r="AY104"/>
  <c r="B105"/>
  <c r="CZ103"/>
  <c r="DI103"/>
  <c r="ES103" s="1"/>
  <c r="DM103"/>
  <c r="EW103" s="1"/>
  <c r="DQ103"/>
  <c r="DU103"/>
  <c r="FE103" s="1"/>
  <c r="DY103"/>
  <c r="EC103"/>
  <c r="EG103"/>
  <c r="DD103"/>
  <c r="DE103"/>
  <c r="DC103"/>
  <c r="BA103"/>
  <c r="CM103" s="1"/>
  <c r="CL103"/>
  <c r="CK103"/>
  <c r="AY103"/>
  <c r="B107"/>
  <c r="CZ102"/>
  <c r="DG102" s="1"/>
  <c r="EQ102" s="1"/>
  <c r="DF102"/>
  <c r="DH102"/>
  <c r="DJ102"/>
  <c r="ET102" s="1"/>
  <c r="DL102"/>
  <c r="EV102" s="1"/>
  <c r="DN102"/>
  <c r="DP102"/>
  <c r="EZ102" s="1"/>
  <c r="DR102"/>
  <c r="DT102"/>
  <c r="FD102" s="1"/>
  <c r="DV102"/>
  <c r="DX102"/>
  <c r="FH102" s="1"/>
  <c r="DZ102"/>
  <c r="FJ102" s="1"/>
  <c r="EB102"/>
  <c r="ED102"/>
  <c r="EF102"/>
  <c r="EH102"/>
  <c r="EJ102"/>
  <c r="FT102" s="1"/>
  <c r="DD102"/>
  <c r="DC102" s="1"/>
  <c r="DE102"/>
  <c r="BA102"/>
  <c r="CM102"/>
  <c r="CL102"/>
  <c r="CK102"/>
  <c r="AY102"/>
  <c r="B98"/>
  <c r="CX101"/>
  <c r="DG101" s="1"/>
  <c r="EQ101" s="1"/>
  <c r="CZ101"/>
  <c r="DI101"/>
  <c r="ES101" s="1"/>
  <c r="DM101"/>
  <c r="DN101"/>
  <c r="DO101"/>
  <c r="DP101"/>
  <c r="EZ101" s="1"/>
  <c r="DQ101"/>
  <c r="FA101" s="1"/>
  <c r="DR101"/>
  <c r="DS101"/>
  <c r="DT101"/>
  <c r="FD101" s="1"/>
  <c r="DU101"/>
  <c r="FE101" s="1"/>
  <c r="DV101"/>
  <c r="DW101"/>
  <c r="DX101"/>
  <c r="FH101" s="1"/>
  <c r="DY101"/>
  <c r="DZ101"/>
  <c r="EA101"/>
  <c r="FK101" s="1"/>
  <c r="EB101"/>
  <c r="EC101"/>
  <c r="ED101"/>
  <c r="EE101"/>
  <c r="EF101"/>
  <c r="EG101"/>
  <c r="EH101"/>
  <c r="EI101"/>
  <c r="EJ101"/>
  <c r="FT101" s="1"/>
  <c r="DD101"/>
  <c r="DE101"/>
  <c r="DC101"/>
  <c r="BA101"/>
  <c r="CM101"/>
  <c r="CL101"/>
  <c r="CK101"/>
  <c r="AY101"/>
  <c r="B104"/>
  <c r="CX100"/>
  <c r="CZ100"/>
  <c r="DI100" s="1"/>
  <c r="ES100" s="1"/>
  <c r="DG100"/>
  <c r="EQ100" s="1"/>
  <c r="DK100"/>
  <c r="EU100" s="1"/>
  <c r="DO100"/>
  <c r="DS100"/>
  <c r="DW100"/>
  <c r="EA100"/>
  <c r="FK100" s="1"/>
  <c r="EE100"/>
  <c r="EI100"/>
  <c r="DD100"/>
  <c r="DE100"/>
  <c r="DC100"/>
  <c r="BA100"/>
  <c r="CM100" s="1"/>
  <c r="CL100"/>
  <c r="CK100"/>
  <c r="AY100"/>
  <c r="B99"/>
  <c r="CZ99"/>
  <c r="DG99" s="1"/>
  <c r="EQ99" s="1"/>
  <c r="DF99"/>
  <c r="DH99"/>
  <c r="DJ99"/>
  <c r="ET99" s="1"/>
  <c r="DL99"/>
  <c r="EV99" s="1"/>
  <c r="DN99"/>
  <c r="DP99"/>
  <c r="EZ99" s="1"/>
  <c r="DR99"/>
  <c r="DT99"/>
  <c r="FD99" s="1"/>
  <c r="DV99"/>
  <c r="DX99"/>
  <c r="FH99" s="1"/>
  <c r="DZ99"/>
  <c r="EB99"/>
  <c r="ED99"/>
  <c r="EF99"/>
  <c r="FP99" s="1"/>
  <c r="EG99"/>
  <c r="EH99"/>
  <c r="EI99"/>
  <c r="FS99" s="1"/>
  <c r="EJ99"/>
  <c r="FT99" s="1"/>
  <c r="DD99"/>
  <c r="DC99" s="1"/>
  <c r="BA99"/>
  <c r="CM99"/>
  <c r="CL99"/>
  <c r="CK99"/>
  <c r="AY99"/>
  <c r="B106"/>
  <c r="CZ98"/>
  <c r="DI98"/>
  <c r="DM98"/>
  <c r="DQ98"/>
  <c r="DU98"/>
  <c r="DY98"/>
  <c r="EC98"/>
  <c r="EG98"/>
  <c r="DD98"/>
  <c r="DE98" s="1"/>
  <c r="DC98"/>
  <c r="CL98"/>
  <c r="CK98"/>
  <c r="AY98"/>
  <c r="B100"/>
  <c r="CZ97"/>
  <c r="DG97" s="1"/>
  <c r="EQ97" s="1"/>
  <c r="DD97"/>
  <c r="DE97" s="1"/>
  <c r="DC97"/>
  <c r="BA97"/>
  <c r="CM97" s="1"/>
  <c r="CL97"/>
  <c r="CK97"/>
  <c r="AY97"/>
  <c r="B97"/>
  <c r="CZ96"/>
  <c r="DF96"/>
  <c r="DG96"/>
  <c r="EQ96" s="1"/>
  <c r="DH96"/>
  <c r="DI96"/>
  <c r="ES96" s="1"/>
  <c r="DJ96"/>
  <c r="ET96" s="1"/>
  <c r="DK96"/>
  <c r="DL96"/>
  <c r="EV96" s="1"/>
  <c r="DM96"/>
  <c r="DN96"/>
  <c r="DO96"/>
  <c r="DP96"/>
  <c r="DQ96"/>
  <c r="DR96"/>
  <c r="DS96"/>
  <c r="DT96"/>
  <c r="FD96" s="1"/>
  <c r="DU96"/>
  <c r="DV96"/>
  <c r="DW96"/>
  <c r="DX96"/>
  <c r="FH96" s="1"/>
  <c r="DY96"/>
  <c r="DZ96"/>
  <c r="FJ96" s="1"/>
  <c r="EA96"/>
  <c r="FK96" s="1"/>
  <c r="EB96"/>
  <c r="EC96"/>
  <c r="ED96"/>
  <c r="FN96" s="1"/>
  <c r="EE96"/>
  <c r="EF96"/>
  <c r="EG96"/>
  <c r="EH96"/>
  <c r="EI96"/>
  <c r="EJ96"/>
  <c r="FT96" s="1"/>
  <c r="DD96"/>
  <c r="DC96" s="1"/>
  <c r="BA96"/>
  <c r="CM96"/>
  <c r="CL96"/>
  <c r="CK96"/>
  <c r="AY96"/>
  <c r="B93"/>
  <c r="CZ95"/>
  <c r="DD95"/>
  <c r="DE95" s="1"/>
  <c r="DC95"/>
  <c r="BA95"/>
  <c r="CM95" s="1"/>
  <c r="CL95"/>
  <c r="CK95"/>
  <c r="AY95"/>
  <c r="B92"/>
  <c r="CZ94"/>
  <c r="DF94"/>
  <c r="DG94"/>
  <c r="EQ94" s="1"/>
  <c r="DH94"/>
  <c r="DI94"/>
  <c r="ES94" s="1"/>
  <c r="DJ94"/>
  <c r="ET94" s="1"/>
  <c r="DK94"/>
  <c r="EU94" s="1"/>
  <c r="DL94"/>
  <c r="EV94" s="1"/>
  <c r="DM94"/>
  <c r="EW94" s="1"/>
  <c r="DN94"/>
  <c r="DO94"/>
  <c r="EY94" s="1"/>
  <c r="DP94"/>
  <c r="EZ94" s="1"/>
  <c r="DQ94"/>
  <c r="DR94"/>
  <c r="DS94"/>
  <c r="FC94" s="1"/>
  <c r="DT94"/>
  <c r="FD94" s="1"/>
  <c r="DU94"/>
  <c r="DV94"/>
  <c r="DW94"/>
  <c r="DX94"/>
  <c r="FH94" s="1"/>
  <c r="DY94"/>
  <c r="DZ94"/>
  <c r="EA94"/>
  <c r="FK94" s="1"/>
  <c r="EB94"/>
  <c r="EC94"/>
  <c r="ED94"/>
  <c r="EE94"/>
  <c r="EF94"/>
  <c r="FP94" s="1"/>
  <c r="EG94"/>
  <c r="EH94"/>
  <c r="EI94"/>
  <c r="FS94" s="1"/>
  <c r="EJ94"/>
  <c r="FT94" s="1"/>
  <c r="DD94"/>
  <c r="DC94" s="1"/>
  <c r="BA94"/>
  <c r="CM94"/>
  <c r="CL94"/>
  <c r="CK94"/>
  <c r="AY94"/>
  <c r="B90"/>
  <c r="CZ93"/>
  <c r="DD93"/>
  <c r="DE93" s="1"/>
  <c r="DC93"/>
  <c r="BA93"/>
  <c r="CM93" s="1"/>
  <c r="CL93"/>
  <c r="CK93"/>
  <c r="AY93"/>
  <c r="B88"/>
  <c r="CZ92"/>
  <c r="DF92"/>
  <c r="DG92"/>
  <c r="EQ92" s="1"/>
  <c r="DH92"/>
  <c r="DI92"/>
  <c r="ES92" s="1"/>
  <c r="DJ92"/>
  <c r="ET92" s="1"/>
  <c r="DK92"/>
  <c r="DL92"/>
  <c r="EV92" s="1"/>
  <c r="DM92"/>
  <c r="DN92"/>
  <c r="DO92"/>
  <c r="DP92"/>
  <c r="EZ92" s="1"/>
  <c r="DQ92"/>
  <c r="DR92"/>
  <c r="DS92"/>
  <c r="FC92" s="1"/>
  <c r="DT92"/>
  <c r="FD92" s="1"/>
  <c r="DU92"/>
  <c r="DV92"/>
  <c r="DW92"/>
  <c r="FG92" s="1"/>
  <c r="DX92"/>
  <c r="FH92" s="1"/>
  <c r="DY92"/>
  <c r="DZ92"/>
  <c r="EA92"/>
  <c r="FK92" s="1"/>
  <c r="EB92"/>
  <c r="EC92"/>
  <c r="ED92"/>
  <c r="EE92"/>
  <c r="EF92"/>
  <c r="FP92" s="1"/>
  <c r="EG92"/>
  <c r="EH92"/>
  <c r="EI92"/>
  <c r="EJ92"/>
  <c r="FT92" s="1"/>
  <c r="DD92"/>
  <c r="DC92" s="1"/>
  <c r="BA92"/>
  <c r="CM92"/>
  <c r="CL92"/>
  <c r="CK92"/>
  <c r="AY92"/>
  <c r="B94"/>
  <c r="CZ91"/>
  <c r="DG91" s="1"/>
  <c r="EQ91" s="1"/>
  <c r="DD91"/>
  <c r="DE91" s="1"/>
  <c r="DC91"/>
  <c r="BA91"/>
  <c r="CM91" s="1"/>
  <c r="CL91"/>
  <c r="CK91"/>
  <c r="AY91"/>
  <c r="B96"/>
  <c r="CZ90"/>
  <c r="DF90"/>
  <c r="DG90"/>
  <c r="EQ90" s="1"/>
  <c r="DH90"/>
  <c r="DI90"/>
  <c r="ES90" s="1"/>
  <c r="DJ90"/>
  <c r="ET90" s="1"/>
  <c r="DK90"/>
  <c r="DL90"/>
  <c r="EV90" s="1"/>
  <c r="DM90"/>
  <c r="DN90"/>
  <c r="DO90"/>
  <c r="DP90"/>
  <c r="EZ90" s="1"/>
  <c r="DQ90"/>
  <c r="FA90" s="1"/>
  <c r="DR90"/>
  <c r="DS90"/>
  <c r="DT90"/>
  <c r="FD90" s="1"/>
  <c r="DU90"/>
  <c r="DV90"/>
  <c r="DW90"/>
  <c r="DX90"/>
  <c r="FH90" s="1"/>
  <c r="DY90"/>
  <c r="DZ90"/>
  <c r="EA90"/>
  <c r="FK90" s="1"/>
  <c r="EB90"/>
  <c r="EC90"/>
  <c r="ED90"/>
  <c r="EE90"/>
  <c r="EF90"/>
  <c r="EG90"/>
  <c r="EH90"/>
  <c r="EI90"/>
  <c r="EJ90"/>
  <c r="FT90" s="1"/>
  <c r="DD90"/>
  <c r="DC90" s="1"/>
  <c r="BA90"/>
  <c r="CM90"/>
  <c r="CL90"/>
  <c r="CK90"/>
  <c r="AY90"/>
  <c r="B89"/>
  <c r="CX89"/>
  <c r="CZ89"/>
  <c r="DN89" s="1"/>
  <c r="DO89"/>
  <c r="DQ89"/>
  <c r="DS89"/>
  <c r="FC89" s="1"/>
  <c r="DU89"/>
  <c r="DW89"/>
  <c r="DY89"/>
  <c r="EA89"/>
  <c r="FK89" s="1"/>
  <c r="EC89"/>
  <c r="EE89"/>
  <c r="EG89"/>
  <c r="EI89"/>
  <c r="DD89"/>
  <c r="DE89"/>
  <c r="DC89"/>
  <c r="BA89"/>
  <c r="CM89" s="1"/>
  <c r="CL89"/>
  <c r="CK89"/>
  <c r="AY89"/>
  <c r="B91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95"/>
  <c r="C79"/>
  <c r="C78"/>
  <c r="C77"/>
  <c r="C76"/>
  <c r="C75"/>
  <c r="C74"/>
  <c r="C73"/>
  <c r="C72"/>
  <c r="C71"/>
  <c r="C70"/>
  <c r="E61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EV158" l="1"/>
  <c r="FA98"/>
  <c r="ES158"/>
  <c r="EZ88"/>
  <c r="FD108"/>
  <c r="DT214"/>
  <c r="EV108"/>
  <c r="EQ108"/>
  <c r="EQ118"/>
  <c r="DP219"/>
  <c r="DP214"/>
  <c r="DR217"/>
  <c r="FE174"/>
  <c r="FD158"/>
  <c r="EV88"/>
  <c r="ER108"/>
  <c r="ET108"/>
  <c r="EQ138"/>
  <c r="FM89"/>
  <c r="FQ90"/>
  <c r="FI90"/>
  <c r="EX99"/>
  <c r="FI101"/>
  <c r="FM107"/>
  <c r="FM115"/>
  <c r="FI137"/>
  <c r="FI141"/>
  <c r="EX154"/>
  <c r="EX170"/>
  <c r="FQ89"/>
  <c r="FG90"/>
  <c r="FC90"/>
  <c r="FR92"/>
  <c r="FJ92"/>
  <c r="FC100"/>
  <c r="FC101"/>
  <c r="FN122"/>
  <c r="FR124"/>
  <c r="FJ124"/>
  <c r="FR129"/>
  <c r="FR132"/>
  <c r="FR135"/>
  <c r="FR142"/>
  <c r="FG144"/>
  <c r="FR146"/>
  <c r="FJ146"/>
  <c r="FR154"/>
  <c r="FJ154"/>
  <c r="FR159"/>
  <c r="FR165"/>
  <c r="FJ165"/>
  <c r="EY174"/>
  <c r="EU176"/>
  <c r="FN180"/>
  <c r="FI180"/>
  <c r="FI181"/>
  <c r="EY182"/>
  <c r="EU182"/>
  <c r="Y377"/>
  <c r="W372"/>
  <c r="W381" s="1"/>
  <c r="EX89"/>
  <c r="FM90"/>
  <c r="EX96"/>
  <c r="FM101"/>
  <c r="EX132"/>
  <c r="EX134"/>
  <c r="FM137"/>
  <c r="EX145"/>
  <c r="EX146"/>
  <c r="FM153"/>
  <c r="EX162"/>
  <c r="EX163"/>
  <c r="EY89"/>
  <c r="FJ90"/>
  <c r="FM92"/>
  <c r="FI92"/>
  <c r="EY96"/>
  <c r="EU96"/>
  <c r="EY100"/>
  <c r="FJ101"/>
  <c r="FI103"/>
  <c r="EU105"/>
  <c r="FQ107"/>
  <c r="FC109"/>
  <c r="FI111"/>
  <c r="EU113"/>
  <c r="FQ115"/>
  <c r="FI119"/>
  <c r="FM124"/>
  <c r="FI124"/>
  <c r="FM140"/>
  <c r="FM142"/>
  <c r="FI142"/>
  <c r="EY145"/>
  <c r="EU151"/>
  <c r="EY153"/>
  <c r="FN157"/>
  <c r="FM159"/>
  <c r="FI159"/>
  <c r="EY162"/>
  <c r="EU162"/>
  <c r="FG163"/>
  <c r="EY163"/>
  <c r="EU163"/>
  <c r="FQ165"/>
  <c r="FM165"/>
  <c r="FI165"/>
  <c r="EU169"/>
  <c r="EY170"/>
  <c r="EU170"/>
  <c r="FJ171"/>
  <c r="FC174"/>
  <c r="FM180"/>
  <c r="EU180"/>
  <c r="EY181"/>
  <c r="FM185"/>
  <c r="EY185"/>
  <c r="EY186"/>
  <c r="AD372"/>
  <c r="AD382" s="1"/>
  <c r="H516"/>
  <c r="EX88"/>
  <c r="EX90"/>
  <c r="FA92"/>
  <c r="FS96"/>
  <c r="EX101"/>
  <c r="EX102"/>
  <c r="EX104"/>
  <c r="FA107"/>
  <c r="FS109"/>
  <c r="EX110"/>
  <c r="FA115"/>
  <c r="FA119"/>
  <c r="EX129"/>
  <c r="EX139"/>
  <c r="FS144"/>
  <c r="EX158"/>
  <c r="FA159"/>
  <c r="FS163"/>
  <c r="AB380"/>
  <c r="FS89"/>
  <c r="FP90"/>
  <c r="FS92"/>
  <c r="EY92"/>
  <c r="EU92"/>
  <c r="EX94"/>
  <c r="FM96"/>
  <c r="FI96"/>
  <c r="FE96"/>
  <c r="FA96"/>
  <c r="FP101"/>
  <c r="FA103"/>
  <c r="FS105"/>
  <c r="EX106"/>
  <c r="FI107"/>
  <c r="EU109"/>
  <c r="FI115"/>
  <c r="EX116"/>
  <c r="EU117"/>
  <c r="EU118"/>
  <c r="FM119"/>
  <c r="FS124"/>
  <c r="EY124"/>
  <c r="FM130"/>
  <c r="FM131"/>
  <c r="FI131"/>
  <c r="EX131"/>
  <c r="FP139"/>
  <c r="EU139"/>
  <c r="FI140"/>
  <c r="FA140"/>
  <c r="EY141"/>
  <c r="FS142"/>
  <c r="EY142"/>
  <c r="EU144"/>
  <c r="FM145"/>
  <c r="FI145"/>
  <c r="FA145"/>
  <c r="FP149"/>
  <c r="EY151"/>
  <c r="EU153"/>
  <c r="EX156"/>
  <c r="EY159"/>
  <c r="FM162"/>
  <c r="FI162"/>
  <c r="FM163"/>
  <c r="FI163"/>
  <c r="FA163"/>
  <c r="EU164"/>
  <c r="FS165"/>
  <c r="EY165"/>
  <c r="EU165"/>
  <c r="EU166"/>
  <c r="FM170"/>
  <c r="FI170"/>
  <c r="FA170"/>
  <c r="EX173"/>
  <c r="FM174"/>
  <c r="FI174"/>
  <c r="EU174"/>
  <c r="EX177"/>
  <c r="FA180"/>
  <c r="FM181"/>
  <c r="FM182"/>
  <c r="FI182"/>
  <c r="EU185"/>
  <c r="EX186"/>
  <c r="U374"/>
  <c r="H375"/>
  <c r="U379"/>
  <c r="Z372"/>
  <c r="Z381" s="1"/>
  <c r="P372"/>
  <c r="P374" s="1"/>
  <c r="FE92"/>
  <c r="FS117"/>
  <c r="FE124"/>
  <c r="EX126"/>
  <c r="EX136"/>
  <c r="FA142"/>
  <c r="EX152"/>
  <c r="EX164"/>
  <c r="FA165"/>
  <c r="FA166"/>
  <c r="FS170"/>
  <c r="FS182"/>
  <c r="L378"/>
  <c r="FI89"/>
  <c r="FA89"/>
  <c r="FS90"/>
  <c r="FO90"/>
  <c r="EY90"/>
  <c r="EU90"/>
  <c r="FF92"/>
  <c r="FB92"/>
  <c r="EX92"/>
  <c r="FM94"/>
  <c r="FI94"/>
  <c r="FE94"/>
  <c r="FA94"/>
  <c r="FP96"/>
  <c r="ER96"/>
  <c r="FB99"/>
  <c r="FS100"/>
  <c r="FS101"/>
  <c r="FO101"/>
  <c r="EY101"/>
  <c r="FP102"/>
  <c r="FM103"/>
  <c r="FP104"/>
  <c r="FO105"/>
  <c r="EY105"/>
  <c r="FE107"/>
  <c r="EY107"/>
  <c r="FP110"/>
  <c r="FM111"/>
  <c r="FP112"/>
  <c r="FO113"/>
  <c r="EY113"/>
  <c r="FL114"/>
  <c r="FL116"/>
  <c r="FM120"/>
  <c r="FI120"/>
  <c r="FE120"/>
  <c r="FF122"/>
  <c r="EX122"/>
  <c r="FF124"/>
  <c r="FB124"/>
  <c r="FP125"/>
  <c r="FP126"/>
  <c r="ER126"/>
  <c r="FB129"/>
  <c r="ER129"/>
  <c r="FI130"/>
  <c r="FA131"/>
  <c r="FB132"/>
  <c r="FF134"/>
  <c r="FB135"/>
  <c r="FP136"/>
  <c r="FS137"/>
  <c r="FO137"/>
  <c r="EY137"/>
  <c r="EU137"/>
  <c r="FP138"/>
  <c r="FO139"/>
  <c r="FI139"/>
  <c r="EY139"/>
  <c r="FO140"/>
  <c r="EY140"/>
  <c r="FM141"/>
  <c r="FF142"/>
  <c r="FB142"/>
  <c r="EX142"/>
  <c r="FM143"/>
  <c r="FI143"/>
  <c r="FB146"/>
  <c r="FL147"/>
  <c r="FF149"/>
  <c r="FL150"/>
  <c r="FI153"/>
  <c r="FA153"/>
  <c r="FB154"/>
  <c r="FO155"/>
  <c r="EU155"/>
  <c r="FM156"/>
  <c r="FI156"/>
  <c r="FF159"/>
  <c r="FB159"/>
  <c r="ER159"/>
  <c r="ER162"/>
  <c r="FP163"/>
  <c r="FO164"/>
  <c r="FI164"/>
  <c r="EY164"/>
  <c r="FF165"/>
  <c r="FB165"/>
  <c r="FF166"/>
  <c r="FP167"/>
  <c r="EU167"/>
  <c r="FO169"/>
  <c r="EY169"/>
  <c r="FP170"/>
  <c r="ER170"/>
  <c r="FM173"/>
  <c r="FI173"/>
  <c r="FL174"/>
  <c r="FM176"/>
  <c r="FE180"/>
  <c r="FS181"/>
  <c r="FP182"/>
  <c r="FM186"/>
  <c r="FI186"/>
  <c r="FA186"/>
  <c r="FF187"/>
  <c r="H379"/>
  <c r="FO89"/>
  <c r="FR90"/>
  <c r="FF90"/>
  <c r="FB90"/>
  <c r="EW92"/>
  <c r="FO96"/>
  <c r="FO100"/>
  <c r="FR101"/>
  <c r="FF101"/>
  <c r="FB101"/>
  <c r="FF102"/>
  <c r="FF104"/>
  <c r="FR106"/>
  <c r="FB106"/>
  <c r="FF110"/>
  <c r="FF112"/>
  <c r="FR114"/>
  <c r="FB114"/>
  <c r="FR116"/>
  <c r="FB116"/>
  <c r="FF125"/>
  <c r="FF126"/>
  <c r="FO131"/>
  <c r="FR134"/>
  <c r="FB134"/>
  <c r="FF136"/>
  <c r="FR137"/>
  <c r="FF137"/>
  <c r="FB137"/>
  <c r="EW142"/>
  <c r="FB143"/>
  <c r="FO145"/>
  <c r="FR147"/>
  <c r="FB147"/>
  <c r="FR150"/>
  <c r="FB150"/>
  <c r="FO151"/>
  <c r="FF152"/>
  <c r="FO153"/>
  <c r="FF157"/>
  <c r="FF158"/>
  <c r="FF161"/>
  <c r="FO162"/>
  <c r="FO163"/>
  <c r="EW165"/>
  <c r="FO170"/>
  <c r="FR171"/>
  <c r="FB171"/>
  <c r="FO174"/>
  <c r="FB175"/>
  <c r="FF177"/>
  <c r="FO182"/>
  <c r="FR183"/>
  <c r="FB183"/>
  <c r="FO185"/>
  <c r="W375"/>
  <c r="AD381"/>
  <c r="N372"/>
  <c r="FO92"/>
  <c r="FR94"/>
  <c r="FF94"/>
  <c r="FB94"/>
  <c r="EW96"/>
  <c r="EW98"/>
  <c r="FR99"/>
  <c r="FL99"/>
  <c r="FR102"/>
  <c r="FB102"/>
  <c r="FR104"/>
  <c r="FB104"/>
  <c r="FF106"/>
  <c r="FR110"/>
  <c r="FB110"/>
  <c r="FR112"/>
  <c r="FB112"/>
  <c r="FF114"/>
  <c r="FF116"/>
  <c r="EW119"/>
  <c r="FR120"/>
  <c r="FF120"/>
  <c r="FB120"/>
  <c r="FO124"/>
  <c r="FR125"/>
  <c r="FB125"/>
  <c r="FR126"/>
  <c r="FB126"/>
  <c r="FF129"/>
  <c r="EW130"/>
  <c r="FB131"/>
  <c r="FR136"/>
  <c r="FB136"/>
  <c r="FF139"/>
  <c r="FO141"/>
  <c r="FO142"/>
  <c r="FR143"/>
  <c r="FF143"/>
  <c r="EW145"/>
  <c r="FF147"/>
  <c r="FF150"/>
  <c r="FR152"/>
  <c r="FB152"/>
  <c r="FR156"/>
  <c r="FF156"/>
  <c r="FB156"/>
  <c r="FR157"/>
  <c r="FB157"/>
  <c r="FO159"/>
  <c r="EW162"/>
  <c r="FF164"/>
  <c r="FO165"/>
  <c r="EW170"/>
  <c r="FF171"/>
  <c r="FR173"/>
  <c r="FF173"/>
  <c r="FB173"/>
  <c r="FB174"/>
  <c r="FR175"/>
  <c r="FF180"/>
  <c r="EW182"/>
  <c r="FR186"/>
  <c r="FF186"/>
  <c r="FB186"/>
  <c r="J377"/>
  <c r="J378"/>
  <c r="AD380"/>
  <c r="AF372"/>
  <c r="AF381" s="1"/>
  <c r="H468"/>
  <c r="EW90"/>
  <c r="FL92"/>
  <c r="FO94"/>
  <c r="FR96"/>
  <c r="FF96"/>
  <c r="FB96"/>
  <c r="FF99"/>
  <c r="EW101"/>
  <c r="EW107"/>
  <c r="FO109"/>
  <c r="EW115"/>
  <c r="FO117"/>
  <c r="FO119"/>
  <c r="FO120"/>
  <c r="FR122"/>
  <c r="FB122"/>
  <c r="FR131"/>
  <c r="FF131"/>
  <c r="FF132"/>
  <c r="FF135"/>
  <c r="EW137"/>
  <c r="FO143"/>
  <c r="FO144"/>
  <c r="FR145"/>
  <c r="FF145"/>
  <c r="FB145"/>
  <c r="FF146"/>
  <c r="FR149"/>
  <c r="FB149"/>
  <c r="EW153"/>
  <c r="FF154"/>
  <c r="FO156"/>
  <c r="EW158"/>
  <c r="FR162"/>
  <c r="FF162"/>
  <c r="FB162"/>
  <c r="FR163"/>
  <c r="FF163"/>
  <c r="FB163"/>
  <c r="FR170"/>
  <c r="FF170"/>
  <c r="FB170"/>
  <c r="FO173"/>
  <c r="FR174"/>
  <c r="FF174"/>
  <c r="EW174"/>
  <c r="FB179"/>
  <c r="FR180"/>
  <c r="FB180"/>
  <c r="FO181"/>
  <c r="FR182"/>
  <c r="FF182"/>
  <c r="FB182"/>
  <c r="FO186"/>
  <c r="FR187"/>
  <c r="J373"/>
  <c r="AI372"/>
  <c r="AI376" s="1"/>
  <c r="S372"/>
  <c r="EK137"/>
  <c r="FD88"/>
  <c r="EV128"/>
  <c r="FS138"/>
  <c r="FM138"/>
  <c r="FI158"/>
  <c r="FB178"/>
  <c r="EY178"/>
  <c r="EY118"/>
  <c r="EZ128"/>
  <c r="EW138"/>
  <c r="ES138"/>
  <c r="FR148"/>
  <c r="FI178"/>
  <c r="EU178"/>
  <c r="FP88"/>
  <c r="FH88"/>
  <c r="ER88"/>
  <c r="FE98"/>
  <c r="FN10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FP178"/>
  <c r="FT138"/>
  <c r="FD138"/>
  <c r="FT158"/>
  <c r="FN158"/>
  <c r="EZ178"/>
  <c r="FT88"/>
  <c r="FM98"/>
  <c r="FJ108"/>
  <c r="EX108"/>
  <c r="FK118"/>
  <c r="FI138"/>
  <c r="FF138"/>
  <c r="FM158"/>
  <c r="EY158"/>
  <c r="FJ168"/>
  <c r="FS178"/>
  <c r="FF88"/>
  <c r="FR108"/>
  <c r="FF108"/>
  <c r="FO118"/>
  <c r="FP128"/>
  <c r="FB148"/>
  <c r="ET168"/>
  <c r="FT178"/>
  <c r="FM178"/>
  <c r="FC178"/>
  <c r="FR88"/>
  <c r="FJ88"/>
  <c r="FB88"/>
  <c r="ET88"/>
  <c r="FI98"/>
  <c r="ES98"/>
  <c r="FH128"/>
  <c r="FE138"/>
  <c r="EY138"/>
  <c r="EU138"/>
  <c r="FJ148"/>
  <c r="FO158"/>
  <c r="FH158"/>
  <c r="FE158"/>
  <c r="FB158"/>
  <c r="FR178"/>
  <c r="FO178"/>
  <c r="FK178"/>
  <c r="ES178"/>
  <c r="FF178"/>
  <c r="FT108"/>
  <c r="FH108"/>
  <c r="FR138"/>
  <c r="FH138"/>
  <c r="FB138"/>
  <c r="FR158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I28"/>
  <c r="I44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U23"/>
  <c r="U39" s="1"/>
  <c r="M23"/>
  <c r="M39" s="1"/>
  <c r="I23"/>
  <c r="I39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AI28"/>
  <c r="AI44" s="1"/>
  <c r="AA28"/>
  <c r="AA44" s="1"/>
  <c r="W28"/>
  <c r="W44" s="1"/>
  <c r="S28"/>
  <c r="S44" s="1"/>
  <c r="O28"/>
  <c r="O44" s="1"/>
  <c r="K28"/>
  <c r="K44" s="1"/>
  <c r="G28"/>
  <c r="G44" s="1"/>
  <c r="G430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U27"/>
  <c r="U43" s="1"/>
  <c r="Q27"/>
  <c r="Q43" s="1"/>
  <c r="M27"/>
  <c r="M43" s="1"/>
  <c r="I27"/>
  <c r="I43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Q26"/>
  <c r="Q42" s="1"/>
  <c r="I26"/>
  <c r="I42" s="1"/>
  <c r="X27"/>
  <c r="X43" s="1"/>
  <c r="D75"/>
  <c r="D541" s="1"/>
  <c r="G26"/>
  <c r="G42" s="1"/>
  <c r="G428" s="1"/>
  <c r="G25"/>
  <c r="G41" s="1"/>
  <c r="G427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Q25"/>
  <c r="Q41" s="1"/>
  <c r="M25"/>
  <c r="M41" s="1"/>
  <c r="I25"/>
  <c r="I41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U24"/>
  <c r="U40" s="1"/>
  <c r="Q24"/>
  <c r="Q40" s="1"/>
  <c r="M24"/>
  <c r="M40" s="1"/>
  <c r="I24"/>
  <c r="I40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Q23"/>
  <c r="Q39" s="1"/>
  <c r="D72"/>
  <c r="D535" s="1"/>
  <c r="Y22"/>
  <c r="Y38" s="1"/>
  <c r="AI30"/>
  <c r="AI46" s="1"/>
  <c r="AA30"/>
  <c r="AA46" s="1"/>
  <c r="O30"/>
  <c r="O46" s="1"/>
  <c r="G21"/>
  <c r="G37" s="1"/>
  <c r="G423" s="1"/>
  <c r="X30"/>
  <c r="X46" s="1"/>
  <c r="T30"/>
  <c r="T46" s="1"/>
  <c r="H30"/>
  <c r="H46" s="1"/>
  <c r="AK30"/>
  <c r="AK46" s="1"/>
  <c r="AG21"/>
  <c r="AG37" s="1"/>
  <c r="AC30"/>
  <c r="AC46" s="1"/>
  <c r="Y30"/>
  <c r="Y46" s="1"/>
  <c r="U21"/>
  <c r="U37" s="1"/>
  <c r="Q30"/>
  <c r="Q46" s="1"/>
  <c r="M21"/>
  <c r="M37" s="1"/>
  <c r="I21"/>
  <c r="I37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L21"/>
  <c r="L37" s="1"/>
  <c r="AE30"/>
  <c r="AE46" s="1"/>
  <c r="AE432" s="1"/>
  <c r="M30"/>
  <c r="M46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Y381"/>
  <c r="Y379"/>
  <c r="S379"/>
  <c r="S377"/>
  <c r="S375"/>
  <c r="S373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X373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Z380"/>
  <c r="Z378"/>
  <c r="O376"/>
  <c r="O373"/>
  <c r="O380"/>
  <c r="J380"/>
  <c r="J374"/>
  <c r="J382"/>
  <c r="J381"/>
  <c r="AA372"/>
  <c r="AA374" s="1"/>
  <c r="FJ182"/>
  <c r="FJ158"/>
  <c r="FJ150"/>
  <c r="FJ143"/>
  <c r="FJ142"/>
  <c r="FJ114"/>
  <c r="FJ159"/>
  <c r="FJ145"/>
  <c r="FJ137"/>
  <c r="FJ131"/>
  <c r="E487"/>
  <c r="H488" s="1"/>
  <c r="FE156"/>
  <c r="FC164"/>
  <c r="T372"/>
  <c r="T377" s="1"/>
  <c r="FC169"/>
  <c r="FC156"/>
  <c r="FC153"/>
  <c r="EZ186"/>
  <c r="EZ177"/>
  <c r="EZ170"/>
  <c r="EZ152"/>
  <c r="EZ145"/>
  <c r="EZ131"/>
  <c r="EZ116"/>
  <c r="E477"/>
  <c r="H478" s="1"/>
  <c r="Q372"/>
  <c r="Q382" s="1"/>
  <c r="EZ182"/>
  <c r="EZ154"/>
  <c r="EZ146"/>
  <c r="EZ137"/>
  <c r="EZ120"/>
  <c r="AK378"/>
  <c r="AK379"/>
  <c r="AK377"/>
  <c r="AK374"/>
  <c r="AB378"/>
  <c r="AB374"/>
  <c r="AB375"/>
  <c r="R372"/>
  <c r="R379" s="1"/>
  <c r="FA174"/>
  <c r="FA181"/>
  <c r="FA162"/>
  <c r="FA156"/>
  <c r="EX157"/>
  <c r="EX150"/>
  <c r="EX143"/>
  <c r="EX120"/>
  <c r="E473"/>
  <c r="H474" s="1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H476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AE382" s="1"/>
  <c r="E511"/>
  <c r="H512" s="1"/>
  <c r="E501"/>
  <c r="H502" s="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Y373"/>
  <c r="Y374"/>
  <c r="O375"/>
  <c r="O377"/>
  <c r="S381"/>
  <c r="V372"/>
  <c r="V376" s="1"/>
  <c r="G372"/>
  <c r="G382" s="1"/>
  <c r="H514"/>
  <c r="E497"/>
  <c r="H498" s="1"/>
  <c r="E483"/>
  <c r="H484" s="1"/>
  <c r="M378"/>
  <c r="M377"/>
  <c r="AJ372"/>
  <c r="FS164"/>
  <c r="FS162"/>
  <c r="FS139"/>
  <c r="FS180"/>
  <c r="FS169"/>
  <c r="FS156"/>
  <c r="FS153"/>
  <c r="AG372"/>
  <c r="AG378" s="1"/>
  <c r="FP152"/>
  <c r="FP145"/>
  <c r="FP143"/>
  <c r="FP131"/>
  <c r="FP116"/>
  <c r="E509"/>
  <c r="H508" s="1"/>
  <c r="FP157"/>
  <c r="FP154"/>
  <c r="FP146"/>
  <c r="FP137"/>
  <c r="FP120"/>
  <c r="K372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Z373"/>
  <c r="O379"/>
  <c r="S380"/>
  <c r="AH372"/>
  <c r="AH375" s="1"/>
  <c r="AC372"/>
  <c r="AC378" s="1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DN98"/>
  <c r="DP98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DM88"/>
  <c r="DO88"/>
  <c r="DQ88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DJ118"/>
  <c r="DL118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DI148"/>
  <c r="ES148" s="1"/>
  <c r="DK148"/>
  <c r="DM148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S213" s="1"/>
  <c r="DO98"/>
  <c r="DK98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P215" s="1"/>
  <c r="DR118"/>
  <c r="DR215" s="1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DK168"/>
  <c r="DM168"/>
  <c r="DO168"/>
  <c r="DQ168"/>
  <c r="DS168"/>
  <c r="DU168"/>
  <c r="DW168"/>
  <c r="DY168"/>
  <c r="EA168"/>
  <c r="EC168"/>
  <c r="EE168"/>
  <c r="EG168"/>
  <c r="EI168"/>
  <c r="DL168"/>
  <c r="DT168"/>
  <c r="EB168"/>
  <c r="EJ168"/>
  <c r="DF168"/>
  <c r="DN168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EU147" s="1"/>
  <c r="DM147"/>
  <c r="EW147" s="1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6"/>
  <c r="H494"/>
  <c r="H464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DK108"/>
  <c r="DI108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81"/>
  <c r="AJ377"/>
  <c r="AJ373"/>
  <c r="AJ382"/>
  <c r="AJ380"/>
  <c r="AJ378"/>
  <c r="AJ379"/>
  <c r="AJ374"/>
  <c r="AG382"/>
  <c r="AG380"/>
  <c r="AG377"/>
  <c r="AG375"/>
  <c r="AG373"/>
  <c r="AA382"/>
  <c r="AA379"/>
  <c r="AA376"/>
  <c r="U382"/>
  <c r="U380"/>
  <c r="U376"/>
  <c r="U375"/>
  <c r="U373"/>
  <c r="U381"/>
  <c r="U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L381"/>
  <c r="L377"/>
  <c r="L373"/>
  <c r="L382"/>
  <c r="L379"/>
  <c r="L375"/>
  <c r="L374"/>
  <c r="L380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P381"/>
  <c r="P377"/>
  <c r="P373"/>
  <c r="P375"/>
  <c r="P380"/>
  <c r="P382"/>
  <c r="P379"/>
  <c r="P378"/>
  <c r="P376"/>
  <c r="M382"/>
  <c r="M380"/>
  <c r="M376"/>
  <c r="M381"/>
  <c r="M374"/>
  <c r="M373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AI382"/>
  <c r="AI374"/>
  <c r="AI373"/>
  <c r="AD379"/>
  <c r="AD375"/>
  <c r="AD378"/>
  <c r="AD376"/>
  <c r="AD377"/>
  <c r="AD374"/>
  <c r="AD373"/>
  <c r="X381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AK382"/>
  <c r="AK380"/>
  <c r="AK376"/>
  <c r="AK375"/>
  <c r="AK373"/>
  <c r="AB381"/>
  <c r="AB377"/>
  <c r="AB373"/>
  <c r="AB382"/>
  <c r="AB379"/>
  <c r="Y382"/>
  <c r="Y380"/>
  <c r="Y376"/>
  <c r="Y378"/>
  <c r="S382"/>
  <c r="S378"/>
  <c r="S374"/>
  <c r="S376"/>
  <c r="N379"/>
  <c r="N375"/>
  <c r="N378"/>
  <c r="N376"/>
  <c r="H381"/>
  <c r="H377"/>
  <c r="H373"/>
  <c r="H376"/>
  <c r="H374"/>
  <c r="AJ30"/>
  <c r="AJ46" s="1"/>
  <c r="AJ432" s="1"/>
  <c r="AJ21"/>
  <c r="AJ37" s="1"/>
  <c r="AF21"/>
  <c r="AF37" s="1"/>
  <c r="AF30"/>
  <c r="AF46" s="1"/>
  <c r="AF432" s="1"/>
  <c r="AB30"/>
  <c r="AB46" s="1"/>
  <c r="AB432" s="1"/>
  <c r="AB21"/>
  <c r="AB37" s="1"/>
  <c r="P21"/>
  <c r="P30"/>
  <c r="P46" s="1"/>
  <c r="P432" s="1"/>
  <c r="AH28"/>
  <c r="AH44" s="1"/>
  <c r="AD28"/>
  <c r="AD44" s="1"/>
  <c r="Z28"/>
  <c r="Z44" s="1"/>
  <c r="V28"/>
  <c r="V44" s="1"/>
  <c r="R28"/>
  <c r="R44" s="1"/>
  <c r="N28"/>
  <c r="N44" s="1"/>
  <c r="J28"/>
  <c r="CM128"/>
  <c r="AC380"/>
  <c r="T378"/>
  <c r="K378"/>
  <c r="H480"/>
  <c r="H470"/>
  <c r="AE374"/>
  <c r="Z379"/>
  <c r="W374"/>
  <c r="O382"/>
  <c r="O378"/>
  <c r="O374"/>
  <c r="J379"/>
  <c r="J375"/>
  <c r="AH23"/>
  <c r="AH39" s="1"/>
  <c r="AH30"/>
  <c r="AH46" s="1"/>
  <c r="AH432" s="1"/>
  <c r="AD23"/>
  <c r="AD39" s="1"/>
  <c r="AD30"/>
  <c r="AD46" s="1"/>
  <c r="AD432" s="1"/>
  <c r="Z23"/>
  <c r="Z39" s="1"/>
  <c r="Z30"/>
  <c r="Z46" s="1"/>
  <c r="Z432" s="1"/>
  <c r="V23"/>
  <c r="V39" s="1"/>
  <c r="V30"/>
  <c r="V46" s="1"/>
  <c r="V432" s="1"/>
  <c r="R23"/>
  <c r="R39" s="1"/>
  <c r="R30"/>
  <c r="R46" s="1"/>
  <c r="R432" s="1"/>
  <c r="N23"/>
  <c r="N39" s="1"/>
  <c r="N30"/>
  <c r="N46" s="1"/>
  <c r="N432" s="1"/>
  <c r="J23"/>
  <c r="J30"/>
  <c r="D70"/>
  <c r="E459"/>
  <c r="H460" s="1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R424" l="1"/>
  <c r="R442" s="1"/>
  <c r="K426"/>
  <c r="K444" s="1"/>
  <c r="AH426"/>
  <c r="AH444" s="1"/>
  <c r="Z430"/>
  <c r="Z448" s="1"/>
  <c r="AF423"/>
  <c r="AF441" s="1"/>
  <c r="H423"/>
  <c r="H441" s="1"/>
  <c r="AH429"/>
  <c r="AH447" s="1"/>
  <c r="N429"/>
  <c r="N447" s="1"/>
  <c r="V431"/>
  <c r="V449" s="1"/>
  <c r="N423"/>
  <c r="N441" s="1"/>
  <c r="M423"/>
  <c r="M441" s="1"/>
  <c r="T432"/>
  <c r="T450" s="1"/>
  <c r="Q425"/>
  <c r="Q443" s="1"/>
  <c r="AB425"/>
  <c r="AB443" s="1"/>
  <c r="AG426"/>
  <c r="AG444" s="1"/>
  <c r="Q427"/>
  <c r="Q445" s="1"/>
  <c r="S427"/>
  <c r="S445" s="1"/>
  <c r="X429"/>
  <c r="X447" s="1"/>
  <c r="AF428"/>
  <c r="AF446" s="1"/>
  <c r="K428"/>
  <c r="K446" s="1"/>
  <c r="U428"/>
  <c r="U446" s="1"/>
  <c r="I429"/>
  <c r="I447" s="1"/>
  <c r="Y429"/>
  <c r="Y447" s="1"/>
  <c r="H430"/>
  <c r="H448" s="1"/>
  <c r="AI430"/>
  <c r="AI448" s="1"/>
  <c r="M430"/>
  <c r="M448" s="1"/>
  <c r="Q431"/>
  <c r="Q449" s="1"/>
  <c r="K431"/>
  <c r="K449" s="1"/>
  <c r="AI431"/>
  <c r="AI449" s="1"/>
  <c r="L424"/>
  <c r="L442" s="1"/>
  <c r="K425"/>
  <c r="K443" s="1"/>
  <c r="AK425"/>
  <c r="AK443" s="1"/>
  <c r="AF430"/>
  <c r="AF448" s="1"/>
  <c r="AK423"/>
  <c r="AK441" s="1"/>
  <c r="X426"/>
  <c r="X444" s="1"/>
  <c r="N424"/>
  <c r="N442" s="1"/>
  <c r="AD424"/>
  <c r="AD442" s="1"/>
  <c r="W426"/>
  <c r="W444" s="1"/>
  <c r="N426"/>
  <c r="N444" s="1"/>
  <c r="R428"/>
  <c r="R446" s="1"/>
  <c r="AH428"/>
  <c r="AH446" s="1"/>
  <c r="N425"/>
  <c r="N443" s="1"/>
  <c r="AD425"/>
  <c r="AD443" s="1"/>
  <c r="AI424"/>
  <c r="AI442" s="1"/>
  <c r="Z429"/>
  <c r="Z447" s="1"/>
  <c r="S423"/>
  <c r="S441" s="1"/>
  <c r="AI423"/>
  <c r="AI441" s="1"/>
  <c r="AK424"/>
  <c r="AK442" s="1"/>
  <c r="N431"/>
  <c r="N449" s="1"/>
  <c r="AG432"/>
  <c r="AG450" s="1"/>
  <c r="I423"/>
  <c r="I441" s="1"/>
  <c r="H432"/>
  <c r="H450" s="1"/>
  <c r="P425"/>
  <c r="P443" s="1"/>
  <c r="M426"/>
  <c r="M444" s="1"/>
  <c r="AG427"/>
  <c r="AG445" s="1"/>
  <c r="H428"/>
  <c r="H446" s="1"/>
  <c r="AG428"/>
  <c r="AG446" s="1"/>
  <c r="M428"/>
  <c r="M446" s="1"/>
  <c r="AI429"/>
  <c r="AI447" s="1"/>
  <c r="AK429"/>
  <c r="AK447" s="1"/>
  <c r="AA430"/>
  <c r="AA448" s="1"/>
  <c r="X431"/>
  <c r="X449" s="1"/>
  <c r="M431"/>
  <c r="M449" s="1"/>
  <c r="AB431"/>
  <c r="AB449" s="1"/>
  <c r="AA431"/>
  <c r="AA449" s="1"/>
  <c r="P427"/>
  <c r="P445" s="1"/>
  <c r="T425"/>
  <c r="T443" s="1"/>
  <c r="AG425"/>
  <c r="AG443" s="1"/>
  <c r="L427"/>
  <c r="L445" s="1"/>
  <c r="X425"/>
  <c r="X443" s="1"/>
  <c r="Q423"/>
  <c r="Q441" s="1"/>
  <c r="P426"/>
  <c r="P444" s="1"/>
  <c r="AK431"/>
  <c r="AK449" s="1"/>
  <c r="Z424"/>
  <c r="Z442" s="1"/>
  <c r="S426"/>
  <c r="S444" s="1"/>
  <c r="AI426"/>
  <c r="AI444" s="1"/>
  <c r="J426"/>
  <c r="J444" s="1"/>
  <c r="Z426"/>
  <c r="Z444" s="1"/>
  <c r="N428"/>
  <c r="N446" s="1"/>
  <c r="AD428"/>
  <c r="AD446" s="1"/>
  <c r="R430"/>
  <c r="R448" s="1"/>
  <c r="AH430"/>
  <c r="AH448" s="1"/>
  <c r="O424"/>
  <c r="O442" s="1"/>
  <c r="AE424"/>
  <c r="AE442" s="1"/>
  <c r="I61"/>
  <c r="I432"/>
  <c r="I450" s="1"/>
  <c r="R429"/>
  <c r="R447" s="1"/>
  <c r="R431"/>
  <c r="R449" s="1"/>
  <c r="O423"/>
  <c r="O441" s="1"/>
  <c r="AE423"/>
  <c r="AE441" s="1"/>
  <c r="W425"/>
  <c r="W443" s="1"/>
  <c r="Y423"/>
  <c r="Y441" s="1"/>
  <c r="Z427"/>
  <c r="Z445" s="1"/>
  <c r="AD429"/>
  <c r="AD447" s="1"/>
  <c r="G432"/>
  <c r="G450" s="1"/>
  <c r="X423"/>
  <c r="X441" s="1"/>
  <c r="V423"/>
  <c r="V441" s="1"/>
  <c r="L432"/>
  <c r="L450" s="1"/>
  <c r="U423"/>
  <c r="U441" s="1"/>
  <c r="AK61"/>
  <c r="AK432"/>
  <c r="AK450" s="1"/>
  <c r="Y424"/>
  <c r="Y442" s="1"/>
  <c r="M424"/>
  <c r="M442" s="1"/>
  <c r="H425"/>
  <c r="H443" s="1"/>
  <c r="S425"/>
  <c r="S443" s="1"/>
  <c r="I426"/>
  <c r="I444" s="1"/>
  <c r="Y426"/>
  <c r="Y444" s="1"/>
  <c r="X427"/>
  <c r="X445" s="1"/>
  <c r="I427"/>
  <c r="I445" s="1"/>
  <c r="AC427"/>
  <c r="AC445" s="1"/>
  <c r="O427"/>
  <c r="O445" s="1"/>
  <c r="AA427"/>
  <c r="AA445" s="1"/>
  <c r="Q428"/>
  <c r="Q446" s="1"/>
  <c r="L429"/>
  <c r="L447" s="1"/>
  <c r="T429"/>
  <c r="T447" s="1"/>
  <c r="S428"/>
  <c r="S446" s="1"/>
  <c r="AI428"/>
  <c r="AI446" s="1"/>
  <c r="K429"/>
  <c r="K447" s="1"/>
  <c r="AA429"/>
  <c r="AA447" s="1"/>
  <c r="Q429"/>
  <c r="Q447" s="1"/>
  <c r="AG429"/>
  <c r="AG447" s="1"/>
  <c r="AF429"/>
  <c r="AF447" s="1"/>
  <c r="W430"/>
  <c r="W448" s="1"/>
  <c r="AC430"/>
  <c r="AC448" s="1"/>
  <c r="AB430"/>
  <c r="AB448" s="1"/>
  <c r="U430"/>
  <c r="U448" s="1"/>
  <c r="I431"/>
  <c r="I449" s="1"/>
  <c r="AC431"/>
  <c r="AC449" s="1"/>
  <c r="AF431"/>
  <c r="AF449" s="1"/>
  <c r="W431"/>
  <c r="W449" s="1"/>
  <c r="S431"/>
  <c r="S449" s="1"/>
  <c r="L428"/>
  <c r="L446" s="1"/>
  <c r="AJ428"/>
  <c r="AJ446" s="1"/>
  <c r="T424"/>
  <c r="T442" s="1"/>
  <c r="AJ424"/>
  <c r="AJ442" s="1"/>
  <c r="I425"/>
  <c r="I443" s="1"/>
  <c r="AC425"/>
  <c r="AC443" s="1"/>
  <c r="L426"/>
  <c r="L444" s="1"/>
  <c r="AB427"/>
  <c r="AB445" s="1"/>
  <c r="Y431"/>
  <c r="Y449" s="1"/>
  <c r="AH423"/>
  <c r="AH441" s="1"/>
  <c r="L425"/>
  <c r="L443" s="1"/>
  <c r="H426"/>
  <c r="H444" s="1"/>
  <c r="AE429"/>
  <c r="AE447" s="1"/>
  <c r="AJ430"/>
  <c r="AJ448" s="1"/>
  <c r="AH424"/>
  <c r="AH442" s="1"/>
  <c r="AA426"/>
  <c r="AA444" s="1"/>
  <c r="R426"/>
  <c r="R444" s="1"/>
  <c r="V428"/>
  <c r="V446" s="1"/>
  <c r="W424"/>
  <c r="W442" s="1"/>
  <c r="V427"/>
  <c r="V445" s="1"/>
  <c r="AH431"/>
  <c r="AH449" s="1"/>
  <c r="W423"/>
  <c r="W441" s="1"/>
  <c r="T423"/>
  <c r="T441" s="1"/>
  <c r="J427"/>
  <c r="J445" s="1"/>
  <c r="S61"/>
  <c r="S432"/>
  <c r="S450" s="1"/>
  <c r="AD423"/>
  <c r="AD441" s="1"/>
  <c r="AC432"/>
  <c r="AC450" s="1"/>
  <c r="AA432"/>
  <c r="AA450" s="1"/>
  <c r="AC424"/>
  <c r="AC442" s="1"/>
  <c r="AE425"/>
  <c r="AE443" s="1"/>
  <c r="Q426"/>
  <c r="Q444" s="1"/>
  <c r="H427"/>
  <c r="H445" s="1"/>
  <c r="AK427"/>
  <c r="AK445" s="1"/>
  <c r="AI427"/>
  <c r="AI445" s="1"/>
  <c r="AC428"/>
  <c r="AC446" s="1"/>
  <c r="P428"/>
  <c r="P446" s="1"/>
  <c r="AA428"/>
  <c r="AA446" s="1"/>
  <c r="S429"/>
  <c r="S447" s="1"/>
  <c r="O430"/>
  <c r="O448" s="1"/>
  <c r="AK430"/>
  <c r="AK448" s="1"/>
  <c r="P431"/>
  <c r="P449" s="1"/>
  <c r="H431"/>
  <c r="H449" s="1"/>
  <c r="X428"/>
  <c r="X446" s="1"/>
  <c r="AB424"/>
  <c r="AB442" s="1"/>
  <c r="U425"/>
  <c r="U443" s="1"/>
  <c r="AB426"/>
  <c r="AB444" s="1"/>
  <c r="AJ427"/>
  <c r="AJ445" s="1"/>
  <c r="AF425"/>
  <c r="AF443" s="1"/>
  <c r="P430"/>
  <c r="P448" s="1"/>
  <c r="AD426"/>
  <c r="AD444" s="1"/>
  <c r="V425"/>
  <c r="V443" s="1"/>
  <c r="V430"/>
  <c r="V448" s="1"/>
  <c r="S424"/>
  <c r="S442" s="1"/>
  <c r="N427"/>
  <c r="N445" s="1"/>
  <c r="Z431"/>
  <c r="Z449" s="1"/>
  <c r="M61"/>
  <c r="M432"/>
  <c r="M450" s="1"/>
  <c r="AH427"/>
  <c r="AH445" s="1"/>
  <c r="K432"/>
  <c r="K450" s="1"/>
  <c r="Z423"/>
  <c r="Z441" s="1"/>
  <c r="Y432"/>
  <c r="Y450" s="1"/>
  <c r="O432"/>
  <c r="O450" s="1"/>
  <c r="U61"/>
  <c r="U432"/>
  <c r="U450" s="1"/>
  <c r="AA425"/>
  <c r="AA443" s="1"/>
  <c r="AC426"/>
  <c r="AC444" s="1"/>
  <c r="M427"/>
  <c r="M445" s="1"/>
  <c r="K427"/>
  <c r="K445" s="1"/>
  <c r="AE427"/>
  <c r="AE445" s="1"/>
  <c r="Y428"/>
  <c r="Y446" s="1"/>
  <c r="AJ429"/>
  <c r="AJ447" s="1"/>
  <c r="W428"/>
  <c r="W446" s="1"/>
  <c r="O429"/>
  <c r="O447" s="1"/>
  <c r="U429"/>
  <c r="U447" s="1"/>
  <c r="AE430"/>
  <c r="AE448" s="1"/>
  <c r="K430"/>
  <c r="K448" s="1"/>
  <c r="AG430"/>
  <c r="AG448" s="1"/>
  <c r="L431"/>
  <c r="L449" s="1"/>
  <c r="AG431"/>
  <c r="AG449" s="1"/>
  <c r="AE431"/>
  <c r="AE449" s="1"/>
  <c r="T428"/>
  <c r="T446" s="1"/>
  <c r="X424"/>
  <c r="X442" s="1"/>
  <c r="M425"/>
  <c r="M443" s="1"/>
  <c r="T426"/>
  <c r="T444" s="1"/>
  <c r="U427"/>
  <c r="U445" s="1"/>
  <c r="L430"/>
  <c r="L448" s="1"/>
  <c r="J424"/>
  <c r="J442" s="1"/>
  <c r="V424"/>
  <c r="V442" s="1"/>
  <c r="O426"/>
  <c r="O444" s="1"/>
  <c r="AE426"/>
  <c r="AE444" s="1"/>
  <c r="V426"/>
  <c r="V444" s="1"/>
  <c r="Z428"/>
  <c r="Z446" s="1"/>
  <c r="R425"/>
  <c r="R443" s="1"/>
  <c r="Z425"/>
  <c r="Z443" s="1"/>
  <c r="AH425"/>
  <c r="AH443" s="1"/>
  <c r="N430"/>
  <c r="N448" s="1"/>
  <c r="AD430"/>
  <c r="AD448" s="1"/>
  <c r="AB423"/>
  <c r="AB441" s="1"/>
  <c r="AJ423"/>
  <c r="AJ441" s="1"/>
  <c r="K424"/>
  <c r="K442" s="1"/>
  <c r="AA424"/>
  <c r="AA442" s="1"/>
  <c r="AC423"/>
  <c r="AC441" s="1"/>
  <c r="K423"/>
  <c r="K441" s="1"/>
  <c r="AA423"/>
  <c r="AA441" s="1"/>
  <c r="U424"/>
  <c r="U442" s="1"/>
  <c r="L423"/>
  <c r="L441" s="1"/>
  <c r="R427"/>
  <c r="R445" s="1"/>
  <c r="V429"/>
  <c r="V447" s="1"/>
  <c r="AD431"/>
  <c r="AD449" s="1"/>
  <c r="W61"/>
  <c r="W432"/>
  <c r="W450" s="1"/>
  <c r="R423"/>
  <c r="R441" s="1"/>
  <c r="J423"/>
  <c r="J441" s="1"/>
  <c r="Q432"/>
  <c r="Q450" s="1"/>
  <c r="AG423"/>
  <c r="AG441" s="1"/>
  <c r="X432"/>
  <c r="X450" s="1"/>
  <c r="AI61"/>
  <c r="AI432"/>
  <c r="AI450" s="1"/>
  <c r="I424"/>
  <c r="I442" s="1"/>
  <c r="AG424"/>
  <c r="AG442" s="1"/>
  <c r="G425"/>
  <c r="G443" s="1"/>
  <c r="AI425"/>
  <c r="AI443" s="1"/>
  <c r="U426"/>
  <c r="U444" s="1"/>
  <c r="AK426"/>
  <c r="AK444" s="1"/>
  <c r="AF427"/>
  <c r="AF445" s="1"/>
  <c r="Y427"/>
  <c r="Y445" s="1"/>
  <c r="T427"/>
  <c r="T445" s="1"/>
  <c r="W427"/>
  <c r="W445" s="1"/>
  <c r="I428"/>
  <c r="I446" s="1"/>
  <c r="AK428"/>
  <c r="AK446" s="1"/>
  <c r="H429"/>
  <c r="H447" s="1"/>
  <c r="AB429"/>
  <c r="AB447" s="1"/>
  <c r="O428"/>
  <c r="O446" s="1"/>
  <c r="AE428"/>
  <c r="AE446" s="1"/>
  <c r="G429"/>
  <c r="G447" s="1"/>
  <c r="W429"/>
  <c r="W447" s="1"/>
  <c r="M429"/>
  <c r="M447" s="1"/>
  <c r="AC429"/>
  <c r="AC447" s="1"/>
  <c r="P429"/>
  <c r="P447" s="1"/>
  <c r="T430"/>
  <c r="T448" s="1"/>
  <c r="S430"/>
  <c r="S448" s="1"/>
  <c r="Y430"/>
  <c r="Y448" s="1"/>
  <c r="Q430"/>
  <c r="Q448" s="1"/>
  <c r="AJ431"/>
  <c r="AJ449" s="1"/>
  <c r="U431"/>
  <c r="U449" s="1"/>
  <c r="T431"/>
  <c r="T449" s="1"/>
  <c r="O431"/>
  <c r="O449" s="1"/>
  <c r="G431"/>
  <c r="G449" s="1"/>
  <c r="Q424"/>
  <c r="Q442" s="1"/>
  <c r="AB428"/>
  <c r="AB446" s="1"/>
  <c r="P424"/>
  <c r="P442" s="1"/>
  <c r="AF424"/>
  <c r="AF442" s="1"/>
  <c r="Y425"/>
  <c r="Y443" s="1"/>
  <c r="AJ426"/>
  <c r="AJ444" s="1"/>
  <c r="AD427"/>
  <c r="AD445" s="1"/>
  <c r="I430"/>
  <c r="I448" s="1"/>
  <c r="H424"/>
  <c r="H442" s="1"/>
  <c r="AJ425"/>
  <c r="AJ443" s="1"/>
  <c r="O425"/>
  <c r="O443" s="1"/>
  <c r="AF426"/>
  <c r="AF444" s="1"/>
  <c r="X430"/>
  <c r="X448" s="1"/>
  <c r="EU108"/>
  <c r="ES168"/>
  <c r="EQ128"/>
  <c r="ES150"/>
  <c r="ES108"/>
  <c r="EY98"/>
  <c r="EQ148"/>
  <c r="EW88"/>
  <c r="EV98"/>
  <c r="EW108"/>
  <c r="EX168"/>
  <c r="EU148"/>
  <c r="FA88"/>
  <c r="DQ212"/>
  <c r="EZ98"/>
  <c r="DP213"/>
  <c r="DS212"/>
  <c r="DR214"/>
  <c r="DS220"/>
  <c r="DQ216"/>
  <c r="DT220"/>
  <c r="DT215"/>
  <c r="DQ215"/>
  <c r="DT218"/>
  <c r="DS218"/>
  <c r="DR221"/>
  <c r="DQ217"/>
  <c r="DT219"/>
  <c r="DP216"/>
  <c r="DR218"/>
  <c r="DT212"/>
  <c r="EW148"/>
  <c r="EV118"/>
  <c r="EU88"/>
  <c r="EU168"/>
  <c r="ES99"/>
  <c r="FU99" s="1"/>
  <c r="EV168"/>
  <c r="EW168"/>
  <c r="EU98"/>
  <c r="ER118"/>
  <c r="EY88"/>
  <c r="EX98"/>
  <c r="DS214"/>
  <c r="DR220"/>
  <c r="DQ220"/>
  <c r="DR213"/>
  <c r="DT221"/>
  <c r="DS217"/>
  <c r="DR212"/>
  <c r="DT217"/>
  <c r="DQ219"/>
  <c r="DQ214"/>
  <c r="DT213"/>
  <c r="DP221"/>
  <c r="DR219"/>
  <c r="DS215"/>
  <c r="DS221"/>
  <c r="DS219"/>
  <c r="DP217"/>
  <c r="DT216"/>
  <c r="DR216"/>
  <c r="DP218"/>
  <c r="DQ218"/>
  <c r="DS216"/>
  <c r="DP220"/>
  <c r="DQ221"/>
  <c r="DP212"/>
  <c r="DQ213"/>
  <c r="W380"/>
  <c r="W378"/>
  <c r="AE378"/>
  <c r="T380"/>
  <c r="W373"/>
  <c r="Q376"/>
  <c r="T381"/>
  <c r="V381"/>
  <c r="W377"/>
  <c r="W382"/>
  <c r="Q379"/>
  <c r="Q374"/>
  <c r="V374"/>
  <c r="W376"/>
  <c r="W379"/>
  <c r="Z375"/>
  <c r="AC374"/>
  <c r="X374"/>
  <c r="AI378"/>
  <c r="Z374"/>
  <c r="Z376"/>
  <c r="Z377"/>
  <c r="AC382"/>
  <c r="Z382"/>
  <c r="AF379"/>
  <c r="AF378"/>
  <c r="AF374"/>
  <c r="AI381"/>
  <c r="AI380"/>
  <c r="AI377"/>
  <c r="AI375"/>
  <c r="AI379"/>
  <c r="H510"/>
  <c r="G459"/>
  <c r="AH379"/>
  <c r="AF377"/>
  <c r="H482"/>
  <c r="AF380"/>
  <c r="AC376"/>
  <c r="AF373"/>
  <c r="AA377"/>
  <c r="H500"/>
  <c r="AF376"/>
  <c r="N382"/>
  <c r="N380"/>
  <c r="N377"/>
  <c r="N374"/>
  <c r="N381"/>
  <c r="N373"/>
  <c r="H472"/>
  <c r="AC381"/>
  <c r="AF375"/>
  <c r="AA375"/>
  <c r="H490"/>
  <c r="AF382"/>
  <c r="DF219"/>
  <c r="EB217"/>
  <c r="DY221"/>
  <c r="EG217"/>
  <c r="EJ217"/>
  <c r="DY219"/>
  <c r="DF212"/>
  <c r="DF217"/>
  <c r="DF214"/>
  <c r="EK171"/>
  <c r="DF221"/>
  <c r="EK156"/>
  <c r="DF216"/>
  <c r="FU131"/>
  <c r="EY108"/>
  <c r="FB168"/>
  <c r="FQ168"/>
  <c r="EG220"/>
  <c r="FF118"/>
  <c r="DV215"/>
  <c r="FJ128"/>
  <c r="DZ216"/>
  <c r="FS98"/>
  <c r="EI213"/>
  <c r="FH148"/>
  <c r="DX218"/>
  <c r="FM148"/>
  <c r="EC218"/>
  <c r="FE148"/>
  <c r="DU218"/>
  <c r="FS88"/>
  <c r="EI212"/>
  <c r="FG128"/>
  <c r="DW216"/>
  <c r="EY128"/>
  <c r="FR98"/>
  <c r="EH213"/>
  <c r="FB98"/>
  <c r="FR168"/>
  <c r="EH220"/>
  <c r="FT168"/>
  <c r="EJ220"/>
  <c r="FK168"/>
  <c r="EA220"/>
  <c r="FH118"/>
  <c r="DX215"/>
  <c r="FO148"/>
  <c r="EE218"/>
  <c r="EY148"/>
  <c r="FM88"/>
  <c r="EC212"/>
  <c r="FE88"/>
  <c r="DU212"/>
  <c r="FQ128"/>
  <c r="EG216"/>
  <c r="FA128"/>
  <c r="FL98"/>
  <c r="EB213"/>
  <c r="FA108"/>
  <c r="FI108"/>
  <c r="DY214"/>
  <c r="FQ108"/>
  <c r="EG214"/>
  <c r="FH168"/>
  <c r="DX220"/>
  <c r="FD168"/>
  <c r="FO168"/>
  <c r="EE220"/>
  <c r="FG168"/>
  <c r="DW220"/>
  <c r="EY168"/>
  <c r="EQ168"/>
  <c r="FT118"/>
  <c r="EJ215"/>
  <c r="FL118"/>
  <c r="EB215"/>
  <c r="FD118"/>
  <c r="EX128"/>
  <c r="FN128"/>
  <c r="ED216"/>
  <c r="FA118"/>
  <c r="FQ118"/>
  <c r="EG215"/>
  <c r="EQ98"/>
  <c r="FG98"/>
  <c r="DW213"/>
  <c r="FT148"/>
  <c r="EJ218"/>
  <c r="FD148"/>
  <c r="FS148"/>
  <c r="EI218"/>
  <c r="FK148"/>
  <c r="EA218"/>
  <c r="FC148"/>
  <c r="FQ88"/>
  <c r="EG212"/>
  <c r="FI88"/>
  <c r="DY212"/>
  <c r="ES88"/>
  <c r="FM128"/>
  <c r="EC216"/>
  <c r="FE128"/>
  <c r="DU216"/>
  <c r="EW128"/>
  <c r="FP98"/>
  <c r="EF213"/>
  <c r="FH98"/>
  <c r="DX213"/>
  <c r="ER98"/>
  <c r="EB219"/>
  <c r="DZ219"/>
  <c r="EJ219"/>
  <c r="EF221"/>
  <c r="EJ216"/>
  <c r="EI215"/>
  <c r="ED214"/>
  <c r="EF212"/>
  <c r="FU92"/>
  <c r="DF215"/>
  <c r="DW217"/>
  <c r="EI219"/>
  <c r="EE221"/>
  <c r="DX219"/>
  <c r="EC221"/>
  <c r="EF216"/>
  <c r="DV212"/>
  <c r="DY217"/>
  <c r="FU162"/>
  <c r="EF220"/>
  <c r="EF217"/>
  <c r="EG219"/>
  <c r="EB221"/>
  <c r="EA221"/>
  <c r="EH221"/>
  <c r="DU219"/>
  <c r="EE219"/>
  <c r="DU217"/>
  <c r="DZ212"/>
  <c r="EJ221"/>
  <c r="EE215"/>
  <c r="EH214"/>
  <c r="EI221"/>
  <c r="DV217"/>
  <c r="EA215"/>
  <c r="DZ214"/>
  <c r="EJ212"/>
  <c r="ED221"/>
  <c r="DW219"/>
  <c r="DX217"/>
  <c r="DX214"/>
  <c r="EB214"/>
  <c r="FG108"/>
  <c r="DW214"/>
  <c r="FO108"/>
  <c r="EE214"/>
  <c r="FF168"/>
  <c r="DV220"/>
  <c r="FL168"/>
  <c r="EB220"/>
  <c r="FI168"/>
  <c r="DY220"/>
  <c r="FA168"/>
  <c r="FN118"/>
  <c r="ED215"/>
  <c r="EX118"/>
  <c r="ET128"/>
  <c r="FM118"/>
  <c r="EC215"/>
  <c r="FC98"/>
  <c r="FK88"/>
  <c r="EA212"/>
  <c r="FC88"/>
  <c r="FO128"/>
  <c r="EE216"/>
  <c r="FJ98"/>
  <c r="DZ213"/>
  <c r="ET98"/>
  <c r="FE108"/>
  <c r="DU214"/>
  <c r="FM108"/>
  <c r="EC214"/>
  <c r="FN168"/>
  <c r="ED220"/>
  <c r="FS168"/>
  <c r="EI220"/>
  <c r="FC168"/>
  <c r="FP118"/>
  <c r="EF215"/>
  <c r="EZ118"/>
  <c r="FF128"/>
  <c r="DV216"/>
  <c r="FI118"/>
  <c r="DY215"/>
  <c r="FO98"/>
  <c r="EE213"/>
  <c r="FL148"/>
  <c r="EB218"/>
  <c r="FG148"/>
  <c r="DW218"/>
  <c r="FI128"/>
  <c r="DY216"/>
  <c r="ES128"/>
  <c r="FT98"/>
  <c r="EJ213"/>
  <c r="FD98"/>
  <c r="EW178"/>
  <c r="FU178" s="1"/>
  <c r="FC108"/>
  <c r="FK108"/>
  <c r="EA214"/>
  <c r="FS108"/>
  <c r="EI214"/>
  <c r="ER168"/>
  <c r="FM168"/>
  <c r="EC220"/>
  <c r="FE168"/>
  <c r="DU220"/>
  <c r="FR118"/>
  <c r="EH215"/>
  <c r="FJ118"/>
  <c r="DZ215"/>
  <c r="FB118"/>
  <c r="FB128"/>
  <c r="FR128"/>
  <c r="EH216"/>
  <c r="FE118"/>
  <c r="DU215"/>
  <c r="FK98"/>
  <c r="EA213"/>
  <c r="FP148"/>
  <c r="EF218"/>
  <c r="EZ148"/>
  <c r="FQ148"/>
  <c r="EG218"/>
  <c r="FI148"/>
  <c r="DY218"/>
  <c r="FA148"/>
  <c r="FO88"/>
  <c r="EE212"/>
  <c r="FG88"/>
  <c r="DW212"/>
  <c r="EQ88"/>
  <c r="FS128"/>
  <c r="EI216"/>
  <c r="FK128"/>
  <c r="EA216"/>
  <c r="FC128"/>
  <c r="EU128"/>
  <c r="FN98"/>
  <c r="ED213"/>
  <c r="FF98"/>
  <c r="DV213"/>
  <c r="DX221"/>
  <c r="DW221"/>
  <c r="ED218"/>
  <c r="EA219"/>
  <c r="EE217"/>
  <c r="EI217"/>
  <c r="FU137"/>
  <c r="FU170"/>
  <c r="FU173"/>
  <c r="DU221"/>
  <c r="DW215"/>
  <c r="DZ218"/>
  <c r="DX216"/>
  <c r="DY213"/>
  <c r="EH212"/>
  <c r="DV214"/>
  <c r="DZ220"/>
  <c r="EC219"/>
  <c r="EC213"/>
  <c r="EH219"/>
  <c r="ED219"/>
  <c r="ED217"/>
  <c r="DV221"/>
  <c r="EF219"/>
  <c r="EB212"/>
  <c r="FU125"/>
  <c r="FU106"/>
  <c r="FU102"/>
  <c r="DF220"/>
  <c r="DF218"/>
  <c r="DF213"/>
  <c r="FU147"/>
  <c r="FU129"/>
  <c r="FU158"/>
  <c r="EF214"/>
  <c r="EG213"/>
  <c r="DV219"/>
  <c r="EB216"/>
  <c r="EG221"/>
  <c r="EH217"/>
  <c r="EJ214"/>
  <c r="DZ217"/>
  <c r="ED212"/>
  <c r="DZ221"/>
  <c r="DV218"/>
  <c r="EA217"/>
  <c r="DU213"/>
  <c r="DX212"/>
  <c r="EH218"/>
  <c r="EC217"/>
  <c r="EW118"/>
  <c r="ET118"/>
  <c r="FA91"/>
  <c r="EU91"/>
  <c r="EV123"/>
  <c r="EU123"/>
  <c r="ET155"/>
  <c r="ES155"/>
  <c r="ER148"/>
  <c r="EW116"/>
  <c r="EU116"/>
  <c r="ES116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EW175"/>
  <c r="EU175"/>
  <c r="FU165"/>
  <c r="EV153"/>
  <c r="EW154"/>
  <c r="EU154"/>
  <c r="K381"/>
  <c r="K379"/>
  <c r="K373"/>
  <c r="K380"/>
  <c r="K376"/>
  <c r="AE450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J428" s="1"/>
  <c r="D26"/>
  <c r="C374"/>
  <c r="D533"/>
  <c r="G446"/>
  <c r="I540"/>
  <c r="P45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I510" s="1"/>
  <c r="J510" s="1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450"/>
  <c r="Z61"/>
  <c r="AB450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I496" s="1"/>
  <c r="J496" s="1"/>
  <c r="G495"/>
  <c r="F487"/>
  <c r="I488" s="1"/>
  <c r="J488" s="1"/>
  <c r="G487"/>
  <c r="F479"/>
  <c r="I480" s="1"/>
  <c r="J480" s="1"/>
  <c r="G479"/>
  <c r="F47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I476" s="1"/>
  <c r="J476" s="1"/>
  <c r="G475"/>
  <c r="F459"/>
  <c r="I460" s="1"/>
  <c r="J460" s="1"/>
  <c r="I542"/>
  <c r="I550"/>
  <c r="J39"/>
  <c r="J425" s="1"/>
  <c r="D23"/>
  <c r="G448"/>
  <c r="AF450"/>
  <c r="AF61"/>
  <c r="EP107"/>
  <c r="FU107" s="1"/>
  <c r="EK107"/>
  <c r="EP155"/>
  <c r="EK155"/>
  <c r="EP123"/>
  <c r="EK123"/>
  <c r="EP130"/>
  <c r="FU130" s="1"/>
  <c r="EK130"/>
  <c r="G441"/>
  <c r="F517"/>
  <c r="I518" s="1"/>
  <c r="J518" s="1"/>
  <c r="G517"/>
  <c r="F501"/>
  <c r="I502" s="1"/>
  <c r="J502" s="1"/>
  <c r="G501"/>
  <c r="F485"/>
  <c r="G485"/>
  <c r="F469"/>
  <c r="I470" s="1"/>
  <c r="J470" s="1"/>
  <c r="G469"/>
  <c r="R450"/>
  <c r="R61"/>
  <c r="AH450"/>
  <c r="AH61"/>
  <c r="AJ450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I490" s="1"/>
  <c r="J490" s="1"/>
  <c r="G481"/>
  <c r="F481"/>
  <c r="G473"/>
  <c r="F473"/>
  <c r="I474" s="1"/>
  <c r="J474" s="1"/>
  <c r="G465"/>
  <c r="F465"/>
  <c r="I466" s="1"/>
  <c r="J466" s="1"/>
  <c r="G38"/>
  <c r="G424" s="1"/>
  <c r="D22"/>
  <c r="C373"/>
  <c r="D531"/>
  <c r="N450"/>
  <c r="N61"/>
  <c r="V450"/>
  <c r="V61"/>
  <c r="AD450"/>
  <c r="AD61"/>
  <c r="I536"/>
  <c r="J44"/>
  <c r="J430" s="1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J429" l="1"/>
  <c r="C429" s="1"/>
  <c r="J431"/>
  <c r="J449" s="1"/>
  <c r="C449" s="1"/>
  <c r="I500"/>
  <c r="J500" s="1"/>
  <c r="K500" s="1"/>
  <c r="I472"/>
  <c r="J472" s="1"/>
  <c r="K472" s="1"/>
  <c r="I504"/>
  <c r="J504" s="1"/>
  <c r="K506" s="1"/>
  <c r="I482"/>
  <c r="J482" s="1"/>
  <c r="K484" s="1"/>
  <c r="FU108"/>
  <c r="FU153"/>
  <c r="Y11"/>
  <c r="AD9"/>
  <c r="Z9"/>
  <c r="X11"/>
  <c r="FU88"/>
  <c r="FU154"/>
  <c r="AD13"/>
  <c r="DG229"/>
  <c r="DG234"/>
  <c r="FU98"/>
  <c r="AC5" s="1"/>
  <c r="FU168"/>
  <c r="FU148"/>
  <c r="FU116"/>
  <c r="DG232"/>
  <c r="DG230"/>
  <c r="FU128"/>
  <c r="AD8" s="1"/>
  <c r="DG226"/>
  <c r="DG233"/>
  <c r="FU118"/>
  <c r="DG228"/>
  <c r="FU91"/>
  <c r="DG225"/>
  <c r="FU123"/>
  <c r="FU155"/>
  <c r="DG231"/>
  <c r="DG227"/>
  <c r="I546"/>
  <c r="D43"/>
  <c r="E43" s="1"/>
  <c r="E41"/>
  <c r="D377"/>
  <c r="E377" s="1"/>
  <c r="K470"/>
  <c r="K492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E57" s="1"/>
  <c r="K514"/>
  <c r="D375"/>
  <c r="E375" s="1"/>
  <c r="D32"/>
  <c r="AN15" s="1"/>
  <c r="K510"/>
  <c r="D45"/>
  <c r="E45" s="1"/>
  <c r="FU175"/>
  <c r="AD11"/>
  <c r="AC11"/>
  <c r="C427"/>
  <c r="G445"/>
  <c r="C445" s="1"/>
  <c r="K494"/>
  <c r="K498"/>
  <c r="AC9"/>
  <c r="I486"/>
  <c r="J486" s="1"/>
  <c r="K486" s="1"/>
  <c r="K518"/>
  <c r="AE13"/>
  <c r="D374"/>
  <c r="E374" s="1"/>
  <c r="K462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9"/>
  <c r="AE11"/>
  <c r="K516"/>
  <c r="K512"/>
  <c r="G520"/>
  <c r="AR15" s="1"/>
  <c r="X9"/>
  <c r="Z11"/>
  <c r="K476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K464"/>
  <c r="K466"/>
  <c r="Y9"/>
  <c r="K496"/>
  <c r="K490"/>
  <c r="K478"/>
  <c r="K480"/>
  <c r="K468"/>
  <c r="C431" l="1"/>
  <c r="K482"/>
  <c r="J447"/>
  <c r="C447" s="1"/>
  <c r="K502"/>
  <c r="K474"/>
  <c r="AE8"/>
  <c r="K504"/>
  <c r="F395"/>
  <c r="F381" s="1"/>
  <c r="E59" s="1"/>
  <c r="L59" s="1"/>
  <c r="F390"/>
  <c r="F376" s="1"/>
  <c r="E54" s="1"/>
  <c r="AG54" s="1"/>
  <c r="F394"/>
  <c r="F380" s="1"/>
  <c r="E58" s="1"/>
  <c r="U58" s="1"/>
  <c r="DH226"/>
  <c r="DH235"/>
  <c r="AC6"/>
  <c r="AE6"/>
  <c r="AD6"/>
  <c r="AE7"/>
  <c r="DH230"/>
  <c r="AA11"/>
  <c r="DH232"/>
  <c r="AC4"/>
  <c r="DH229"/>
  <c r="AA9"/>
  <c r="AE5"/>
  <c r="AD5"/>
  <c r="AE10"/>
  <c r="AF9"/>
  <c r="DH234"/>
  <c r="AC8"/>
  <c r="AA13"/>
  <c r="AF13"/>
  <c r="AC12"/>
  <c r="DH233"/>
  <c r="AC7"/>
  <c r="DH228"/>
  <c r="AD4"/>
  <c r="AE4"/>
  <c r="AD7"/>
  <c r="DH227"/>
  <c r="AD10"/>
  <c r="AC10"/>
  <c r="DH231"/>
  <c r="AA6"/>
  <c r="F396"/>
  <c r="F382" s="1"/>
  <c r="E60" s="1"/>
  <c r="K60" s="1"/>
  <c r="F392"/>
  <c r="F378" s="1"/>
  <c r="E56" s="1"/>
  <c r="K56" s="1"/>
  <c r="F389"/>
  <c r="F375" s="1"/>
  <c r="E53" s="1"/>
  <c r="J53" s="1"/>
  <c r="K460"/>
  <c r="F391"/>
  <c r="F377" s="1"/>
  <c r="E55" s="1"/>
  <c r="K488"/>
  <c r="AD12"/>
  <c r="AA12"/>
  <c r="AE12"/>
  <c r="AF11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F388"/>
  <c r="F374" s="1"/>
  <c r="E52" s="1"/>
  <c r="AA7"/>
  <c r="AF8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AI58" l="1"/>
  <c r="AG58"/>
  <c r="K58"/>
  <c r="X58"/>
  <c r="AB58"/>
  <c r="AC54"/>
  <c r="I54"/>
  <c r="V54"/>
  <c r="AJ54"/>
  <c r="U54"/>
  <c r="Y54"/>
  <c r="W54"/>
  <c r="AJ59"/>
  <c r="Y59"/>
  <c r="O54"/>
  <c r="G54"/>
  <c r="P54"/>
  <c r="N54"/>
  <c r="AI59"/>
  <c r="AH54"/>
  <c r="R54"/>
  <c r="AA54"/>
  <c r="AF54"/>
  <c r="AD59"/>
  <c r="AH59"/>
  <c r="S59"/>
  <c r="T59"/>
  <c r="AB54"/>
  <c r="J54"/>
  <c r="X54"/>
  <c r="AI54"/>
  <c r="S54"/>
  <c r="T54"/>
  <c r="Z54"/>
  <c r="M54"/>
  <c r="V59"/>
  <c r="Z59"/>
  <c r="O59"/>
  <c r="P59"/>
  <c r="AK59"/>
  <c r="Q59"/>
  <c r="AE59"/>
  <c r="AF59"/>
  <c r="L54"/>
  <c r="K54"/>
  <c r="H54"/>
  <c r="AD54"/>
  <c r="AK54"/>
  <c r="AE54"/>
  <c r="Q54"/>
  <c r="M59"/>
  <c r="AG59"/>
  <c r="AC59"/>
  <c r="J59"/>
  <c r="W59"/>
  <c r="G59"/>
  <c r="X59"/>
  <c r="H59"/>
  <c r="U59"/>
  <c r="N59"/>
  <c r="I59"/>
  <c r="R59"/>
  <c r="AA59"/>
  <c r="K59"/>
  <c r="AB59"/>
  <c r="AK58"/>
  <c r="J58"/>
  <c r="AH58"/>
  <c r="S58"/>
  <c r="Q58"/>
  <c r="AC58"/>
  <c r="I58"/>
  <c r="R58"/>
  <c r="AA58"/>
  <c r="L58"/>
  <c r="N58"/>
  <c r="AJ58"/>
  <c r="AF58"/>
  <c r="AD58"/>
  <c r="AE58"/>
  <c r="Y58"/>
  <c r="M58"/>
  <c r="Z58"/>
  <c r="T58"/>
  <c r="O58"/>
  <c r="P58"/>
  <c r="G58"/>
  <c r="V58"/>
  <c r="W58"/>
  <c r="H58"/>
  <c r="AF6"/>
  <c r="AF7"/>
  <c r="AF10"/>
  <c r="AF5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I520"/>
  <c r="F522" s="1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4" l="1"/>
  <c r="D59"/>
  <c r="D58"/>
  <c r="D56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<sst xmlns="http://schemas.openxmlformats.org/spreadsheetml/2006/main" count="1028" uniqueCount="150">
  <si>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</si>
  <si>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</si>
  <si>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</si>
  <si>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</si>
  <si>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</si>
  <si>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</si>
  <si>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</si>
  <si>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</si>
  <si>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</si>
  <si>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</si>
  <si>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</si>
  <si>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</si>
  <si>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</si>
  <si>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</si>
  <si>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</si>
  <si>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</si>
  <si>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</si>
  <si>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</si>
  <si>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</si>
  <si>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</si>
  <si>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</si>
  <si>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</si>
  <si>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</si>
  <si>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</si>
  <si>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</si>
  <si>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</si>
  <si>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</si>
  <si>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</si>
  <si>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</si>
  <si>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</si>
  <si>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</si>
  <si>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</si>
  <si>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</si>
  <si>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</si>
  <si>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</si>
  <si>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</si>
  <si>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</si>
  <si>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</si>
  <si>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</si>
  <si>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</si>
  <si>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</si>
  <si>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</si>
  <si>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</si>
  <si>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</si>
  <si>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</si>
  <si>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</si>
  <si>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</si>
  <si>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</si>
  <si>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</si>
  <si>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</si>
  <si>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</si>
  <si>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</si>
  <si>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</si>
  <si>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</si>
  <si>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</si>
  <si>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</si>
  <si>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</si>
  <si>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</si>
  <si>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</si>
  <si>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</si>
  <si>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</si>
  <si>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</si>
  <si>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</si>
  <si>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</si>
  <si>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</si>
  <si>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</si>
  <si>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</si>
  <si>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</si>
  <si>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</si>
  <si>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</si>
  <si>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</si>
  <si>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</si>
  <si>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</si>
  <si>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</si>
  <si>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</si>
  <si>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</si>
  <si>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</si>
  <si>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</si>
  <si>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</si>
  <si>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</si>
  <si>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</si>
  <si>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</si>
  <si>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</si>
  <si>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</si>
  <si>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</si>
  <si>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</si>
  <si>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</si>
  <si>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</si>
  <si>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</si>
  <si>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</si>
  <si>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</si>
  <si>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</si>
  <si>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</si>
  <si>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</si>
  <si>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</si>
  <si>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</si>
  <si>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</si>
  <si>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</si>
  <si>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</si>
  <si>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</si>
  <si>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</si>
  <si>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</si>
  <si>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</si>
  <si>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</si>
  <si>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</si>
  <si>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</si>
  <si>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</si>
  <si>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</si>
  <si>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</si>
  <si>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</si>
  <si>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</si>
  <si>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</si>
  <si>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</si>
  <si>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</si>
  <si>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</si>
  <si>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</si>
  <si>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</si>
  <si>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</si>
  <si>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</si>
  <si>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</si>
  <si>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</si>
  <si>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</si>
  <si>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</si>
  <si>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</si>
  <si>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</si>
  <si>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</si>
  <si>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</si>
  <si>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</si>
  <si>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</si>
  <si>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</si>
  <si>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</si>
  <si>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</si>
  <si>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</si>
  <si>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</si>
  <si>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</si>
  <si>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</si>
  <si>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</si>
  <si>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</si>
  <si>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</si>
  <si>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</si>
  <si>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</si>
  <si>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</si>
  <si>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</si>
  <si>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Nemouridae (Zapada)</t>
  </si>
  <si>
    <t>Inerval Growth Boot</t>
  </si>
  <si>
    <t>Boot</t>
  </si>
  <si>
    <t>Interval Growth Variation</t>
  </si>
  <si>
    <t>Avg. Boot</t>
  </si>
  <si>
    <t>Upper 95% CI</t>
  </si>
  <si>
    <t>Lower 95% CI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</si>
</sst>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64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  <xf numFmtId="0" fontId="24" fillId="3" borderId="0" applyNumberFormat="0" applyBorder="0" applyAlignment="0" applyProtection="0"/>
    <xf numFmtId="0" fontId="24" fillId="6" borderId="0" applyNumberFormat="0" applyBorder="0" applyAlignment="0" applyProtection="0"/>
    <xf numFmtId="0" fontId="24" fillId="8" borderId="0" applyNumberFormat="0" applyBorder="0" applyAlignment="0" applyProtection="0"/>
    <xf numFmtId="0" fontId="24" fillId="3" borderId="0" applyNumberFormat="0" applyBorder="0" applyAlignment="0" applyProtection="0"/>
    <xf numFmtId="0" fontId="24" fillId="11" borderId="0" applyNumberFormat="0" applyBorder="0" applyAlignment="0" applyProtection="0"/>
    <xf numFmtId="0" fontId="24" fillId="6" borderId="0" applyNumberFormat="0" applyBorder="0" applyAlignment="0" applyProtection="0"/>
    <xf numFmtId="0" fontId="24" fillId="4" borderId="0" applyNumberFormat="0" applyBorder="0" applyAlignment="0" applyProtection="0"/>
    <xf numFmtId="0" fontId="24" fillId="7" borderId="0" applyNumberFormat="0" applyBorder="0" applyAlignment="0" applyProtection="0"/>
    <xf numFmtId="0" fontId="24" fillId="9" borderId="0" applyNumberFormat="0" applyBorder="0" applyAlignment="0" applyProtection="0"/>
    <xf numFmtId="0" fontId="24" fillId="4" borderId="0" applyNumberFormat="0" applyBorder="0" applyAlignment="0" applyProtection="0"/>
    <xf numFmtId="0" fontId="24" fillId="12" borderId="0" applyNumberFormat="0" applyBorder="0" applyAlignment="0" applyProtection="0"/>
    <xf numFmtId="0" fontId="24" fillId="6" borderId="0" applyNumberFormat="0" applyBorder="0" applyAlignment="0" applyProtection="0"/>
    <xf numFmtId="0" fontId="25" fillId="2" borderId="0" applyNumberFormat="0" applyBorder="0" applyAlignment="0" applyProtection="0"/>
    <xf numFmtId="0" fontId="25" fillId="7" borderId="0" applyNumberFormat="0" applyBorder="0" applyAlignment="0" applyProtection="0"/>
    <xf numFmtId="0" fontId="25" fillId="9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6" borderId="0" applyNumberFormat="0" applyBorder="0" applyAlignment="0" applyProtection="0"/>
    <xf numFmtId="0" fontId="38" fillId="0" borderId="0" applyNumberFormat="0" applyFill="0" applyBorder="0" applyAlignment="0" applyProtection="0"/>
  </cellStyleXfs>
  <cellXfs count="224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0" borderId="0" xfId="0" applyFill="1"/>
    <xf numFmtId="0" fontId="1" fillId="30" borderId="10" xfId="0" applyFont="1" applyFill="1" applyBorder="1"/>
    <xf numFmtId="2" fontId="3" fillId="29" borderId="0" xfId="0" applyNumberFormat="1" applyFont="1" applyFill="1" applyBorder="1"/>
    <xf numFmtId="0" fontId="0" fillId="0" borderId="0" xfId="0"/>
    <xf numFmtId="0" fontId="0" fillId="0" borderId="0" xfId="0"/>
    <xf numFmtId="0" fontId="1" fillId="31" borderId="0" xfId="0" applyFont="1" applyFill="1"/>
    <xf numFmtId="0" fontId="1" fillId="32" borderId="12" xfId="0" applyFont="1" applyFill="1" applyBorder="1" applyAlignment="1"/>
    <xf numFmtId="0" fontId="1" fillId="32" borderId="13" xfId="0" applyFont="1" applyFill="1" applyBorder="1" applyAlignment="1">
      <alignment horizontal="center"/>
    </xf>
    <xf numFmtId="164" fontId="1" fillId="32" borderId="13" xfId="0" applyNumberFormat="1" applyFont="1" applyFill="1" applyBorder="1" applyAlignment="1"/>
    <xf numFmtId="0" fontId="1" fillId="32" borderId="13" xfId="0" applyFont="1" applyFill="1" applyBorder="1" applyAlignment="1"/>
    <xf numFmtId="0" fontId="1" fillId="33" borderId="10" xfId="0" applyFont="1" applyFill="1" applyBorder="1"/>
    <xf numFmtId="164" fontId="3" fillId="20" borderId="14" xfId="0" applyNumberFormat="1" applyFont="1" applyFill="1" applyBorder="1"/>
    <xf numFmtId="0" fontId="3" fillId="20" borderId="14" xfId="0" applyFont="1" applyFill="1" applyBorder="1"/>
    <xf numFmtId="0" fontId="3" fillId="20" borderId="0" xfId="0" applyFont="1" applyFill="1" applyBorder="1" applyAlignment="1">
      <alignment horizontal="center"/>
    </xf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1" borderId="11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  <xf numFmtId="0" fontId="43" fillId="20" borderId="11" xfId="0" applyFont="1" applyFill="1" applyBorder="1" applyAlignment="1">
      <alignment horizontal="center"/>
    </xf>
    <xf numFmtId="0" fontId="4" fillId="20" borderId="11" xfId="0" applyFont="1" applyFill="1" applyBorder="1" applyAlignment="1">
      <alignment horizontal="center"/>
    </xf>
  </cellXfs>
  <cellStyles count="64">
    <cellStyle name="20% - Accent1 2" xfId="45"/>
    <cellStyle name="20% - Accent2 2" xfId="46"/>
    <cellStyle name="20% - Accent3 2" xfId="47"/>
    <cellStyle name="20% - Accent4 2" xfId="48"/>
    <cellStyle name="20% - Accent5 2" xfId="49"/>
    <cellStyle name="20% - Accent6 2" xfId="50"/>
    <cellStyle name="40% - Accent1 2" xfId="51"/>
    <cellStyle name="40% - Accent2 2" xfId="52"/>
    <cellStyle name="40% - Accent3 2" xfId="53"/>
    <cellStyle name="40% - Accent4 2" xfId="54"/>
    <cellStyle name="40% - Accent5 2" xfId="55"/>
    <cellStyle name="40% - Accent6 2" xfId="56"/>
    <cellStyle name="60% - Accent1 2" xfId="57"/>
    <cellStyle name="60% - Accent2 2" xfId="58"/>
    <cellStyle name="60% - Accent3 2" xfId="59"/>
    <cellStyle name="60% - Accent4 2" xfId="60"/>
    <cellStyle name="60% - Accent5 2" xfId="61"/>
    <cellStyle name="60% - Accent6 2" xfId="62"/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itle 2" xfId="63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N1338"/>
  <sheetViews>
    <sheetView tabSelected="1" topLeftCell="CX222" zoomScale="85" zoomScaleNormal="85" workbookViewId="0">
      <selection activeCell="DE227" sqref="DE227:DG227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11" width="8.85546875" style="8"/>
    <col min="112" max="112" width="12.42578125" style="8" bestFit="1" customWidth="1"/>
    <col min="113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bestFit="1" customWidth="1"/>
    <col min="165" max="176" width="8.85546875" style="8"/>
    <col min="177" max="177" width="15.140625" style="8" customWidth="1"/>
    <col min="178" max="16384" width="8.85546875" style="8"/>
  </cols>
  <sheetData>
    <row r="1" spans="1:196" s="7" customFormat="1">
      <c r="A1" s="181" t="s">
        <v>143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9"/>
      <c r="FY2" s="209"/>
      <c r="FZ2" s="209"/>
      <c r="GA2" s="209"/>
      <c r="GB2" s="209"/>
      <c r="GC2" s="220" t="s">
        <v>144</v>
      </c>
      <c r="GD2" s="220"/>
      <c r="GE2" s="220"/>
      <c r="GF2" s="220"/>
      <c r="GG2" s="220"/>
      <c r="GH2" s="220"/>
      <c r="GI2" s="220"/>
      <c r="GJ2" s="209"/>
      <c r="GK2" s="209"/>
      <c r="GL2" s="209"/>
      <c r="GM2" s="209"/>
      <c r="GN2" s="209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9"/>
      <c r="FY3" s="210"/>
      <c r="FZ3" s="210"/>
      <c r="GA3" s="210"/>
      <c r="GB3" s="210"/>
      <c r="GC3" s="210"/>
      <c r="GD3" s="210"/>
      <c r="GE3" s="210"/>
      <c r="GF3" s="210"/>
      <c r="GG3" s="210"/>
      <c r="GH3" s="210"/>
      <c r="GI3" s="210"/>
      <c r="GJ3" s="210"/>
      <c r="GK3" s="210"/>
      <c r="GL3" s="210"/>
      <c r="GM3" s="210"/>
      <c r="GN3" s="209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74.911502343231973</v>
      </c>
      <c r="N4" s="130">
        <v>15.166680261336069</v>
      </c>
      <c r="O4" s="130">
        <v>68.44763497152907</v>
      </c>
      <c r="P4" s="130">
        <v>88.849105031463367</v>
      </c>
      <c r="Q4" s="130">
        <v>13.978965076895813</v>
      </c>
      <c r="R4" s="130">
        <v>74.242428460741237</v>
      </c>
      <c r="S4" s="131">
        <v>7.6612412209920331</v>
      </c>
      <c r="T4" s="131">
        <v>20.528100911750705</v>
      </c>
      <c r="U4" s="5"/>
      <c r="V4" s="4"/>
      <c r="W4" s="127">
        <f t="shared" ref="W4:W13" si="0">C4</f>
        <v>39646</v>
      </c>
      <c r="X4" s="132">
        <f>AVERAGE(EK88:EK97)</f>
        <v>3.125</v>
      </c>
      <c r="Y4" s="131">
        <f>COUNT(EK88:EK97)</f>
        <v>10</v>
      </c>
      <c r="Z4" s="130">
        <f>STDEV(EK88:EK97)</f>
        <v>7.0307141428182591</v>
      </c>
      <c r="AA4" s="130">
        <f>Z4/SQRT(Y4)</f>
        <v>2.2233070268864057</v>
      </c>
      <c r="AB4" s="131"/>
      <c r="AC4" s="130">
        <f>AVERAGE($FU88:$FU97)</f>
        <v>0.27568974316697048</v>
      </c>
      <c r="AD4" s="132">
        <f>COUNT($FU88:$FU97)</f>
        <v>10</v>
      </c>
      <c r="AE4" s="130">
        <f>STDEV($FU88:$FU97)</f>
        <v>0.84720529364083175</v>
      </c>
      <c r="AF4" s="130">
        <f>AE4/SQRT(AD4)</f>
        <v>0.26790983736567942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21" t="s">
        <v>146</v>
      </c>
      <c r="FK4" s="221"/>
      <c r="FL4" s="221"/>
      <c r="FM4" s="221"/>
      <c r="FN4" s="5"/>
      <c r="FO4" s="5"/>
      <c r="FX4" s="209"/>
      <c r="FY4" s="211" t="s">
        <v>145</v>
      </c>
      <c r="FZ4" s="212">
        <f>C4</f>
        <v>39646</v>
      </c>
      <c r="GA4" s="212">
        <f>C5</f>
        <v>39673</v>
      </c>
      <c r="GB4" s="212">
        <f>C6</f>
        <v>39714</v>
      </c>
      <c r="GC4" s="212">
        <f>C7</f>
        <v>39747</v>
      </c>
      <c r="GD4" s="212">
        <f>C8</f>
        <v>39775</v>
      </c>
      <c r="GE4" s="212">
        <f>C9</f>
        <v>39799</v>
      </c>
      <c r="GF4" s="212">
        <f>C10</f>
        <v>39847</v>
      </c>
      <c r="GG4" s="212">
        <f>C11</f>
        <v>39910</v>
      </c>
      <c r="GH4" s="212">
        <f>C12</f>
        <v>39949</v>
      </c>
      <c r="GI4" s="212">
        <f>C13</f>
        <v>39987</v>
      </c>
      <c r="GJ4" s="213"/>
      <c r="GK4" s="213"/>
      <c r="GL4" s="213"/>
      <c r="GM4" s="213"/>
      <c r="GN4" s="209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74.532860459895488</v>
      </c>
      <c r="N5" s="130">
        <f t="shared" si="1"/>
        <v>15.099305408773461</v>
      </c>
      <c r="O5" s="130">
        <f t="shared" si="1"/>
        <v>77.57193890008908</v>
      </c>
      <c r="P5" s="130">
        <f t="shared" si="1"/>
        <v>88.239650881229664</v>
      </c>
      <c r="Q5" s="130">
        <f t="shared" si="1"/>
        <v>13.915824791466303</v>
      </c>
      <c r="R5" s="130">
        <f t="shared" si="1"/>
        <v>72.393690254856509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7.291666666666667</v>
      </c>
      <c r="Y5" s="131">
        <f>COUNT(EK98:EK107)</f>
        <v>10</v>
      </c>
      <c r="Z5" s="130">
        <f>STDEV(EK98:EK107)</f>
        <v>13.038182885776795</v>
      </c>
      <c r="AA5" s="130">
        <f t="shared" ref="AA5:AA13" si="2">Z5/SQRT(Y5)</f>
        <v>4.1230354468881645</v>
      </c>
      <c r="AB5" s="131"/>
      <c r="AC5" s="130">
        <f>AVERAGE($FU98:$FU107)</f>
        <v>1.4891583315922481</v>
      </c>
      <c r="AD5" s="132">
        <f>COUNT($FU98:$FU107)</f>
        <v>10</v>
      </c>
      <c r="AE5" s="130">
        <f>STDEV($FU98:$FU107)</f>
        <v>2.2293415076659184</v>
      </c>
      <c r="AF5" s="130">
        <f t="shared" ref="AF5:AF13" si="3">AE5/SQRT(AD5)</f>
        <v>0.7049796846578027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09"/>
      <c r="FY5" s="209"/>
      <c r="FZ5" s="209"/>
      <c r="GA5" s="209"/>
      <c r="GB5" s="209"/>
      <c r="GC5" s="209"/>
      <c r="GD5" s="209"/>
      <c r="GE5" s="209"/>
      <c r="GF5" s="209"/>
      <c r="GG5" s="209"/>
      <c r="GH5" s="209"/>
      <c r="GI5" s="209"/>
      <c r="GJ5" s="209"/>
      <c r="GK5" s="209"/>
      <c r="GL5" s="209"/>
      <c r="GM5" s="209"/>
      <c r="GN5" s="209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108.00620466504131</v>
      </c>
      <c r="N6" s="130">
        <f t="shared" si="4"/>
        <v>23.185767833350262</v>
      </c>
      <c r="O6" s="130">
        <f t="shared" si="4"/>
        <v>154.61936464638686</v>
      </c>
      <c r="P6" s="130">
        <f t="shared" si="4"/>
        <v>129.15747852895808</v>
      </c>
      <c r="Q6" s="130">
        <f t="shared" si="4"/>
        <v>21.169942313912042</v>
      </c>
      <c r="R6" s="130">
        <f t="shared" si="4"/>
        <v>107.32076219926684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105.61155913978493</v>
      </c>
      <c r="Y6" s="131">
        <f>COUNT(EK108:EK117)</f>
        <v>10</v>
      </c>
      <c r="Z6" s="130">
        <f>STDEV(EK108:EK117)</f>
        <v>265.45358883913173</v>
      </c>
      <c r="AA6" s="130">
        <f t="shared" si="2"/>
        <v>83.943795379750838</v>
      </c>
      <c r="AB6" s="131"/>
      <c r="AC6" s="130">
        <f>AVERAGE($FU108:$FU117)</f>
        <v>16.770432821502204</v>
      </c>
      <c r="AD6" s="132">
        <f>COUNT($FU108:$FU117)</f>
        <v>10</v>
      </c>
      <c r="AE6" s="130">
        <f>STDEV($FU108:$FU117)</f>
        <v>36.345388625185109</v>
      </c>
      <c r="AF6" s="130">
        <f t="shared" si="3"/>
        <v>11.493421049956078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22" t="s">
        <v>147</v>
      </c>
      <c r="FJ6" s="222"/>
      <c r="FK6" s="223" t="s">
        <v>148</v>
      </c>
      <c r="FL6" s="223"/>
      <c r="FM6" s="223" t="s">
        <v>149</v>
      </c>
      <c r="FN6" s="223"/>
      <c r="FO6" s="5"/>
      <c r="FY6" s="214">
        <v>1</v>
      </c>
      <c r="FZ6">
        <v>0.99562253443358228</v>
      </c>
      <c r="GA6">
        <v>17.285279757541279</v>
      </c>
      <c r="GB6">
        <v>13.909467872731222</v>
      </c>
      <c r="GC6">
        <v>3.9009334481092584</v>
      </c>
      <c r="GD6">
        <v>5.0096512993568041</v>
      </c>
      <c r="GE6">
        <v>9.4672386567351445</v>
      </c>
      <c r="GF6">
        <v>7.7612203080079549</v>
      </c>
      <c r="GG6">
        <v>7.2224030011186624</v>
      </c>
      <c r="GH6">
        <v>4.6880724797916402</v>
      </c>
      <c r="GI6">
        <v>9.0270467655115514</v>
      </c>
      <c r="GJ6"/>
      <c r="GK6"/>
      <c r="GL6"/>
      <c r="GM6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45.379899734997011</v>
      </c>
      <c r="N7" s="130">
        <f t="shared" si="5"/>
        <v>8.4559550849010847</v>
      </c>
      <c r="O7" s="130">
        <f t="shared" si="5"/>
        <v>27.959899249801399</v>
      </c>
      <c r="P7" s="130">
        <f t="shared" si="5"/>
        <v>51.506709985863957</v>
      </c>
      <c r="Q7" s="130">
        <f t="shared" si="5"/>
        <v>7.8793471846348515</v>
      </c>
      <c r="R7" s="130">
        <f t="shared" si="5"/>
        <v>41.945239100433042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107.71271185419103</v>
      </c>
      <c r="Y7" s="131">
        <f>COUNT(EK118:EK127)</f>
        <v>10</v>
      </c>
      <c r="Z7" s="130">
        <f>STDEV(EK118:EK127)</f>
        <v>88.721546639840781</v>
      </c>
      <c r="AA7" s="130">
        <f t="shared" si="2"/>
        <v>28.056216491475542</v>
      </c>
      <c r="AB7" s="131"/>
      <c r="AC7" s="130">
        <f>AVERAGE($FU118:$FU127)</f>
        <v>14.514347339651241</v>
      </c>
      <c r="AD7" s="132">
        <f>COUNT($FU118:$FU127)</f>
        <v>10</v>
      </c>
      <c r="AE7" s="130">
        <f>STDEV($FU118:$FU127)</f>
        <v>27.354764038651911</v>
      </c>
      <c r="AF7" s="130">
        <f t="shared" si="3"/>
        <v>8.6503359218606288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5">
        <f t="shared" ref="FH7:FH16" si="6">C4</f>
        <v>39646</v>
      </c>
      <c r="FI7" s="217">
        <f>AVERAGE(FZ6:FZ1005)</f>
        <v>0.88868004109817522</v>
      </c>
      <c r="FJ7" s="217"/>
      <c r="FK7" s="217">
        <f>PERCENTILE($FZ$6:$FZ$1005,0.975)</f>
        <v>1.622451320213171</v>
      </c>
      <c r="FL7" s="217"/>
      <c r="FM7" s="217">
        <f>PERCENTILE($FZ$6:$FZ$1005,0.025)</f>
        <v>0.22492105433048165</v>
      </c>
      <c r="FN7" s="217"/>
      <c r="FO7" s="5"/>
      <c r="FY7" s="214">
        <v>2</v>
      </c>
      <c r="FZ7">
        <v>1.0626601152298889</v>
      </c>
      <c r="GA7">
        <v>4.1640004800243968</v>
      </c>
      <c r="GB7">
        <v>7.6496847913100989</v>
      </c>
      <c r="GC7">
        <v>4.3003536301384715</v>
      </c>
      <c r="GD7">
        <v>6.713403156544361</v>
      </c>
      <c r="GE7">
        <v>18.089124488018591</v>
      </c>
      <c r="GF7">
        <v>25.691667569019899</v>
      </c>
      <c r="GG7">
        <v>15.382231308566087</v>
      </c>
      <c r="GH7">
        <v>3.91003771140999</v>
      </c>
      <c r="GI7">
        <v>11.923113749003356</v>
      </c>
      <c r="GJ7"/>
      <c r="GK7"/>
      <c r="GL7"/>
      <c r="GM7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72.630471380471377</v>
      </c>
      <c r="Y8" s="131">
        <f>COUNT(EK128:EK137)</f>
        <v>10</v>
      </c>
      <c r="Z8" s="130">
        <f>STDEV(EK128:EK137)</f>
        <v>67.213684802416282</v>
      </c>
      <c r="AA8" s="130">
        <f t="shared" si="2"/>
        <v>21.25483339082799</v>
      </c>
      <c r="AB8" s="131"/>
      <c r="AC8" s="130">
        <f>AVERAGE($FU128:$FU137)</f>
        <v>4.332516700609732</v>
      </c>
      <c r="AD8" s="132">
        <f>COUNT($FU128:$FU137)</f>
        <v>10</v>
      </c>
      <c r="AE8" s="130">
        <f>STDEV($FU128:$FU137)</f>
        <v>3.8222544083781043</v>
      </c>
      <c r="AF8" s="130">
        <f t="shared" si="3"/>
        <v>1.2087029727094183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5">
        <f t="shared" si="6"/>
        <v>39673</v>
      </c>
      <c r="FI8" s="217">
        <f>AVERAGE(GA6:GA1005)</f>
        <v>10.650693693898928</v>
      </c>
      <c r="FJ8" s="217"/>
      <c r="FK8" s="217">
        <f>PERCENTILE($GA$6:$GA$1005,0.975)</f>
        <v>24.704351787849358</v>
      </c>
      <c r="FL8" s="217"/>
      <c r="FM8" s="217">
        <f>PERCENTILE($GA$6:$GA$1005,0.025)</f>
        <v>2.3391729904210239</v>
      </c>
      <c r="FN8" s="217"/>
      <c r="FO8" s="5"/>
      <c r="FY8" s="214">
        <v>3</v>
      </c>
      <c r="FZ8">
        <v>1.0185063067089379</v>
      </c>
      <c r="GA8">
        <v>16.764928220555856</v>
      </c>
      <c r="GB8">
        <v>8.7237843324752422</v>
      </c>
      <c r="GC8">
        <v>0.90165710541173993</v>
      </c>
      <c r="GD8">
        <v>5.9829234823630166</v>
      </c>
      <c r="GE8">
        <v>12.173494310375824</v>
      </c>
      <c r="GF8">
        <v>14.926908112382431</v>
      </c>
      <c r="GG8">
        <v>15.778423718109796</v>
      </c>
      <c r="GH8">
        <v>7.7881832069848107</v>
      </c>
      <c r="GI8">
        <v>10.313460565921394</v>
      </c>
      <c r="GJ8"/>
      <c r="GK8"/>
      <c r="GL8"/>
      <c r="GM8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140.93995735796352</v>
      </c>
      <c r="Y9" s="131">
        <f>COUNT(EK138:EK147)</f>
        <v>10</v>
      </c>
      <c r="Z9" s="130">
        <f>STDEV(EK138:EK147)</f>
        <v>285.94298689817947</v>
      </c>
      <c r="AA9" s="130">
        <f t="shared" si="2"/>
        <v>90.423111954993246</v>
      </c>
      <c r="AB9" s="131"/>
      <c r="AC9" s="130">
        <f>AVERAGE($FU138:$FU147)</f>
        <v>39.206074708187401</v>
      </c>
      <c r="AD9" s="132">
        <f>COUNT($FU138:$FU147)</f>
        <v>10</v>
      </c>
      <c r="AE9" s="130">
        <f>STDEV($FU138:$FU147)</f>
        <v>89.04865133397476</v>
      </c>
      <c r="AF9" s="130">
        <f t="shared" si="3"/>
        <v>28.159656078155152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5">
        <f t="shared" si="6"/>
        <v>39714</v>
      </c>
      <c r="FI9" s="217">
        <f>AVERAGE(GB6:GB1005)</f>
        <v>9.1270124313971941</v>
      </c>
      <c r="FJ9" s="217"/>
      <c r="FK9" s="217">
        <f>PERCENTILE($GB$6:$GB$1005,0.975)</f>
        <v>18.222836065265017</v>
      </c>
      <c r="FL9" s="217"/>
      <c r="FM9" s="217">
        <f>PERCENTILE($GB$6:$GB$1005,0.025)</f>
        <v>2.3512787210303339</v>
      </c>
      <c r="FN9" s="217"/>
      <c r="FO9" s="5"/>
      <c r="FY9" s="214">
        <v>4</v>
      </c>
      <c r="FZ9">
        <v>0.68715571962760125</v>
      </c>
      <c r="GA9">
        <v>10.025337879775082</v>
      </c>
      <c r="GB9">
        <v>5.4978831862989246</v>
      </c>
      <c r="GC9">
        <v>1.093395624544768</v>
      </c>
      <c r="GD9">
        <v>5.2432130289644538</v>
      </c>
      <c r="GE9">
        <v>19.16984636787171</v>
      </c>
      <c r="GF9">
        <v>28.792918686043564</v>
      </c>
      <c r="GG9">
        <v>23.341404210068109</v>
      </c>
      <c r="GH9">
        <v>20.043089744275228</v>
      </c>
      <c r="GI9">
        <v>13.428178385960361</v>
      </c>
      <c r="GJ9"/>
      <c r="GK9"/>
      <c r="GL9"/>
      <c r="GM9"/>
    </row>
    <row r="10" spans="1:196" s="7" customFormat="1">
      <c r="A10" s="143"/>
      <c r="B10" s="2"/>
      <c r="C10" s="17">
        <v>39847</v>
      </c>
      <c r="D10" s="18">
        <f>COUNTA(C288:C297)</f>
        <v>10</v>
      </c>
      <c r="E10" s="109">
        <v>10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157.53038194444446</v>
      </c>
      <c r="Y10" s="131">
        <f>COUNT(EK148:EK157)</f>
        <v>10</v>
      </c>
      <c r="Z10" s="130">
        <f>STDEV(EK148:EK157)</f>
        <v>306.55320544681979</v>
      </c>
      <c r="AA10" s="130">
        <f t="shared" si="2"/>
        <v>96.940635323748566</v>
      </c>
      <c r="AB10" s="131"/>
      <c r="AC10" s="130">
        <f>AVERAGE($FU148:$FU157)</f>
        <v>20.338168259778943</v>
      </c>
      <c r="AD10" s="132">
        <f>COUNT($FU148:$FU157)</f>
        <v>10</v>
      </c>
      <c r="AE10" s="130">
        <f>STDEV($FU148:$FU157)</f>
        <v>38.294251105256144</v>
      </c>
      <c r="AF10" s="130">
        <f t="shared" si="3"/>
        <v>12.109705478302976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5">
        <f t="shared" si="6"/>
        <v>39747</v>
      </c>
      <c r="FI10" s="217">
        <f>AVERAGE(GC6:GC1005)</f>
        <v>2.9755183609530782</v>
      </c>
      <c r="FJ10" s="217"/>
      <c r="FK10" s="217">
        <f>PERCENTILE($GC$6:$GC$1005,0.975)</f>
        <v>5.7187754727881117</v>
      </c>
      <c r="FL10" s="217"/>
      <c r="FM10" s="217">
        <f>PERCENTILE($GC$6:$GC$1005,0.025)</f>
        <v>0.91181923760781303</v>
      </c>
      <c r="FN10" s="217"/>
      <c r="FO10" s="5"/>
      <c r="FY10" s="214">
        <v>5</v>
      </c>
      <c r="FZ10">
        <v>0.48604297723868106</v>
      </c>
      <c r="GA10">
        <v>13.026010673471754</v>
      </c>
      <c r="GB10">
        <v>7.1924621681272587</v>
      </c>
      <c r="GC10">
        <v>1.0493743365177963</v>
      </c>
      <c r="GD10">
        <v>0.82186546519169701</v>
      </c>
      <c r="GE10">
        <v>5.2434342941095338</v>
      </c>
      <c r="GF10">
        <v>19.496001247416999</v>
      </c>
      <c r="GG10">
        <v>18.976901395688149</v>
      </c>
      <c r="GH10">
        <v>14.042428740428852</v>
      </c>
      <c r="GI10">
        <v>8.3684922440191993</v>
      </c>
      <c r="GJ10"/>
      <c r="GK10"/>
      <c r="GL10"/>
      <c r="GM10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61.574074074074076</v>
      </c>
      <c r="Y11" s="131">
        <f>COUNT(EK158:EK167)</f>
        <v>10</v>
      </c>
      <c r="Z11" s="130">
        <f>STDEV(EK158:EK167)</f>
        <v>76.817912333227852</v>
      </c>
      <c r="AA11" s="130">
        <f t="shared" si="2"/>
        <v>24.291956807213946</v>
      </c>
      <c r="AB11" s="131"/>
      <c r="AC11" s="130">
        <f>AVERAGE($FU158:$FU167)</f>
        <v>29.719802910446493</v>
      </c>
      <c r="AD11" s="132">
        <f>COUNT($FU158:$FU167)</f>
        <v>10</v>
      </c>
      <c r="AE11" s="130">
        <f>STDEV($FU158:$FU167)</f>
        <v>43.328256088455582</v>
      </c>
      <c r="AF11" s="130">
        <f t="shared" si="3"/>
        <v>13.701597628257765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5">
        <f t="shared" si="6"/>
        <v>39775</v>
      </c>
      <c r="FI11" s="217">
        <f>AVERAGE(GD5:GD1005)</f>
        <v>5.1252025489195994</v>
      </c>
      <c r="FJ11" s="217"/>
      <c r="FK11" s="217">
        <f>PERCENTILE($GD$6:$GD$1005,0.975)</f>
        <v>11.823363523547448</v>
      </c>
      <c r="FL11" s="217"/>
      <c r="FM11" s="217">
        <f>PERCENTILE($GD$6:$GD$1005,0.025)</f>
        <v>0.74367174902124</v>
      </c>
      <c r="FN11" s="217"/>
      <c r="FO11" s="5"/>
      <c r="FY11" s="214">
        <v>6</v>
      </c>
      <c r="FZ11">
        <v>0.86510605652553973</v>
      </c>
      <c r="GA11">
        <v>3.409920279809227</v>
      </c>
      <c r="GB11">
        <v>5.5632969935215915</v>
      </c>
      <c r="GC11">
        <v>3.1063440867623768</v>
      </c>
      <c r="GD11">
        <v>8.0459873873529073</v>
      </c>
      <c r="GE11">
        <v>18.460608096069535</v>
      </c>
      <c r="GF11">
        <v>14.600902274870354</v>
      </c>
      <c r="GG11">
        <v>8.3282185547456677</v>
      </c>
      <c r="GH11">
        <v>1.8712705294217138</v>
      </c>
      <c r="GI11">
        <v>9.4984207306861794</v>
      </c>
      <c r="GJ11"/>
      <c r="GK11"/>
      <c r="GL11"/>
      <c r="GM11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21.787148594377506</v>
      </c>
      <c r="Y12" s="131">
        <f>COUNT(EK168:EK177)</f>
        <v>10</v>
      </c>
      <c r="Z12" s="130">
        <f>STDEV(EK168:EK177)</f>
        <v>52.496729714928222</v>
      </c>
      <c r="AA12" s="130">
        <f t="shared" si="2"/>
        <v>16.600923560941503</v>
      </c>
      <c r="AB12" s="131"/>
      <c r="AC12" s="130">
        <f>AVERAGE($FU168:$FU177)</f>
        <v>9.2155232322034308</v>
      </c>
      <c r="AD12" s="132">
        <f>COUNT($FU168:$FU177)</f>
        <v>10</v>
      </c>
      <c r="AE12" s="130">
        <f>STDEV($FU168:$FU177)</f>
        <v>24.294788494383493</v>
      </c>
      <c r="AF12" s="130">
        <f t="shared" si="3"/>
        <v>7.6826866914304688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5">
        <f t="shared" si="6"/>
        <v>39799</v>
      </c>
      <c r="FI12" s="217">
        <f>AVERAGE(GE6:GE1005)</f>
        <v>14.075194591400555</v>
      </c>
      <c r="FJ12" s="217"/>
      <c r="FK12" s="217">
        <f>PERCENTILE($GE$6:$GE$1005,0.975)</f>
        <v>28.822584598875142</v>
      </c>
      <c r="FL12" s="217"/>
      <c r="FM12" s="217">
        <f>PERCENTILE($GE$6:$GE$1005,0.025)</f>
        <v>2.9876166017249148</v>
      </c>
      <c r="FN12" s="217"/>
      <c r="FO12" s="5"/>
      <c r="FY12" s="214">
        <v>7</v>
      </c>
      <c r="FZ12">
        <v>0.91864377612625714</v>
      </c>
      <c r="GA12">
        <v>3.4061985721531309</v>
      </c>
      <c r="GB12">
        <v>3.1953762730880451</v>
      </c>
      <c r="GC12">
        <v>1.7213537340122678</v>
      </c>
      <c r="GD12">
        <v>0.77616062378640094</v>
      </c>
      <c r="GE12">
        <v>1.2390350767082958</v>
      </c>
      <c r="GF12">
        <v>14.83759504009179</v>
      </c>
      <c r="GG12">
        <v>20.607388114489243</v>
      </c>
      <c r="GH12">
        <v>12.506151516140262</v>
      </c>
      <c r="GI12">
        <v>6.269335167472911</v>
      </c>
      <c r="GJ12"/>
      <c r="GK12"/>
      <c r="GL12"/>
      <c r="GM12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7.7570921985815602</v>
      </c>
      <c r="Y13" s="131">
        <f>COUNT(EK178:EK187)</f>
        <v>10</v>
      </c>
      <c r="Z13" s="130">
        <f>STDEV(EK178:EK187)</f>
        <v>24.530079367440887</v>
      </c>
      <c r="AA13" s="130">
        <f t="shared" si="2"/>
        <v>7.7570921985815602</v>
      </c>
      <c r="AB13" s="131"/>
      <c r="AC13" s="130">
        <f>AVERAGE($FU178:$FU187)</f>
        <v>3.927936721819473</v>
      </c>
      <c r="AD13" s="132">
        <f>COUNT($FU178:$FU187)</f>
        <v>10</v>
      </c>
      <c r="AE13" s="130">
        <f>STDEV($FU178:$FU187)</f>
        <v>12.421226545964737</v>
      </c>
      <c r="AF13" s="130">
        <f t="shared" si="3"/>
        <v>3.927936721819473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5">
        <f t="shared" si="6"/>
        <v>39847</v>
      </c>
      <c r="FI13" s="217">
        <f>AVERAGE(GF6:GF1005)</f>
        <v>17.560054432111379</v>
      </c>
      <c r="FJ13" s="217"/>
      <c r="FK13" s="217">
        <f>PERCENTILE($GF$6:$GF$1005,0.975)</f>
        <v>28.728678916108734</v>
      </c>
      <c r="FL13" s="217"/>
      <c r="FM13" s="217">
        <f>PERCENTILE($GF$6:$GF$1005,0.025)</f>
        <v>7.2510115756068201</v>
      </c>
      <c r="FN13" s="217"/>
      <c r="FO13" s="5"/>
      <c r="FY13" s="214">
        <v>8</v>
      </c>
      <c r="FZ13">
        <v>1.2002939605070733</v>
      </c>
      <c r="GA13">
        <v>6.5564891450000635</v>
      </c>
      <c r="GB13">
        <v>4.8340891267901283</v>
      </c>
      <c r="GC13">
        <v>1.6417089323385516</v>
      </c>
      <c r="GD13">
        <v>9.3068299419844216</v>
      </c>
      <c r="GE13">
        <v>21.468363405209214</v>
      </c>
      <c r="GF13">
        <v>18.917366690461456</v>
      </c>
      <c r="GG13">
        <v>12.484804273065597</v>
      </c>
      <c r="GH13">
        <v>0</v>
      </c>
      <c r="GI13">
        <v>10.809084810342945</v>
      </c>
      <c r="GJ13"/>
      <c r="GK13"/>
      <c r="GL13"/>
      <c r="GM13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5">
        <f t="shared" si="6"/>
        <v>39910</v>
      </c>
      <c r="FI14" s="217">
        <f>AVERAGE(GG6:GG1005)</f>
        <v>12.153300083137704</v>
      </c>
      <c r="FJ14" s="217"/>
      <c r="FK14" s="217">
        <f>PERCENTILE($GG$6:$GG$1005,0.975)</f>
        <v>21.16814172693033</v>
      </c>
      <c r="FL14" s="217"/>
      <c r="FM14" s="217">
        <f>PERCENTILE($GG$6:$GG$1005,0.025)</f>
        <v>4.0385888917132933</v>
      </c>
      <c r="FN14" s="217"/>
      <c r="FO14" s="5"/>
      <c r="FY14" s="214">
        <v>9</v>
      </c>
      <c r="FZ14">
        <v>0.955027409597202</v>
      </c>
      <c r="GA14">
        <v>10.569230619651071</v>
      </c>
      <c r="GB14">
        <v>5.6100028993990776</v>
      </c>
      <c r="GC14">
        <v>1.2783184401438124</v>
      </c>
      <c r="GD14">
        <v>11.485118698985405</v>
      </c>
      <c r="GE14">
        <v>24.956895454246002</v>
      </c>
      <c r="GF14">
        <v>6.2871248579806238</v>
      </c>
      <c r="GG14">
        <v>1.3963452242277541</v>
      </c>
      <c r="GH14">
        <v>8.3748326283281188E-2</v>
      </c>
      <c r="GI14">
        <v>9.8212179507840194</v>
      </c>
      <c r="GJ14"/>
      <c r="GK14"/>
      <c r="GL14"/>
      <c r="GM14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55.472956691041176</v>
      </c>
      <c r="AO15" s="163">
        <f>D48</f>
        <v>13.345662731278045</v>
      </c>
      <c r="AP15" s="163">
        <f>D63</f>
        <v>100.61655432292527</v>
      </c>
      <c r="AQ15" s="163">
        <f>C453</f>
        <v>72.005962691590923</v>
      </c>
      <c r="AR15" s="163">
        <f>G520</f>
        <v>12.323816649949126</v>
      </c>
      <c r="AS15" s="163">
        <f>I523</f>
        <v>60.386387856457603</v>
      </c>
      <c r="AT15" s="122">
        <f>G556</f>
        <v>6.8271015845714169</v>
      </c>
      <c r="AU15" s="122">
        <f>I556</f>
        <v>4.8736805091395441</v>
      </c>
      <c r="AV15" s="23"/>
      <c r="AW15" s="23"/>
      <c r="FG15" s="5"/>
      <c r="FH15" s="215">
        <f t="shared" si="6"/>
        <v>39949</v>
      </c>
      <c r="FI15" s="217">
        <f>AVERAGE(GH6:GH1005)</f>
        <v>5.7684750866091363</v>
      </c>
      <c r="FJ15" s="217"/>
      <c r="FK15" s="217">
        <f>PERCENTILE($GH$6:$GH$1005,0.975)</f>
        <v>14.040314971034503</v>
      </c>
      <c r="FL15" s="217"/>
      <c r="FM15" s="217">
        <f>PERCENTILE($GH$6:$GH$1005,0.025)</f>
        <v>0.16749665256656238</v>
      </c>
      <c r="FN15" s="217"/>
      <c r="FO15" s="5"/>
      <c r="FY15" s="214">
        <v>10</v>
      </c>
      <c r="FZ15">
        <v>1.2769940855987725</v>
      </c>
      <c r="GA15">
        <v>10.274789422166688</v>
      </c>
      <c r="GB15">
        <v>8.0146804778860616</v>
      </c>
      <c r="GC15">
        <v>2.3327080608626853</v>
      </c>
      <c r="GD15">
        <v>9.2694585368543088</v>
      </c>
      <c r="GE15">
        <v>25.436759421418344</v>
      </c>
      <c r="GF15">
        <v>19.038992937097596</v>
      </c>
      <c r="GG15">
        <v>9.9782215456960213</v>
      </c>
      <c r="GH15">
        <v>7.7044348807015295</v>
      </c>
      <c r="GI15">
        <v>12.865402668484448</v>
      </c>
      <c r="GJ15"/>
      <c r="GK15"/>
      <c r="GL15"/>
      <c r="GM1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5">
        <f t="shared" si="6"/>
        <v>39987</v>
      </c>
      <c r="FI16" s="217">
        <f>AVERAGE(GI6:GI1005)</f>
        <v>9.9155196117039264</v>
      </c>
      <c r="FJ16" s="217"/>
      <c r="FK16" s="217">
        <f>PERCENTILE($GI$6:$GI$1005,0.975)</f>
        <v>15.064954567989208</v>
      </c>
      <c r="FL16" s="217"/>
      <c r="FM16" s="217">
        <f>PERCENTILE($GI$6:$GI$1005,0.025)</f>
        <v>5.6050133256931129</v>
      </c>
      <c r="FN16" s="217"/>
      <c r="FO16" s="5"/>
      <c r="FY16" s="214">
        <v>11</v>
      </c>
      <c r="FZ16">
        <v>0.35196781564606772</v>
      </c>
      <c r="GA16">
        <v>10.294313478764231</v>
      </c>
      <c r="GB16">
        <v>8.0063650233185246</v>
      </c>
      <c r="GC16">
        <v>2.5925773849019684</v>
      </c>
      <c r="GD16">
        <v>7.1798653987976886</v>
      </c>
      <c r="GE16">
        <v>15.723683787463031</v>
      </c>
      <c r="GF16">
        <v>16.020876231764724</v>
      </c>
      <c r="GG16">
        <v>10.793214892169567</v>
      </c>
      <c r="GH16">
        <v>0</v>
      </c>
      <c r="GI16">
        <v>9.634075674029452</v>
      </c>
      <c r="GJ16"/>
      <c r="GK16"/>
      <c r="GL16"/>
      <c r="GM16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71.574077556938462</v>
      </c>
      <c r="AO17">
        <v>13.515093140541518</v>
      </c>
      <c r="AP17">
        <v>72.420094975244083</v>
      </c>
      <c r="AQ17">
        <v>79.266936123337103</v>
      </c>
      <c r="AR17">
        <v>12.655742763150135</v>
      </c>
      <c r="AS17">
        <v>65.104593576311856</v>
      </c>
      <c r="AT17">
        <v>6.7950323115463638</v>
      </c>
      <c r="AU17">
        <v>11.829982727814937</v>
      </c>
      <c r="AV17"/>
      <c r="AW17"/>
      <c r="FG17" s="5"/>
      <c r="FH17" s="216"/>
      <c r="FI17" s="13"/>
      <c r="FJ17" s="13"/>
      <c r="FK17" s="13"/>
      <c r="FL17" s="13"/>
      <c r="FM17" s="13"/>
      <c r="FN17" s="13"/>
      <c r="FO17" s="5"/>
      <c r="FY17" s="214">
        <v>12</v>
      </c>
      <c r="FZ17">
        <v>0.47610179972766264</v>
      </c>
      <c r="GA17">
        <v>4.3093133869627831</v>
      </c>
      <c r="GB17">
        <v>6.0969603930871221</v>
      </c>
      <c r="GC17">
        <v>3.0435493655354326</v>
      </c>
      <c r="GD17">
        <v>6.9935961642423141</v>
      </c>
      <c r="GE17">
        <v>17.244259130239772</v>
      </c>
      <c r="GF17">
        <v>17.328136136517418</v>
      </c>
      <c r="GG17">
        <v>10.185047360471469</v>
      </c>
      <c r="GH17">
        <v>1.1967763997980561</v>
      </c>
      <c r="GI17">
        <v>9.3540445618629633</v>
      </c>
      <c r="GJ17"/>
      <c r="GK17"/>
      <c r="GL17"/>
      <c r="GM17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88.797314752105052</v>
      </c>
      <c r="AO18">
        <v>18.153453303587639</v>
      </c>
      <c r="AP18">
        <v>133.38650554963488</v>
      </c>
      <c r="AQ18">
        <v>98.886276999265135</v>
      </c>
      <c r="AR18">
        <v>16.860224523426893</v>
      </c>
      <c r="AS18">
        <v>83.320963466832879</v>
      </c>
      <c r="AT18" t="e">
        <v>#DIV/0!</v>
      </c>
      <c r="AU18" t="e">
        <v>#DIV/0!</v>
      </c>
      <c r="AV18"/>
      <c r="AW18"/>
      <c r="FG18" s="5"/>
      <c r="FH18" s="216"/>
      <c r="FI18" s="13"/>
      <c r="FJ18" s="13"/>
      <c r="FK18" s="13"/>
      <c r="FL18" s="13"/>
      <c r="FM18" s="13"/>
      <c r="FN18" s="13"/>
      <c r="FO18" s="5"/>
      <c r="FY18" s="214">
        <v>13</v>
      </c>
      <c r="FZ18">
        <v>0.33518790398153353</v>
      </c>
      <c r="GA18">
        <v>9.100191448207438</v>
      </c>
      <c r="GB18">
        <v>11.770266645643037</v>
      </c>
      <c r="GC18">
        <v>4.5997468163453537</v>
      </c>
      <c r="GD18">
        <v>4.1998511844980699</v>
      </c>
      <c r="GE18">
        <v>14.927209347462258</v>
      </c>
      <c r="GF18">
        <v>16.008196835630116</v>
      </c>
      <c r="GG18">
        <v>12.252614524344423</v>
      </c>
      <c r="GH18">
        <v>15.322953466510189</v>
      </c>
      <c r="GI18">
        <v>11.027803847132542</v>
      </c>
      <c r="GJ18"/>
      <c r="GK18"/>
      <c r="GL18"/>
      <c r="GM18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77.97114805320254</v>
      </c>
      <c r="AO19">
        <v>15.601336337333972</v>
      </c>
      <c r="AP19">
        <v>109.24134959457072</v>
      </c>
      <c r="AQ19">
        <v>94.372269361289042</v>
      </c>
      <c r="AR19">
        <v>14.577068136506941</v>
      </c>
      <c r="AS19">
        <v>72.315909696405129</v>
      </c>
      <c r="AT19">
        <v>8.2625525821554948</v>
      </c>
      <c r="AU19">
        <v>-2.1934179526860049</v>
      </c>
      <c r="AV19"/>
      <c r="AW19"/>
      <c r="FG19" s="5"/>
      <c r="FH19" s="216"/>
      <c r="FI19" s="13"/>
      <c r="FJ19" s="13"/>
      <c r="FK19" s="13"/>
      <c r="FL19" s="13"/>
      <c r="FM19" s="13"/>
      <c r="FN19" s="13"/>
      <c r="FO19" s="5"/>
      <c r="FY19" s="214">
        <v>14</v>
      </c>
      <c r="FZ19">
        <v>0.41544671275780354</v>
      </c>
      <c r="GA19">
        <v>9.0402972487957047</v>
      </c>
      <c r="GB19">
        <v>9.5598258727300269</v>
      </c>
      <c r="GC19">
        <v>3.3597325151012716</v>
      </c>
      <c r="GD19">
        <v>8.0425862343756958</v>
      </c>
      <c r="GE19">
        <v>22.691483472056678</v>
      </c>
      <c r="GF19">
        <v>19.756702583133592</v>
      </c>
      <c r="GG19">
        <v>10.314233041034703</v>
      </c>
      <c r="GH19">
        <v>4.2968871269912263</v>
      </c>
      <c r="GI19">
        <v>11.810761187945207</v>
      </c>
      <c r="GJ19"/>
      <c r="GK19"/>
      <c r="GL19"/>
      <c r="GM19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101.8633459579178</v>
      </c>
      <c r="AO20">
        <v>20.067269426317317</v>
      </c>
      <c r="AP20">
        <v>96.715861329258715</v>
      </c>
      <c r="AQ20">
        <v>127.32242283342981</v>
      </c>
      <c r="AR20">
        <v>18.791453347422959</v>
      </c>
      <c r="AS20">
        <v>100.222047508629</v>
      </c>
      <c r="AT20">
        <v>11.521440663116747</v>
      </c>
      <c r="AU20">
        <v>44.934228368458989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4">
        <v>15</v>
      </c>
      <c r="FZ20">
        <v>1.0916477481160662</v>
      </c>
      <c r="GA20">
        <v>4.6150851404284872</v>
      </c>
      <c r="GB20">
        <v>10.317752970939505</v>
      </c>
      <c r="GC20">
        <v>5.2196313638964877</v>
      </c>
      <c r="GD20">
        <v>6.9252550802058837</v>
      </c>
      <c r="GE20">
        <v>26.279861200930448</v>
      </c>
      <c r="GF20">
        <v>22.086108471681985</v>
      </c>
      <c r="GG20">
        <v>3.7599739459088313</v>
      </c>
      <c r="GH20">
        <v>5.3603986408057089</v>
      </c>
      <c r="GI20">
        <v>12.052624798630834</v>
      </c>
      <c r="GJ20"/>
      <c r="GK20"/>
      <c r="GL20"/>
      <c r="GM20"/>
    </row>
    <row r="21" spans="1:195" s="7" customFormat="1">
      <c r="A21" s="4"/>
      <c r="B21" s="36"/>
      <c r="C21" s="48" t="s">
        <v>38</v>
      </c>
      <c r="D21" s="49">
        <f t="shared" ref="D21:D26" si="7">SUM(G21:AK21)</f>
        <v>9.3749999999999982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1.0416666666666665</v>
      </c>
      <c r="I21" s="18">
        <f t="shared" si="9"/>
        <v>0</v>
      </c>
      <c r="J21" s="18">
        <f t="shared" si="9"/>
        <v>7.2916666666666661</v>
      </c>
      <c r="K21" s="18">
        <f t="shared" si="9"/>
        <v>1.0416666666666665</v>
      </c>
      <c r="L21" s="18">
        <f t="shared" si="9"/>
        <v>0</v>
      </c>
      <c r="M21" s="18">
        <f t="shared" si="9"/>
        <v>0</v>
      </c>
      <c r="N21" s="18">
        <f t="shared" si="9"/>
        <v>0</v>
      </c>
      <c r="O21" s="18">
        <f t="shared" si="9"/>
        <v>0</v>
      </c>
      <c r="P21" s="18">
        <f t="shared" si="9"/>
        <v>0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63.519789924312796</v>
      </c>
      <c r="AO21">
        <v>12.452839579939996</v>
      </c>
      <c r="AP21">
        <v>46.084581496511952</v>
      </c>
      <c r="AQ21">
        <v>88.703013542209902</v>
      </c>
      <c r="AR21">
        <v>11.702911114944216</v>
      </c>
      <c r="AS21">
        <v>64.759175286469485</v>
      </c>
      <c r="AT21">
        <v>7.8222973651677199</v>
      </c>
      <c r="AU21">
        <v>31.016738541847243</v>
      </c>
      <c r="AV21"/>
      <c r="AW21"/>
      <c r="FY21" s="214">
        <v>16</v>
      </c>
      <c r="FZ21">
        <v>0.14475121264632593</v>
      </c>
      <c r="GA21">
        <v>2.4471258757150758</v>
      </c>
      <c r="GB21">
        <v>5.5227210918114631</v>
      </c>
      <c r="GC21">
        <v>3.1949617976937059</v>
      </c>
      <c r="GD21">
        <v>6.0457470607769199</v>
      </c>
      <c r="GE21">
        <v>15.777657637556441</v>
      </c>
      <c r="GF21">
        <v>22.901525986288995</v>
      </c>
      <c r="GG21">
        <v>17.771077141859156</v>
      </c>
      <c r="GH21">
        <v>4.7696528374653333</v>
      </c>
      <c r="GI21">
        <v>10.503757700732953</v>
      </c>
      <c r="GJ21"/>
      <c r="GK21"/>
      <c r="GL21"/>
      <c r="GM21"/>
    </row>
    <row r="22" spans="1:195" s="7" customFormat="1">
      <c r="B22" s="36"/>
      <c r="C22" s="48" t="s">
        <v>39</v>
      </c>
      <c r="D22" s="49">
        <f t="shared" si="7"/>
        <v>24.999999999999996</v>
      </c>
      <c r="E22" s="18">
        <f t="shared" si="8"/>
        <v>41</v>
      </c>
      <c r="F22" s="50"/>
      <c r="G22" s="18">
        <f t="shared" ref="G22:AK22" si="10">AVERAGE(G71:G72)</f>
        <v>0</v>
      </c>
      <c r="H22" s="18">
        <f t="shared" si="10"/>
        <v>0</v>
      </c>
      <c r="I22" s="18">
        <f t="shared" si="10"/>
        <v>3.125</v>
      </c>
      <c r="J22" s="18">
        <f t="shared" si="10"/>
        <v>11.458333333333332</v>
      </c>
      <c r="K22" s="18">
        <f t="shared" si="10"/>
        <v>6.7708333333333321</v>
      </c>
      <c r="L22" s="18">
        <f t="shared" si="10"/>
        <v>2.083333333333333</v>
      </c>
      <c r="M22" s="18">
        <f t="shared" si="10"/>
        <v>1.5625</v>
      </c>
      <c r="N22" s="18">
        <f t="shared" si="10"/>
        <v>0</v>
      </c>
      <c r="O22" s="18">
        <f t="shared" si="10"/>
        <v>0</v>
      </c>
      <c r="P22" s="18">
        <f t="shared" si="10"/>
        <v>0</v>
      </c>
      <c r="Q22" s="18">
        <f t="shared" si="10"/>
        <v>0</v>
      </c>
      <c r="R22" s="18">
        <f t="shared" si="10"/>
        <v>0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72.142470269957045</v>
      </c>
      <c r="AO22">
        <v>14.346372690251481</v>
      </c>
      <c r="AP22">
        <v>92.099154575894801</v>
      </c>
      <c r="AQ22">
        <v>73.750074989765096</v>
      </c>
      <c r="AR22">
        <v>13.221021624326472</v>
      </c>
      <c r="AS22">
        <v>71.132666529463449</v>
      </c>
      <c r="AT22">
        <v>7.347421225583215</v>
      </c>
      <c r="AU22">
        <v>6.5697595952759116</v>
      </c>
      <c r="AV22"/>
      <c r="AW22"/>
      <c r="FY22" s="214">
        <v>17</v>
      </c>
      <c r="FZ22">
        <v>1.2706115917723249</v>
      </c>
      <c r="GA22">
        <v>17.427145835300596</v>
      </c>
      <c r="GB22">
        <v>15.922039887973149</v>
      </c>
      <c r="GC22">
        <v>4.6328648348467762</v>
      </c>
      <c r="GD22">
        <v>0.83468054915461032</v>
      </c>
      <c r="GE22">
        <v>4.4895394827231314</v>
      </c>
      <c r="GF22">
        <v>7.251024724590013</v>
      </c>
      <c r="GG22">
        <v>4.0424711373627042</v>
      </c>
      <c r="GH22">
        <v>3.4891281113839954</v>
      </c>
      <c r="GI22">
        <v>6.5360445555069058</v>
      </c>
      <c r="GJ22"/>
      <c r="GK22"/>
      <c r="GL22"/>
      <c r="GM22"/>
    </row>
    <row r="23" spans="1:195" s="7" customFormat="1">
      <c r="B23" s="36"/>
      <c r="C23" s="48" t="s">
        <v>40</v>
      </c>
      <c r="D23" s="49">
        <f t="shared" si="7"/>
        <v>56.065349157955872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13.020833333333334</v>
      </c>
      <c r="I23" s="18">
        <f t="shared" si="11"/>
        <v>28.4611824912892</v>
      </c>
      <c r="J23" s="18">
        <f t="shared" si="11"/>
        <v>5.208333333333333</v>
      </c>
      <c r="K23" s="18">
        <f t="shared" si="11"/>
        <v>5.7291666666666661</v>
      </c>
      <c r="L23" s="18">
        <f t="shared" si="11"/>
        <v>2.083333333333333</v>
      </c>
      <c r="M23" s="18">
        <f t="shared" si="11"/>
        <v>1.5625</v>
      </c>
      <c r="N23" s="18">
        <f t="shared" si="11"/>
        <v>0</v>
      </c>
      <c r="O23" s="18">
        <f t="shared" si="11"/>
        <v>0</v>
      </c>
      <c r="P23" s="18">
        <f t="shared" si="11"/>
        <v>0</v>
      </c>
      <c r="Q23" s="18">
        <f t="shared" si="11"/>
        <v>0</v>
      </c>
      <c r="R23" s="18">
        <f t="shared" si="11"/>
        <v>0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44.627089201231755</v>
      </c>
      <c r="AO23">
        <v>9.4676665940133837</v>
      </c>
      <c r="AP23">
        <v>52.723484811760798</v>
      </c>
      <c r="AQ23">
        <v>65.477237894068608</v>
      </c>
      <c r="AR23">
        <v>8.7855122091857805</v>
      </c>
      <c r="AS23">
        <v>45.193204784000315</v>
      </c>
      <c r="AT23" t="e">
        <v>#DIV/0!</v>
      </c>
      <c r="AU23" t="e">
        <v>#DIV/0!</v>
      </c>
      <c r="AV23"/>
      <c r="AW23"/>
      <c r="FY23" s="214">
        <v>18</v>
      </c>
      <c r="FZ23">
        <v>1.2507292367502878</v>
      </c>
      <c r="GA23">
        <v>12.162514288971142</v>
      </c>
      <c r="GB23">
        <v>9.8142787993197356</v>
      </c>
      <c r="GC23">
        <v>3.044654555617929</v>
      </c>
      <c r="GD23">
        <v>7.078034087417941</v>
      </c>
      <c r="GE23">
        <v>28.239809315360691</v>
      </c>
      <c r="GF23">
        <v>30.378488598528396</v>
      </c>
      <c r="GG23">
        <v>8.6874544226623556</v>
      </c>
      <c r="GH23">
        <v>3.6566247639505578</v>
      </c>
      <c r="GI23">
        <v>13.304362838354862</v>
      </c>
      <c r="GJ23"/>
      <c r="GK23"/>
      <c r="GL23"/>
      <c r="GM23"/>
    </row>
    <row r="24" spans="1:195" s="7" customFormat="1">
      <c r="A24" s="4"/>
      <c r="B24" s="36"/>
      <c r="C24" s="48" t="s">
        <v>41</v>
      </c>
      <c r="D24" s="49">
        <f t="shared" si="7"/>
        <v>50.146788551895256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14.0625</v>
      </c>
      <c r="I24" s="18">
        <f t="shared" si="12"/>
        <v>35.042621885228591</v>
      </c>
      <c r="J24" s="18">
        <f t="shared" si="12"/>
        <v>1.0416666666666665</v>
      </c>
      <c r="K24" s="18">
        <f t="shared" si="12"/>
        <v>0</v>
      </c>
      <c r="L24" s="18">
        <f t="shared" si="12"/>
        <v>0</v>
      </c>
      <c r="M24" s="18">
        <f t="shared" si="12"/>
        <v>0</v>
      </c>
      <c r="N24" s="18">
        <f t="shared" si="12"/>
        <v>0</v>
      </c>
      <c r="O24" s="18">
        <f t="shared" si="12"/>
        <v>0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73.595057982275279</v>
      </c>
      <c r="AO24">
        <v>16.695512946656898</v>
      </c>
      <c r="AP24">
        <v>111.93625186672752</v>
      </c>
      <c r="AQ24">
        <v>87.219030285699461</v>
      </c>
      <c r="AR24">
        <v>15.190270394377496</v>
      </c>
      <c r="AS24">
        <v>78.604095017932622</v>
      </c>
      <c r="AT24" t="e">
        <v>#DIV/0!</v>
      </c>
      <c r="AU24" t="e">
        <v>#DIV/0!</v>
      </c>
      <c r="AV24"/>
      <c r="AW24"/>
      <c r="FY24" s="214">
        <v>19</v>
      </c>
      <c r="FZ24">
        <v>1.005563711944601</v>
      </c>
      <c r="GA24">
        <v>10.265362701630137</v>
      </c>
      <c r="GB24">
        <v>8.7568266762781999</v>
      </c>
      <c r="GC24">
        <v>3.2892915098374855</v>
      </c>
      <c r="GD24">
        <v>4.2457757387250492</v>
      </c>
      <c r="GE24">
        <v>11.849138065615881</v>
      </c>
      <c r="GF24">
        <v>16.304484299378899</v>
      </c>
      <c r="GG24">
        <v>15.855538682619617</v>
      </c>
      <c r="GH24">
        <v>14.126177066712133</v>
      </c>
      <c r="GI24">
        <v>10.38475828068457</v>
      </c>
      <c r="GJ24"/>
      <c r="GK24"/>
      <c r="GL24"/>
      <c r="GM24"/>
    </row>
    <row r="25" spans="1:195" s="7" customFormat="1">
      <c r="A25" s="4"/>
      <c r="B25" s="36"/>
      <c r="C25" s="48" t="s">
        <v>42</v>
      </c>
      <c r="D25" s="49">
        <f t="shared" si="7"/>
        <v>122.73755656108597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5.2083333333333321</v>
      </c>
      <c r="I25" s="18">
        <f t="shared" si="13"/>
        <v>79.654077540106954</v>
      </c>
      <c r="J25" s="18">
        <f t="shared" si="13"/>
        <v>1.5624999999999998</v>
      </c>
      <c r="K25" s="18">
        <f t="shared" si="13"/>
        <v>0</v>
      </c>
      <c r="L25" s="18">
        <f t="shared" si="13"/>
        <v>6.1917249417249405</v>
      </c>
      <c r="M25" s="18">
        <f t="shared" si="13"/>
        <v>26.333041958041957</v>
      </c>
      <c r="N25" s="18">
        <f t="shared" si="13"/>
        <v>3.7878787878787876</v>
      </c>
      <c r="O25" s="18">
        <f t="shared" si="13"/>
        <v>0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84.91013289034295</v>
      </c>
      <c r="AO25">
        <v>15.060611166364627</v>
      </c>
      <c r="AP25">
        <v>93.307446718319781</v>
      </c>
      <c r="AQ25">
        <v>72.443029881298244</v>
      </c>
      <c r="AR25">
        <v>13.704318103581491</v>
      </c>
      <c r="AS25">
        <v>77.795029339151469</v>
      </c>
      <c r="AT25" t="e">
        <v>#DIV/0!</v>
      </c>
      <c r="AU25" t="e">
        <v>#DIV/0!</v>
      </c>
      <c r="AV25"/>
      <c r="AW25"/>
      <c r="FY25" s="214">
        <v>20</v>
      </c>
      <c r="FZ25">
        <v>1.3879068417004041</v>
      </c>
      <c r="GA25">
        <v>10.29703564905191</v>
      </c>
      <c r="GB25">
        <v>11.468839700826528</v>
      </c>
      <c r="GC25">
        <v>4.449176577717501</v>
      </c>
      <c r="GD25">
        <v>6.9084333132297102</v>
      </c>
      <c r="GE25">
        <v>13.611643433233313</v>
      </c>
      <c r="GF25">
        <v>16.216730244670458</v>
      </c>
      <c r="GG25">
        <v>14.433516312647651</v>
      </c>
      <c r="GH25">
        <v>0.25124497884984359</v>
      </c>
      <c r="GI25">
        <v>10.734925405875996</v>
      </c>
      <c r="GJ25"/>
      <c r="GK25"/>
      <c r="GL25"/>
      <c r="GM25"/>
    </row>
    <row r="26" spans="1:195" s="7" customFormat="1">
      <c r="A26" s="4"/>
      <c r="B26" s="36"/>
      <c r="C26" s="48" t="s">
        <v>118</v>
      </c>
      <c r="D26" s="49">
        <f t="shared" si="7"/>
        <v>136.9894505004799</v>
      </c>
      <c r="E26" s="18">
        <f t="shared" si="8"/>
        <v>48</v>
      </c>
      <c r="F26" s="50"/>
      <c r="G26" s="18">
        <f t="shared" ref="G26:AK26" si="14">AVERAGE(G75:G76)</f>
        <v>0</v>
      </c>
      <c r="H26" s="18">
        <f t="shared" si="14"/>
        <v>17.1875</v>
      </c>
      <c r="I26" s="18">
        <f t="shared" si="14"/>
        <v>82.968471479500892</v>
      </c>
      <c r="J26" s="18">
        <f t="shared" si="14"/>
        <v>0.52083333333333326</v>
      </c>
      <c r="K26" s="18">
        <f t="shared" si="14"/>
        <v>0</v>
      </c>
      <c r="L26" s="18">
        <f t="shared" si="14"/>
        <v>6.1917249417249405</v>
      </c>
      <c r="M26" s="18">
        <f t="shared" si="14"/>
        <v>26.333041958041957</v>
      </c>
      <c r="N26" s="18">
        <f t="shared" si="14"/>
        <v>3.7878787878787876</v>
      </c>
      <c r="O26" s="18">
        <f t="shared" si="14"/>
        <v>0</v>
      </c>
      <c r="P26" s="18">
        <f t="shared" si="14"/>
        <v>0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93.005029167297295</v>
      </c>
      <c r="AO26">
        <v>19.446300279039793</v>
      </c>
      <c r="AP26">
        <v>113.95894093178823</v>
      </c>
      <c r="AQ26">
        <v>106.19244203676645</v>
      </c>
      <c r="AR26">
        <v>18.060280604656157</v>
      </c>
      <c r="AS26">
        <v>93.589171836634208</v>
      </c>
      <c r="AT26">
        <v>9.6653345664624215</v>
      </c>
      <c r="AU26">
        <v>25.249445995442148</v>
      </c>
      <c r="AV26"/>
      <c r="AW26"/>
      <c r="FY26" s="214">
        <v>21</v>
      </c>
      <c r="FZ26">
        <v>1.0124024460981165</v>
      </c>
      <c r="GA26">
        <v>16.663638914548876</v>
      </c>
      <c r="GB26">
        <v>10.203319813777334</v>
      </c>
      <c r="GC26">
        <v>1.9735346749247777</v>
      </c>
      <c r="GD26">
        <v>6.0953758652099985</v>
      </c>
      <c r="GE26">
        <v>19.028162043571278</v>
      </c>
      <c r="GF26">
        <v>28.727279294951757</v>
      </c>
      <c r="GG26">
        <v>16.159166698776225</v>
      </c>
      <c r="GH26">
        <v>2.5115328924623825</v>
      </c>
      <c r="GI26">
        <v>12.688846421360219</v>
      </c>
      <c r="GJ26"/>
      <c r="GK26"/>
      <c r="GL26"/>
      <c r="GM26"/>
    </row>
    <row r="27" spans="1:195" s="7" customFormat="1">
      <c r="A27" s="4"/>
      <c r="B27" s="1"/>
      <c r="C27" s="48" t="s">
        <v>119</v>
      </c>
      <c r="D27" s="49">
        <f>SUM(G27:AK27)</f>
        <v>43.576388888888886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13.020833333333334</v>
      </c>
      <c r="I27" s="18">
        <f t="shared" si="15"/>
        <v>13.020833333333334</v>
      </c>
      <c r="J27" s="18">
        <f t="shared" si="15"/>
        <v>3.125</v>
      </c>
      <c r="K27" s="18">
        <f t="shared" si="15"/>
        <v>11.805555555555555</v>
      </c>
      <c r="L27" s="18">
        <f t="shared" si="15"/>
        <v>0</v>
      </c>
      <c r="M27" s="18">
        <f t="shared" si="15"/>
        <v>0</v>
      </c>
      <c r="N27" s="18">
        <f t="shared" si="15"/>
        <v>0</v>
      </c>
      <c r="O27" s="18">
        <f t="shared" si="15"/>
        <v>0</v>
      </c>
      <c r="P27" s="18">
        <f t="shared" si="15"/>
        <v>2.604166666666667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73.633622650241989</v>
      </c>
      <c r="AO27">
        <v>14.905755334778926</v>
      </c>
      <c r="AP27">
        <v>87.622940811077129</v>
      </c>
      <c r="AQ27">
        <v>80.596939686855251</v>
      </c>
      <c r="AR27">
        <v>13.551330777829326</v>
      </c>
      <c r="AS27">
        <v>70.489338235521032</v>
      </c>
      <c r="AT27" t="e">
        <v>#DIV/0!</v>
      </c>
      <c r="AU27" t="e">
        <v>#DIV/0!</v>
      </c>
      <c r="AV27"/>
      <c r="AW27"/>
      <c r="FY27" s="214">
        <v>22</v>
      </c>
      <c r="FZ27">
        <v>0.82733474183103617</v>
      </c>
      <c r="GA27">
        <v>15.388697128584122</v>
      </c>
      <c r="GB27">
        <v>12.764407484510802</v>
      </c>
      <c r="GC27">
        <v>3.4782359838587951</v>
      </c>
      <c r="GD27">
        <v>2.8968453574561219</v>
      </c>
      <c r="GE27">
        <v>13.134547182502219</v>
      </c>
      <c r="GF27">
        <v>21.063039674999345</v>
      </c>
      <c r="GG27">
        <v>14.840614050020214</v>
      </c>
      <c r="GH27">
        <v>10.467384334151987</v>
      </c>
      <c r="GI27">
        <v>10.639202767741654</v>
      </c>
      <c r="GJ27"/>
      <c r="GK27"/>
      <c r="GL27"/>
      <c r="GM27"/>
    </row>
    <row r="28" spans="1:195" s="7" customFormat="1">
      <c r="A28" s="51"/>
      <c r="B28" s="1"/>
      <c r="C28" s="48" t="s">
        <v>120</v>
      </c>
      <c r="D28" s="49">
        <f>SUM(G28:AK28)</f>
        <v>36.761629852744313</v>
      </c>
      <c r="E28" s="18">
        <f>C12-C11</f>
        <v>39</v>
      </c>
      <c r="F28" s="50"/>
      <c r="G28" s="18">
        <f t="shared" si="15"/>
        <v>0</v>
      </c>
      <c r="H28" s="18">
        <f t="shared" si="15"/>
        <v>0</v>
      </c>
      <c r="I28" s="18">
        <f t="shared" si="15"/>
        <v>2.0394076305220881</v>
      </c>
      <c r="J28" s="18">
        <f t="shared" si="15"/>
        <v>3.125</v>
      </c>
      <c r="K28" s="18">
        <f t="shared" si="15"/>
        <v>21.180555555555557</v>
      </c>
      <c r="L28" s="18">
        <f t="shared" si="15"/>
        <v>4.1666666666666661</v>
      </c>
      <c r="M28" s="18">
        <f t="shared" si="15"/>
        <v>2.083333333333333</v>
      </c>
      <c r="N28" s="18">
        <f t="shared" si="15"/>
        <v>1.5625</v>
      </c>
      <c r="O28" s="18">
        <f t="shared" si="15"/>
        <v>0</v>
      </c>
      <c r="P28" s="18">
        <f t="shared" si="15"/>
        <v>2.604166666666667</v>
      </c>
      <c r="Q28" s="18">
        <f t="shared" si="15"/>
        <v>0</v>
      </c>
      <c r="R28" s="18">
        <f t="shared" si="15"/>
        <v>0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70.36124873272631</v>
      </c>
      <c r="AO28">
        <v>14.34787624347428</v>
      </c>
      <c r="AP28">
        <v>80.867708640467114</v>
      </c>
      <c r="AQ28">
        <v>76.227784698444992</v>
      </c>
      <c r="AR28">
        <v>13.044167967552381</v>
      </c>
      <c r="AS28">
        <v>65.613284642755531</v>
      </c>
      <c r="AT28" t="e">
        <v>#DIV/0!</v>
      </c>
      <c r="AU28" t="e">
        <v>#DIV/0!</v>
      </c>
      <c r="AV28"/>
      <c r="AW28"/>
      <c r="FY28" s="214">
        <v>23</v>
      </c>
      <c r="FZ28">
        <v>1.1903527829960545</v>
      </c>
      <c r="GA28">
        <v>3.8804749534439171</v>
      </c>
      <c r="GB28">
        <v>6.0580413876514712</v>
      </c>
      <c r="GC28">
        <v>3.8605138205830181</v>
      </c>
      <c r="GD28">
        <v>4.3278200882873161</v>
      </c>
      <c r="GE28">
        <v>18.058960359200739</v>
      </c>
      <c r="GF28">
        <v>30.650658423494789</v>
      </c>
      <c r="GG28">
        <v>14.615925364855025</v>
      </c>
      <c r="GH28">
        <v>7.6206865544182483</v>
      </c>
      <c r="GI28">
        <v>11.419501662798917</v>
      </c>
      <c r="GJ28"/>
      <c r="GK28"/>
      <c r="GL28"/>
      <c r="GM28"/>
    </row>
    <row r="29" spans="1:195" s="7" customFormat="1">
      <c r="A29" s="51"/>
      <c r="B29" s="1"/>
      <c r="C29" s="48" t="s">
        <v>121</v>
      </c>
      <c r="D29" s="49">
        <f>SUM(G29:AK29)</f>
        <v>23.105453729812869</v>
      </c>
      <c r="E29" s="18">
        <f>C13-C12</f>
        <v>38</v>
      </c>
      <c r="F29" s="50"/>
      <c r="G29" s="18">
        <f t="shared" si="15"/>
        <v>0</v>
      </c>
      <c r="H29" s="18">
        <f t="shared" si="15"/>
        <v>0</v>
      </c>
      <c r="I29" s="18">
        <f t="shared" si="15"/>
        <v>2.0394076305220881</v>
      </c>
      <c r="J29" s="18">
        <f t="shared" si="15"/>
        <v>0</v>
      </c>
      <c r="K29" s="18">
        <f t="shared" si="15"/>
        <v>9.375</v>
      </c>
      <c r="L29" s="18">
        <f t="shared" si="15"/>
        <v>8.0452127659574462</v>
      </c>
      <c r="M29" s="18">
        <f t="shared" si="15"/>
        <v>2.083333333333333</v>
      </c>
      <c r="N29" s="18">
        <f t="shared" si="15"/>
        <v>1.5625</v>
      </c>
      <c r="O29" s="18">
        <f t="shared" si="15"/>
        <v>0</v>
      </c>
      <c r="P29" s="18">
        <f t="shared" si="15"/>
        <v>0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80.811711760430669</v>
      </c>
      <c r="AO29">
        <v>16.478047300837865</v>
      </c>
      <c r="AP29">
        <v>65.560900604845216</v>
      </c>
      <c r="AQ29">
        <v>99.544022019754948</v>
      </c>
      <c r="AR29">
        <v>15.361546751366522</v>
      </c>
      <c r="AS29">
        <v>82.278330992548987</v>
      </c>
      <c r="AT29">
        <v>8.9318498972913662</v>
      </c>
      <c r="AU29">
        <v>20.822370320795198</v>
      </c>
      <c r="AV29"/>
      <c r="AW29"/>
      <c r="FY29" s="214">
        <v>24</v>
      </c>
      <c r="FZ29">
        <v>0.80417233634005447</v>
      </c>
      <c r="GA29">
        <v>10.678491103428968</v>
      </c>
      <c r="GB29">
        <v>11.358159938360735</v>
      </c>
      <c r="GC29">
        <v>4.1417893573915014</v>
      </c>
      <c r="GD29">
        <v>9.2824663591331475</v>
      </c>
      <c r="GE29">
        <v>23.964896899831533</v>
      </c>
      <c r="GF29">
        <v>21.858017687638473</v>
      </c>
      <c r="GG29">
        <v>13.625441476323893</v>
      </c>
      <c r="GH29">
        <v>5.4441469670889902</v>
      </c>
      <c r="GI29">
        <v>13.815369732150154</v>
      </c>
      <c r="GJ29"/>
      <c r="GK29"/>
      <c r="GL29"/>
      <c r="GM29"/>
    </row>
    <row r="30" spans="1:195" s="7" customFormat="1">
      <c r="A30" s="51"/>
      <c r="B30" s="1"/>
      <c r="C30" s="48" t="s">
        <v>122</v>
      </c>
      <c r="D30" s="49">
        <f>SUM(G30:AK30)</f>
        <v>50.971949667548721</v>
      </c>
      <c r="E30" s="18">
        <v>24</v>
      </c>
      <c r="F30" s="50"/>
      <c r="G30" s="18">
        <f>AVERAGE(G70:G79)</f>
        <v>0</v>
      </c>
      <c r="H30" s="18">
        <f t="shared" ref="H30:AK30" si="16">AVERAGE(H70:H79)</f>
        <v>6.458333333333333</v>
      </c>
      <c r="I30" s="18">
        <f t="shared" si="16"/>
        <v>24.635100199050317</v>
      </c>
      <c r="J30" s="18">
        <f t="shared" si="16"/>
        <v>3.4375</v>
      </c>
      <c r="K30" s="18">
        <f t="shared" si="16"/>
        <v>5.5902777777777768</v>
      </c>
      <c r="L30" s="18">
        <f t="shared" si="16"/>
        <v>3.2640542082031443</v>
      </c>
      <c r="M30" s="18">
        <f t="shared" si="16"/>
        <v>5.9957750582750577</v>
      </c>
      <c r="N30" s="18">
        <f t="shared" si="16"/>
        <v>1.0700757575757573</v>
      </c>
      <c r="O30" s="18">
        <f t="shared" si="16"/>
        <v>0</v>
      </c>
      <c r="P30" s="18">
        <f t="shared" si="16"/>
        <v>0.52083333333333337</v>
      </c>
      <c r="Q30" s="18">
        <f t="shared" si="16"/>
        <v>0</v>
      </c>
      <c r="R30" s="18">
        <f t="shared" si="16"/>
        <v>0</v>
      </c>
      <c r="S30" s="18">
        <f t="shared" si="16"/>
        <v>0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87.974642243735161</v>
      </c>
      <c r="AO30">
        <v>18.076976487215529</v>
      </c>
      <c r="AP30">
        <v>65.087522184006289</v>
      </c>
      <c r="AQ30">
        <v>99.287955994921887</v>
      </c>
      <c r="AR30">
        <v>16.458355637377782</v>
      </c>
      <c r="AS30">
        <v>89.373176158433367</v>
      </c>
      <c r="AT30" t="e">
        <v>#DIV/0!</v>
      </c>
      <c r="AU30" t="e">
        <v>#DIV/0!</v>
      </c>
      <c r="AV30"/>
      <c r="AW30"/>
      <c r="FY30" s="214">
        <v>25</v>
      </c>
      <c r="FZ30">
        <v>0.68003835225845954</v>
      </c>
      <c r="GA30">
        <v>3.0370937712857078</v>
      </c>
      <c r="GB30">
        <v>10.599470843822074</v>
      </c>
      <c r="GC30">
        <v>5.6933575919327675</v>
      </c>
      <c r="GD30">
        <v>1.8203511600918967</v>
      </c>
      <c r="GE30">
        <v>10.686762949879528</v>
      </c>
      <c r="GF30">
        <v>18.662139736538414</v>
      </c>
      <c r="GG30">
        <v>10.934600427968876</v>
      </c>
      <c r="GH30">
        <v>8.8495267521897034</v>
      </c>
      <c r="GI30">
        <v>8.9739488612914435</v>
      </c>
      <c r="GJ30"/>
      <c r="GK30"/>
      <c r="GL30"/>
      <c r="GM30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102.55201557341429</v>
      </c>
      <c r="AO31">
        <v>18.298912689268342</v>
      </c>
      <c r="AP31">
        <v>79.244774708721238</v>
      </c>
      <c r="AQ31">
        <v>97.708339361544233</v>
      </c>
      <c r="AR31">
        <v>16.826127047364544</v>
      </c>
      <c r="AS31">
        <v>92.763077323666153</v>
      </c>
      <c r="AT31">
        <v>8.718733597350985</v>
      </c>
      <c r="AU31">
        <v>1.3599635438643101</v>
      </c>
      <c r="AV31"/>
      <c r="AW31"/>
      <c r="FY31" s="214">
        <v>26</v>
      </c>
      <c r="FZ31">
        <v>1.266774274872128</v>
      </c>
      <c r="GA31">
        <v>6.2058960159199428</v>
      </c>
      <c r="GB31">
        <v>7.9451244176699785</v>
      </c>
      <c r="GC31">
        <v>3.3877015634966945</v>
      </c>
      <c r="GD31">
        <v>5.9158142086063314</v>
      </c>
      <c r="GE31">
        <v>13.168846024370001</v>
      </c>
      <c r="GF31">
        <v>10.313121128360379</v>
      </c>
      <c r="GG31">
        <v>10.483217517065755</v>
      </c>
      <c r="GH31">
        <v>8.1772005911756356</v>
      </c>
      <c r="GI31">
        <v>9.2126824453388227</v>
      </c>
      <c r="GJ31"/>
      <c r="GK31"/>
      <c r="GL31"/>
      <c r="GM31"/>
    </row>
    <row r="32" spans="1:195" s="7" customFormat="1">
      <c r="A32" s="51"/>
      <c r="B32" s="1"/>
      <c r="C32" s="52" t="s">
        <v>43</v>
      </c>
      <c r="D32" s="53">
        <f>AVERAGE(D21:D31)</f>
        <v>55.472956691041176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69.737951917552593</v>
      </c>
      <c r="AO32">
        <v>16.413476661944451</v>
      </c>
      <c r="AP32">
        <v>115.29246491133205</v>
      </c>
      <c r="AQ32">
        <v>89.078978342546364</v>
      </c>
      <c r="AR32">
        <v>14.934517881760122</v>
      </c>
      <c r="AS32">
        <v>76.689840156343877</v>
      </c>
      <c r="AT32" t="e">
        <v>#DIV/0!</v>
      </c>
      <c r="AU32" t="e">
        <v>#DIV/0!</v>
      </c>
      <c r="AV32"/>
      <c r="AW32"/>
      <c r="FY32" s="214">
        <v>27</v>
      </c>
      <c r="FZ32">
        <v>1.0595576718723863</v>
      </c>
      <c r="GA32">
        <v>17.043638826160301</v>
      </c>
      <c r="GB32">
        <v>12.105567825073324</v>
      </c>
      <c r="GC32">
        <v>3.1244375664019577</v>
      </c>
      <c r="GD32">
        <v>5.0930825505900348</v>
      </c>
      <c r="GE32">
        <v>16.104372453310042</v>
      </c>
      <c r="GF32">
        <v>25.131928406230365</v>
      </c>
      <c r="GG32">
        <v>14.146719328621646</v>
      </c>
      <c r="GH32">
        <v>3.6245609659771576</v>
      </c>
      <c r="GI32">
        <v>11.907935465999568</v>
      </c>
      <c r="GJ32"/>
      <c r="GK32"/>
      <c r="GL32"/>
      <c r="GM32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60.613133862593408</v>
      </c>
      <c r="AO33">
        <v>9.8773631449434784</v>
      </c>
      <c r="AP33">
        <v>26.200480227432998</v>
      </c>
      <c r="AQ33">
        <v>65.895550710614216</v>
      </c>
      <c r="AR33">
        <v>9.0044837447819752</v>
      </c>
      <c r="AS33">
        <v>51.129216876875347</v>
      </c>
      <c r="AT33" t="e">
        <v>#DIV/0!</v>
      </c>
      <c r="AU33" t="e">
        <v>#DIV/0!</v>
      </c>
      <c r="AV33"/>
      <c r="AW33"/>
      <c r="FY33" s="214">
        <v>28</v>
      </c>
      <c r="FZ33">
        <v>1.022343623609135</v>
      </c>
      <c r="GA33">
        <v>5.0357634809328555</v>
      </c>
      <c r="GB33">
        <v>4.9444791435774098</v>
      </c>
      <c r="GC33">
        <v>2.2425452292255814</v>
      </c>
      <c r="GD33">
        <v>7.1233534304022026</v>
      </c>
      <c r="GE33">
        <v>17.910610559016334</v>
      </c>
      <c r="GF33">
        <v>17.192689782588825</v>
      </c>
      <c r="GG33">
        <v>14.358861401757906</v>
      </c>
      <c r="GH33">
        <v>8.9332750784729846</v>
      </c>
      <c r="GI33">
        <v>10.417501185309348</v>
      </c>
      <c r="GJ33"/>
      <c r="GK33"/>
      <c r="GL33"/>
      <c r="GM33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116.71007865625913</v>
      </c>
      <c r="AO34">
        <v>20.367707403040633</v>
      </c>
      <c r="AP34">
        <v>96.341606262582701</v>
      </c>
      <c r="AQ34">
        <v>117.61695090693389</v>
      </c>
      <c r="AR34">
        <v>18.51674174897633</v>
      </c>
      <c r="AS34">
        <v>105.27452625006879</v>
      </c>
      <c r="AT34" t="e">
        <v>#DIV/0!</v>
      </c>
      <c r="AU34" t="e">
        <v>#DIV/0!</v>
      </c>
      <c r="AV34"/>
      <c r="AW34"/>
      <c r="FY34" s="214">
        <v>29</v>
      </c>
      <c r="FZ34">
        <v>1.7837498326517971</v>
      </c>
      <c r="GA34">
        <v>11.826973423528434</v>
      </c>
      <c r="GB34">
        <v>10.120028454618371</v>
      </c>
      <c r="GC34">
        <v>3.5599850245964699</v>
      </c>
      <c r="GD34">
        <v>3.0505833100187267</v>
      </c>
      <c r="GE34">
        <v>8.4180590546636918</v>
      </c>
      <c r="GF34">
        <v>14.232772440056427</v>
      </c>
      <c r="GG34">
        <v>10.30785472211911</v>
      </c>
      <c r="GH34">
        <v>9.0191913733658549</v>
      </c>
      <c r="GI34">
        <v>8.7059901969900508</v>
      </c>
      <c r="GJ34"/>
      <c r="GK34"/>
      <c r="GL34"/>
      <c r="GM34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77.52845161394194</v>
      </c>
      <c r="AO35">
        <v>15.617314428754165</v>
      </c>
      <c r="AP35">
        <v>82.676411817564428</v>
      </c>
      <c r="AQ35">
        <v>96.082916733426572</v>
      </c>
      <c r="AR35">
        <v>14.554643728123734</v>
      </c>
      <c r="AS35">
        <v>78.039058219889412</v>
      </c>
      <c r="AT35" t="e">
        <v>#DIV/0!</v>
      </c>
      <c r="AU35" t="e">
        <v>#DIV/0!</v>
      </c>
      <c r="AV35"/>
      <c r="AW35"/>
      <c r="FY35" s="214">
        <v>30</v>
      </c>
      <c r="FZ35">
        <v>0.88470977833195052</v>
      </c>
      <c r="GA35">
        <v>11.253386175202284</v>
      </c>
      <c r="GB35">
        <v>9.422251296927115</v>
      </c>
      <c r="GC35">
        <v>2.9437874425864949</v>
      </c>
      <c r="GD35">
        <v>0.95584405727707478</v>
      </c>
      <c r="GE35">
        <v>6.8421236774586207</v>
      </c>
      <c r="GF35">
        <v>13.865138704611958</v>
      </c>
      <c r="GG35">
        <v>9.9783574249737281</v>
      </c>
      <c r="GH35">
        <v>14.768607398362391</v>
      </c>
      <c r="GI35">
        <v>8.1322131424560897</v>
      </c>
      <c r="GJ35"/>
      <c r="GK35"/>
      <c r="GL35"/>
      <c r="GM3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1.0628342212155094E-3</v>
      </c>
      <c r="H36" s="59">
        <f t="shared" ref="H36:AK36" si="17">(1-($A$43/100))*($A$39*(H35^$A$41))</f>
        <v>6.8018000000000002E-3</v>
      </c>
      <c r="I36" s="59">
        <f t="shared" si="17"/>
        <v>4.3529350407149732E-2</v>
      </c>
      <c r="J36" s="59">
        <f t="shared" si="17"/>
        <v>0.12893017672014584</v>
      </c>
      <c r="K36" s="59">
        <f t="shared" si="17"/>
        <v>0.27857395790355882</v>
      </c>
      <c r="L36" s="59">
        <f t="shared" si="17"/>
        <v>0.50636715682427036</v>
      </c>
      <c r="M36" s="59">
        <f t="shared" si="17"/>
        <v>0.82511200572009868</v>
      </c>
      <c r="N36" s="59">
        <f t="shared" si="17"/>
        <v>1.2467988957258624</v>
      </c>
      <c r="O36" s="59">
        <f t="shared" si="17"/>
        <v>1.7827844729175482</v>
      </c>
      <c r="P36" s="59">
        <f t="shared" si="17"/>
        <v>2.4439105044382416</v>
      </c>
      <c r="Q36" s="59">
        <f t="shared" si="17"/>
        <v>3.2405882860530784</v>
      </c>
      <c r="R36" s="59">
        <f t="shared" si="17"/>
        <v>4.1828613448324496</v>
      </c>
      <c r="S36" s="59">
        <f t="shared" si="17"/>
        <v>5.2804536478779598</v>
      </c>
      <c r="T36" s="59">
        <f t="shared" si="17"/>
        <v>6.5428076873601926</v>
      </c>
      <c r="U36" s="59">
        <f t="shared" si="17"/>
        <v>7.9791152370399594</v>
      </c>
      <c r="V36" s="59">
        <f t="shared" si="17"/>
        <v>9.5983426467451238</v>
      </c>
      <c r="W36" s="59">
        <f t="shared" si="17"/>
        <v>11.409251965958095</v>
      </c>
      <c r="X36" s="59">
        <f t="shared" si="17"/>
        <v>13.420418816457433</v>
      </c>
      <c r="Y36" s="59">
        <f t="shared" si="17"/>
        <v>15.640247686113412</v>
      </c>
      <c r="Z36" s="59">
        <f t="shared" si="17"/>
        <v>18.076985145572394</v>
      </c>
      <c r="AA36" s="59">
        <f t="shared" si="17"/>
        <v>20.738731369477062</v>
      </c>
      <c r="AB36" s="59">
        <f t="shared" si="17"/>
        <v>23.633450257346329</v>
      </c>
      <c r="AC36" s="59">
        <f t="shared" si="17"/>
        <v>26.768978385682214</v>
      </c>
      <c r="AD36" s="59">
        <f t="shared" si="17"/>
        <v>30.153032975381233</v>
      </c>
      <c r="AE36" s="59">
        <f t="shared" si="17"/>
        <v>33.793219022492863</v>
      </c>
      <c r="AF36" s="59">
        <f t="shared" si="17"/>
        <v>37.697035712648905</v>
      </c>
      <c r="AG36" s="59">
        <f t="shared" si="17"/>
        <v>41.871882217897436</v>
      </c>
      <c r="AH36" s="59">
        <f t="shared" si="17"/>
        <v>46.32506295766467</v>
      </c>
      <c r="AI36" s="59">
        <f t="shared" si="17"/>
        <v>51.063792392034465</v>
      </c>
      <c r="AJ36" s="59">
        <f t="shared" si="17"/>
        <v>56.095199404656171</v>
      </c>
      <c r="AK36" s="59">
        <f t="shared" si="17"/>
        <v>61.426331323775749</v>
      </c>
      <c r="AL36" s="42"/>
      <c r="AM36" s="43">
        <v>20</v>
      </c>
      <c r="AN36">
        <v>65.848161461785622</v>
      </c>
      <c r="AO36">
        <v>16.76842426770251</v>
      </c>
      <c r="AP36">
        <v>127.82729297249438</v>
      </c>
      <c r="AQ36">
        <v>89.75945245780332</v>
      </c>
      <c r="AR36">
        <v>15.244022061547739</v>
      </c>
      <c r="AS36">
        <v>74.211354086829729</v>
      </c>
      <c r="AT36" t="e">
        <v>#DIV/0!</v>
      </c>
      <c r="AU36" t="e">
        <v>#DIV/0!</v>
      </c>
      <c r="AV36"/>
      <c r="AW36"/>
      <c r="FY36" s="214">
        <v>31</v>
      </c>
      <c r="FZ36">
        <v>1.0827200773633678</v>
      </c>
      <c r="GA36">
        <v>11.512284998290339</v>
      </c>
      <c r="GB36">
        <v>8.3476901871441154</v>
      </c>
      <c r="GC36">
        <v>2.2313940703019561</v>
      </c>
      <c r="GD36">
        <v>6.0458051815830167</v>
      </c>
      <c r="GE36">
        <v>14.432388806308131</v>
      </c>
      <c r="GF36">
        <v>13.747117560075866</v>
      </c>
      <c r="GG36">
        <v>11.190474601497666</v>
      </c>
      <c r="GH36">
        <v>4.6859045111820521</v>
      </c>
      <c r="GI36">
        <v>9.2826515984833673</v>
      </c>
      <c r="GJ36"/>
      <c r="GK36"/>
      <c r="GL36"/>
      <c r="GM36"/>
    </row>
    <row r="37" spans="1:195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1.2373822864006039</v>
      </c>
      <c r="E37" s="107">
        <f t="shared" ref="E37:E46" si="19">+D37/D21</f>
        <v>0.13198744388273109</v>
      </c>
      <c r="F37" s="18"/>
      <c r="G37" s="49">
        <f t="shared" ref="G37:G43" si="20">G21*G$36</f>
        <v>0</v>
      </c>
      <c r="H37" s="49">
        <f t="shared" ref="H37:AK40" si="21">H21*H$36</f>
        <v>7.0852083333333322E-3</v>
      </c>
      <c r="I37" s="49">
        <f t="shared" si="21"/>
        <v>0</v>
      </c>
      <c r="J37" s="49">
        <f t="shared" si="21"/>
        <v>0.94011587191773005</v>
      </c>
      <c r="K37" s="49">
        <f t="shared" si="21"/>
        <v>0.2901812061495404</v>
      </c>
      <c r="L37" s="49">
        <f t="shared" si="21"/>
        <v>0</v>
      </c>
      <c r="M37" s="49">
        <f t="shared" si="21"/>
        <v>0</v>
      </c>
      <c r="N37" s="49">
        <f t="shared" si="21"/>
        <v>0</v>
      </c>
      <c r="O37" s="49">
        <f t="shared" si="21"/>
        <v>0</v>
      </c>
      <c r="P37" s="49">
        <f t="shared" si="21"/>
        <v>0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93.303868187732235</v>
      </c>
      <c r="AO37">
        <v>19.632304247236952</v>
      </c>
      <c r="AP37">
        <v>122.60601810822111</v>
      </c>
      <c r="AQ37">
        <v>115.06325906568098</v>
      </c>
      <c r="AR37">
        <v>18.038945300820856</v>
      </c>
      <c r="AS37">
        <v>89.025672115075139</v>
      </c>
      <c r="AT37">
        <v>9.9556293881441658</v>
      </c>
      <c r="AU37">
        <v>43.579988697084104</v>
      </c>
      <c r="AV37"/>
      <c r="AW37"/>
      <c r="FY37" s="214">
        <v>32</v>
      </c>
      <c r="FZ37">
        <v>1.2606704142613063</v>
      </c>
      <c r="GA37">
        <v>18.25283368051441</v>
      </c>
      <c r="GB37">
        <v>11.5313872714969</v>
      </c>
      <c r="GC37">
        <v>2.1746584704520568</v>
      </c>
      <c r="GD37">
        <v>2.7619717934981303</v>
      </c>
      <c r="GE37">
        <v>8.8482494490535402</v>
      </c>
      <c r="GF37">
        <v>19.486567639640306</v>
      </c>
      <c r="GG37">
        <v>14.276377303667301</v>
      </c>
      <c r="GH37">
        <v>3.4891281113839954</v>
      </c>
      <c r="GI37">
        <v>9.0985649785692893</v>
      </c>
      <c r="GJ37"/>
      <c r="GK37"/>
      <c r="GL37"/>
      <c r="GM37"/>
    </row>
    <row r="38" spans="1:195" s="7" customFormat="1">
      <c r="A38" s="9" t="s">
        <v>47</v>
      </c>
      <c r="B38" s="57"/>
      <c r="C38" s="48" t="s">
        <v>39</v>
      </c>
      <c r="D38" s="49">
        <f t="shared" si="18"/>
        <v>5.8437010872342441</v>
      </c>
      <c r="E38" s="107">
        <f t="shared" si="19"/>
        <v>0.23374804348936978</v>
      </c>
      <c r="F38" s="18"/>
      <c r="G38" s="49">
        <f t="shared" si="20"/>
        <v>0</v>
      </c>
      <c r="H38" s="49">
        <f t="shared" si="21"/>
        <v>0</v>
      </c>
      <c r="I38" s="49">
        <f t="shared" si="21"/>
        <v>0.13602922002234291</v>
      </c>
      <c r="J38" s="49">
        <f t="shared" si="21"/>
        <v>1.4773249415850043</v>
      </c>
      <c r="K38" s="49">
        <f t="shared" si="21"/>
        <v>1.8861778399720126</v>
      </c>
      <c r="L38" s="49">
        <f t="shared" si="21"/>
        <v>1.0549315767172298</v>
      </c>
      <c r="M38" s="49">
        <f t="shared" si="21"/>
        <v>1.2892375089376542</v>
      </c>
      <c r="N38" s="49">
        <f t="shared" si="21"/>
        <v>0</v>
      </c>
      <c r="O38" s="49">
        <f t="shared" si="21"/>
        <v>0</v>
      </c>
      <c r="P38" s="49">
        <f t="shared" si="21"/>
        <v>0</v>
      </c>
      <c r="Q38" s="49">
        <f t="shared" si="21"/>
        <v>0</v>
      </c>
      <c r="R38" s="49">
        <f t="shared" si="21"/>
        <v>0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91.600602760318452</v>
      </c>
      <c r="AO38">
        <v>16.150948754648802</v>
      </c>
      <c r="AP38">
        <v>53.701956382269245</v>
      </c>
      <c r="AQ38">
        <v>105.50030870565629</v>
      </c>
      <c r="AR38">
        <v>14.707421335044396</v>
      </c>
      <c r="AS38">
        <v>86.63956624388041</v>
      </c>
      <c r="AT38" t="e">
        <v>#DIV/0!</v>
      </c>
      <c r="AU38" t="e">
        <v>#DIV/0!</v>
      </c>
      <c r="AV38"/>
      <c r="AW38"/>
      <c r="FY38" s="214">
        <v>33</v>
      </c>
      <c r="FZ38">
        <v>0.46898443235852094</v>
      </c>
      <c r="GA38">
        <v>23.401613145803729</v>
      </c>
      <c r="GB38">
        <v>12.355428865516071</v>
      </c>
      <c r="GC38">
        <v>0.93811235489075973</v>
      </c>
      <c r="GD38">
        <v>3.6307419934939675</v>
      </c>
      <c r="GE38">
        <v>14.78771564598855</v>
      </c>
      <c r="GF38">
        <v>30.056572876984056</v>
      </c>
      <c r="GG38">
        <v>19.665267342357019</v>
      </c>
      <c r="GH38">
        <v>4.1293904744246639</v>
      </c>
      <c r="GI38">
        <v>12.276163154124806</v>
      </c>
      <c r="GJ38"/>
      <c r="GK38"/>
      <c r="GL38"/>
      <c r="GM38"/>
    </row>
    <row r="39" spans="1:195" s="7" customFormat="1">
      <c r="A39" s="114">
        <v>7.1000000000000004E-3</v>
      </c>
      <c r="B39" s="57"/>
      <c r="C39" s="48" t="s">
        <v>40</v>
      </c>
      <c r="D39" s="49">
        <f t="shared" si="18"/>
        <v>5.9391389463932782</v>
      </c>
      <c r="E39" s="107">
        <f t="shared" si="19"/>
        <v>0.10593243483886328</v>
      </c>
      <c r="F39" s="18"/>
      <c r="G39" s="49">
        <f t="shared" si="20"/>
        <v>0</v>
      </c>
      <c r="H39" s="49">
        <f t="shared" si="21"/>
        <v>8.8565104166666672E-2</v>
      </c>
      <c r="I39" s="49">
        <f t="shared" si="21"/>
        <v>1.2388967856651625</v>
      </c>
      <c r="J39" s="49">
        <f t="shared" si="21"/>
        <v>0.67151133708409283</v>
      </c>
      <c r="K39" s="49">
        <f t="shared" si="21"/>
        <v>1.5959966338224723</v>
      </c>
      <c r="L39" s="49">
        <f t="shared" si="21"/>
        <v>1.0549315767172298</v>
      </c>
      <c r="M39" s="49">
        <f t="shared" si="21"/>
        <v>1.2892375089376542</v>
      </c>
      <c r="N39" s="49">
        <f t="shared" si="21"/>
        <v>0</v>
      </c>
      <c r="O39" s="49">
        <f t="shared" si="21"/>
        <v>0</v>
      </c>
      <c r="P39" s="49">
        <f t="shared" si="21"/>
        <v>0</v>
      </c>
      <c r="Q39" s="49">
        <f t="shared" si="21"/>
        <v>0</v>
      </c>
      <c r="R39" s="49">
        <f t="shared" si="21"/>
        <v>0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97.110664479580706</v>
      </c>
      <c r="AO39">
        <v>17.180843700841372</v>
      </c>
      <c r="AP39">
        <v>83.934350076844026</v>
      </c>
      <c r="AQ39">
        <v>101.68293539772951</v>
      </c>
      <c r="AR39">
        <v>15.988565327437883</v>
      </c>
      <c r="AS39">
        <v>85.60544787745539</v>
      </c>
      <c r="AT39">
        <v>9.1126083977511048</v>
      </c>
      <c r="AU39">
        <v>66.853979708157198</v>
      </c>
      <c r="AV39"/>
      <c r="AW39"/>
      <c r="FY39" s="214">
        <v>34</v>
      </c>
      <c r="FZ39">
        <v>1.0320061679045274</v>
      </c>
      <c r="GA39">
        <v>19.227468689354041</v>
      </c>
      <c r="GB39">
        <v>11.327002264808881</v>
      </c>
      <c r="GC39">
        <v>1.5449086706427591</v>
      </c>
      <c r="GD39">
        <v>11.136123417998162</v>
      </c>
      <c r="GE39">
        <v>24.493174699656084</v>
      </c>
      <c r="GF39">
        <v>7.6147306941363544</v>
      </c>
      <c r="GG39">
        <v>8.9303195577561461</v>
      </c>
      <c r="GH39">
        <v>7.5347702595253789</v>
      </c>
      <c r="GI39">
        <v>12.498743529455787</v>
      </c>
      <c r="GJ39"/>
      <c r="GK39"/>
      <c r="GL39"/>
      <c r="GM39"/>
    </row>
    <row r="40" spans="1:195" s="7" customFormat="1">
      <c r="A40" s="9" t="s">
        <v>48</v>
      </c>
      <c r="B40" s="57"/>
      <c r="C40" s="48" t="s">
        <v>41</v>
      </c>
      <c r="D40" s="49">
        <f t="shared" si="18"/>
        <v>1.7553351471441878</v>
      </c>
      <c r="E40" s="107">
        <f t="shared" si="19"/>
        <v>3.5003939391405878E-2</v>
      </c>
      <c r="F40" s="18"/>
      <c r="G40" s="49">
        <f t="shared" si="20"/>
        <v>0</v>
      </c>
      <c r="H40" s="49">
        <f t="shared" si="21"/>
        <v>9.5650312500000001E-2</v>
      </c>
      <c r="I40" s="49">
        <f t="shared" si="21"/>
        <v>1.5253825672273693</v>
      </c>
      <c r="J40" s="49">
        <f t="shared" si="21"/>
        <v>0.13430226741681855</v>
      </c>
      <c r="K40" s="49">
        <f t="shared" si="21"/>
        <v>0</v>
      </c>
      <c r="L40" s="49">
        <f t="shared" si="21"/>
        <v>0</v>
      </c>
      <c r="M40" s="49">
        <f t="shared" si="21"/>
        <v>0</v>
      </c>
      <c r="N40" s="49">
        <f t="shared" si="21"/>
        <v>0</v>
      </c>
      <c r="O40" s="49">
        <f t="shared" si="21"/>
        <v>0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91.927631591244648</v>
      </c>
      <c r="AO40">
        <v>21.123994760690454</v>
      </c>
      <c r="AP40">
        <v>92.171317234419206</v>
      </c>
      <c r="AQ40">
        <v>114.97295185768745</v>
      </c>
      <c r="AR40">
        <v>19.394383475930098</v>
      </c>
      <c r="AS40">
        <v>99.954111056134039</v>
      </c>
      <c r="AT40">
        <v>10.236786211806299</v>
      </c>
      <c r="AU40">
        <v>20.500890732028839</v>
      </c>
      <c r="AV40"/>
      <c r="AW40"/>
      <c r="FY40" s="214">
        <v>35</v>
      </c>
      <c r="FZ40">
        <v>0.60051441702488362</v>
      </c>
      <c r="GA40">
        <v>3.4076669623605875</v>
      </c>
      <c r="GB40">
        <v>12.062159077421537</v>
      </c>
      <c r="GC40">
        <v>6.3837139148079594</v>
      </c>
      <c r="GD40">
        <v>9.4823510176066215</v>
      </c>
      <c r="GE40">
        <v>23.789357216879321</v>
      </c>
      <c r="GF40">
        <v>17.972654830147235</v>
      </c>
      <c r="GG40">
        <v>14.204326238923128</v>
      </c>
      <c r="GH40">
        <v>9.4060407889470916</v>
      </c>
      <c r="GI40">
        <v>13.977212534817301</v>
      </c>
      <c r="GJ40"/>
      <c r="GK40"/>
      <c r="GL40"/>
      <c r="GM40"/>
    </row>
    <row r="41" spans="1:195" s="7" customFormat="1">
      <c r="A41" s="114">
        <v>2.6779999999999999</v>
      </c>
      <c r="B41" s="57"/>
      <c r="C41" s="48" t="s">
        <v>42</v>
      </c>
      <c r="D41" s="49">
        <f t="shared" si="18"/>
        <v>33.289888006554868</v>
      </c>
      <c r="E41" s="107">
        <f t="shared" si="19"/>
        <v>0.2712282119612397</v>
      </c>
      <c r="F41" s="18"/>
      <c r="G41" s="49">
        <f t="shared" si="20"/>
        <v>0</v>
      </c>
      <c r="H41" s="49">
        <f t="shared" ref="H41:AK43" si="22">H25*H$36</f>
        <v>3.5426041666666658E-2</v>
      </c>
      <c r="I41" s="49">
        <f t="shared" si="22"/>
        <v>3.467290252601591</v>
      </c>
      <c r="J41" s="49">
        <f t="shared" si="22"/>
        <v>0.20145340112522783</v>
      </c>
      <c r="K41" s="49">
        <f t="shared" si="22"/>
        <v>0</v>
      </c>
      <c r="L41" s="49">
        <f t="shared" si="22"/>
        <v>3.135286154579179</v>
      </c>
      <c r="M41" s="49">
        <f t="shared" si="22"/>
        <v>21.727709066711512</v>
      </c>
      <c r="N41" s="49">
        <f t="shared" si="22"/>
        <v>4.7227230898706907</v>
      </c>
      <c r="O41" s="49">
        <f t="shared" si="22"/>
        <v>0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60.760694489334504</v>
      </c>
      <c r="AO41">
        <v>13.726852435311832</v>
      </c>
      <c r="AP41">
        <v>42.77620293198332</v>
      </c>
      <c r="AQ41">
        <v>79.93729044725886</v>
      </c>
      <c r="AR41">
        <v>12.669708634676807</v>
      </c>
      <c r="AS41">
        <v>66.174892043614904</v>
      </c>
      <c r="AT41">
        <v>6.6241166920281662</v>
      </c>
      <c r="AU41">
        <v>20.684278052803354</v>
      </c>
      <c r="AV41"/>
      <c r="AW41"/>
      <c r="FY41" s="214">
        <v>36</v>
      </c>
      <c r="FZ41">
        <v>1.2963191741895572</v>
      </c>
      <c r="GA41">
        <v>12.293801523254288</v>
      </c>
      <c r="GB41">
        <v>12.82508347628206</v>
      </c>
      <c r="GC41">
        <v>4.9022043146758492</v>
      </c>
      <c r="GD41">
        <v>9.4983889462369646</v>
      </c>
      <c r="GE41">
        <v>22.121965008646544</v>
      </c>
      <c r="GF41">
        <v>19.023395067281015</v>
      </c>
      <c r="GG41">
        <v>14.739516012790524</v>
      </c>
      <c r="GH41">
        <v>6.9461924247945905</v>
      </c>
      <c r="GI41">
        <v>14.090400210841578</v>
      </c>
      <c r="GJ41"/>
      <c r="GK41"/>
      <c r="GL41"/>
      <c r="GM41"/>
    </row>
    <row r="42" spans="1:195" s="7" customFormat="1">
      <c r="A42" s="9" t="s">
        <v>49</v>
      </c>
      <c r="B42" s="57"/>
      <c r="C42" s="48" t="s">
        <v>118</v>
      </c>
      <c r="D42" s="49">
        <f t="shared" si="18"/>
        <v>33.381339050146593</v>
      </c>
      <c r="E42" s="107">
        <f t="shared" si="19"/>
        <v>0.24367817323297936</v>
      </c>
      <c r="F42" s="18"/>
      <c r="G42" s="49">
        <f t="shared" si="20"/>
        <v>0</v>
      </c>
      <c r="H42" s="49">
        <f t="shared" si="22"/>
        <v>0.1169059375</v>
      </c>
      <c r="I42" s="49">
        <f t="shared" si="22"/>
        <v>3.611563667776803</v>
      </c>
      <c r="J42" s="49">
        <f t="shared" si="22"/>
        <v>6.7151133708409277E-2</v>
      </c>
      <c r="K42" s="49">
        <f t="shared" si="22"/>
        <v>0</v>
      </c>
      <c r="L42" s="49">
        <f t="shared" si="22"/>
        <v>3.135286154579179</v>
      </c>
      <c r="M42" s="49">
        <f t="shared" si="22"/>
        <v>21.727709066711512</v>
      </c>
      <c r="N42" s="49">
        <f t="shared" si="22"/>
        <v>4.7227230898706907</v>
      </c>
      <c r="O42" s="49">
        <f t="shared" si="22"/>
        <v>0</v>
      </c>
      <c r="P42" s="49">
        <f t="shared" si="22"/>
        <v>0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57.157052850887659</v>
      </c>
      <c r="AO42">
        <v>13.895413976764171</v>
      </c>
      <c r="AP42">
        <v>72.257461773989718</v>
      </c>
      <c r="AQ42">
        <v>76.076378186875672</v>
      </c>
      <c r="AR42">
        <v>12.989601735784351</v>
      </c>
      <c r="AS42">
        <v>67.286430463500579</v>
      </c>
      <c r="AT42">
        <v>6.9524451215530521</v>
      </c>
      <c r="AU42">
        <v>4.8581751469947383</v>
      </c>
      <c r="AV42"/>
      <c r="AW42"/>
      <c r="FY42" s="214">
        <v>37</v>
      </c>
      <c r="FZ42">
        <v>0.71753103373733684</v>
      </c>
      <c r="GA42">
        <v>4.2396970283775772</v>
      </c>
      <c r="GB42">
        <v>6.8858248424708943</v>
      </c>
      <c r="GC42">
        <v>3.5180123834408201</v>
      </c>
      <c r="GD42">
        <v>5.4248820684959949</v>
      </c>
      <c r="GE42">
        <v>17.183967703156775</v>
      </c>
      <c r="GF42">
        <v>16.060391967941406</v>
      </c>
      <c r="GG42">
        <v>12.013562422977849</v>
      </c>
      <c r="GH42">
        <v>10.467384334151987</v>
      </c>
      <c r="GI42">
        <v>10.032317878268325</v>
      </c>
      <c r="GJ42"/>
      <c r="GK42"/>
      <c r="GL42"/>
      <c r="GM42"/>
    </row>
    <row r="43" spans="1:195" s="7" customFormat="1">
      <c r="A43" s="95">
        <v>4.2</v>
      </c>
      <c r="B43" s="1"/>
      <c r="C43" s="48" t="s">
        <v>119</v>
      </c>
      <c r="D43" s="49">
        <f>IF(SUM(G43:AK43)&lt;0.0001, 0, SUM(G43:AK43))</f>
        <v>10.711330931512931</v>
      </c>
      <c r="E43" s="107">
        <f t="shared" si="19"/>
        <v>0.24580584129687047</v>
      </c>
      <c r="F43" s="18"/>
      <c r="G43" s="49">
        <f t="shared" si="20"/>
        <v>0</v>
      </c>
      <c r="H43" s="49">
        <f t="shared" si="22"/>
        <v>8.8565104166666672E-2</v>
      </c>
      <c r="I43" s="49">
        <f t="shared" si="22"/>
        <v>0.56678841675976221</v>
      </c>
      <c r="J43" s="49">
        <f t="shared" si="22"/>
        <v>0.40290680225045572</v>
      </c>
      <c r="K43" s="49">
        <f t="shared" si="22"/>
        <v>3.2887203363614583</v>
      </c>
      <c r="L43" s="49">
        <f t="shared" si="22"/>
        <v>0</v>
      </c>
      <c r="M43" s="49">
        <f t="shared" si="22"/>
        <v>0</v>
      </c>
      <c r="N43" s="49">
        <f t="shared" si="22"/>
        <v>0</v>
      </c>
      <c r="O43" s="49">
        <f t="shared" si="22"/>
        <v>0</v>
      </c>
      <c r="P43" s="49">
        <f t="shared" si="22"/>
        <v>6.3643502719745886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97.160747013677437</v>
      </c>
      <c r="AO43">
        <v>18.299157716112212</v>
      </c>
      <c r="AP43">
        <v>97.85366210725374</v>
      </c>
      <c r="AQ43">
        <v>109.34180106023678</v>
      </c>
      <c r="AR43">
        <v>16.826993908889271</v>
      </c>
      <c r="AS43">
        <v>91.791106370440403</v>
      </c>
      <c r="AT43">
        <v>9.0295054450475263</v>
      </c>
      <c r="AU43">
        <v>24.204874378737664</v>
      </c>
      <c r="AV43"/>
      <c r="AW43"/>
      <c r="FY43" s="214">
        <v>38</v>
      </c>
      <c r="FZ43">
        <v>0.6262219994421161</v>
      </c>
      <c r="GA43">
        <v>11.188309859116085</v>
      </c>
      <c r="GB43">
        <v>11.915175195301345</v>
      </c>
      <c r="GC43">
        <v>4.4828283212029394</v>
      </c>
      <c r="GD43">
        <v>4.0420784343728862</v>
      </c>
      <c r="GE43">
        <v>10.563725929120181</v>
      </c>
      <c r="GF43">
        <v>15.863854395026845</v>
      </c>
      <c r="GG43">
        <v>12.005830554097498</v>
      </c>
      <c r="GH43">
        <v>4.2131388007079451</v>
      </c>
      <c r="GI43">
        <v>9.3175196645388407</v>
      </c>
      <c r="GJ43"/>
      <c r="GK43"/>
      <c r="GL43"/>
      <c r="GM43"/>
    </row>
    <row r="44" spans="1:195" s="7" customFormat="1">
      <c r="A44" s="4"/>
      <c r="B44" s="1"/>
      <c r="C44" s="48" t="s">
        <v>120</v>
      </c>
      <c r="D44" s="49">
        <f>IF(SUM(G44:AK44)&lt;0.0001, 0, SUM(G44:AK44))</f>
        <v>18.533352128560701</v>
      </c>
      <c r="E44" s="107">
        <f t="shared" si="19"/>
        <v>0.50414935906812508</v>
      </c>
      <c r="F44" s="18"/>
      <c r="G44" s="49">
        <f>G28*G36</f>
        <v>0</v>
      </c>
      <c r="H44" s="49">
        <f t="shared" ref="H44:AK44" si="23">H28*H36</f>
        <v>0</v>
      </c>
      <c r="I44" s="49">
        <f t="shared" si="23"/>
        <v>8.8774089372010923E-2</v>
      </c>
      <c r="J44" s="49">
        <f t="shared" si="23"/>
        <v>0.40290680225045572</v>
      </c>
      <c r="K44" s="49">
        <f t="shared" si="23"/>
        <v>5.9003511917073226</v>
      </c>
      <c r="L44" s="49">
        <f t="shared" si="23"/>
        <v>2.1098631534344596</v>
      </c>
      <c r="M44" s="49">
        <f t="shared" si="23"/>
        <v>1.7189833452502052</v>
      </c>
      <c r="N44" s="49">
        <f t="shared" si="23"/>
        <v>1.9481232745716601</v>
      </c>
      <c r="O44" s="49">
        <f t="shared" si="23"/>
        <v>0</v>
      </c>
      <c r="P44" s="49">
        <f t="shared" si="23"/>
        <v>6.3643502719745886</v>
      </c>
      <c r="Q44" s="49">
        <f t="shared" si="23"/>
        <v>0</v>
      </c>
      <c r="R44" s="49">
        <f t="shared" si="23"/>
        <v>0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79.133089666821931</v>
      </c>
      <c r="AO44">
        <v>15.763537903503529</v>
      </c>
      <c r="AP44">
        <v>84.256412878164809</v>
      </c>
      <c r="AQ44">
        <v>89.181422914892579</v>
      </c>
      <c r="AR44">
        <v>14.50967569129803</v>
      </c>
      <c r="AS44">
        <v>78.451097656259208</v>
      </c>
      <c r="AT44">
        <v>8.0745286691128015</v>
      </c>
      <c r="AU44">
        <v>22.191573615839236</v>
      </c>
      <c r="AV44"/>
      <c r="AW44"/>
      <c r="FY44" s="214">
        <v>39</v>
      </c>
      <c r="FZ44">
        <v>1.3876282084847782</v>
      </c>
      <c r="GA44">
        <v>3.9018899980444051</v>
      </c>
      <c r="GB44">
        <v>3.418638722461929</v>
      </c>
      <c r="GC44">
        <v>1.7879654224256607</v>
      </c>
      <c r="GD44">
        <v>5.796233803626988</v>
      </c>
      <c r="GE44">
        <v>12.863850945845055</v>
      </c>
      <c r="GF44">
        <v>15.860276111918079</v>
      </c>
      <c r="GG44">
        <v>18.456828051028367</v>
      </c>
      <c r="GH44">
        <v>10.519068862461866</v>
      </c>
      <c r="GI44">
        <v>9.5928018854110455</v>
      </c>
      <c r="GJ44"/>
      <c r="GK44"/>
      <c r="GL44"/>
      <c r="GM44"/>
    </row>
    <row r="45" spans="1:195" s="7" customFormat="1">
      <c r="A45" s="4"/>
      <c r="B45" s="1"/>
      <c r="C45" s="48" t="s">
        <v>121</v>
      </c>
      <c r="D45" s="49">
        <f>IF(SUM(G45:AK45)&lt;0.0001, 0, SUM(G45:AK45))</f>
        <v>10.441343078883936</v>
      </c>
      <c r="E45" s="107">
        <f t="shared" si="19"/>
        <v>0.45189950394315415</v>
      </c>
      <c r="F45" s="18"/>
      <c r="G45" s="49">
        <f>G29*G36</f>
        <v>0</v>
      </c>
      <c r="H45" s="49">
        <f t="shared" ref="H45:AK45" si="24">H29*H36</f>
        <v>0</v>
      </c>
      <c r="I45" s="49">
        <f t="shared" si="24"/>
        <v>8.8774089372010923E-2</v>
      </c>
      <c r="J45" s="49">
        <f t="shared" si="24"/>
        <v>0</v>
      </c>
      <c r="K45" s="49">
        <f t="shared" si="24"/>
        <v>2.6116308553458638</v>
      </c>
      <c r="L45" s="49">
        <f t="shared" si="24"/>
        <v>4.0738315143441959</v>
      </c>
      <c r="M45" s="49">
        <f t="shared" si="24"/>
        <v>1.7189833452502052</v>
      </c>
      <c r="N45" s="49">
        <f t="shared" si="24"/>
        <v>1.9481232745716601</v>
      </c>
      <c r="O45" s="49">
        <f t="shared" si="24"/>
        <v>0</v>
      </c>
      <c r="P45" s="49">
        <f t="shared" si="24"/>
        <v>0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70.017421331793742</v>
      </c>
      <c r="AO45">
        <v>12.620118204613838</v>
      </c>
      <c r="AP45">
        <v>40.553639236378267</v>
      </c>
      <c r="AQ45">
        <v>81.025187832608935</v>
      </c>
      <c r="AR45">
        <v>12.03320311526072</v>
      </c>
      <c r="AS45">
        <v>62.726870219281096</v>
      </c>
      <c r="AT45">
        <v>7.2461716241908549</v>
      </c>
      <c r="AU45">
        <v>9.7941864659103626</v>
      </c>
      <c r="AV45"/>
      <c r="AW45"/>
      <c r="FY45" s="214">
        <v>40</v>
      </c>
      <c r="FZ45">
        <v>1.6949859752828271</v>
      </c>
      <c r="GA45">
        <v>4.1640004800243968</v>
      </c>
      <c r="GB45">
        <v>3.7767265582178156</v>
      </c>
      <c r="GC45">
        <v>2.2909419218795319</v>
      </c>
      <c r="GD45">
        <v>0.74367852919144761</v>
      </c>
      <c r="GE45">
        <v>6.2312651038570452</v>
      </c>
      <c r="GF45">
        <v>21.981632974760892</v>
      </c>
      <c r="GG45">
        <v>14.672908337837098</v>
      </c>
      <c r="GH45">
        <v>4.6021561848987709</v>
      </c>
      <c r="GI45">
        <v>6.626366080267811</v>
      </c>
      <c r="GJ45"/>
      <c r="GK45"/>
      <c r="GL45"/>
      <c r="GM45"/>
    </row>
    <row r="46" spans="1:195" s="7" customFormat="1">
      <c r="A46" s="4"/>
      <c r="B46" s="1"/>
      <c r="C46" s="48" t="s">
        <v>122</v>
      </c>
      <c r="D46" s="49">
        <f>IF(SUM(G46:AK46)&lt;0.0001, 0, SUM(G46:AK46))</f>
        <v>12.323816649949123</v>
      </c>
      <c r="E46" s="107">
        <f t="shared" si="19"/>
        <v>0.24177644234383833</v>
      </c>
      <c r="F46" s="18"/>
      <c r="G46" s="49">
        <f>G30*G36</f>
        <v>0</v>
      </c>
      <c r="H46" s="49">
        <f t="shared" ref="H46:AK46" si="25">H30*H36</f>
        <v>4.3928291666666668E-2</v>
      </c>
      <c r="I46" s="49">
        <f t="shared" si="25"/>
        <v>1.0723499088797053</v>
      </c>
      <c r="J46" s="49">
        <f t="shared" si="25"/>
        <v>0.44319748247550134</v>
      </c>
      <c r="K46" s="49">
        <f t="shared" si="25"/>
        <v>1.5573058063358667</v>
      </c>
      <c r="L46" s="49">
        <f t="shared" si="25"/>
        <v>1.6528098491281211</v>
      </c>
      <c r="M46" s="49">
        <f t="shared" si="25"/>
        <v>4.9471859841798747</v>
      </c>
      <c r="N46" s="49">
        <f t="shared" si="25"/>
        <v>1.33416927288847</v>
      </c>
      <c r="O46" s="49">
        <f t="shared" si="25"/>
        <v>0</v>
      </c>
      <c r="P46" s="49">
        <f t="shared" si="25"/>
        <v>1.2728700543949176</v>
      </c>
      <c r="Q46" s="49">
        <f t="shared" si="25"/>
        <v>0</v>
      </c>
      <c r="R46" s="49">
        <f t="shared" si="25"/>
        <v>0</v>
      </c>
      <c r="S46" s="49">
        <f t="shared" si="25"/>
        <v>0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68.277314772697423</v>
      </c>
      <c r="AO46">
        <v>11.728854751713643</v>
      </c>
      <c r="AP46">
        <v>53.025978299929392</v>
      </c>
      <c r="AQ46">
        <v>79.046419098187712</v>
      </c>
      <c r="AR46">
        <v>11.389296893850808</v>
      </c>
      <c r="AS46">
        <v>61.885889144909179</v>
      </c>
      <c r="AT46">
        <v>6.9759788552470505</v>
      </c>
      <c r="AU46">
        <v>41.817235321852529</v>
      </c>
      <c r="AV46"/>
      <c r="AW46"/>
      <c r="FY46" s="214">
        <v>41</v>
      </c>
      <c r="FZ46">
        <v>0.98924004060713466</v>
      </c>
      <c r="GA46">
        <v>17.677267993216649</v>
      </c>
      <c r="GB46">
        <v>13.197923774246402</v>
      </c>
      <c r="GC46">
        <v>3.47767674077499</v>
      </c>
      <c r="GD46">
        <v>8.1843286037853229</v>
      </c>
      <c r="GE46">
        <v>18.251654638629148</v>
      </c>
      <c r="GF46">
        <v>11.590205334148244</v>
      </c>
      <c r="GG46">
        <v>8.8793608664429371</v>
      </c>
      <c r="GH46">
        <v>9.4082087575566788</v>
      </c>
      <c r="GI46">
        <v>12.137658225073908</v>
      </c>
      <c r="GJ46"/>
      <c r="GK46"/>
      <c r="GL46"/>
      <c r="GM46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66.137368457268963</v>
      </c>
      <c r="AO47">
        <v>14.179344652835955</v>
      </c>
      <c r="AP47">
        <v>57.825837167771347</v>
      </c>
      <c r="AQ47">
        <v>82.55843159222988</v>
      </c>
      <c r="AR47">
        <v>12.915698079608473</v>
      </c>
      <c r="AS47">
        <v>70.475364583076797</v>
      </c>
      <c r="AT47" t="e">
        <v>#DIV/0!</v>
      </c>
      <c r="AU47" t="e">
        <v>#DIV/0!</v>
      </c>
      <c r="AV47"/>
      <c r="AW47"/>
      <c r="FY47" s="214">
        <v>42</v>
      </c>
      <c r="FZ47">
        <v>1.4303943357821707</v>
      </c>
      <c r="GA47">
        <v>11.094978883438198</v>
      </c>
      <c r="GB47">
        <v>10.806421613337715</v>
      </c>
      <c r="GC47">
        <v>4.2607941759750183</v>
      </c>
      <c r="GD47">
        <v>6.1930233376038624</v>
      </c>
      <c r="GE47">
        <v>14.394951077935422</v>
      </c>
      <c r="GF47">
        <v>17.715694967600058</v>
      </c>
      <c r="GG47">
        <v>12.081146243393768</v>
      </c>
      <c r="GH47">
        <v>2.5952812187456633</v>
      </c>
      <c r="GI47">
        <v>10.752767109575814</v>
      </c>
      <c r="GJ47"/>
      <c r="GK47"/>
      <c r="GL47"/>
      <c r="GM47"/>
    </row>
    <row r="48" spans="1:195" s="7" customFormat="1">
      <c r="A48" s="4"/>
      <c r="B48" s="1"/>
      <c r="C48" s="60" t="s">
        <v>50</v>
      </c>
      <c r="D48" s="53">
        <f>AVERAGE(D37:D47)</f>
        <v>13.345662731278045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74.671947112057325</v>
      </c>
      <c r="AO48">
        <v>13.982535416758868</v>
      </c>
      <c r="AP48">
        <v>48.780037921008365</v>
      </c>
      <c r="AQ48">
        <v>91.180409112537234</v>
      </c>
      <c r="AR48">
        <v>12.736458537341424</v>
      </c>
      <c r="AS48">
        <v>67.830220423191619</v>
      </c>
      <c r="AT48" t="e">
        <v>#DIV/0!</v>
      </c>
      <c r="AU48" t="e">
        <v>#DIV/0!</v>
      </c>
      <c r="AV48"/>
      <c r="AW48"/>
      <c r="FY48" s="214">
        <v>43</v>
      </c>
      <c r="FZ48">
        <v>0.22145133773802506</v>
      </c>
      <c r="GA48">
        <v>10.465231990798239</v>
      </c>
      <c r="GB48">
        <v>7.0466110489533564</v>
      </c>
      <c r="GC48">
        <v>2.0721819169373532</v>
      </c>
      <c r="GD48">
        <v>11.673834131376838</v>
      </c>
      <c r="GE48">
        <v>24.050194252263527</v>
      </c>
      <c r="GF48">
        <v>14.072456119451425</v>
      </c>
      <c r="GG48">
        <v>12.607718022687562</v>
      </c>
      <c r="GH48">
        <v>3.4891281113839954</v>
      </c>
      <c r="GI48">
        <v>12.352860414097112</v>
      </c>
      <c r="GJ48"/>
      <c r="GK48"/>
      <c r="GL48"/>
      <c r="GM48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87.726626626683725</v>
      </c>
      <c r="AO49">
        <v>19.337127185433946</v>
      </c>
      <c r="AP49">
        <v>132.86832089541701</v>
      </c>
      <c r="AQ49">
        <v>121.70999028594214</v>
      </c>
      <c r="AR49">
        <v>17.57920653221268</v>
      </c>
      <c r="AS49">
        <v>80.538686619757684</v>
      </c>
      <c r="AT49" t="e">
        <v>#DIV/0!</v>
      </c>
      <c r="AU49" t="e">
        <v>#DIV/0!</v>
      </c>
      <c r="AV49"/>
      <c r="AW49"/>
      <c r="FY49" s="214">
        <v>44</v>
      </c>
      <c r="FZ49">
        <v>0.89437232262734301</v>
      </c>
      <c r="GA49">
        <v>5.1012021264647505</v>
      </c>
      <c r="GB49">
        <v>7.7610745397510703</v>
      </c>
      <c r="GC49">
        <v>3.9508552040332869</v>
      </c>
      <c r="GD49">
        <v>1.9921612188355087</v>
      </c>
      <c r="GE49">
        <v>8.2143855926682132</v>
      </c>
      <c r="GF49">
        <v>19.979278915832609</v>
      </c>
      <c r="GG49">
        <v>13.435603886269996</v>
      </c>
      <c r="GH49">
        <v>5.9169126775630962</v>
      </c>
      <c r="GI49">
        <v>8.0969012779300762</v>
      </c>
      <c r="GJ49"/>
      <c r="GK49"/>
      <c r="GL49"/>
      <c r="GM49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85.274585534765066</v>
      </c>
      <c r="AO50">
        <v>19.169605037037396</v>
      </c>
      <c r="AP50">
        <v>96.797241254448849</v>
      </c>
      <c r="AQ50">
        <v>105.33924795123812</v>
      </c>
      <c r="AR50">
        <v>17.427557779882488</v>
      </c>
      <c r="AS50">
        <v>86.832737127512999</v>
      </c>
      <c r="AT50" t="e">
        <v>#DIV/0!</v>
      </c>
      <c r="AU50" t="e">
        <v>#DIV/0!</v>
      </c>
      <c r="AV50"/>
      <c r="AW50"/>
      <c r="FY50" s="214">
        <v>45</v>
      </c>
      <c r="FZ50">
        <v>0.72108971742190775</v>
      </c>
      <c r="GA50">
        <v>11.049064294503848</v>
      </c>
      <c r="GB50">
        <v>7.26450359695861</v>
      </c>
      <c r="GC50">
        <v>1.7028261921313808</v>
      </c>
      <c r="GD50">
        <v>3.8429195018995999</v>
      </c>
      <c r="GE50">
        <v>8.5941042557624279</v>
      </c>
      <c r="GF50">
        <v>9.2249582661234086</v>
      </c>
      <c r="GG50">
        <v>9.1818926214186281</v>
      </c>
      <c r="GH50">
        <v>4.1293904744246639</v>
      </c>
      <c r="GI50">
        <v>6.8278930127418462</v>
      </c>
      <c r="GJ50"/>
      <c r="GK50"/>
      <c r="GL50"/>
      <c r="GM50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95.935499632923324</v>
      </c>
      <c r="AO51">
        <v>21.418038741207599</v>
      </c>
      <c r="AP51">
        <v>115.63565432347679</v>
      </c>
      <c r="AQ51">
        <v>111.28599699893567</v>
      </c>
      <c r="AR51">
        <v>19.650130998301734</v>
      </c>
      <c r="AS51">
        <v>98.51192659468191</v>
      </c>
      <c r="AT51">
        <v>10.256443929291855</v>
      </c>
      <c r="AU51">
        <v>30.024612507434856</v>
      </c>
      <c r="AV51"/>
      <c r="AW51"/>
      <c r="FY51" s="214">
        <v>46</v>
      </c>
      <c r="FZ51">
        <v>1.6756608866920419</v>
      </c>
      <c r="GA51">
        <v>10.276405531692607</v>
      </c>
      <c r="GB51">
        <v>7.3026665725244833</v>
      </c>
      <c r="GC51">
        <v>2.3315946787510637</v>
      </c>
      <c r="GD51">
        <v>4.0553808142024961</v>
      </c>
      <c r="GE51">
        <v>12.118246528660611</v>
      </c>
      <c r="GF51">
        <v>19.851469887617839</v>
      </c>
      <c r="GG51">
        <v>21.167079696206706</v>
      </c>
      <c r="GH51">
        <v>13.956512445535981</v>
      </c>
      <c r="GI51">
        <v>10.653285541786042</v>
      </c>
      <c r="GJ51"/>
      <c r="GK51"/>
      <c r="GL51"/>
      <c r="GM51"/>
    </row>
    <row r="52" spans="1:195" s="7" customFormat="1">
      <c r="A52" s="4"/>
      <c r="B52" s="36"/>
      <c r="C52" s="48" t="s">
        <v>38</v>
      </c>
      <c r="D52" s="49">
        <f>SUM(G52:AK52)</f>
        <v>0.98390525242574789</v>
      </c>
      <c r="E52" s="19">
        <f>F374</f>
        <v>2.9450021772196203E-2</v>
      </c>
      <c r="F52" s="8"/>
      <c r="G52" s="49">
        <f>$E$52*$E$21*G37</f>
        <v>0</v>
      </c>
      <c r="H52" s="49">
        <f t="shared" ref="H52:AK52" si="26">$E$52*$E$21*H37</f>
        <v>5.6338075712847402E-3</v>
      </c>
      <c r="I52" s="49">
        <f t="shared" si="26"/>
        <v>0</v>
      </c>
      <c r="J52" s="49">
        <f t="shared" si="26"/>
        <v>0.74753368820183796</v>
      </c>
      <c r="K52" s="49">
        <f t="shared" si="26"/>
        <v>0.23073775665262522</v>
      </c>
      <c r="L52" s="49">
        <f t="shared" si="26"/>
        <v>0</v>
      </c>
      <c r="M52" s="49">
        <f t="shared" si="26"/>
        <v>0</v>
      </c>
      <c r="N52" s="49">
        <f t="shared" si="26"/>
        <v>0</v>
      </c>
      <c r="O52" s="49">
        <f t="shared" si="26"/>
        <v>0</v>
      </c>
      <c r="P52" s="49">
        <f t="shared" si="26"/>
        <v>0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84.626473003177281</v>
      </c>
      <c r="AO52">
        <v>21.55139678603943</v>
      </c>
      <c r="AP52">
        <v>80.917748595500427</v>
      </c>
      <c r="AQ52">
        <v>117.73726615899298</v>
      </c>
      <c r="AR52">
        <v>19.795462123664027</v>
      </c>
      <c r="AS52">
        <v>98.079817324322136</v>
      </c>
      <c r="AT52">
        <v>10.889863666633277</v>
      </c>
      <c r="AU52">
        <v>28.475270905793689</v>
      </c>
      <c r="AV52"/>
      <c r="AW52"/>
      <c r="FY52" s="214">
        <v>47</v>
      </c>
      <c r="FZ52">
        <v>0.81101107049357013</v>
      </c>
      <c r="GA52">
        <v>9.8645167038020656</v>
      </c>
      <c r="GB52">
        <v>4.9484982323932618</v>
      </c>
      <c r="GC52">
        <v>0.78710875469957609</v>
      </c>
      <c r="GD52">
        <v>2.1788664878931585</v>
      </c>
      <c r="GE52">
        <v>9.8078803999311805</v>
      </c>
      <c r="GF52">
        <v>16.063862408638002</v>
      </c>
      <c r="GG52">
        <v>11.938523943587224</v>
      </c>
      <c r="GH52">
        <v>10.046303151987759</v>
      </c>
      <c r="GI52">
        <v>7.4321977836373359</v>
      </c>
      <c r="GJ52"/>
      <c r="GK52"/>
      <c r="GL52"/>
      <c r="GM52"/>
    </row>
    <row r="53" spans="1:195" s="7" customFormat="1">
      <c r="A53" s="4"/>
      <c r="B53" s="36"/>
      <c r="C53" s="48" t="s">
        <v>39</v>
      </c>
      <c r="D53" s="49">
        <f t="shared" ref="D53:D61" si="27">SUM(G53:AK53)</f>
        <v>3.3817262314935497</v>
      </c>
      <c r="E53" s="19">
        <f>F375</f>
        <v>1.4114535696835415E-2</v>
      </c>
      <c r="F53" s="8"/>
      <c r="G53" s="49">
        <f>$E$53*$E$22*G38</f>
        <v>0</v>
      </c>
      <c r="H53" s="49">
        <f t="shared" ref="H53:AK53" si="28">$E$53*$E$22*H38</f>
        <v>0</v>
      </c>
      <c r="I53" s="49">
        <f t="shared" si="28"/>
        <v>7.8719560554539547E-2</v>
      </c>
      <c r="J53" s="49">
        <f t="shared" si="28"/>
        <v>0.85492198057690028</v>
      </c>
      <c r="K53" s="49">
        <f t="shared" si="28"/>
        <v>1.0915235025674603</v>
      </c>
      <c r="L53" s="49">
        <f t="shared" si="28"/>
        <v>0.61048464528906254</v>
      </c>
      <c r="M53" s="49">
        <f t="shared" si="28"/>
        <v>0.74607654250558719</v>
      </c>
      <c r="N53" s="49">
        <f t="shared" si="28"/>
        <v>0</v>
      </c>
      <c r="O53" s="49">
        <f t="shared" si="28"/>
        <v>0</v>
      </c>
      <c r="P53" s="49">
        <f t="shared" si="28"/>
        <v>0</v>
      </c>
      <c r="Q53" s="49">
        <f t="shared" si="28"/>
        <v>0</v>
      </c>
      <c r="R53" s="49">
        <f t="shared" si="28"/>
        <v>0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70.320816412484888</v>
      </c>
      <c r="AO53">
        <v>15.560625778179082</v>
      </c>
      <c r="AP53">
        <v>76.432080326992818</v>
      </c>
      <c r="AQ53">
        <v>86.543571663018966</v>
      </c>
      <c r="AR53">
        <v>14.158232731746148</v>
      </c>
      <c r="AS53">
        <v>70.730870863108692</v>
      </c>
      <c r="AT53" t="e">
        <v>#DIV/0!</v>
      </c>
      <c r="AU53" t="e">
        <v>#DIV/0!</v>
      </c>
      <c r="AV53"/>
      <c r="AW53"/>
      <c r="FY53" s="214">
        <v>48</v>
      </c>
      <c r="FZ53">
        <v>0.87120991713636131</v>
      </c>
      <c r="GA53">
        <v>17.431698725241425</v>
      </c>
      <c r="GB53">
        <v>8.9807192502470521</v>
      </c>
      <c r="GC53">
        <v>1.1463937272196842</v>
      </c>
      <c r="GD53">
        <v>1.781594975248868</v>
      </c>
      <c r="GE53">
        <v>7.8933155360286094</v>
      </c>
      <c r="GF53">
        <v>18.425352889531773</v>
      </c>
      <c r="GG53">
        <v>16.617770237440332</v>
      </c>
      <c r="GH53">
        <v>12.254906537290418</v>
      </c>
      <c r="GI53">
        <v>8.9700044261598428</v>
      </c>
      <c r="GJ53"/>
      <c r="GK53"/>
      <c r="GL53"/>
      <c r="GM53"/>
    </row>
    <row r="54" spans="1:195" s="7" customFormat="1">
      <c r="A54" s="4"/>
      <c r="B54" s="36"/>
      <c r="C54" s="48" t="s">
        <v>40</v>
      </c>
      <c r="D54" s="49">
        <f t="shared" si="27"/>
        <v>0</v>
      </c>
      <c r="E54" s="19">
        <f t="shared" ref="E54:E61" si="29">F376</f>
        <v>0</v>
      </c>
      <c r="F54" s="8"/>
      <c r="G54" s="49">
        <f>$E$54*$E$23*G39</f>
        <v>0</v>
      </c>
      <c r="H54" s="49">
        <f t="shared" ref="H54:AK54" si="30">$E$54*$E$23*H39</f>
        <v>0</v>
      </c>
      <c r="I54" s="49">
        <f t="shared" si="30"/>
        <v>0</v>
      </c>
      <c r="J54" s="49">
        <f t="shared" si="30"/>
        <v>0</v>
      </c>
      <c r="K54" s="49">
        <f t="shared" si="30"/>
        <v>0</v>
      </c>
      <c r="L54" s="49">
        <f t="shared" si="30"/>
        <v>0</v>
      </c>
      <c r="M54" s="49">
        <f t="shared" si="30"/>
        <v>0</v>
      </c>
      <c r="N54" s="49">
        <f t="shared" si="30"/>
        <v>0</v>
      </c>
      <c r="O54" s="49">
        <f t="shared" si="30"/>
        <v>0</v>
      </c>
      <c r="P54" s="49">
        <f t="shared" si="30"/>
        <v>0</v>
      </c>
      <c r="Q54" s="49">
        <f t="shared" si="30"/>
        <v>0</v>
      </c>
      <c r="R54" s="49">
        <f t="shared" si="30"/>
        <v>0</v>
      </c>
      <c r="S54" s="49">
        <f t="shared" si="30"/>
        <v>0</v>
      </c>
      <c r="T54" s="49">
        <f t="shared" si="30"/>
        <v>0</v>
      </c>
      <c r="U54" s="49">
        <f t="shared" si="30"/>
        <v>0</v>
      </c>
      <c r="V54" s="49">
        <f t="shared" si="30"/>
        <v>0</v>
      </c>
      <c r="W54" s="49">
        <f t="shared" si="30"/>
        <v>0</v>
      </c>
      <c r="X54" s="49">
        <f t="shared" si="30"/>
        <v>0</v>
      </c>
      <c r="Y54" s="49">
        <f t="shared" si="30"/>
        <v>0</v>
      </c>
      <c r="Z54" s="49">
        <f t="shared" si="30"/>
        <v>0</v>
      </c>
      <c r="AA54" s="49">
        <f t="shared" si="30"/>
        <v>0</v>
      </c>
      <c r="AB54" s="49">
        <f t="shared" si="30"/>
        <v>0</v>
      </c>
      <c r="AC54" s="49">
        <f t="shared" si="30"/>
        <v>0</v>
      </c>
      <c r="AD54" s="49">
        <f t="shared" si="30"/>
        <v>0</v>
      </c>
      <c r="AE54" s="49">
        <f t="shared" si="30"/>
        <v>0</v>
      </c>
      <c r="AF54" s="49">
        <f t="shared" si="30"/>
        <v>0</v>
      </c>
      <c r="AG54" s="49">
        <f t="shared" si="30"/>
        <v>0</v>
      </c>
      <c r="AH54" s="49">
        <f t="shared" si="30"/>
        <v>0</v>
      </c>
      <c r="AI54" s="49">
        <f t="shared" si="30"/>
        <v>0</v>
      </c>
      <c r="AJ54" s="49">
        <f t="shared" si="30"/>
        <v>0</v>
      </c>
      <c r="AK54" s="49">
        <f t="shared" si="30"/>
        <v>0</v>
      </c>
      <c r="AL54" s="42"/>
      <c r="AM54" s="43">
        <v>38</v>
      </c>
      <c r="AN54">
        <v>73.125118064813492</v>
      </c>
      <c r="AO54">
        <v>14.348757423107537</v>
      </c>
      <c r="AP54">
        <v>57.307795320335757</v>
      </c>
      <c r="AQ54">
        <v>84.218683152926687</v>
      </c>
      <c r="AR54">
        <v>13.06906557909779</v>
      </c>
      <c r="AS54">
        <v>70.172145735371629</v>
      </c>
      <c r="AT54" t="e">
        <v>#DIV/0!</v>
      </c>
      <c r="AU54" t="e">
        <v>#DIV/0!</v>
      </c>
      <c r="AV54"/>
      <c r="AW54"/>
      <c r="FY54" s="214">
        <v>49</v>
      </c>
      <c r="FZ54">
        <v>0.55562573496123857</v>
      </c>
      <c r="GA54">
        <v>3.8613132262920686</v>
      </c>
      <c r="GB54">
        <v>4.5119694473988936</v>
      </c>
      <c r="GC54">
        <v>2.1165146569059914</v>
      </c>
      <c r="GD54">
        <v>6.1436085482625717</v>
      </c>
      <c r="GE54">
        <v>17.8567651966708</v>
      </c>
      <c r="GF54">
        <v>25.817136531796677</v>
      </c>
      <c r="GG54">
        <v>16.066012120590418</v>
      </c>
      <c r="GH54">
        <v>4.7718208060749214</v>
      </c>
      <c r="GI54">
        <v>11.081354749783722</v>
      </c>
      <c r="GJ54"/>
      <c r="GK54"/>
      <c r="GL54"/>
      <c r="GM54"/>
    </row>
    <row r="55" spans="1:195" s="7" customFormat="1">
      <c r="A55" s="4"/>
      <c r="B55" s="36"/>
      <c r="C55" s="48" t="s">
        <v>41</v>
      </c>
      <c r="D55" s="49">
        <f t="shared" si="27"/>
        <v>0.75773351547715573</v>
      </c>
      <c r="E55" s="19">
        <f t="shared" si="29"/>
        <v>1.541694833096072E-2</v>
      </c>
      <c r="F55" s="8"/>
      <c r="G55" s="49">
        <f>$E$55*$E$24*G40</f>
        <v>0</v>
      </c>
      <c r="H55" s="49">
        <f t="shared" ref="H55:AK55" si="31">$E$55*$E$24*H40</f>
        <v>4.1289805918276898E-2</v>
      </c>
      <c r="I55" s="49">
        <f t="shared" si="31"/>
        <v>0.65846883826899194</v>
      </c>
      <c r="J55" s="49">
        <f t="shared" si="31"/>
        <v>5.7974871289886917E-2</v>
      </c>
      <c r="K55" s="49">
        <f t="shared" si="31"/>
        <v>0</v>
      </c>
      <c r="L55" s="49">
        <f t="shared" si="31"/>
        <v>0</v>
      </c>
      <c r="M55" s="49">
        <f t="shared" si="31"/>
        <v>0</v>
      </c>
      <c r="N55" s="49">
        <f t="shared" si="31"/>
        <v>0</v>
      </c>
      <c r="O55" s="49">
        <f t="shared" si="31"/>
        <v>0</v>
      </c>
      <c r="P55" s="49">
        <f t="shared" si="31"/>
        <v>0</v>
      </c>
      <c r="Q55" s="49">
        <f t="shared" si="31"/>
        <v>0</v>
      </c>
      <c r="R55" s="49">
        <f t="shared" si="31"/>
        <v>0</v>
      </c>
      <c r="S55" s="49">
        <f t="shared" si="31"/>
        <v>0</v>
      </c>
      <c r="T55" s="49">
        <f t="shared" si="31"/>
        <v>0</v>
      </c>
      <c r="U55" s="49">
        <f t="shared" si="31"/>
        <v>0</v>
      </c>
      <c r="V55" s="49">
        <f t="shared" si="31"/>
        <v>0</v>
      </c>
      <c r="W55" s="49">
        <f t="shared" si="31"/>
        <v>0</v>
      </c>
      <c r="X55" s="49">
        <f t="shared" si="31"/>
        <v>0</v>
      </c>
      <c r="Y55" s="49">
        <f t="shared" si="31"/>
        <v>0</v>
      </c>
      <c r="Z55" s="49">
        <f t="shared" si="31"/>
        <v>0</v>
      </c>
      <c r="AA55" s="49">
        <f t="shared" si="31"/>
        <v>0</v>
      </c>
      <c r="AB55" s="49">
        <f t="shared" si="31"/>
        <v>0</v>
      </c>
      <c r="AC55" s="49">
        <f t="shared" si="31"/>
        <v>0</v>
      </c>
      <c r="AD55" s="49">
        <f t="shared" si="31"/>
        <v>0</v>
      </c>
      <c r="AE55" s="49">
        <f t="shared" si="31"/>
        <v>0</v>
      </c>
      <c r="AF55" s="49">
        <f t="shared" si="31"/>
        <v>0</v>
      </c>
      <c r="AG55" s="49">
        <f t="shared" si="31"/>
        <v>0</v>
      </c>
      <c r="AH55" s="49">
        <f t="shared" si="31"/>
        <v>0</v>
      </c>
      <c r="AI55" s="49">
        <f t="shared" si="31"/>
        <v>0</v>
      </c>
      <c r="AJ55" s="49">
        <f t="shared" si="31"/>
        <v>0</v>
      </c>
      <c r="AK55" s="49">
        <f t="shared" si="31"/>
        <v>0</v>
      </c>
      <c r="AL55" s="42"/>
      <c r="AM55" s="43">
        <v>39</v>
      </c>
      <c r="AN55">
        <v>53.60307200990384</v>
      </c>
      <c r="AO55">
        <v>14.817395763357174</v>
      </c>
      <c r="AP55">
        <v>60.16478576302228</v>
      </c>
      <c r="AQ55">
        <v>83.585182011708184</v>
      </c>
      <c r="AR55">
        <v>13.661111660172573</v>
      </c>
      <c r="AS55">
        <v>62.692416637143239</v>
      </c>
      <c r="AT55">
        <v>7.7153568515471029</v>
      </c>
      <c r="AU55">
        <v>14.230853291639642</v>
      </c>
      <c r="AV55"/>
      <c r="AW55"/>
      <c r="FY55" s="214">
        <v>50</v>
      </c>
      <c r="FZ55">
        <v>0.72747221124835537</v>
      </c>
      <c r="GA55">
        <v>10.194640282283171</v>
      </c>
      <c r="GB55">
        <v>5.4793033799409478</v>
      </c>
      <c r="GC55">
        <v>1.0468003775074315</v>
      </c>
      <c r="GD55">
        <v>10.097804485938678</v>
      </c>
      <c r="GE55">
        <v>24.469790673015719</v>
      </c>
      <c r="GF55">
        <v>17.520520585041716</v>
      </c>
      <c r="GG55">
        <v>14.090075778688195</v>
      </c>
      <c r="GH55">
        <v>7.7022669120919414</v>
      </c>
      <c r="GI55">
        <v>12.231990898206117</v>
      </c>
      <c r="GJ55"/>
      <c r="GK55"/>
      <c r="GL55"/>
      <c r="GM55"/>
    </row>
    <row r="56" spans="1:195" s="7" customFormat="1">
      <c r="A56" s="4"/>
      <c r="B56" s="36"/>
      <c r="C56" s="48" t="s">
        <v>42</v>
      </c>
      <c r="D56" s="49">
        <f t="shared" si="27"/>
        <v>60.561501716618785</v>
      </c>
      <c r="E56" s="19">
        <f t="shared" si="29"/>
        <v>7.5800672695632162E-2</v>
      </c>
      <c r="F56" s="8"/>
      <c r="G56" s="49">
        <f>$E$56*$E$25*G41</f>
        <v>0</v>
      </c>
      <c r="H56" s="49">
        <f t="shared" ref="H56:AK56" si="32">$E$56*$E$25*H41</f>
        <v>6.4447626942643832E-2</v>
      </c>
      <c r="I56" s="49">
        <f t="shared" si="32"/>
        <v>6.3077504058770151</v>
      </c>
      <c r="J56" s="49">
        <f t="shared" si="32"/>
        <v>0.36648727973076695</v>
      </c>
      <c r="K56" s="49">
        <f t="shared" si="32"/>
        <v>0</v>
      </c>
      <c r="L56" s="49">
        <f t="shared" si="32"/>
        <v>5.7037631906496848</v>
      </c>
      <c r="M56" s="49">
        <f t="shared" si="32"/>
        <v>39.527399121401245</v>
      </c>
      <c r="N56" s="49">
        <f t="shared" si="32"/>
        <v>8.5916540920174267</v>
      </c>
      <c r="O56" s="49">
        <f t="shared" si="32"/>
        <v>0</v>
      </c>
      <c r="P56" s="49">
        <f t="shared" si="32"/>
        <v>0</v>
      </c>
      <c r="Q56" s="49">
        <f t="shared" si="32"/>
        <v>0</v>
      </c>
      <c r="R56" s="49">
        <f t="shared" si="32"/>
        <v>0</v>
      </c>
      <c r="S56" s="49">
        <f t="shared" si="32"/>
        <v>0</v>
      </c>
      <c r="T56" s="49">
        <f t="shared" si="32"/>
        <v>0</v>
      </c>
      <c r="U56" s="49">
        <f t="shared" si="32"/>
        <v>0</v>
      </c>
      <c r="V56" s="49">
        <f t="shared" si="32"/>
        <v>0</v>
      </c>
      <c r="W56" s="49">
        <f t="shared" si="32"/>
        <v>0</v>
      </c>
      <c r="X56" s="49">
        <f t="shared" si="32"/>
        <v>0</v>
      </c>
      <c r="Y56" s="49">
        <f t="shared" si="32"/>
        <v>0</v>
      </c>
      <c r="Z56" s="49">
        <f t="shared" si="32"/>
        <v>0</v>
      </c>
      <c r="AA56" s="49">
        <f t="shared" si="32"/>
        <v>0</v>
      </c>
      <c r="AB56" s="49">
        <f t="shared" si="32"/>
        <v>0</v>
      </c>
      <c r="AC56" s="49">
        <f t="shared" si="32"/>
        <v>0</v>
      </c>
      <c r="AD56" s="49">
        <f t="shared" si="32"/>
        <v>0</v>
      </c>
      <c r="AE56" s="49">
        <f t="shared" si="32"/>
        <v>0</v>
      </c>
      <c r="AF56" s="49">
        <f t="shared" si="32"/>
        <v>0</v>
      </c>
      <c r="AG56" s="49">
        <f t="shared" si="32"/>
        <v>0</v>
      </c>
      <c r="AH56" s="49">
        <f t="shared" si="32"/>
        <v>0</v>
      </c>
      <c r="AI56" s="49">
        <f t="shared" si="32"/>
        <v>0</v>
      </c>
      <c r="AJ56" s="49">
        <f t="shared" si="32"/>
        <v>0</v>
      </c>
      <c r="AK56" s="49">
        <f t="shared" si="32"/>
        <v>0</v>
      </c>
      <c r="AL56" s="42"/>
      <c r="AM56" s="43">
        <v>40</v>
      </c>
      <c r="AN56">
        <v>54.099679646164034</v>
      </c>
      <c r="AO56">
        <v>10.234558682504595</v>
      </c>
      <c r="AP56">
        <v>58.149498974003706</v>
      </c>
      <c r="AQ56">
        <v>66.784662146217642</v>
      </c>
      <c r="AR56">
        <v>9.3163535538602513</v>
      </c>
      <c r="AS56">
        <v>51.084781261395634</v>
      </c>
      <c r="AT56" t="e">
        <v>#DIV/0!</v>
      </c>
      <c r="AU56" t="e">
        <v>#DIV/0!</v>
      </c>
      <c r="AV56"/>
      <c r="AW56"/>
      <c r="FY56" s="214">
        <v>51</v>
      </c>
      <c r="FZ56">
        <v>0.46926306557414704</v>
      </c>
      <c r="GA56">
        <v>1.9071025628136427</v>
      </c>
      <c r="GB56">
        <v>3.4597288930317691</v>
      </c>
      <c r="GC56">
        <v>2.2541830624533712</v>
      </c>
      <c r="GD56">
        <v>1.014085888045694</v>
      </c>
      <c r="GE56">
        <v>4.5697261012665589</v>
      </c>
      <c r="GF56">
        <v>20.769786191275333</v>
      </c>
      <c r="GG56">
        <v>13.437422340577886</v>
      </c>
      <c r="GH56">
        <v>0.55651403675738742</v>
      </c>
      <c r="GI56">
        <v>5.5103851208841306</v>
      </c>
      <c r="GJ56"/>
      <c r="GK56"/>
      <c r="GL56"/>
      <c r="GM56"/>
    </row>
    <row r="57" spans="1:195" s="7" customFormat="1">
      <c r="A57" s="4"/>
      <c r="B57" s="36"/>
      <c r="C57" s="48" t="s">
        <v>118</v>
      </c>
      <c r="D57" s="49">
        <f t="shared" si="27"/>
        <v>0</v>
      </c>
      <c r="E57" s="19">
        <f t="shared" si="29"/>
        <v>0</v>
      </c>
      <c r="F57" s="8"/>
      <c r="G57" s="49">
        <f>$E$57*$E$26*G42</f>
        <v>0</v>
      </c>
      <c r="H57" s="49">
        <f t="shared" ref="H57:AK57" si="33">$E$57*$E$26*H42</f>
        <v>0</v>
      </c>
      <c r="I57" s="49">
        <f t="shared" si="33"/>
        <v>0</v>
      </c>
      <c r="J57" s="49">
        <f t="shared" si="33"/>
        <v>0</v>
      </c>
      <c r="K57" s="49">
        <f t="shared" si="33"/>
        <v>0</v>
      </c>
      <c r="L57" s="49">
        <f t="shared" si="33"/>
        <v>0</v>
      </c>
      <c r="M57" s="49">
        <f t="shared" si="33"/>
        <v>0</v>
      </c>
      <c r="N57" s="49">
        <f t="shared" si="33"/>
        <v>0</v>
      </c>
      <c r="O57" s="49">
        <f t="shared" si="33"/>
        <v>0</v>
      </c>
      <c r="P57" s="49">
        <f t="shared" si="33"/>
        <v>0</v>
      </c>
      <c r="Q57" s="49">
        <f t="shared" si="33"/>
        <v>0</v>
      </c>
      <c r="R57" s="49">
        <f t="shared" si="33"/>
        <v>0</v>
      </c>
      <c r="S57" s="49">
        <f t="shared" si="33"/>
        <v>0</v>
      </c>
      <c r="T57" s="49">
        <f t="shared" si="33"/>
        <v>0</v>
      </c>
      <c r="U57" s="49">
        <f t="shared" si="33"/>
        <v>0</v>
      </c>
      <c r="V57" s="49">
        <f t="shared" si="33"/>
        <v>0</v>
      </c>
      <c r="W57" s="49">
        <f t="shared" si="33"/>
        <v>0</v>
      </c>
      <c r="X57" s="49">
        <f t="shared" si="33"/>
        <v>0</v>
      </c>
      <c r="Y57" s="49">
        <f t="shared" si="33"/>
        <v>0</v>
      </c>
      <c r="Z57" s="49">
        <f t="shared" si="33"/>
        <v>0</v>
      </c>
      <c r="AA57" s="49">
        <f t="shared" si="33"/>
        <v>0</v>
      </c>
      <c r="AB57" s="49">
        <f t="shared" si="33"/>
        <v>0</v>
      </c>
      <c r="AC57" s="49">
        <f t="shared" si="33"/>
        <v>0</v>
      </c>
      <c r="AD57" s="49">
        <f t="shared" si="33"/>
        <v>0</v>
      </c>
      <c r="AE57" s="49">
        <f t="shared" si="33"/>
        <v>0</v>
      </c>
      <c r="AF57" s="49">
        <f t="shared" si="33"/>
        <v>0</v>
      </c>
      <c r="AG57" s="49">
        <f t="shared" si="33"/>
        <v>0</v>
      </c>
      <c r="AH57" s="49">
        <f t="shared" si="33"/>
        <v>0</v>
      </c>
      <c r="AI57" s="49">
        <f t="shared" si="33"/>
        <v>0</v>
      </c>
      <c r="AJ57" s="49">
        <f t="shared" si="33"/>
        <v>0</v>
      </c>
      <c r="AK57" s="49">
        <f t="shared" si="33"/>
        <v>0</v>
      </c>
      <c r="AL57" s="42"/>
      <c r="AM57" s="43">
        <v>41</v>
      </c>
      <c r="AN57">
        <v>86.042322390035991</v>
      </c>
      <c r="AO57">
        <v>17.958788061858737</v>
      </c>
      <c r="AP57">
        <v>83.021086200453283</v>
      </c>
      <c r="AQ57">
        <v>103.79352497448141</v>
      </c>
      <c r="AR57">
        <v>16.874330052081831</v>
      </c>
      <c r="AS57">
        <v>87.340856451208595</v>
      </c>
      <c r="AT57">
        <v>9.6237143651618222</v>
      </c>
      <c r="AU57">
        <v>7.5553450885697657</v>
      </c>
      <c r="AV57"/>
      <c r="AW57"/>
      <c r="FY57" s="214">
        <v>52</v>
      </c>
      <c r="FZ57">
        <v>1.9649802200186799</v>
      </c>
      <c r="GA57">
        <v>7.4547221480249153</v>
      </c>
      <c r="GB57">
        <v>10.738516514439901</v>
      </c>
      <c r="GC57">
        <v>5.2334161835187158</v>
      </c>
      <c r="GD57">
        <v>7.1174868401253821</v>
      </c>
      <c r="GE57">
        <v>16.221260188807417</v>
      </c>
      <c r="GF57">
        <v>15.402106206760486</v>
      </c>
      <c r="GG57">
        <v>13.395529209472409</v>
      </c>
      <c r="GH57">
        <v>6.4734267143204844</v>
      </c>
      <c r="GI57">
        <v>11.595921392037804</v>
      </c>
      <c r="GJ57"/>
      <c r="GK57"/>
      <c r="GL57"/>
      <c r="GM57"/>
    </row>
    <row r="58" spans="1:195" s="7" customFormat="1">
      <c r="A58" s="4"/>
      <c r="B58" s="1"/>
      <c r="C58" s="48" t="s">
        <v>119</v>
      </c>
      <c r="D58" s="49">
        <f t="shared" si="27"/>
        <v>33.486431836244805</v>
      </c>
      <c r="E58" s="19">
        <f t="shared" si="29"/>
        <v>4.9623213722545439E-2</v>
      </c>
      <c r="F58" s="8"/>
      <c r="G58" s="49">
        <f>$E$58*$E$27*G43</f>
        <v>0</v>
      </c>
      <c r="H58" s="49">
        <f t="shared" ref="H58:AK58" si="34">$E$58*$E$27*H43</f>
        <v>0.27687776082258597</v>
      </c>
      <c r="I58" s="49">
        <f t="shared" si="34"/>
        <v>1.7719293526409687</v>
      </c>
      <c r="J58" s="49">
        <f t="shared" si="34"/>
        <v>1.2595924125755282</v>
      </c>
      <c r="K58" s="49">
        <f t="shared" si="34"/>
        <v>10.281402943871608</v>
      </c>
      <c r="L58" s="49">
        <f t="shared" si="34"/>
        <v>0</v>
      </c>
      <c r="M58" s="49">
        <f t="shared" si="34"/>
        <v>0</v>
      </c>
      <c r="N58" s="49">
        <f t="shared" si="34"/>
        <v>0</v>
      </c>
      <c r="O58" s="49">
        <f t="shared" si="34"/>
        <v>0</v>
      </c>
      <c r="P58" s="49">
        <f t="shared" si="34"/>
        <v>19.896629366334118</v>
      </c>
      <c r="Q58" s="49">
        <f t="shared" si="34"/>
        <v>0</v>
      </c>
      <c r="R58" s="49">
        <f t="shared" si="34"/>
        <v>0</v>
      </c>
      <c r="S58" s="49">
        <f t="shared" si="34"/>
        <v>0</v>
      </c>
      <c r="T58" s="49">
        <f t="shared" si="34"/>
        <v>0</v>
      </c>
      <c r="U58" s="49">
        <f t="shared" si="34"/>
        <v>0</v>
      </c>
      <c r="V58" s="49">
        <f t="shared" si="34"/>
        <v>0</v>
      </c>
      <c r="W58" s="49">
        <f t="shared" si="34"/>
        <v>0</v>
      </c>
      <c r="X58" s="49">
        <f t="shared" si="34"/>
        <v>0</v>
      </c>
      <c r="Y58" s="49">
        <f t="shared" si="34"/>
        <v>0</v>
      </c>
      <c r="Z58" s="49">
        <f t="shared" si="34"/>
        <v>0</v>
      </c>
      <c r="AA58" s="49">
        <f t="shared" si="34"/>
        <v>0</v>
      </c>
      <c r="AB58" s="49">
        <f t="shared" si="34"/>
        <v>0</v>
      </c>
      <c r="AC58" s="49">
        <f t="shared" si="34"/>
        <v>0</v>
      </c>
      <c r="AD58" s="49">
        <f t="shared" si="34"/>
        <v>0</v>
      </c>
      <c r="AE58" s="49">
        <f t="shared" si="34"/>
        <v>0</v>
      </c>
      <c r="AF58" s="49">
        <f t="shared" si="34"/>
        <v>0</v>
      </c>
      <c r="AG58" s="49">
        <f t="shared" si="34"/>
        <v>0</v>
      </c>
      <c r="AH58" s="49">
        <f t="shared" si="34"/>
        <v>0</v>
      </c>
      <c r="AI58" s="49">
        <f t="shared" si="34"/>
        <v>0</v>
      </c>
      <c r="AJ58" s="49">
        <f t="shared" si="34"/>
        <v>0</v>
      </c>
      <c r="AK58" s="49">
        <f t="shared" si="34"/>
        <v>0</v>
      </c>
      <c r="AL58" s="42"/>
      <c r="AM58" s="43">
        <v>42</v>
      </c>
      <c r="AN58">
        <v>76.131013163087275</v>
      </c>
      <c r="AO58">
        <v>16.512014308740554</v>
      </c>
      <c r="AP58">
        <v>88.581920418511245</v>
      </c>
      <c r="AQ58">
        <v>91.325452963387704</v>
      </c>
      <c r="AR58">
        <v>15.226414623157488</v>
      </c>
      <c r="AS58">
        <v>77.020319451979219</v>
      </c>
      <c r="AT58">
        <v>8.0367098185343355</v>
      </c>
      <c r="AU58">
        <v>14.557160734908628</v>
      </c>
      <c r="AV58"/>
      <c r="AW58"/>
      <c r="FY58" s="214">
        <v>53</v>
      </c>
      <c r="FZ58">
        <v>1.075881343209852</v>
      </c>
      <c r="GA58">
        <v>10.938985475883044</v>
      </c>
      <c r="GB58">
        <v>7.5566588709190547</v>
      </c>
      <c r="GC58">
        <v>1.9654095855899787</v>
      </c>
      <c r="GD58">
        <v>12.518905006809879</v>
      </c>
      <c r="GE58">
        <v>32.473367738111143</v>
      </c>
      <c r="GF58">
        <v>23.224414965716988</v>
      </c>
      <c r="GG58">
        <v>12.472794551889056</v>
      </c>
      <c r="GH58">
        <v>3.6566247639505578</v>
      </c>
      <c r="GI58">
        <v>14.894113949040975</v>
      </c>
      <c r="GJ58"/>
      <c r="GK58"/>
      <c r="GL58"/>
      <c r="GM58"/>
    </row>
    <row r="59" spans="1:195" s="7" customFormat="1">
      <c r="A59" s="4"/>
      <c r="B59" s="1"/>
      <c r="C59" s="48" t="s">
        <v>120</v>
      </c>
      <c r="D59" s="49">
        <f t="shared" si="27"/>
        <v>0</v>
      </c>
      <c r="E59" s="19">
        <f t="shared" si="29"/>
        <v>0</v>
      </c>
      <c r="F59" s="8"/>
      <c r="G59" s="49">
        <f>$E$59*$E$28*G44</f>
        <v>0</v>
      </c>
      <c r="H59" s="49">
        <f t="shared" ref="H59:AK59" si="35">$E$59*$E$28*H44</f>
        <v>0</v>
      </c>
      <c r="I59" s="49">
        <f t="shared" si="35"/>
        <v>0</v>
      </c>
      <c r="J59" s="49">
        <f t="shared" si="35"/>
        <v>0</v>
      </c>
      <c r="K59" s="49">
        <f t="shared" si="35"/>
        <v>0</v>
      </c>
      <c r="L59" s="49">
        <f t="shared" si="35"/>
        <v>0</v>
      </c>
      <c r="M59" s="49">
        <f t="shared" si="35"/>
        <v>0</v>
      </c>
      <c r="N59" s="49">
        <f t="shared" si="35"/>
        <v>0</v>
      </c>
      <c r="O59" s="49">
        <f t="shared" si="35"/>
        <v>0</v>
      </c>
      <c r="P59" s="49">
        <f t="shared" si="35"/>
        <v>0</v>
      </c>
      <c r="Q59" s="49">
        <f t="shared" si="35"/>
        <v>0</v>
      </c>
      <c r="R59" s="49">
        <f t="shared" si="35"/>
        <v>0</v>
      </c>
      <c r="S59" s="49">
        <f t="shared" si="35"/>
        <v>0</v>
      </c>
      <c r="T59" s="49">
        <f t="shared" si="35"/>
        <v>0</v>
      </c>
      <c r="U59" s="49">
        <f t="shared" si="35"/>
        <v>0</v>
      </c>
      <c r="V59" s="49">
        <f t="shared" si="35"/>
        <v>0</v>
      </c>
      <c r="W59" s="49">
        <f t="shared" si="35"/>
        <v>0</v>
      </c>
      <c r="X59" s="49">
        <f t="shared" si="35"/>
        <v>0</v>
      </c>
      <c r="Y59" s="49">
        <f t="shared" si="35"/>
        <v>0</v>
      </c>
      <c r="Z59" s="49">
        <f t="shared" si="35"/>
        <v>0</v>
      </c>
      <c r="AA59" s="49">
        <f t="shared" si="35"/>
        <v>0</v>
      </c>
      <c r="AB59" s="49">
        <f t="shared" si="35"/>
        <v>0</v>
      </c>
      <c r="AC59" s="49">
        <f t="shared" si="35"/>
        <v>0</v>
      </c>
      <c r="AD59" s="49">
        <f t="shared" si="35"/>
        <v>0</v>
      </c>
      <c r="AE59" s="49">
        <f t="shared" si="35"/>
        <v>0</v>
      </c>
      <c r="AF59" s="49">
        <f t="shared" si="35"/>
        <v>0</v>
      </c>
      <c r="AG59" s="49">
        <f t="shared" si="35"/>
        <v>0</v>
      </c>
      <c r="AH59" s="49">
        <f t="shared" si="35"/>
        <v>0</v>
      </c>
      <c r="AI59" s="49">
        <f t="shared" si="35"/>
        <v>0</v>
      </c>
      <c r="AJ59" s="49">
        <f t="shared" si="35"/>
        <v>0</v>
      </c>
      <c r="AK59" s="49">
        <f t="shared" si="35"/>
        <v>0</v>
      </c>
      <c r="AL59" s="42"/>
      <c r="AM59" s="43">
        <v>43</v>
      </c>
      <c r="AN59">
        <v>82.402311771032799</v>
      </c>
      <c r="AO59">
        <v>19.115521327437008</v>
      </c>
      <c r="AP59">
        <v>106.11202853168523</v>
      </c>
      <c r="AQ59">
        <v>98.051667345687434</v>
      </c>
      <c r="AR59">
        <v>17.378712826079099</v>
      </c>
      <c r="AS59">
        <v>82.921046739409221</v>
      </c>
      <c r="AT59" t="e">
        <v>#DIV/0!</v>
      </c>
      <c r="AU59" t="e">
        <v>#DIV/0!</v>
      </c>
      <c r="AV59"/>
      <c r="AW59"/>
      <c r="FY59" s="214">
        <v>54</v>
      </c>
      <c r="FZ59">
        <v>1.1622440125969438</v>
      </c>
      <c r="GA59">
        <v>12.224970091910265</v>
      </c>
      <c r="GB59">
        <v>8.3122654840345049</v>
      </c>
      <c r="GC59">
        <v>2.051528235315609</v>
      </c>
      <c r="GD59">
        <v>1.6081373158577486</v>
      </c>
      <c r="GE59">
        <v>6.0881163252564123</v>
      </c>
      <c r="GF59">
        <v>17.272715309092</v>
      </c>
      <c r="GG59">
        <v>16.340312038046562</v>
      </c>
      <c r="GH59">
        <v>7.3969978541843968</v>
      </c>
      <c r="GI59">
        <v>7.9152615192656111</v>
      </c>
      <c r="GJ59"/>
      <c r="GK59"/>
      <c r="GL59"/>
      <c r="GM59"/>
    </row>
    <row r="60" spans="1:195" s="7" customFormat="1">
      <c r="A60" s="4"/>
      <c r="B60" s="1"/>
      <c r="C60" s="48" t="s">
        <v>121</v>
      </c>
      <c r="D60" s="49">
        <f t="shared" si="27"/>
        <v>1.4452557706652307</v>
      </c>
      <c r="E60" s="19">
        <f t="shared" si="29"/>
        <v>3.6425435223337911E-3</v>
      </c>
      <c r="F60" s="8"/>
      <c r="G60" s="49">
        <f>$E$60*$E$29*G45</f>
        <v>0</v>
      </c>
      <c r="H60" s="49">
        <f t="shared" ref="H60:AK60" si="36">$E$60*$E$29*H45</f>
        <v>0</v>
      </c>
      <c r="I60" s="49">
        <f t="shared" si="36"/>
        <v>1.2287812399337779E-2</v>
      </c>
      <c r="J60" s="49">
        <f t="shared" si="36"/>
        <v>0</v>
      </c>
      <c r="K60" s="49">
        <f t="shared" si="36"/>
        <v>0.36149320408495111</v>
      </c>
      <c r="L60" s="49">
        <f t="shared" si="36"/>
        <v>0.56388612655884096</v>
      </c>
      <c r="M60" s="49">
        <f t="shared" si="36"/>
        <v>0.23793592267115063</v>
      </c>
      <c r="N60" s="49">
        <f t="shared" si="36"/>
        <v>0.26965270495095039</v>
      </c>
      <c r="O60" s="49">
        <f t="shared" si="36"/>
        <v>0</v>
      </c>
      <c r="P60" s="49">
        <f t="shared" si="36"/>
        <v>0</v>
      </c>
      <c r="Q60" s="49">
        <f t="shared" si="36"/>
        <v>0</v>
      </c>
      <c r="R60" s="49">
        <f t="shared" si="36"/>
        <v>0</v>
      </c>
      <c r="S60" s="49">
        <f t="shared" si="36"/>
        <v>0</v>
      </c>
      <c r="T60" s="49">
        <f t="shared" si="36"/>
        <v>0</v>
      </c>
      <c r="U60" s="49">
        <f t="shared" si="36"/>
        <v>0</v>
      </c>
      <c r="V60" s="49">
        <f t="shared" si="36"/>
        <v>0</v>
      </c>
      <c r="W60" s="49">
        <f t="shared" si="36"/>
        <v>0</v>
      </c>
      <c r="X60" s="49">
        <f t="shared" si="36"/>
        <v>0</v>
      </c>
      <c r="Y60" s="49">
        <f t="shared" si="36"/>
        <v>0</v>
      </c>
      <c r="Z60" s="49">
        <f t="shared" si="36"/>
        <v>0</v>
      </c>
      <c r="AA60" s="49">
        <f t="shared" si="36"/>
        <v>0</v>
      </c>
      <c r="AB60" s="49">
        <f t="shared" si="36"/>
        <v>0</v>
      </c>
      <c r="AC60" s="49">
        <f t="shared" si="36"/>
        <v>0</v>
      </c>
      <c r="AD60" s="49">
        <f t="shared" si="36"/>
        <v>0</v>
      </c>
      <c r="AE60" s="49">
        <f t="shared" si="36"/>
        <v>0</v>
      </c>
      <c r="AF60" s="49">
        <f t="shared" si="36"/>
        <v>0</v>
      </c>
      <c r="AG60" s="49">
        <f t="shared" si="36"/>
        <v>0</v>
      </c>
      <c r="AH60" s="49">
        <f t="shared" si="36"/>
        <v>0</v>
      </c>
      <c r="AI60" s="49">
        <f t="shared" si="36"/>
        <v>0</v>
      </c>
      <c r="AJ60" s="49">
        <f t="shared" si="36"/>
        <v>0</v>
      </c>
      <c r="AK60" s="49">
        <f t="shared" si="36"/>
        <v>0</v>
      </c>
      <c r="AL60" s="42"/>
      <c r="AM60" s="43">
        <v>44</v>
      </c>
      <c r="AN60">
        <v>63.40046340695902</v>
      </c>
      <c r="AO60">
        <v>12.295146373663979</v>
      </c>
      <c r="AP60">
        <v>56.403980475132023</v>
      </c>
      <c r="AQ60">
        <v>75.342747761975943</v>
      </c>
      <c r="AR60">
        <v>11.356270427428743</v>
      </c>
      <c r="AS60">
        <v>58.795859244209275</v>
      </c>
      <c r="AT60">
        <v>6.6222381132188168</v>
      </c>
      <c r="AU60">
        <v>26.933606217787592</v>
      </c>
      <c r="AV60"/>
      <c r="AW60"/>
      <c r="FY60" s="214">
        <v>55</v>
      </c>
      <c r="FZ60">
        <v>0.73458957861749707</v>
      </c>
      <c r="GA60">
        <v>12.85200766170437</v>
      </c>
      <c r="GB60">
        <v>9.7002936144428045</v>
      </c>
      <c r="GC60">
        <v>2.2850201166795312</v>
      </c>
      <c r="GD60">
        <v>2.8166620359310537</v>
      </c>
      <c r="GE60">
        <v>12.723040532463152</v>
      </c>
      <c r="GF60">
        <v>17.954407481654233</v>
      </c>
      <c r="GG60">
        <v>8.2856246296006102</v>
      </c>
      <c r="GH60">
        <v>8.8516947207992924</v>
      </c>
      <c r="GI60">
        <v>9.1545156191457373</v>
      </c>
      <c r="GJ60"/>
      <c r="GK60"/>
      <c r="GL60"/>
      <c r="GM60"/>
    </row>
    <row r="61" spans="1:195" s="7" customFormat="1">
      <c r="A61" s="4"/>
      <c r="B61" s="1"/>
      <c r="C61" s="48" t="s">
        <v>122</v>
      </c>
      <c r="D61" s="49">
        <f t="shared" si="27"/>
        <v>0</v>
      </c>
      <c r="E61" s="19">
        <f t="shared" si="29"/>
        <v>0</v>
      </c>
      <c r="F61" s="8"/>
      <c r="G61" s="49">
        <f>$E$61*$E$30*G46</f>
        <v>0</v>
      </c>
      <c r="H61" s="49">
        <f t="shared" ref="H61:AK61" si="37">$E$61*$E$30*H46</f>
        <v>0</v>
      </c>
      <c r="I61" s="49">
        <f t="shared" si="37"/>
        <v>0</v>
      </c>
      <c r="J61" s="49">
        <f t="shared" si="37"/>
        <v>0</v>
      </c>
      <c r="K61" s="49">
        <f t="shared" si="37"/>
        <v>0</v>
      </c>
      <c r="L61" s="49">
        <f t="shared" si="37"/>
        <v>0</v>
      </c>
      <c r="M61" s="49">
        <f t="shared" si="37"/>
        <v>0</v>
      </c>
      <c r="N61" s="49">
        <f t="shared" si="37"/>
        <v>0</v>
      </c>
      <c r="O61" s="49">
        <f t="shared" si="37"/>
        <v>0</v>
      </c>
      <c r="P61" s="49">
        <f t="shared" si="37"/>
        <v>0</v>
      </c>
      <c r="Q61" s="49">
        <f t="shared" si="37"/>
        <v>0</v>
      </c>
      <c r="R61" s="49">
        <f t="shared" si="37"/>
        <v>0</v>
      </c>
      <c r="S61" s="49">
        <f t="shared" si="37"/>
        <v>0</v>
      </c>
      <c r="T61" s="49">
        <f t="shared" si="37"/>
        <v>0</v>
      </c>
      <c r="U61" s="49">
        <f t="shared" si="37"/>
        <v>0</v>
      </c>
      <c r="V61" s="49">
        <f t="shared" si="37"/>
        <v>0</v>
      </c>
      <c r="W61" s="49">
        <f t="shared" si="37"/>
        <v>0</v>
      </c>
      <c r="X61" s="49">
        <f t="shared" si="37"/>
        <v>0</v>
      </c>
      <c r="Y61" s="49">
        <f t="shared" si="37"/>
        <v>0</v>
      </c>
      <c r="Z61" s="49">
        <f t="shared" si="37"/>
        <v>0</v>
      </c>
      <c r="AA61" s="49">
        <f t="shared" si="37"/>
        <v>0</v>
      </c>
      <c r="AB61" s="49">
        <f t="shared" si="37"/>
        <v>0</v>
      </c>
      <c r="AC61" s="49">
        <f t="shared" si="37"/>
        <v>0</v>
      </c>
      <c r="AD61" s="49">
        <f t="shared" si="37"/>
        <v>0</v>
      </c>
      <c r="AE61" s="49">
        <f t="shared" si="37"/>
        <v>0</v>
      </c>
      <c r="AF61" s="49">
        <f t="shared" si="37"/>
        <v>0</v>
      </c>
      <c r="AG61" s="49">
        <f t="shared" si="37"/>
        <v>0</v>
      </c>
      <c r="AH61" s="49">
        <f t="shared" si="37"/>
        <v>0</v>
      </c>
      <c r="AI61" s="49">
        <f t="shared" si="37"/>
        <v>0</v>
      </c>
      <c r="AJ61" s="49">
        <f t="shared" si="37"/>
        <v>0</v>
      </c>
      <c r="AK61" s="49">
        <f t="shared" si="37"/>
        <v>0</v>
      </c>
      <c r="AL61" s="42"/>
      <c r="AM61" s="43">
        <v>45</v>
      </c>
      <c r="AN61">
        <v>55.012753494009395</v>
      </c>
      <c r="AO61">
        <v>10.584773844608389</v>
      </c>
      <c r="AP61">
        <v>51.80823310762807</v>
      </c>
      <c r="AQ61">
        <v>62.538641933386323</v>
      </c>
      <c r="AR61">
        <v>9.6350530288788505</v>
      </c>
      <c r="AS61">
        <v>51.288937665321285</v>
      </c>
      <c r="AT61" t="e">
        <v>#DIV/0!</v>
      </c>
      <c r="AU61" t="e">
        <v>#DIV/0!</v>
      </c>
      <c r="AV61"/>
      <c r="AW61"/>
      <c r="FY61" s="214">
        <v>56</v>
      </c>
      <c r="FZ61">
        <v>1.8036321876738337</v>
      </c>
      <c r="GA61">
        <v>10.830831052866905</v>
      </c>
      <c r="GB61">
        <v>7.2801522189272072</v>
      </c>
      <c r="GC61">
        <v>1.956106256594327</v>
      </c>
      <c r="GD61">
        <v>6.9203684100433209</v>
      </c>
      <c r="GE61">
        <v>19.137535388512074</v>
      </c>
      <c r="GF61">
        <v>21.001150074462728</v>
      </c>
      <c r="GG61">
        <v>16.063205880035106</v>
      </c>
      <c r="GH61">
        <v>7.062004549051272</v>
      </c>
      <c r="GI61">
        <v>11.614172674587271</v>
      </c>
      <c r="GJ61"/>
      <c r="GK61"/>
      <c r="GL61"/>
      <c r="GM61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74.530342074494285</v>
      </c>
      <c r="AO62">
        <v>16.390159138268736</v>
      </c>
      <c r="AP62">
        <v>58.456724862266483</v>
      </c>
      <c r="AQ62">
        <v>103.38830258366988</v>
      </c>
      <c r="AR62">
        <v>14.936772562267075</v>
      </c>
      <c r="AS62">
        <v>81.442431710571611</v>
      </c>
      <c r="AT62" t="e">
        <v>#DIV/0!</v>
      </c>
      <c r="AU62" t="e">
        <v>#DIV/0!</v>
      </c>
      <c r="AV62"/>
      <c r="AW62"/>
      <c r="FY62" s="214">
        <v>57</v>
      </c>
      <c r="FZ62">
        <v>1.5451444087839994</v>
      </c>
      <c r="GA62">
        <v>12.325749349153083</v>
      </c>
      <c r="GB62">
        <v>11.105056603455392</v>
      </c>
      <c r="GC62">
        <v>3.9310059284849626</v>
      </c>
      <c r="GD62">
        <v>10.430380970956188</v>
      </c>
      <c r="GE62">
        <v>26.048350824255262</v>
      </c>
      <c r="GF62">
        <v>20.63887644063189</v>
      </c>
      <c r="GG62">
        <v>10.781882069306558</v>
      </c>
      <c r="GH62">
        <v>3.0680469292197698</v>
      </c>
      <c r="GI62">
        <v>13.998640487551281</v>
      </c>
      <c r="GJ62"/>
      <c r="GK62"/>
      <c r="GL62"/>
      <c r="GM62"/>
    </row>
    <row r="63" spans="1:195" s="7" customFormat="1">
      <c r="A63" s="4"/>
      <c r="B63" s="1"/>
      <c r="C63" s="52" t="s">
        <v>53</v>
      </c>
      <c r="D63" s="53">
        <f>SUM(D52:D62)</f>
        <v>100.61655432292527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54.285541010928434</v>
      </c>
      <c r="AO63">
        <v>11.296201096082385</v>
      </c>
      <c r="AP63">
        <v>48.109530170250203</v>
      </c>
      <c r="AQ63">
        <v>73.878768937063128</v>
      </c>
      <c r="AR63">
        <v>10.448460411824264</v>
      </c>
      <c r="AS63">
        <v>53.935767982534863</v>
      </c>
      <c r="AT63">
        <v>6.2523048794448286</v>
      </c>
      <c r="AU63">
        <v>15.072239237188167</v>
      </c>
      <c r="AV63"/>
      <c r="AW63"/>
      <c r="FY63" s="214">
        <v>58</v>
      </c>
      <c r="FZ63">
        <v>0.88572328509027076</v>
      </c>
      <c r="GA63">
        <v>12.475092249826316</v>
      </c>
      <c r="GB63">
        <v>13.088193780661014</v>
      </c>
      <c r="GC63">
        <v>4.4236383500878178</v>
      </c>
      <c r="GD63">
        <v>9.3284498691395914</v>
      </c>
      <c r="GE63">
        <v>21.092054813974595</v>
      </c>
      <c r="GF63">
        <v>18.682332467848628</v>
      </c>
      <c r="GG63">
        <v>16.152233137715541</v>
      </c>
      <c r="GH63">
        <v>4.1293904744246639</v>
      </c>
      <c r="GI63">
        <v>13.614283254023592</v>
      </c>
      <c r="GJ63"/>
      <c r="GK63"/>
      <c r="GL63"/>
      <c r="GM63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68.323046205207447</v>
      </c>
      <c r="AO64">
        <v>13.579950192934342</v>
      </c>
      <c r="AP64">
        <v>33.455293893981803</v>
      </c>
      <c r="AQ64">
        <v>94.372966221544374</v>
      </c>
      <c r="AR64">
        <v>12.536161141606364</v>
      </c>
      <c r="AS64">
        <v>67.886681311203773</v>
      </c>
      <c r="AT64">
        <v>8.106483226112692</v>
      </c>
      <c r="AU64">
        <v>9.7230987566554603</v>
      </c>
      <c r="AV64"/>
      <c r="AW64"/>
      <c r="FY64" s="214">
        <v>59</v>
      </c>
      <c r="FZ64">
        <v>1.6218445338756986</v>
      </c>
      <c r="GA64">
        <v>10.150616681351764</v>
      </c>
      <c r="GB64">
        <v>9.370833454992491</v>
      </c>
      <c r="GC64">
        <v>3.4432496895248721</v>
      </c>
      <c r="GD64">
        <v>7.0368316412255316</v>
      </c>
      <c r="GE64">
        <v>16.263339573731859</v>
      </c>
      <c r="GF64">
        <v>11.606954780920997</v>
      </c>
      <c r="GG64">
        <v>6.2799365357806156</v>
      </c>
      <c r="GH64">
        <v>5.4463149356985801</v>
      </c>
      <c r="GI64">
        <v>10.140423771906057</v>
      </c>
      <c r="GJ64"/>
      <c r="GK64"/>
      <c r="GL64"/>
      <c r="GM64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67.828966484992705</v>
      </c>
      <c r="AO65">
        <v>17.080164003213696</v>
      </c>
      <c r="AP65">
        <v>120.93485063956834</v>
      </c>
      <c r="AQ65">
        <v>92.782121018737314</v>
      </c>
      <c r="AR65">
        <v>15.884506977632402</v>
      </c>
      <c r="AS65">
        <v>71.73412722280375</v>
      </c>
      <c r="AT65" t="e">
        <v>#DIV/0!</v>
      </c>
      <c r="AU65" t="e">
        <v>#DIV/0!</v>
      </c>
      <c r="AV65"/>
      <c r="AW65"/>
      <c r="FY65" s="214">
        <v>60</v>
      </c>
      <c r="FZ65">
        <v>0.86510605652553973</v>
      </c>
      <c r="GA65">
        <v>10.871132946142218</v>
      </c>
      <c r="GB65">
        <v>7.6771248463125366</v>
      </c>
      <c r="GC65">
        <v>1.8868798718387745</v>
      </c>
      <c r="GD65">
        <v>6.9235145993690326</v>
      </c>
      <c r="GE65">
        <v>19.591040625218263</v>
      </c>
      <c r="GF65">
        <v>21.799236965727751</v>
      </c>
      <c r="GG65">
        <v>16.123993668803479</v>
      </c>
      <c r="GH65">
        <v>8.7657784259064222</v>
      </c>
      <c r="GI65">
        <v>11.948874219601972</v>
      </c>
      <c r="GJ65"/>
      <c r="GK65"/>
      <c r="GL65"/>
      <c r="GM6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87.990560062972889</v>
      </c>
      <c r="AO66">
        <v>18.754578373741865</v>
      </c>
      <c r="AP66">
        <v>94.104303734743482</v>
      </c>
      <c r="AQ66">
        <v>103.56066558396229</v>
      </c>
      <c r="AR66">
        <v>17.061826000439588</v>
      </c>
      <c r="AS66">
        <v>84.2860527156366</v>
      </c>
      <c r="AT66" t="e">
        <v>#DIV/0!</v>
      </c>
      <c r="AU66" t="e">
        <v>#DIV/0!</v>
      </c>
      <c r="AV66"/>
      <c r="AW66"/>
      <c r="FY66" s="214">
        <v>61</v>
      </c>
      <c r="FZ66">
        <v>0.20467142607349095</v>
      </c>
      <c r="GA66">
        <v>10.450306886319389</v>
      </c>
      <c r="GB66">
        <v>5.778839932551155</v>
      </c>
      <c r="GC66">
        <v>0.54686033092838005</v>
      </c>
      <c r="GD66">
        <v>4.6296722052351775</v>
      </c>
      <c r="GE66">
        <v>16.085779700550329</v>
      </c>
      <c r="GF66">
        <v>12.995703649928975</v>
      </c>
      <c r="GG66">
        <v>5.0871022270664463</v>
      </c>
      <c r="GH66">
        <v>8.344697243742198</v>
      </c>
      <c r="GI66">
        <v>8.0954893482766028</v>
      </c>
      <c r="GJ66"/>
      <c r="GK66"/>
      <c r="GL66"/>
      <c r="GM66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37.051692496143531</v>
      </c>
      <c r="AO67">
        <v>8.3741148348339198</v>
      </c>
      <c r="AP67">
        <v>46.175973974849832</v>
      </c>
      <c r="AQ67">
        <v>53.948197262679912</v>
      </c>
      <c r="AR67">
        <v>7.6250409650687292</v>
      </c>
      <c r="AS67">
        <v>39.963601681440601</v>
      </c>
      <c r="AT67" t="e">
        <v>#DIV/0!</v>
      </c>
      <c r="AU67" t="e">
        <v>#DIV/0!</v>
      </c>
      <c r="AV67"/>
      <c r="AW67"/>
      <c r="FY67" s="214">
        <v>62</v>
      </c>
      <c r="FZ67">
        <v>0.59339704965574191</v>
      </c>
      <c r="GA67">
        <v>2.4716254200489396</v>
      </c>
      <c r="GB67">
        <v>4.1151841825972237</v>
      </c>
      <c r="GC67">
        <v>2.2947342552023162</v>
      </c>
      <c r="GD67">
        <v>6.0232046222032718</v>
      </c>
      <c r="GE67">
        <v>17.07140092092968</v>
      </c>
      <c r="GF67">
        <v>17.720340107071507</v>
      </c>
      <c r="GG67">
        <v>11.488817230158709</v>
      </c>
      <c r="GH67">
        <v>4.1293904744246639</v>
      </c>
      <c r="GI67">
        <v>9.1232121194318676</v>
      </c>
      <c r="GJ67"/>
      <c r="GK67"/>
      <c r="GL67"/>
      <c r="GM67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83.66713666558249</v>
      </c>
      <c r="AO68">
        <v>17.873835696901068</v>
      </c>
      <c r="AP68">
        <v>115.23383966035664</v>
      </c>
      <c r="AQ68">
        <v>95.597365617526208</v>
      </c>
      <c r="AR68">
        <v>16.452224769901886</v>
      </c>
      <c r="AS68">
        <v>82.6900937797365</v>
      </c>
      <c r="AT68">
        <v>8.6752259897939918</v>
      </c>
      <c r="AU68">
        <v>24.540903191785929</v>
      </c>
      <c r="AV68"/>
      <c r="AW68"/>
      <c r="FY68" s="214">
        <v>63</v>
      </c>
      <c r="FZ68">
        <v>0.6030595939511344</v>
      </c>
      <c r="GA68">
        <v>10.19222639807424</v>
      </c>
      <c r="GB68">
        <v>8.2268808049089142</v>
      </c>
      <c r="GC68">
        <v>2.6162367049967443</v>
      </c>
      <c r="GD68">
        <v>3.9036452547452547</v>
      </c>
      <c r="GE68">
        <v>7.4729596608186402</v>
      </c>
      <c r="GF68">
        <v>11.783976261866341</v>
      </c>
      <c r="GG68">
        <v>15.317106971912622</v>
      </c>
      <c r="GH68">
        <v>8.7657784259064222</v>
      </c>
      <c r="GI68">
        <v>8.4321228759925049</v>
      </c>
      <c r="GJ68"/>
      <c r="GK68"/>
      <c r="GL68"/>
      <c r="GM68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104.02220169747775</v>
      </c>
      <c r="AO69">
        <v>23.009294511050676</v>
      </c>
      <c r="AP69">
        <v>96.390126265925559</v>
      </c>
      <c r="AQ69">
        <v>120.77715625112053</v>
      </c>
      <c r="AR69">
        <v>20.930071816553657</v>
      </c>
      <c r="AS69">
        <v>107.28229909156437</v>
      </c>
      <c r="AT69" t="e">
        <v>#DIV/0!</v>
      </c>
      <c r="AU69" t="e">
        <v>#DIV/0!</v>
      </c>
      <c r="AV69"/>
      <c r="AW69"/>
      <c r="FY69" s="214">
        <v>64</v>
      </c>
      <c r="FZ69">
        <v>0.62011813883129452</v>
      </c>
      <c r="GA69">
        <v>5.5199766315243473</v>
      </c>
      <c r="GB69">
        <v>6.3856549029435046</v>
      </c>
      <c r="GC69">
        <v>3.3501445896685773</v>
      </c>
      <c r="GD69">
        <v>4.6666114101552534</v>
      </c>
      <c r="GE69">
        <v>12.831140581485563</v>
      </c>
      <c r="GF69">
        <v>19.754601491357519</v>
      </c>
      <c r="GG69">
        <v>13.813452980677386</v>
      </c>
      <c r="GH69">
        <v>10.639216923937727</v>
      </c>
      <c r="GI69">
        <v>10.42082140336851</v>
      </c>
      <c r="GJ69"/>
      <c r="GK69"/>
      <c r="GL69"/>
      <c r="GM69"/>
    </row>
    <row r="70" spans="1:195" s="7" customFormat="1">
      <c r="A70" s="4"/>
      <c r="B70" s="66"/>
      <c r="C70" s="71">
        <f t="shared" ref="C70:C79" si="38">C4</f>
        <v>39646</v>
      </c>
      <c r="D70" s="72">
        <f t="shared" ref="D70:D75" si="39">SUM(G70:AK70)</f>
        <v>4.1666666666666661</v>
      </c>
      <c r="E70" s="64"/>
      <c r="F70" s="64"/>
      <c r="G70" s="18">
        <f>AVERAGE(E228:E237)</f>
        <v>0</v>
      </c>
      <c r="H70" s="18">
        <f t="shared" ref="H70:AK70" si="40">AVERAGE(F228:F237)</f>
        <v>2.083333333333333</v>
      </c>
      <c r="I70" s="18">
        <f t="shared" si="40"/>
        <v>0</v>
      </c>
      <c r="J70" s="18">
        <f t="shared" si="40"/>
        <v>2.083333333333333</v>
      </c>
      <c r="K70" s="18">
        <f t="shared" si="40"/>
        <v>0</v>
      </c>
      <c r="L70" s="18">
        <f t="shared" si="40"/>
        <v>0</v>
      </c>
      <c r="M70" s="18">
        <f t="shared" si="40"/>
        <v>0</v>
      </c>
      <c r="N70" s="18">
        <f t="shared" si="40"/>
        <v>0</v>
      </c>
      <c r="O70" s="18">
        <f t="shared" si="40"/>
        <v>0</v>
      </c>
      <c r="P70" s="18">
        <f t="shared" si="40"/>
        <v>0</v>
      </c>
      <c r="Q70" s="18">
        <f t="shared" si="40"/>
        <v>0</v>
      </c>
      <c r="R70" s="18">
        <f t="shared" si="40"/>
        <v>0</v>
      </c>
      <c r="S70" s="18">
        <f t="shared" si="40"/>
        <v>0</v>
      </c>
      <c r="T70" s="18">
        <f t="shared" si="40"/>
        <v>0</v>
      </c>
      <c r="U70" s="18">
        <f t="shared" si="40"/>
        <v>0</v>
      </c>
      <c r="V70" s="18">
        <f t="shared" si="40"/>
        <v>0</v>
      </c>
      <c r="W70" s="18">
        <f t="shared" si="40"/>
        <v>0</v>
      </c>
      <c r="X70" s="18">
        <f t="shared" si="40"/>
        <v>0</v>
      </c>
      <c r="Y70" s="18">
        <f t="shared" si="40"/>
        <v>0</v>
      </c>
      <c r="Z70" s="18">
        <f t="shared" si="40"/>
        <v>0</v>
      </c>
      <c r="AA70" s="18">
        <f t="shared" si="40"/>
        <v>0</v>
      </c>
      <c r="AB70" s="18">
        <f t="shared" si="40"/>
        <v>0</v>
      </c>
      <c r="AC70" s="18">
        <f t="shared" si="40"/>
        <v>0</v>
      </c>
      <c r="AD70" s="18">
        <f t="shared" si="40"/>
        <v>0</v>
      </c>
      <c r="AE70" s="18">
        <f t="shared" si="40"/>
        <v>0</v>
      </c>
      <c r="AF70" s="18">
        <f t="shared" si="40"/>
        <v>0</v>
      </c>
      <c r="AG70" s="18">
        <f t="shared" si="40"/>
        <v>0</v>
      </c>
      <c r="AH70" s="18">
        <f t="shared" si="40"/>
        <v>0</v>
      </c>
      <c r="AI70" s="18">
        <f t="shared" si="40"/>
        <v>0</v>
      </c>
      <c r="AJ70" s="18">
        <f t="shared" si="40"/>
        <v>0</v>
      </c>
      <c r="AK70" s="18">
        <f t="shared" si="40"/>
        <v>0</v>
      </c>
      <c r="AL70" s="2"/>
      <c r="AM70" s="43">
        <v>54</v>
      </c>
      <c r="AN70">
        <v>62.99780139088633</v>
      </c>
      <c r="AO70">
        <v>12.338841222083541</v>
      </c>
      <c r="AP70">
        <v>58.13687793462114</v>
      </c>
      <c r="AQ70">
        <v>80.372548185560049</v>
      </c>
      <c r="AR70">
        <v>11.229659735674446</v>
      </c>
      <c r="AS70">
        <v>58.329583900949288</v>
      </c>
      <c r="AT70" t="e">
        <v>#DIV/0!</v>
      </c>
      <c r="AU70" t="e">
        <v>#DIV/0!</v>
      </c>
      <c r="AV70"/>
      <c r="AW70"/>
      <c r="FY70" s="214">
        <v>65</v>
      </c>
      <c r="FZ70">
        <v>0.69325958023842293</v>
      </c>
      <c r="GA70">
        <v>17.557487575582272</v>
      </c>
      <c r="GB70">
        <v>15.821325285451461</v>
      </c>
      <c r="GC70">
        <v>4.6957895467465152</v>
      </c>
      <c r="GD70">
        <v>10.237232580469421</v>
      </c>
      <c r="GE70">
        <v>24.262274694172856</v>
      </c>
      <c r="GF70">
        <v>13.319415966012256</v>
      </c>
      <c r="GG70">
        <v>5.5714467297507575</v>
      </c>
      <c r="GH70">
        <v>0.55651403675738742</v>
      </c>
      <c r="GI70">
        <v>12.975046813980201</v>
      </c>
      <c r="GJ70"/>
      <c r="GK70"/>
      <c r="GL70"/>
      <c r="GM70"/>
    </row>
    <row r="71" spans="1:195" s="7" customFormat="1">
      <c r="A71" s="4"/>
      <c r="B71" s="66"/>
      <c r="C71" s="71">
        <f t="shared" si="38"/>
        <v>39673</v>
      </c>
      <c r="D71" s="72">
        <f t="shared" si="39"/>
        <v>14.583333333333332</v>
      </c>
      <c r="E71" s="64"/>
      <c r="F71" s="64"/>
      <c r="G71" s="18">
        <f>AVERAGE(E238:E247)</f>
        <v>0</v>
      </c>
      <c r="H71" s="18">
        <f t="shared" ref="H71:AK71" si="41">AVERAGE(F238:F247)</f>
        <v>0</v>
      </c>
      <c r="I71" s="18">
        <f t="shared" si="41"/>
        <v>0</v>
      </c>
      <c r="J71" s="18">
        <f t="shared" si="41"/>
        <v>12.499999999999998</v>
      </c>
      <c r="K71" s="18">
        <f t="shared" si="41"/>
        <v>2.083333333333333</v>
      </c>
      <c r="L71" s="18">
        <f t="shared" si="41"/>
        <v>0</v>
      </c>
      <c r="M71" s="18">
        <f t="shared" si="41"/>
        <v>0</v>
      </c>
      <c r="N71" s="18">
        <f t="shared" si="41"/>
        <v>0</v>
      </c>
      <c r="O71" s="18">
        <f t="shared" si="41"/>
        <v>0</v>
      </c>
      <c r="P71" s="18">
        <f t="shared" si="41"/>
        <v>0</v>
      </c>
      <c r="Q71" s="18">
        <f t="shared" si="41"/>
        <v>0</v>
      </c>
      <c r="R71" s="18">
        <f t="shared" si="41"/>
        <v>0</v>
      </c>
      <c r="S71" s="18">
        <f t="shared" si="41"/>
        <v>0</v>
      </c>
      <c r="T71" s="18">
        <f t="shared" si="41"/>
        <v>0</v>
      </c>
      <c r="U71" s="18">
        <f t="shared" si="41"/>
        <v>0</v>
      </c>
      <c r="V71" s="18">
        <f t="shared" si="41"/>
        <v>0</v>
      </c>
      <c r="W71" s="18">
        <f t="shared" si="41"/>
        <v>0</v>
      </c>
      <c r="X71" s="18">
        <f t="shared" si="41"/>
        <v>0</v>
      </c>
      <c r="Y71" s="18">
        <f t="shared" si="41"/>
        <v>0</v>
      </c>
      <c r="Z71" s="18">
        <f t="shared" si="41"/>
        <v>0</v>
      </c>
      <c r="AA71" s="18">
        <f t="shared" si="41"/>
        <v>0</v>
      </c>
      <c r="AB71" s="18">
        <f t="shared" si="41"/>
        <v>0</v>
      </c>
      <c r="AC71" s="18">
        <f t="shared" si="41"/>
        <v>0</v>
      </c>
      <c r="AD71" s="18">
        <f t="shared" si="41"/>
        <v>0</v>
      </c>
      <c r="AE71" s="18">
        <f t="shared" si="41"/>
        <v>0</v>
      </c>
      <c r="AF71" s="18">
        <f t="shared" si="41"/>
        <v>0</v>
      </c>
      <c r="AG71" s="18">
        <f t="shared" si="41"/>
        <v>0</v>
      </c>
      <c r="AH71" s="18">
        <f t="shared" si="41"/>
        <v>0</v>
      </c>
      <c r="AI71" s="18">
        <f t="shared" si="41"/>
        <v>0</v>
      </c>
      <c r="AJ71" s="18">
        <f t="shared" si="41"/>
        <v>0</v>
      </c>
      <c r="AK71" s="18">
        <f t="shared" si="41"/>
        <v>0</v>
      </c>
      <c r="AL71" s="2"/>
      <c r="AM71" s="43">
        <v>55</v>
      </c>
      <c r="AN71">
        <v>72.600237086126555</v>
      </c>
      <c r="AO71">
        <v>13.488310669230481</v>
      </c>
      <c r="AP71">
        <v>61.846652925687351</v>
      </c>
      <c r="AQ71">
        <v>85.357855991038278</v>
      </c>
      <c r="AR71">
        <v>12.810581750071288</v>
      </c>
      <c r="AS71">
        <v>67.812282522040661</v>
      </c>
      <c r="AT71">
        <v>7.4569466015428398</v>
      </c>
      <c r="AU71">
        <v>33.523078651902225</v>
      </c>
      <c r="AV71"/>
      <c r="AW71"/>
      <c r="FY71" s="214">
        <v>66</v>
      </c>
      <c r="FZ71">
        <v>1.7559196954683121</v>
      </c>
      <c r="GA71">
        <v>11.671650631497723</v>
      </c>
      <c r="GB71">
        <v>9.3474996215848076</v>
      </c>
      <c r="GC71">
        <v>2.754676776389652</v>
      </c>
      <c r="GD71">
        <v>2.0017808644175106</v>
      </c>
      <c r="GE71">
        <v>8.5074170217001619</v>
      </c>
      <c r="GF71">
        <v>20.013151107760301</v>
      </c>
      <c r="GG71">
        <v>15.34848259433576</v>
      </c>
      <c r="GH71">
        <v>5.7989325846968267</v>
      </c>
      <c r="GI71">
        <v>8.7829842494345041</v>
      </c>
      <c r="GJ71"/>
      <c r="GK71"/>
      <c r="GL71"/>
      <c r="GM71"/>
    </row>
    <row r="72" spans="1:195" s="7" customFormat="1">
      <c r="A72" s="4"/>
      <c r="B72" s="66"/>
      <c r="C72" s="71">
        <f t="shared" si="38"/>
        <v>39714</v>
      </c>
      <c r="D72" s="72">
        <f t="shared" si="39"/>
        <v>35.416666666666664</v>
      </c>
      <c r="E72" s="64"/>
      <c r="F72" s="64"/>
      <c r="G72" s="18">
        <f>AVERAGE(E248:E257)</f>
        <v>0</v>
      </c>
      <c r="H72" s="18">
        <f t="shared" ref="H72:AK72" si="42">AVERAGE(F248:F257)</f>
        <v>0</v>
      </c>
      <c r="I72" s="18">
        <f t="shared" si="42"/>
        <v>6.25</v>
      </c>
      <c r="J72" s="18">
        <f t="shared" si="42"/>
        <v>10.416666666666666</v>
      </c>
      <c r="K72" s="18">
        <f t="shared" si="42"/>
        <v>11.458333333333332</v>
      </c>
      <c r="L72" s="18">
        <f t="shared" si="42"/>
        <v>4.1666666666666661</v>
      </c>
      <c r="M72" s="18">
        <f t="shared" si="42"/>
        <v>3.125</v>
      </c>
      <c r="N72" s="18">
        <f t="shared" si="42"/>
        <v>0</v>
      </c>
      <c r="O72" s="18">
        <f t="shared" si="42"/>
        <v>0</v>
      </c>
      <c r="P72" s="18">
        <f t="shared" si="42"/>
        <v>0</v>
      </c>
      <c r="Q72" s="18">
        <f t="shared" si="42"/>
        <v>0</v>
      </c>
      <c r="R72" s="18">
        <f t="shared" si="42"/>
        <v>0</v>
      </c>
      <c r="S72" s="18">
        <f t="shared" si="42"/>
        <v>0</v>
      </c>
      <c r="T72" s="18">
        <f t="shared" si="42"/>
        <v>0</v>
      </c>
      <c r="U72" s="18">
        <f t="shared" si="42"/>
        <v>0</v>
      </c>
      <c r="V72" s="18">
        <f t="shared" si="42"/>
        <v>0</v>
      </c>
      <c r="W72" s="18">
        <f t="shared" si="42"/>
        <v>0</v>
      </c>
      <c r="X72" s="18">
        <f t="shared" si="42"/>
        <v>0</v>
      </c>
      <c r="Y72" s="18">
        <f t="shared" si="42"/>
        <v>0</v>
      </c>
      <c r="Z72" s="18">
        <f t="shared" si="42"/>
        <v>0</v>
      </c>
      <c r="AA72" s="18">
        <f t="shared" si="42"/>
        <v>0</v>
      </c>
      <c r="AB72" s="18">
        <f t="shared" si="42"/>
        <v>0</v>
      </c>
      <c r="AC72" s="18">
        <f t="shared" si="42"/>
        <v>0</v>
      </c>
      <c r="AD72" s="18">
        <f t="shared" si="42"/>
        <v>0</v>
      </c>
      <c r="AE72" s="18">
        <f t="shared" si="42"/>
        <v>0</v>
      </c>
      <c r="AF72" s="18">
        <f t="shared" si="42"/>
        <v>0</v>
      </c>
      <c r="AG72" s="18">
        <f t="shared" si="42"/>
        <v>0</v>
      </c>
      <c r="AH72" s="18">
        <f t="shared" si="42"/>
        <v>0</v>
      </c>
      <c r="AI72" s="18">
        <f t="shared" si="42"/>
        <v>0</v>
      </c>
      <c r="AJ72" s="18">
        <f t="shared" si="42"/>
        <v>0</v>
      </c>
      <c r="AK72" s="18">
        <f t="shared" si="42"/>
        <v>0</v>
      </c>
      <c r="AL72" s="2"/>
      <c r="AM72" s="43">
        <v>56</v>
      </c>
      <c r="AN72">
        <v>77.976682835530951</v>
      </c>
      <c r="AO72">
        <v>17.95752499250715</v>
      </c>
      <c r="AP72">
        <v>86.35892615173907</v>
      </c>
      <c r="AQ72">
        <v>103.66915869275404</v>
      </c>
      <c r="AR72">
        <v>16.337554072423181</v>
      </c>
      <c r="AS72">
        <v>84.917843209628487</v>
      </c>
      <c r="AT72" t="e">
        <v>#DIV/0!</v>
      </c>
      <c r="AU72" t="e">
        <v>#DIV/0!</v>
      </c>
      <c r="AV72"/>
      <c r="AW72"/>
      <c r="FY72" s="214">
        <v>67</v>
      </c>
      <c r="FZ72">
        <v>1.4011280696803672</v>
      </c>
      <c r="GA72">
        <v>4.5336281770978051</v>
      </c>
      <c r="GB72">
        <v>7.162032567141015</v>
      </c>
      <c r="GC72">
        <v>3.9134005071085483</v>
      </c>
      <c r="GD72">
        <v>1.2048463056843473</v>
      </c>
      <c r="GE72">
        <v>8.3441062674756488</v>
      </c>
      <c r="GF72">
        <v>21.564102041008205</v>
      </c>
      <c r="GG72">
        <v>9.6495780139146135</v>
      </c>
      <c r="GH72">
        <v>0.72401068932394974</v>
      </c>
      <c r="GI72">
        <v>7.0188077471979033</v>
      </c>
      <c r="GJ72"/>
      <c r="GK72"/>
      <c r="GL72"/>
      <c r="GM72"/>
    </row>
    <row r="73" spans="1:195" s="7" customFormat="1">
      <c r="A73" s="4"/>
      <c r="B73" s="66"/>
      <c r="C73" s="71">
        <f t="shared" si="38"/>
        <v>39747</v>
      </c>
      <c r="D73" s="72">
        <f t="shared" si="39"/>
        <v>76.714031649245072</v>
      </c>
      <c r="E73" s="64"/>
      <c r="F73" s="64"/>
      <c r="G73" s="18">
        <f>AVERAGE(E258:E267)</f>
        <v>0</v>
      </c>
      <c r="H73" s="18">
        <f t="shared" ref="H73:AK73" si="43">AVERAGE(F258:F267)</f>
        <v>26.041666666666668</v>
      </c>
      <c r="I73" s="18">
        <f t="shared" si="43"/>
        <v>50.672364982578401</v>
      </c>
      <c r="J73" s="18">
        <f t="shared" si="43"/>
        <v>0</v>
      </c>
      <c r="K73" s="18">
        <f t="shared" si="43"/>
        <v>0</v>
      </c>
      <c r="L73" s="18">
        <f t="shared" si="43"/>
        <v>0</v>
      </c>
      <c r="M73" s="18">
        <f t="shared" si="43"/>
        <v>0</v>
      </c>
      <c r="N73" s="18">
        <f t="shared" si="43"/>
        <v>0</v>
      </c>
      <c r="O73" s="18">
        <f t="shared" si="43"/>
        <v>0</v>
      </c>
      <c r="P73" s="18">
        <f t="shared" si="43"/>
        <v>0</v>
      </c>
      <c r="Q73" s="18">
        <f t="shared" si="43"/>
        <v>0</v>
      </c>
      <c r="R73" s="18">
        <f t="shared" si="43"/>
        <v>0</v>
      </c>
      <c r="S73" s="18">
        <f t="shared" si="43"/>
        <v>0</v>
      </c>
      <c r="T73" s="18">
        <f t="shared" si="43"/>
        <v>0</v>
      </c>
      <c r="U73" s="18">
        <f t="shared" si="43"/>
        <v>0</v>
      </c>
      <c r="V73" s="18">
        <f t="shared" si="43"/>
        <v>0</v>
      </c>
      <c r="W73" s="18">
        <f t="shared" si="43"/>
        <v>0</v>
      </c>
      <c r="X73" s="18">
        <f t="shared" si="43"/>
        <v>0</v>
      </c>
      <c r="Y73" s="18">
        <f t="shared" si="43"/>
        <v>0</v>
      </c>
      <c r="Z73" s="18">
        <f t="shared" si="43"/>
        <v>0</v>
      </c>
      <c r="AA73" s="18">
        <f t="shared" si="43"/>
        <v>0</v>
      </c>
      <c r="AB73" s="18">
        <f t="shared" si="43"/>
        <v>0</v>
      </c>
      <c r="AC73" s="18">
        <f t="shared" si="43"/>
        <v>0</v>
      </c>
      <c r="AD73" s="18">
        <f t="shared" si="43"/>
        <v>0</v>
      </c>
      <c r="AE73" s="18">
        <f t="shared" si="43"/>
        <v>0</v>
      </c>
      <c r="AF73" s="18">
        <f t="shared" si="43"/>
        <v>0</v>
      </c>
      <c r="AG73" s="18">
        <f t="shared" si="43"/>
        <v>0</v>
      </c>
      <c r="AH73" s="18">
        <f t="shared" si="43"/>
        <v>0</v>
      </c>
      <c r="AI73" s="18">
        <f t="shared" si="43"/>
        <v>0</v>
      </c>
      <c r="AJ73" s="18">
        <f t="shared" si="43"/>
        <v>0</v>
      </c>
      <c r="AK73" s="18">
        <f t="shared" si="43"/>
        <v>0</v>
      </c>
      <c r="AL73" s="2"/>
      <c r="AM73" s="43">
        <v>57</v>
      </c>
      <c r="AN73">
        <v>92.078560211845556</v>
      </c>
      <c r="AO73">
        <v>21.42524705740265</v>
      </c>
      <c r="AP73">
        <v>95.763459660490227</v>
      </c>
      <c r="AQ73">
        <v>113.8731340117984</v>
      </c>
      <c r="AR73">
        <v>19.680780552176046</v>
      </c>
      <c r="AS73">
        <v>104.78260098478678</v>
      </c>
      <c r="AT73">
        <v>10.30083152833072</v>
      </c>
      <c r="AU73">
        <v>17.380021549769463</v>
      </c>
      <c r="AV73"/>
      <c r="AW73"/>
      <c r="FY73" s="214">
        <v>68</v>
      </c>
      <c r="FZ73">
        <v>1.0187849399245641</v>
      </c>
      <c r="GA73">
        <v>2.0218485830920168</v>
      </c>
      <c r="GB73">
        <v>4.8455977131197745</v>
      </c>
      <c r="GC73">
        <v>2.974355005858365</v>
      </c>
      <c r="GD73">
        <v>10.435883967890415</v>
      </c>
      <c r="GE73">
        <v>24.839399663270182</v>
      </c>
      <c r="GF73">
        <v>18.171384556536673</v>
      </c>
      <c r="GG73">
        <v>12.933179877579544</v>
      </c>
      <c r="GH73">
        <v>5.3603986408057089</v>
      </c>
      <c r="GI73">
        <v>12.421664811266892</v>
      </c>
      <c r="GJ73"/>
      <c r="GK73"/>
      <c r="GL73"/>
      <c r="GM73"/>
    </row>
    <row r="74" spans="1:195" s="7" customFormat="1">
      <c r="A74" s="4"/>
      <c r="B74" s="66"/>
      <c r="C74" s="71">
        <f t="shared" si="38"/>
        <v>39775</v>
      </c>
      <c r="D74" s="72">
        <f t="shared" si="39"/>
        <v>23.57954545454545</v>
      </c>
      <c r="E74" s="64"/>
      <c r="F74" s="64"/>
      <c r="G74" s="18">
        <f>AVERAGE(E268:E277)</f>
        <v>0</v>
      </c>
      <c r="H74" s="18">
        <f t="shared" ref="H74:AK74" si="44">AVERAGE(F268:F277)</f>
        <v>2.083333333333333</v>
      </c>
      <c r="I74" s="18">
        <f t="shared" si="44"/>
        <v>19.412878787878785</v>
      </c>
      <c r="J74" s="18">
        <f t="shared" si="44"/>
        <v>2.083333333333333</v>
      </c>
      <c r="K74" s="18">
        <f t="shared" si="44"/>
        <v>0</v>
      </c>
      <c r="L74" s="18">
        <f t="shared" si="44"/>
        <v>0</v>
      </c>
      <c r="M74" s="18">
        <f t="shared" si="44"/>
        <v>0</v>
      </c>
      <c r="N74" s="18">
        <f t="shared" si="44"/>
        <v>0</v>
      </c>
      <c r="O74" s="18">
        <f t="shared" si="44"/>
        <v>0</v>
      </c>
      <c r="P74" s="18">
        <f t="shared" si="44"/>
        <v>0</v>
      </c>
      <c r="Q74" s="18">
        <f t="shared" si="44"/>
        <v>0</v>
      </c>
      <c r="R74" s="18">
        <f t="shared" si="44"/>
        <v>0</v>
      </c>
      <c r="S74" s="18">
        <f t="shared" si="44"/>
        <v>0</v>
      </c>
      <c r="T74" s="18">
        <f t="shared" si="44"/>
        <v>0</v>
      </c>
      <c r="U74" s="18">
        <f t="shared" si="44"/>
        <v>0</v>
      </c>
      <c r="V74" s="18">
        <f t="shared" si="44"/>
        <v>0</v>
      </c>
      <c r="W74" s="18">
        <f t="shared" si="44"/>
        <v>0</v>
      </c>
      <c r="X74" s="18">
        <f t="shared" si="44"/>
        <v>0</v>
      </c>
      <c r="Y74" s="18">
        <f t="shared" si="44"/>
        <v>0</v>
      </c>
      <c r="Z74" s="18">
        <f t="shared" si="44"/>
        <v>0</v>
      </c>
      <c r="AA74" s="18">
        <f t="shared" si="44"/>
        <v>0</v>
      </c>
      <c r="AB74" s="18">
        <f t="shared" si="44"/>
        <v>0</v>
      </c>
      <c r="AC74" s="18">
        <f t="shared" si="44"/>
        <v>0</v>
      </c>
      <c r="AD74" s="18">
        <f t="shared" si="44"/>
        <v>0</v>
      </c>
      <c r="AE74" s="18">
        <f t="shared" si="44"/>
        <v>0</v>
      </c>
      <c r="AF74" s="18">
        <f t="shared" si="44"/>
        <v>0</v>
      </c>
      <c r="AG74" s="18">
        <f t="shared" si="44"/>
        <v>0</v>
      </c>
      <c r="AH74" s="18">
        <f t="shared" si="44"/>
        <v>0</v>
      </c>
      <c r="AI74" s="18">
        <f t="shared" si="44"/>
        <v>0</v>
      </c>
      <c r="AJ74" s="18">
        <f t="shared" si="44"/>
        <v>0</v>
      </c>
      <c r="AK74" s="18">
        <f t="shared" si="44"/>
        <v>0</v>
      </c>
      <c r="AL74" s="2"/>
      <c r="AM74" s="43">
        <v>58</v>
      </c>
      <c r="AN74">
        <v>94.570987674980387</v>
      </c>
      <c r="AO74">
        <v>21.130218015816698</v>
      </c>
      <c r="AP74">
        <v>136.27093504727631</v>
      </c>
      <c r="AQ74">
        <v>113.87139168279202</v>
      </c>
      <c r="AR74">
        <v>19.234995919060662</v>
      </c>
      <c r="AS74">
        <v>91.450726253033622</v>
      </c>
      <c r="AT74" t="e">
        <v>#DIV/0!</v>
      </c>
      <c r="AU74" t="e">
        <v>#DIV/0!</v>
      </c>
      <c r="AV74"/>
      <c r="AW74"/>
      <c r="FY74" s="214">
        <v>69</v>
      </c>
      <c r="FZ74">
        <v>1.046336443892423</v>
      </c>
      <c r="GA74">
        <v>15.981956152826276</v>
      </c>
      <c r="GB74">
        <v>10.922445112703492</v>
      </c>
      <c r="GC74">
        <v>2.4247186412407937</v>
      </c>
      <c r="GD74">
        <v>4.9384350482135702</v>
      </c>
      <c r="GE74">
        <v>17.07050100009716</v>
      </c>
      <c r="GF74">
        <v>18.649400933723101</v>
      </c>
      <c r="GG74">
        <v>6.2761996167460969</v>
      </c>
      <c r="GH74">
        <v>0.80775901560723096</v>
      </c>
      <c r="GI74">
        <v>9.6475539104654562</v>
      </c>
      <c r="GJ74"/>
      <c r="GK74"/>
      <c r="GL74"/>
      <c r="GM74"/>
    </row>
    <row r="75" spans="1:195" s="7" customFormat="1">
      <c r="A75" s="4"/>
      <c r="B75" s="66"/>
      <c r="C75" s="71">
        <f t="shared" si="38"/>
        <v>39799</v>
      </c>
      <c r="D75" s="72">
        <f t="shared" si="39"/>
        <v>221.89556766762649</v>
      </c>
      <c r="E75" s="64"/>
      <c r="F75" s="64"/>
      <c r="G75" s="18">
        <f>AVERAGE(E278:E287)</f>
        <v>0</v>
      </c>
      <c r="H75" s="18">
        <f t="shared" ref="H75:AK75" si="45">AVERAGE(F278:F287)</f>
        <v>8.3333333333333321</v>
      </c>
      <c r="I75" s="18">
        <f t="shared" si="45"/>
        <v>139.89527629233513</v>
      </c>
      <c r="J75" s="18">
        <f t="shared" si="45"/>
        <v>1.0416666666666665</v>
      </c>
      <c r="K75" s="18">
        <f t="shared" si="45"/>
        <v>0</v>
      </c>
      <c r="L75" s="18">
        <f t="shared" si="45"/>
        <v>12.383449883449881</v>
      </c>
      <c r="M75" s="18">
        <f t="shared" si="45"/>
        <v>52.666083916083913</v>
      </c>
      <c r="N75" s="18">
        <f t="shared" si="45"/>
        <v>7.5757575757575752</v>
      </c>
      <c r="O75" s="18">
        <f t="shared" si="45"/>
        <v>0</v>
      </c>
      <c r="P75" s="18">
        <f t="shared" si="45"/>
        <v>0</v>
      </c>
      <c r="Q75" s="18">
        <f t="shared" si="45"/>
        <v>0</v>
      </c>
      <c r="R75" s="18">
        <f t="shared" si="45"/>
        <v>0</v>
      </c>
      <c r="S75" s="18">
        <f t="shared" si="45"/>
        <v>0</v>
      </c>
      <c r="T75" s="18">
        <f t="shared" si="45"/>
        <v>0</v>
      </c>
      <c r="U75" s="18">
        <f t="shared" si="45"/>
        <v>0</v>
      </c>
      <c r="V75" s="18">
        <f t="shared" si="45"/>
        <v>0</v>
      </c>
      <c r="W75" s="18">
        <f t="shared" si="45"/>
        <v>0</v>
      </c>
      <c r="X75" s="18">
        <f t="shared" si="45"/>
        <v>0</v>
      </c>
      <c r="Y75" s="18">
        <f t="shared" si="45"/>
        <v>0</v>
      </c>
      <c r="Z75" s="18">
        <f t="shared" si="45"/>
        <v>0</v>
      </c>
      <c r="AA75" s="18">
        <f t="shared" si="45"/>
        <v>0</v>
      </c>
      <c r="AB75" s="18">
        <f t="shared" si="45"/>
        <v>0</v>
      </c>
      <c r="AC75" s="18">
        <f t="shared" si="45"/>
        <v>0</v>
      </c>
      <c r="AD75" s="18">
        <f t="shared" si="45"/>
        <v>0</v>
      </c>
      <c r="AE75" s="18">
        <f t="shared" si="45"/>
        <v>0</v>
      </c>
      <c r="AF75" s="18">
        <f t="shared" si="45"/>
        <v>0</v>
      </c>
      <c r="AG75" s="18">
        <f t="shared" si="45"/>
        <v>0</v>
      </c>
      <c r="AH75" s="18">
        <f t="shared" si="45"/>
        <v>0</v>
      </c>
      <c r="AI75" s="18">
        <f t="shared" si="45"/>
        <v>0</v>
      </c>
      <c r="AJ75" s="18">
        <f t="shared" si="45"/>
        <v>0</v>
      </c>
      <c r="AK75" s="18">
        <f t="shared" si="45"/>
        <v>0</v>
      </c>
      <c r="AL75" s="2"/>
      <c r="AM75" s="43">
        <v>59</v>
      </c>
      <c r="AN75">
        <v>71.026167585796628</v>
      </c>
      <c r="AO75">
        <v>15.056610876067925</v>
      </c>
      <c r="AP75">
        <v>80.04505553834008</v>
      </c>
      <c r="AQ75">
        <v>81.360345599008468</v>
      </c>
      <c r="AR75">
        <v>14.260405749984143</v>
      </c>
      <c r="AS75">
        <v>68.637112260122692</v>
      </c>
      <c r="AT75">
        <v>7.5881043711776393</v>
      </c>
      <c r="AU75">
        <v>8.9361297621759341</v>
      </c>
      <c r="AV75"/>
      <c r="AW75"/>
      <c r="FY75" s="214">
        <v>70</v>
      </c>
      <c r="FZ75">
        <v>1.4014067028959936</v>
      </c>
      <c r="GA75">
        <v>8.8806023840289221</v>
      </c>
      <c r="GB75">
        <v>7.8996441263785471</v>
      </c>
      <c r="GC75">
        <v>3.08162485782535</v>
      </c>
      <c r="GD75">
        <v>7.025877431393007</v>
      </c>
      <c r="GE75">
        <v>15.097137302917499</v>
      </c>
      <c r="GF75">
        <v>22.721805617958196</v>
      </c>
      <c r="GG75">
        <v>28.088524825163141</v>
      </c>
      <c r="GH75">
        <v>12.220674770707429</v>
      </c>
      <c r="GI75">
        <v>13.558652499290154</v>
      </c>
      <c r="GJ75"/>
      <c r="GK75"/>
      <c r="GL75"/>
      <c r="GM75"/>
    </row>
    <row r="76" spans="1:195" s="7" customFormat="1">
      <c r="A76" s="4"/>
      <c r="B76" s="66"/>
      <c r="C76" s="71">
        <f t="shared" si="38"/>
        <v>39847</v>
      </c>
      <c r="D76" s="72">
        <f>SUM(G76:AK76)</f>
        <v>52.083333333333336</v>
      </c>
      <c r="E76" s="64"/>
      <c r="F76" s="64"/>
      <c r="G76" s="18">
        <f>AVERAGE(E288:E297)</f>
        <v>0</v>
      </c>
      <c r="H76" s="18">
        <f t="shared" ref="H76:AK76" si="46">AVERAGE(F288:F297)</f>
        <v>26.041666666666668</v>
      </c>
      <c r="I76" s="18">
        <f t="shared" si="46"/>
        <v>26.041666666666668</v>
      </c>
      <c r="J76" s="18">
        <f t="shared" si="46"/>
        <v>0</v>
      </c>
      <c r="K76" s="18">
        <f t="shared" si="46"/>
        <v>0</v>
      </c>
      <c r="L76" s="18">
        <f t="shared" si="46"/>
        <v>0</v>
      </c>
      <c r="M76" s="18">
        <f t="shared" si="46"/>
        <v>0</v>
      </c>
      <c r="N76" s="18">
        <f t="shared" si="46"/>
        <v>0</v>
      </c>
      <c r="O76" s="18">
        <f t="shared" si="46"/>
        <v>0</v>
      </c>
      <c r="P76" s="18">
        <f t="shared" si="46"/>
        <v>0</v>
      </c>
      <c r="Q76" s="18">
        <f t="shared" si="46"/>
        <v>0</v>
      </c>
      <c r="R76" s="18">
        <f t="shared" si="46"/>
        <v>0</v>
      </c>
      <c r="S76" s="18">
        <f t="shared" si="46"/>
        <v>0</v>
      </c>
      <c r="T76" s="18">
        <f t="shared" si="46"/>
        <v>0</v>
      </c>
      <c r="U76" s="18">
        <f t="shared" si="46"/>
        <v>0</v>
      </c>
      <c r="V76" s="18">
        <f t="shared" si="46"/>
        <v>0</v>
      </c>
      <c r="W76" s="18">
        <f t="shared" si="46"/>
        <v>0</v>
      </c>
      <c r="X76" s="18">
        <f t="shared" si="46"/>
        <v>0</v>
      </c>
      <c r="Y76" s="18">
        <f t="shared" si="46"/>
        <v>0</v>
      </c>
      <c r="Z76" s="18">
        <f t="shared" si="46"/>
        <v>0</v>
      </c>
      <c r="AA76" s="18">
        <f t="shared" si="46"/>
        <v>0</v>
      </c>
      <c r="AB76" s="18">
        <f t="shared" si="46"/>
        <v>0</v>
      </c>
      <c r="AC76" s="18">
        <f t="shared" si="46"/>
        <v>0</v>
      </c>
      <c r="AD76" s="18">
        <f t="shared" si="46"/>
        <v>0</v>
      </c>
      <c r="AE76" s="18">
        <f t="shared" si="46"/>
        <v>0</v>
      </c>
      <c r="AF76" s="18">
        <f t="shared" si="46"/>
        <v>0</v>
      </c>
      <c r="AG76" s="18">
        <f t="shared" si="46"/>
        <v>0</v>
      </c>
      <c r="AH76" s="18">
        <f t="shared" si="46"/>
        <v>0</v>
      </c>
      <c r="AI76" s="18">
        <f t="shared" si="46"/>
        <v>0</v>
      </c>
      <c r="AJ76" s="18">
        <f t="shared" si="46"/>
        <v>0</v>
      </c>
      <c r="AK76" s="18">
        <f t="shared" si="46"/>
        <v>0</v>
      </c>
      <c r="AL76" s="2"/>
      <c r="AM76" s="43">
        <v>60</v>
      </c>
      <c r="AN76">
        <v>84.849417333152843</v>
      </c>
      <c r="AO76">
        <v>18.240888795973003</v>
      </c>
      <c r="AP76">
        <v>109.55598487530695</v>
      </c>
      <c r="AQ76">
        <v>106.452682225446</v>
      </c>
      <c r="AR76">
        <v>16.761490811346043</v>
      </c>
      <c r="AS76">
        <v>89.517080111788502</v>
      </c>
      <c r="AT76">
        <v>9.7761441248928609</v>
      </c>
      <c r="AU76">
        <v>37.674948125699686</v>
      </c>
      <c r="AV76"/>
      <c r="AW76"/>
      <c r="FY76" s="214">
        <v>71</v>
      </c>
      <c r="FZ76">
        <v>0.67721454211658272</v>
      </c>
      <c r="GA76">
        <v>12.08850074095265</v>
      </c>
      <c r="GB76">
        <v>9.3063014478745458</v>
      </c>
      <c r="GC76">
        <v>2.5666531027832087</v>
      </c>
      <c r="GD76">
        <v>7.1098769513380358</v>
      </c>
      <c r="GE76">
        <v>22.7890070217097</v>
      </c>
      <c r="GF76">
        <v>26.886147239242138</v>
      </c>
      <c r="GG76">
        <v>11.862558667238526</v>
      </c>
      <c r="GH76">
        <v>0.64026236304066864</v>
      </c>
      <c r="GI76">
        <v>12.259466168162913</v>
      </c>
      <c r="GJ76"/>
      <c r="GK76"/>
      <c r="GL76"/>
      <c r="GM76"/>
    </row>
    <row r="77" spans="1:195" s="7" customFormat="1">
      <c r="A77" s="4"/>
      <c r="B77" s="66"/>
      <c r="C77" s="71">
        <f t="shared" si="38"/>
        <v>39910</v>
      </c>
      <c r="D77" s="72">
        <f>SUM(G77:AK77)</f>
        <v>35.069444444444443</v>
      </c>
      <c r="E77" s="64"/>
      <c r="F77" s="64"/>
      <c r="G77" s="18">
        <f>AVERAGE(E298:E307)</f>
        <v>0</v>
      </c>
      <c r="H77" s="18">
        <f t="shared" ref="H77:AK77" si="47">AVERAGE(F298:F307)</f>
        <v>0</v>
      </c>
      <c r="I77" s="18">
        <f t="shared" si="47"/>
        <v>0</v>
      </c>
      <c r="J77" s="18">
        <f t="shared" si="47"/>
        <v>6.25</v>
      </c>
      <c r="K77" s="18">
        <f t="shared" si="47"/>
        <v>23.611111111111111</v>
      </c>
      <c r="L77" s="18">
        <f t="shared" si="47"/>
        <v>0</v>
      </c>
      <c r="M77" s="18">
        <f t="shared" si="47"/>
        <v>0</v>
      </c>
      <c r="N77" s="18">
        <f t="shared" si="47"/>
        <v>0</v>
      </c>
      <c r="O77" s="18">
        <f t="shared" si="47"/>
        <v>0</v>
      </c>
      <c r="P77" s="18">
        <f t="shared" si="47"/>
        <v>5.2083333333333339</v>
      </c>
      <c r="Q77" s="18">
        <f t="shared" si="47"/>
        <v>0</v>
      </c>
      <c r="R77" s="18">
        <f t="shared" si="47"/>
        <v>0</v>
      </c>
      <c r="S77" s="18">
        <f t="shared" si="47"/>
        <v>0</v>
      </c>
      <c r="T77" s="18">
        <f t="shared" si="47"/>
        <v>0</v>
      </c>
      <c r="U77" s="18">
        <f t="shared" si="47"/>
        <v>0</v>
      </c>
      <c r="V77" s="18">
        <f t="shared" si="47"/>
        <v>0</v>
      </c>
      <c r="W77" s="18">
        <f t="shared" si="47"/>
        <v>0</v>
      </c>
      <c r="X77" s="18">
        <f t="shared" si="47"/>
        <v>0</v>
      </c>
      <c r="Y77" s="18">
        <f t="shared" si="47"/>
        <v>0</v>
      </c>
      <c r="Z77" s="18">
        <f t="shared" si="47"/>
        <v>0</v>
      </c>
      <c r="AA77" s="18">
        <f t="shared" si="47"/>
        <v>0</v>
      </c>
      <c r="AB77" s="18">
        <f t="shared" si="47"/>
        <v>0</v>
      </c>
      <c r="AC77" s="18">
        <f t="shared" si="47"/>
        <v>0</v>
      </c>
      <c r="AD77" s="18">
        <f t="shared" si="47"/>
        <v>0</v>
      </c>
      <c r="AE77" s="18">
        <f t="shared" si="47"/>
        <v>0</v>
      </c>
      <c r="AF77" s="18">
        <f t="shared" si="47"/>
        <v>0</v>
      </c>
      <c r="AG77" s="18">
        <f t="shared" si="47"/>
        <v>0</v>
      </c>
      <c r="AH77" s="18">
        <f t="shared" si="47"/>
        <v>0</v>
      </c>
      <c r="AI77" s="18">
        <f t="shared" si="47"/>
        <v>0</v>
      </c>
      <c r="AJ77" s="18">
        <f t="shared" si="47"/>
        <v>0</v>
      </c>
      <c r="AK77" s="18">
        <f t="shared" si="47"/>
        <v>0</v>
      </c>
      <c r="AL77" s="2"/>
      <c r="AM77" s="43">
        <v>61</v>
      </c>
      <c r="AN77">
        <v>72.726753406316647</v>
      </c>
      <c r="AO77">
        <v>11.984541804180504</v>
      </c>
      <c r="AP77">
        <v>52.325370793312729</v>
      </c>
      <c r="AQ77">
        <v>72.219122950672144</v>
      </c>
      <c r="AR77">
        <v>11.264654512291635</v>
      </c>
      <c r="AS77">
        <v>62.737829515727924</v>
      </c>
      <c r="AT77">
        <v>6.2475562865805081</v>
      </c>
      <c r="AU77">
        <v>6.6108018006429248</v>
      </c>
      <c r="AV77"/>
      <c r="AW77"/>
      <c r="FY77" s="214">
        <v>72</v>
      </c>
      <c r="FZ77">
        <v>0.34485044827692601</v>
      </c>
      <c r="GA77">
        <v>2.922710080453029</v>
      </c>
      <c r="GB77">
        <v>3.3270446391540958</v>
      </c>
      <c r="GC77">
        <v>1.9028053781126433</v>
      </c>
      <c r="GD77">
        <v>0.80812508281921591</v>
      </c>
      <c r="GE77">
        <v>4.6191476167147583</v>
      </c>
      <c r="GF77">
        <v>12.28109472632166</v>
      </c>
      <c r="GG77">
        <v>8.0394206995189101</v>
      </c>
      <c r="GH77">
        <v>4.2131388007079451</v>
      </c>
      <c r="GI77">
        <v>4.3338247813738393</v>
      </c>
      <c r="GJ77"/>
      <c r="GK77"/>
      <c r="GL77"/>
      <c r="GM77"/>
    </row>
    <row r="78" spans="1:195" s="7" customFormat="1">
      <c r="A78" s="4"/>
      <c r="B78" s="66"/>
      <c r="C78" s="71">
        <f t="shared" si="38"/>
        <v>39949</v>
      </c>
      <c r="D78" s="72">
        <f>SUM(G78:AK78)</f>
        <v>38.453815261044177</v>
      </c>
      <c r="E78" s="64"/>
      <c r="F78" s="64"/>
      <c r="G78" s="18">
        <f>AVERAGE(E308:E317)</f>
        <v>0</v>
      </c>
      <c r="H78" s="18">
        <f t="shared" ref="H78:AK78" si="48">AVERAGE(F308:F317)</f>
        <v>0</v>
      </c>
      <c r="I78" s="18">
        <f t="shared" si="48"/>
        <v>4.0788152610441761</v>
      </c>
      <c r="J78" s="18">
        <f t="shared" si="48"/>
        <v>0</v>
      </c>
      <c r="K78" s="18">
        <f t="shared" si="48"/>
        <v>18.75</v>
      </c>
      <c r="L78" s="18">
        <f t="shared" si="48"/>
        <v>8.3333333333333321</v>
      </c>
      <c r="M78" s="18">
        <f t="shared" si="48"/>
        <v>4.1666666666666661</v>
      </c>
      <c r="N78" s="18">
        <f t="shared" si="48"/>
        <v>3.125</v>
      </c>
      <c r="O78" s="18">
        <f t="shared" si="48"/>
        <v>0</v>
      </c>
      <c r="P78" s="18">
        <f t="shared" si="48"/>
        <v>0</v>
      </c>
      <c r="Q78" s="18">
        <f t="shared" si="48"/>
        <v>0</v>
      </c>
      <c r="R78" s="18">
        <f t="shared" si="48"/>
        <v>0</v>
      </c>
      <c r="S78" s="18">
        <f t="shared" si="48"/>
        <v>0</v>
      </c>
      <c r="T78" s="18">
        <f t="shared" si="48"/>
        <v>0</v>
      </c>
      <c r="U78" s="18">
        <f t="shared" si="48"/>
        <v>0</v>
      </c>
      <c r="V78" s="18">
        <f t="shared" si="48"/>
        <v>0</v>
      </c>
      <c r="W78" s="18">
        <f t="shared" si="48"/>
        <v>0</v>
      </c>
      <c r="X78" s="18">
        <f t="shared" si="48"/>
        <v>0</v>
      </c>
      <c r="Y78" s="18">
        <f t="shared" si="48"/>
        <v>0</v>
      </c>
      <c r="Z78" s="18">
        <f t="shared" si="48"/>
        <v>0</v>
      </c>
      <c r="AA78" s="18">
        <f t="shared" si="48"/>
        <v>0</v>
      </c>
      <c r="AB78" s="18">
        <f t="shared" si="48"/>
        <v>0</v>
      </c>
      <c r="AC78" s="18">
        <f t="shared" si="48"/>
        <v>0</v>
      </c>
      <c r="AD78" s="18">
        <f t="shared" si="48"/>
        <v>0</v>
      </c>
      <c r="AE78" s="18">
        <f t="shared" si="48"/>
        <v>0</v>
      </c>
      <c r="AF78" s="18">
        <f t="shared" si="48"/>
        <v>0</v>
      </c>
      <c r="AG78" s="18">
        <f t="shared" si="48"/>
        <v>0</v>
      </c>
      <c r="AH78" s="18">
        <f t="shared" si="48"/>
        <v>0</v>
      </c>
      <c r="AI78" s="18">
        <f t="shared" si="48"/>
        <v>0</v>
      </c>
      <c r="AJ78" s="18">
        <f t="shared" si="48"/>
        <v>0</v>
      </c>
      <c r="AK78" s="18">
        <f t="shared" si="48"/>
        <v>0</v>
      </c>
      <c r="AL78" s="2"/>
      <c r="AM78" s="43">
        <v>62</v>
      </c>
      <c r="AN78">
        <v>63.354096859775197</v>
      </c>
      <c r="AO78">
        <v>14.290231932362286</v>
      </c>
      <c r="AP78">
        <v>92.417087923722121</v>
      </c>
      <c r="AQ78">
        <v>75.031306381723923</v>
      </c>
      <c r="AR78">
        <v>13.00332923554906</v>
      </c>
      <c r="AS78">
        <v>62.040742963892185</v>
      </c>
      <c r="AT78" t="e">
        <v>#DIV/0!</v>
      </c>
      <c r="AU78" t="e">
        <v>#DIV/0!</v>
      </c>
      <c r="AV78"/>
      <c r="AW78"/>
      <c r="FY78" s="214">
        <v>73</v>
      </c>
      <c r="FZ78">
        <v>0.67111068150576114</v>
      </c>
      <c r="GA78">
        <v>4.7672091210090866</v>
      </c>
      <c r="GB78">
        <v>10.648958616932564</v>
      </c>
      <c r="GC78">
        <v>5.1308651815903508</v>
      </c>
      <c r="GD78">
        <v>0.64520902808711322</v>
      </c>
      <c r="GE78">
        <v>7.0406689312972759</v>
      </c>
      <c r="GF78">
        <v>18.652151297047254</v>
      </c>
      <c r="GG78">
        <v>11.594908326479137</v>
      </c>
      <c r="GH78">
        <v>7.1974374036444342</v>
      </c>
      <c r="GI78">
        <v>7.953369788900023</v>
      </c>
      <c r="GJ78"/>
      <c r="GK78"/>
      <c r="GL78"/>
      <c r="GM78"/>
    </row>
    <row r="79" spans="1:195" s="7" customFormat="1">
      <c r="A79" s="4"/>
      <c r="B79" s="66"/>
      <c r="C79" s="71">
        <f t="shared" si="38"/>
        <v>39987</v>
      </c>
      <c r="D79" s="72">
        <f>SUM(G79:AK79)</f>
        <v>7.7570921985815602</v>
      </c>
      <c r="E79" s="64"/>
      <c r="F79" s="64"/>
      <c r="G79" s="18">
        <f>AVERAGE(E318:E327)</f>
        <v>0</v>
      </c>
      <c r="H79" s="18">
        <f t="shared" ref="H79:AK79" si="49">AVERAGE(F318:F327)</f>
        <v>0</v>
      </c>
      <c r="I79" s="18">
        <f t="shared" si="49"/>
        <v>0</v>
      </c>
      <c r="J79" s="18">
        <f t="shared" si="49"/>
        <v>0</v>
      </c>
      <c r="K79" s="18">
        <f t="shared" si="49"/>
        <v>0</v>
      </c>
      <c r="L79" s="18">
        <f t="shared" si="49"/>
        <v>7.7570921985815602</v>
      </c>
      <c r="M79" s="18">
        <f t="shared" si="49"/>
        <v>0</v>
      </c>
      <c r="N79" s="18">
        <f t="shared" si="49"/>
        <v>0</v>
      </c>
      <c r="O79" s="18">
        <f t="shared" si="49"/>
        <v>0</v>
      </c>
      <c r="P79" s="18">
        <f t="shared" si="49"/>
        <v>0</v>
      </c>
      <c r="Q79" s="18">
        <f t="shared" si="49"/>
        <v>0</v>
      </c>
      <c r="R79" s="18">
        <f t="shared" si="49"/>
        <v>0</v>
      </c>
      <c r="S79" s="18">
        <f t="shared" si="49"/>
        <v>0</v>
      </c>
      <c r="T79" s="18">
        <f t="shared" si="49"/>
        <v>0</v>
      </c>
      <c r="U79" s="18">
        <f t="shared" si="49"/>
        <v>0</v>
      </c>
      <c r="V79" s="18">
        <f t="shared" si="49"/>
        <v>0</v>
      </c>
      <c r="W79" s="18">
        <f t="shared" si="49"/>
        <v>0</v>
      </c>
      <c r="X79" s="18">
        <f t="shared" si="49"/>
        <v>0</v>
      </c>
      <c r="Y79" s="18">
        <f t="shared" si="49"/>
        <v>0</v>
      </c>
      <c r="Z79" s="18">
        <f t="shared" si="49"/>
        <v>0</v>
      </c>
      <c r="AA79" s="18">
        <f t="shared" si="49"/>
        <v>0</v>
      </c>
      <c r="AB79" s="18">
        <f t="shared" si="49"/>
        <v>0</v>
      </c>
      <c r="AC79" s="18">
        <f t="shared" si="49"/>
        <v>0</v>
      </c>
      <c r="AD79" s="18">
        <f t="shared" si="49"/>
        <v>0</v>
      </c>
      <c r="AE79" s="18">
        <f t="shared" si="49"/>
        <v>0</v>
      </c>
      <c r="AF79" s="18">
        <f t="shared" si="49"/>
        <v>0</v>
      </c>
      <c r="AG79" s="18">
        <f t="shared" si="49"/>
        <v>0</v>
      </c>
      <c r="AH79" s="18">
        <f t="shared" si="49"/>
        <v>0</v>
      </c>
      <c r="AI79" s="18">
        <f t="shared" si="49"/>
        <v>0</v>
      </c>
      <c r="AJ79" s="18">
        <f t="shared" si="49"/>
        <v>0</v>
      </c>
      <c r="AK79" s="18">
        <f t="shared" si="49"/>
        <v>0</v>
      </c>
      <c r="AL79" s="2"/>
      <c r="AM79" s="43">
        <v>63</v>
      </c>
      <c r="AN79">
        <v>61.722915419932121</v>
      </c>
      <c r="AO79">
        <v>12.967129736300787</v>
      </c>
      <c r="AP79">
        <v>81.647614079270738</v>
      </c>
      <c r="AQ79">
        <v>77.313992953172814</v>
      </c>
      <c r="AR79">
        <v>11.979051635575857</v>
      </c>
      <c r="AS79">
        <v>59.604842643360286</v>
      </c>
      <c r="AT79">
        <v>6.7677311718917883</v>
      </c>
      <c r="AU79">
        <v>7.0475548142434024</v>
      </c>
      <c r="AV79"/>
      <c r="AW79"/>
      <c r="FY79" s="214">
        <v>74</v>
      </c>
      <c r="FZ79">
        <v>1.5512482693948209</v>
      </c>
      <c r="GA79">
        <v>25.807343914923567</v>
      </c>
      <c r="GB79">
        <v>20.162214956348013</v>
      </c>
      <c r="GC79">
        <v>5.2107960259008514</v>
      </c>
      <c r="GD79">
        <v>5.0254304817641335</v>
      </c>
      <c r="GE79">
        <v>9.5459864150991987</v>
      </c>
      <c r="GF79">
        <v>6.0861304755027668</v>
      </c>
      <c r="GG79">
        <v>4.9428228050080936</v>
      </c>
      <c r="GH79">
        <v>2.3440362398958201</v>
      </c>
      <c r="GI79">
        <v>9.9886783207686101</v>
      </c>
      <c r="GJ79"/>
      <c r="GK79"/>
      <c r="GL79"/>
      <c r="GM79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64.620167069941061</v>
      </c>
      <c r="AO80">
        <v>15.624405853164314</v>
      </c>
      <c r="AP80">
        <v>104.40991659772742</v>
      </c>
      <c r="AQ80">
        <v>88.001739053949677</v>
      </c>
      <c r="AR80">
        <v>14.93102904100293</v>
      </c>
      <c r="AS80">
        <v>68.445507008421572</v>
      </c>
      <c r="AT80">
        <v>8.61275492750387</v>
      </c>
      <c r="AU80">
        <v>65.682238601069102</v>
      </c>
      <c r="AV80"/>
      <c r="AW80"/>
      <c r="FY80" s="214">
        <v>75</v>
      </c>
      <c r="FZ80">
        <v>0.75391466720828193</v>
      </c>
      <c r="GA80">
        <v>12.606277826968858</v>
      </c>
      <c r="GB80">
        <v>10.257266093454923</v>
      </c>
      <c r="GC80">
        <v>3.2481421208440588</v>
      </c>
      <c r="GD80">
        <v>1.8773780392472266</v>
      </c>
      <c r="GE80">
        <v>12.551378137483479</v>
      </c>
      <c r="GF80">
        <v>26.192539734266141</v>
      </c>
      <c r="GG80">
        <v>12.359341601051247</v>
      </c>
      <c r="GH80">
        <v>6.0006610038463775</v>
      </c>
      <c r="GI80">
        <v>9.8202904669999782</v>
      </c>
      <c r="GJ80"/>
      <c r="GK80"/>
      <c r="GL80"/>
      <c r="GM80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96.191774659503238</v>
      </c>
      <c r="AO81">
        <v>19.896839284931243</v>
      </c>
      <c r="AP81">
        <v>96.282002427343627</v>
      </c>
      <c r="AQ81">
        <v>105.68979280916156</v>
      </c>
      <c r="AR81">
        <v>18.088357768498099</v>
      </c>
      <c r="AS81">
        <v>91.803785366465419</v>
      </c>
      <c r="AT81" t="e">
        <v>#DIV/0!</v>
      </c>
      <c r="AU81" t="e">
        <v>#DIV/0!</v>
      </c>
      <c r="AV81"/>
      <c r="AW81"/>
      <c r="FY81" s="214">
        <v>76</v>
      </c>
      <c r="FZ81">
        <v>0.53347683622857689</v>
      </c>
      <c r="GA81">
        <v>3.8446242929688341</v>
      </c>
      <c r="GB81">
        <v>6.710736111374545</v>
      </c>
      <c r="GC81">
        <v>3.492935089317228</v>
      </c>
      <c r="GD81">
        <v>4.0444497201080791</v>
      </c>
      <c r="GE81">
        <v>13.219880975743903</v>
      </c>
      <c r="GF81">
        <v>21.051994551169692</v>
      </c>
      <c r="GG81">
        <v>10.329715872115584</v>
      </c>
      <c r="GH81">
        <v>3.7425410588434276</v>
      </c>
      <c r="GI81">
        <v>8.9654666395342097</v>
      </c>
      <c r="GJ81"/>
      <c r="GK81"/>
      <c r="GL81"/>
      <c r="GM81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65.082568473550438</v>
      </c>
      <c r="AO82">
        <v>13.649102401738</v>
      </c>
      <c r="AP82">
        <v>64.03553352593859</v>
      </c>
      <c r="AQ82">
        <v>85.982495147285562</v>
      </c>
      <c r="AR82">
        <v>12.469643450784613</v>
      </c>
      <c r="AS82">
        <v>63.561306553172706</v>
      </c>
      <c r="AT82" t="e">
        <v>#DIV/0!</v>
      </c>
      <c r="AU82" t="e">
        <v>#DIV/0!</v>
      </c>
      <c r="AV82"/>
      <c r="AW82"/>
      <c r="FY82" s="214">
        <v>77</v>
      </c>
      <c r="FZ82">
        <v>0.88115109464737973</v>
      </c>
      <c r="GA82">
        <v>10.294313478764231</v>
      </c>
      <c r="GB82">
        <v>9.214054035966404</v>
      </c>
      <c r="GC82">
        <v>3.2512999071074367</v>
      </c>
      <c r="GD82">
        <v>7.2817200480921702</v>
      </c>
      <c r="GE82">
        <v>19.124020626126587</v>
      </c>
      <c r="GF82">
        <v>20.600921768465071</v>
      </c>
      <c r="GG82">
        <v>10.511674171718688</v>
      </c>
      <c r="GH82">
        <v>2.4277845661791013</v>
      </c>
      <c r="GI82">
        <v>11.137915734527242</v>
      </c>
      <c r="GJ82"/>
      <c r="GK82"/>
      <c r="GL82"/>
      <c r="GM82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64.210633512333104</v>
      </c>
      <c r="AO83">
        <v>10.806669108904535</v>
      </c>
      <c r="AP83">
        <v>52.182146499516705</v>
      </c>
      <c r="AQ83">
        <v>65.515640385632395</v>
      </c>
      <c r="AR83">
        <v>9.8611945904965879</v>
      </c>
      <c r="AS83">
        <v>55.169149539492636</v>
      </c>
      <c r="AT83" t="e">
        <v>#DIV/0!</v>
      </c>
      <c r="AU83" t="e">
        <v>#DIV/0!</v>
      </c>
      <c r="AV83"/>
      <c r="AW83"/>
      <c r="FY83" s="214">
        <v>78</v>
      </c>
      <c r="FZ83">
        <v>0.59339704965574191</v>
      </c>
      <c r="GA83">
        <v>10.021160166721771</v>
      </c>
      <c r="GB83">
        <v>9.3234557651640326</v>
      </c>
      <c r="GC83">
        <v>3.0330523469776667</v>
      </c>
      <c r="GD83">
        <v>5.8618783166849271</v>
      </c>
      <c r="GE83">
        <v>16.889816873953365</v>
      </c>
      <c r="GF83">
        <v>15.960093411003403</v>
      </c>
      <c r="GG83">
        <v>6.6601921710537315</v>
      </c>
      <c r="GH83">
        <v>4.2990550956008153</v>
      </c>
      <c r="GI83">
        <v>9.8330683556616236</v>
      </c>
      <c r="GJ83"/>
      <c r="GK83"/>
      <c r="GL83"/>
      <c r="GM83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72.623176788454344</v>
      </c>
      <c r="AO84">
        <v>19.197397274743672</v>
      </c>
      <c r="AP84">
        <v>124.56462810123533</v>
      </c>
      <c r="AQ84">
        <v>95.022497759344148</v>
      </c>
      <c r="AR84">
        <v>17.655462567940617</v>
      </c>
      <c r="AS84">
        <v>86.596281283906805</v>
      </c>
      <c r="AT84">
        <v>9.3786257491436622</v>
      </c>
      <c r="AU84">
        <v>33.611591829385198</v>
      </c>
      <c r="AV84"/>
      <c r="AW84"/>
      <c r="AX84" s="157" t="s">
        <v>111</v>
      </c>
      <c r="CJ84" s="157" t="s">
        <v>112</v>
      </c>
      <c r="FY84" s="214">
        <v>79</v>
      </c>
      <c r="FZ84">
        <v>0.34840913196149681</v>
      </c>
      <c r="GA84">
        <v>10.496529761332491</v>
      </c>
      <c r="GB84">
        <v>7.2904887321721619</v>
      </c>
      <c r="GC84">
        <v>2.0088252459499465</v>
      </c>
      <c r="GD84">
        <v>3.0201098745622357</v>
      </c>
      <c r="GE84">
        <v>7.9227522500071679</v>
      </c>
      <c r="GF84">
        <v>9.9993070872651675</v>
      </c>
      <c r="GG84">
        <v>4.9577422617771134</v>
      </c>
      <c r="GH84">
        <v>2.3440362398958201</v>
      </c>
      <c r="GI84">
        <v>5.9283467823365354</v>
      </c>
      <c r="GJ84"/>
      <c r="GK84"/>
      <c r="GL84"/>
      <c r="GM84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88.160906335259511</v>
      </c>
      <c r="AO85">
        <v>14.825837337876298</v>
      </c>
      <c r="AP85">
        <v>69.906452253540309</v>
      </c>
      <c r="AQ85">
        <v>87.765305875515608</v>
      </c>
      <c r="AR85">
        <v>13.490565295486043</v>
      </c>
      <c r="AS85">
        <v>75.171407381247533</v>
      </c>
      <c r="AT85" t="e">
        <v>#DIV/0!</v>
      </c>
      <c r="AU85" t="e">
        <v>#DIV/0!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4">
        <v>80</v>
      </c>
      <c r="FZ85">
        <v>0.46898443235852094</v>
      </c>
      <c r="GA85">
        <v>2.3242609583473208</v>
      </c>
      <c r="GB85">
        <v>3.6567412604401248</v>
      </c>
      <c r="GC85">
        <v>2.0681933600657261</v>
      </c>
      <c r="GD85">
        <v>5.8239224327670893</v>
      </c>
      <c r="GE85">
        <v>19.184074992951107</v>
      </c>
      <c r="GF85">
        <v>19.473422755820295</v>
      </c>
      <c r="GG85">
        <v>10.856409802942981</v>
      </c>
      <c r="GH85">
        <v>12.42457115846657</v>
      </c>
      <c r="GI85">
        <v>10.223233587547389</v>
      </c>
      <c r="GJ85"/>
      <c r="GK85"/>
      <c r="GL85"/>
      <c r="GM8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62.010498771658128</v>
      </c>
      <c r="AO86">
        <v>21.610436975976992</v>
      </c>
      <c r="AP86">
        <v>129.83344313757829</v>
      </c>
      <c r="AQ86">
        <v>119.97595051855825</v>
      </c>
      <c r="AR86">
        <v>19.670592445342749</v>
      </c>
      <c r="AS86">
        <v>79.743704544462716</v>
      </c>
      <c r="AT86" t="e">
        <v>#DIV/0!</v>
      </c>
      <c r="AU86" t="e">
        <v>#DIV/0!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18" t="s">
        <v>123</v>
      </c>
      <c r="CX86" s="218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4">
        <v>81</v>
      </c>
      <c r="FZ86">
        <v>0.55025674789311096</v>
      </c>
      <c r="GA86">
        <v>18.433178913084973</v>
      </c>
      <c r="GB86">
        <v>17.720420948642605</v>
      </c>
      <c r="GC86">
        <v>5.5028503859614766</v>
      </c>
      <c r="GD86">
        <v>4.272890798348759</v>
      </c>
      <c r="GE86">
        <v>10.874213894582978</v>
      </c>
      <c r="GF86">
        <v>20.164459926210561</v>
      </c>
      <c r="GG86">
        <v>13.661388832616106</v>
      </c>
      <c r="GH86">
        <v>4.2153067693175341</v>
      </c>
      <c r="GI86">
        <v>11.68850237712121</v>
      </c>
      <c r="GJ86"/>
      <c r="GK86"/>
      <c r="GL86"/>
      <c r="GM86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93.555332677078894</v>
      </c>
      <c r="AO87">
        <v>19.057513124698072</v>
      </c>
      <c r="AP87">
        <v>116.10369604662674</v>
      </c>
      <c r="AQ87">
        <v>106.18598824445897</v>
      </c>
      <c r="AR87">
        <v>17.337865338430085</v>
      </c>
      <c r="AS87">
        <v>92.600967556415739</v>
      </c>
      <c r="AT87" t="e">
        <v>#DIV/0!</v>
      </c>
      <c r="AU87" t="e">
        <v>#DIV/0!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4">
        <v>82</v>
      </c>
      <c r="FZ87">
        <v>0.84055596981099945</v>
      </c>
      <c r="GA87">
        <v>10.485486931270023</v>
      </c>
      <c r="GB87">
        <v>6.7981573865920542</v>
      </c>
      <c r="GC87">
        <v>1.9760887310889301</v>
      </c>
      <c r="GD87">
        <v>8.5630025644275243</v>
      </c>
      <c r="GE87">
        <v>25.537275895560146</v>
      </c>
      <c r="GF87">
        <v>23.047430184676269</v>
      </c>
      <c r="GG87">
        <v>10.434184426506526</v>
      </c>
      <c r="GH87">
        <v>6.4734267143204844</v>
      </c>
      <c r="GI87">
        <v>12.448683077130188</v>
      </c>
      <c r="GJ87"/>
      <c r="GK87"/>
      <c r="GL87"/>
      <c r="GM87"/>
    </row>
    <row r="88" spans="1:195" s="7" customFormat="1">
      <c r="A88" s="128"/>
      <c r="B88" s="76">
        <f t="shared" ref="B88:B119" ca="1" si="50">IF(C88="", "", RAND())</f>
        <v>0.35259103377178214</v>
      </c>
      <c r="C88">
        <v>8</v>
      </c>
      <c r="D88">
        <v>39646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44.683718620627403</v>
      </c>
      <c r="AO88">
        <v>6.5893791709355725</v>
      </c>
      <c r="AP88">
        <v>24.753352257933866</v>
      </c>
      <c r="AQ88">
        <v>42.792162253453029</v>
      </c>
      <c r="AR88">
        <v>6.0025539978884135</v>
      </c>
      <c r="AS88">
        <v>36.748577835503724</v>
      </c>
      <c r="AT88" t="e">
        <v>#DIV/0!</v>
      </c>
      <c r="AU88" t="e">
        <v>#DIV/0!</v>
      </c>
      <c r="AV88"/>
      <c r="AW88"/>
      <c r="AX88" s="128"/>
      <c r="AY88" s="76">
        <f ca="1">IF(AZ88="", "", RAND())</f>
        <v>0.88443578900710929</v>
      </c>
      <c r="AZ88">
        <v>1</v>
      </c>
      <c r="BA88" s="129">
        <f>IF(AZ88="", "",$C$4)</f>
        <v>39646</v>
      </c>
      <c r="BB88" s="207">
        <v>0</v>
      </c>
      <c r="BC88" s="207">
        <v>0</v>
      </c>
      <c r="BD88" s="207">
        <v>0</v>
      </c>
      <c r="BE88" s="207">
        <v>0</v>
      </c>
      <c r="BF88" s="207">
        <v>0</v>
      </c>
      <c r="BG88" s="207">
        <v>0</v>
      </c>
      <c r="BH88" s="207">
        <v>0</v>
      </c>
      <c r="BI88" s="207">
        <v>0</v>
      </c>
      <c r="BJ88" s="207">
        <v>0</v>
      </c>
      <c r="BK88" s="207">
        <v>0</v>
      </c>
      <c r="BL88" s="207">
        <v>0</v>
      </c>
      <c r="BM88" s="207">
        <v>0</v>
      </c>
      <c r="BN88" s="207">
        <v>0</v>
      </c>
      <c r="BO88" s="207">
        <v>0</v>
      </c>
      <c r="BP88" s="207">
        <v>0</v>
      </c>
      <c r="BQ88" s="207">
        <v>0</v>
      </c>
      <c r="BR88" s="207">
        <v>0</v>
      </c>
      <c r="BS88" s="207">
        <v>0</v>
      </c>
      <c r="BT88" s="207">
        <v>0</v>
      </c>
      <c r="BU88" s="207">
        <v>0</v>
      </c>
      <c r="BV88" s="207">
        <v>0</v>
      </c>
      <c r="BW88" s="207">
        <v>0</v>
      </c>
      <c r="BX88" s="207">
        <v>0</v>
      </c>
      <c r="BY88" s="207">
        <v>0</v>
      </c>
      <c r="BZ88" s="207">
        <v>0</v>
      </c>
      <c r="CA88" s="207">
        <v>0</v>
      </c>
      <c r="CB88" s="207">
        <v>0</v>
      </c>
      <c r="CC88" s="207">
        <v>0</v>
      </c>
      <c r="CD88" s="207">
        <v>0</v>
      </c>
      <c r="CE88" s="207">
        <v>0</v>
      </c>
      <c r="CF88" s="207">
        <v>0</v>
      </c>
      <c r="CG88" s="147"/>
      <c r="CH88" s="176"/>
      <c r="CJ88" s="128"/>
      <c r="CK88" s="76">
        <f ca="1">IF(AZ88="", "", RAND())</f>
        <v>0.60014787228240429</v>
      </c>
      <c r="CL88" s="179">
        <f>IF(AZ88="", "", AZ88)</f>
        <v>1</v>
      </c>
      <c r="CM88" s="180">
        <f>IF(AZ88="", "", BA88)</f>
        <v>39646</v>
      </c>
      <c r="CN88" s="208">
        <v>0</v>
      </c>
      <c r="CO88" s="208">
        <v>0</v>
      </c>
      <c r="CP88" s="208">
        <v>0</v>
      </c>
      <c r="CQ88" s="208">
        <v>0</v>
      </c>
      <c r="CR88" s="208">
        <v>0</v>
      </c>
      <c r="CS88" s="208">
        <v>0</v>
      </c>
      <c r="CT88" s="208">
        <v>0</v>
      </c>
      <c r="CU88" s="208">
        <v>0</v>
      </c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51">IF(DD88="", "", RAND())</f>
        <v>0.42243166280747246</v>
      </c>
      <c r="DD88">
        <f>IF(AZ88="", "", AZ88)</f>
        <v>1</v>
      </c>
      <c r="DE88" s="129">
        <f t="shared" ref="DE88:DE97" si="52">IF(DD88="", "", $C$4)</f>
        <v>39646</v>
      </c>
      <c r="DF88" s="161">
        <f t="shared" ref="DF88:DM88" si="53">IF($AZ88="", "", ((BB88*$CW88)+(CN88*$CX88))/$CZ88)</f>
        <v>0</v>
      </c>
      <c r="DG88" s="161">
        <f t="shared" si="53"/>
        <v>0</v>
      </c>
      <c r="DH88" s="161">
        <f t="shared" si="53"/>
        <v>0</v>
      </c>
      <c r="DI88" s="161">
        <f t="shared" si="53"/>
        <v>0</v>
      </c>
      <c r="DJ88" s="161">
        <f t="shared" si="53"/>
        <v>0</v>
      </c>
      <c r="DK88" s="161">
        <f t="shared" si="53"/>
        <v>0</v>
      </c>
      <c r="DL88" s="161">
        <f t="shared" si="53"/>
        <v>0</v>
      </c>
      <c r="DM88" s="161">
        <f t="shared" si="53"/>
        <v>0</v>
      </c>
      <c r="DN88" s="161">
        <f t="shared" ref="DN88:EJ88" si="54">IF($AZ88="", "", (BJ88*$CW88)/$CZ88)</f>
        <v>0</v>
      </c>
      <c r="DO88" s="161">
        <f t="shared" si="54"/>
        <v>0</v>
      </c>
      <c r="DP88" s="161">
        <f t="shared" si="54"/>
        <v>0</v>
      </c>
      <c r="DQ88" s="161">
        <f t="shared" si="54"/>
        <v>0</v>
      </c>
      <c r="DR88" s="161">
        <f t="shared" si="54"/>
        <v>0</v>
      </c>
      <c r="DS88" s="161">
        <f t="shared" si="54"/>
        <v>0</v>
      </c>
      <c r="DT88" s="161">
        <f t="shared" si="54"/>
        <v>0</v>
      </c>
      <c r="DU88" s="161">
        <f t="shared" si="54"/>
        <v>0</v>
      </c>
      <c r="DV88" s="161">
        <f t="shared" si="54"/>
        <v>0</v>
      </c>
      <c r="DW88" s="161">
        <f t="shared" si="54"/>
        <v>0</v>
      </c>
      <c r="DX88" s="161">
        <f t="shared" si="54"/>
        <v>0</v>
      </c>
      <c r="DY88" s="161">
        <f t="shared" si="54"/>
        <v>0</v>
      </c>
      <c r="DZ88" s="161">
        <f t="shared" si="54"/>
        <v>0</v>
      </c>
      <c r="EA88" s="161">
        <f t="shared" si="54"/>
        <v>0</v>
      </c>
      <c r="EB88" s="161">
        <f t="shared" si="54"/>
        <v>0</v>
      </c>
      <c r="EC88" s="161">
        <f t="shared" si="54"/>
        <v>0</v>
      </c>
      <c r="ED88" s="161">
        <f t="shared" si="54"/>
        <v>0</v>
      </c>
      <c r="EE88" s="161">
        <f t="shared" si="54"/>
        <v>0</v>
      </c>
      <c r="EF88" s="161">
        <f t="shared" si="54"/>
        <v>0</v>
      </c>
      <c r="EG88" s="161">
        <f t="shared" si="54"/>
        <v>0</v>
      </c>
      <c r="EH88" s="161">
        <f t="shared" si="54"/>
        <v>0</v>
      </c>
      <c r="EI88" s="161">
        <f t="shared" si="54"/>
        <v>0</v>
      </c>
      <c r="EJ88" s="161">
        <f t="shared" si="54"/>
        <v>0</v>
      </c>
      <c r="EK88" s="147">
        <f t="shared" ref="EK88:EK119" si="55">IF(DF88="", "", SUM(DF88:EJ88))</f>
        <v>0</v>
      </c>
      <c r="EL88" s="149"/>
      <c r="EN88" s="146"/>
      <c r="EO88" s="146"/>
      <c r="EP88" s="139">
        <f t="shared" ref="EP88:EP119" si="56">IF(DF88="", "", DF88*G$36)</f>
        <v>0</v>
      </c>
      <c r="EQ88" s="139">
        <f t="shared" ref="EQ88:EQ119" si="57">IF(DG88="", "", DG88*H$36)</f>
        <v>0</v>
      </c>
      <c r="ER88" s="139">
        <f t="shared" ref="ER88:ER119" si="58">IF(DH88="", "", DH88*I$36)</f>
        <v>0</v>
      </c>
      <c r="ES88" s="139">
        <f t="shared" ref="ES88:ES119" si="59">IF(DI88="", "", DI88*J$36)</f>
        <v>0</v>
      </c>
      <c r="ET88" s="139">
        <f t="shared" ref="ET88:ET119" si="60">IF(DJ88="", "", DJ88*K$36)</f>
        <v>0</v>
      </c>
      <c r="EU88" s="139">
        <f t="shared" ref="EU88:EU119" si="61">IF(DK88="", "", DK88*L$36)</f>
        <v>0</v>
      </c>
      <c r="EV88" s="139">
        <f t="shared" ref="EV88:EV119" si="62">IF(DL88="", "", DL88*M$36)</f>
        <v>0</v>
      </c>
      <c r="EW88" s="139">
        <f t="shared" ref="EW88:EW119" si="63">IF(DM88="", "", DM88*N$36)</f>
        <v>0</v>
      </c>
      <c r="EX88" s="139">
        <f t="shared" ref="EX88:EX119" si="64">IF(DN88="", "", DN88*O$36)</f>
        <v>0</v>
      </c>
      <c r="EY88" s="139">
        <f t="shared" ref="EY88:EY119" si="65">IF(DO88="", "", DO88*P$36)</f>
        <v>0</v>
      </c>
      <c r="EZ88" s="139">
        <f t="shared" ref="EZ88:EZ119" si="66">IF(DP88="", "", DP88*Q$36)</f>
        <v>0</v>
      </c>
      <c r="FA88" s="139">
        <f t="shared" ref="FA88:FA119" si="67">IF(DQ88="", "", DQ88*R$36)</f>
        <v>0</v>
      </c>
      <c r="FB88" s="139">
        <f t="shared" ref="FB88:FB119" si="68">IF(DR88="", "", DR88*S$36)</f>
        <v>0</v>
      </c>
      <c r="FC88" s="139">
        <f t="shared" ref="FC88:FC119" si="69">IF(DS88="", "", DS88*T$36)</f>
        <v>0</v>
      </c>
      <c r="FD88" s="139">
        <f t="shared" ref="FD88:FD119" si="70">IF(DT88="", "", DT88*U$36)</f>
        <v>0</v>
      </c>
      <c r="FE88" s="139">
        <f t="shared" ref="FE88:FE119" si="71">IF(DU88="", "", DU88*V$36)</f>
        <v>0</v>
      </c>
      <c r="FF88" s="139">
        <f t="shared" ref="FF88:FF119" si="72">IF(DV88="", "", DV88*W$36)</f>
        <v>0</v>
      </c>
      <c r="FG88" s="139">
        <f t="shared" ref="FG88:FG119" si="73">IF(DW88="", "", DW88*X$36)</f>
        <v>0</v>
      </c>
      <c r="FH88" s="139">
        <f t="shared" ref="FH88:FH119" si="74">IF(DX88="", "", DX88*Y$36)</f>
        <v>0</v>
      </c>
      <c r="FI88" s="139">
        <f t="shared" ref="FI88:FI119" si="75">IF(DY88="", "", DY88*Z$36)</f>
        <v>0</v>
      </c>
      <c r="FJ88" s="139">
        <f t="shared" ref="FJ88:FJ119" si="76">IF(DZ88="", "", DZ88*AA$36)</f>
        <v>0</v>
      </c>
      <c r="FK88" s="139">
        <f t="shared" ref="FK88:FK119" si="77">IF(EA88="", "", EA88*AB$36)</f>
        <v>0</v>
      </c>
      <c r="FL88" s="139">
        <f t="shared" ref="FL88:FL119" si="78">IF(EB88="", "", EB88*AC$36)</f>
        <v>0</v>
      </c>
      <c r="FM88" s="139">
        <f t="shared" ref="FM88:FM119" si="79">IF(EC88="", "", EC88*AD$36)</f>
        <v>0</v>
      </c>
      <c r="FN88" s="139">
        <f t="shared" ref="FN88:FN119" si="80">IF(ED88="", "", ED88*AE$36)</f>
        <v>0</v>
      </c>
      <c r="FO88" s="139">
        <f t="shared" ref="FO88:FO119" si="81">IF(EE88="", "", EE88*AF$36)</f>
        <v>0</v>
      </c>
      <c r="FP88" s="139">
        <f t="shared" ref="FP88:FP119" si="82">IF(EF88="", "", EF88*AG$36)</f>
        <v>0</v>
      </c>
      <c r="FQ88" s="139">
        <f t="shared" ref="FQ88:FQ119" si="83">IF(EG88="", "", EG88*AH$36)</f>
        <v>0</v>
      </c>
      <c r="FR88" s="139">
        <f t="shared" ref="FR88:FR119" si="84">IF(EH88="", "", EH88*AI$36)</f>
        <v>0</v>
      </c>
      <c r="FS88" s="139">
        <f t="shared" ref="FS88:FS119" si="85">IF(EI88="", "", EI88*AJ$36)</f>
        <v>0</v>
      </c>
      <c r="FT88" s="139">
        <f t="shared" ref="FT88:FT119" si="86">IF(EJ88="", "", EJ88*AK$36)</f>
        <v>0</v>
      </c>
      <c r="FU88" s="148">
        <f t="shared" ref="FU88:FU119" si="87">IF(EP88="","",SUM(EP88:FT88))</f>
        <v>0</v>
      </c>
      <c r="FV88" s="149"/>
      <c r="FY88" s="214">
        <v>83</v>
      </c>
      <c r="FZ88">
        <v>1.2706115917723249</v>
      </c>
      <c r="GA88">
        <v>17.766046078953703</v>
      </c>
      <c r="GB88">
        <v>11.022213340236259</v>
      </c>
      <c r="GC88">
        <v>1.9903075866712499</v>
      </c>
      <c r="GD88">
        <v>5.0939227753066909</v>
      </c>
      <c r="GE88">
        <v>10.056327275325472</v>
      </c>
      <c r="GF88">
        <v>10.51101412256236</v>
      </c>
      <c r="GG88">
        <v>14.769048680533928</v>
      </c>
      <c r="GH88">
        <v>9.573537441513654</v>
      </c>
      <c r="GI88">
        <v>9.6824377336515699</v>
      </c>
      <c r="GJ88"/>
      <c r="GK88"/>
      <c r="GL88"/>
      <c r="GM88"/>
    </row>
    <row r="89" spans="1:195" s="7" customFormat="1">
      <c r="A89" s="115"/>
      <c r="B89" s="76">
        <f t="shared" ca="1" si="50"/>
        <v>0.45850452637397154</v>
      </c>
      <c r="C89">
        <v>2</v>
      </c>
      <c r="D89">
        <v>39646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60.272035559849996</v>
      </c>
      <c r="AO89">
        <v>12.10445819592616</v>
      </c>
      <c r="AP89">
        <v>42.918298503196482</v>
      </c>
      <c r="AQ89">
        <v>74.301888376492997</v>
      </c>
      <c r="AR89">
        <v>11.207980242500453</v>
      </c>
      <c r="AS89">
        <v>56.840735384671895</v>
      </c>
      <c r="AT89">
        <v>6.2048626921137853</v>
      </c>
      <c r="AU89">
        <v>14.559546757465766</v>
      </c>
      <c r="AV89"/>
      <c r="AW89"/>
      <c r="AX89" s="150"/>
      <c r="AY89" s="76">
        <f t="shared" ref="AY89:AY151" ca="1" si="88">IF(AZ89="", "", RAND())</f>
        <v>0.40526856567578395</v>
      </c>
      <c r="AZ89">
        <v>2</v>
      </c>
      <c r="BA89" s="129">
        <f t="shared" ref="BA89:BA97" si="89">IF(AZ89="", "",$C$4)</f>
        <v>39646</v>
      </c>
      <c r="BB89" s="207">
        <v>0</v>
      </c>
      <c r="BC89" s="207">
        <v>0</v>
      </c>
      <c r="BD89" s="207">
        <v>0</v>
      </c>
      <c r="BE89" s="207">
        <v>0</v>
      </c>
      <c r="BF89" s="207">
        <v>0</v>
      </c>
      <c r="BG89" s="207">
        <v>0</v>
      </c>
      <c r="BH89" s="207">
        <v>0</v>
      </c>
      <c r="BI89" s="207">
        <v>0</v>
      </c>
      <c r="BJ89" s="207">
        <v>0</v>
      </c>
      <c r="BK89" s="207">
        <v>0</v>
      </c>
      <c r="BL89" s="207">
        <v>0</v>
      </c>
      <c r="BM89" s="207">
        <v>0</v>
      </c>
      <c r="BN89" s="207">
        <v>0</v>
      </c>
      <c r="BO89" s="207">
        <v>0</v>
      </c>
      <c r="BP89" s="207">
        <v>0</v>
      </c>
      <c r="BQ89" s="207">
        <v>0</v>
      </c>
      <c r="BR89" s="207">
        <v>0</v>
      </c>
      <c r="BS89" s="207">
        <v>0</v>
      </c>
      <c r="BT89" s="207">
        <v>0</v>
      </c>
      <c r="BU89" s="207">
        <v>0</v>
      </c>
      <c r="BV89" s="207">
        <v>0</v>
      </c>
      <c r="BW89" s="207">
        <v>0</v>
      </c>
      <c r="BX89" s="207">
        <v>0</v>
      </c>
      <c r="BY89" s="207">
        <v>0</v>
      </c>
      <c r="BZ89" s="207">
        <v>0</v>
      </c>
      <c r="CA89" s="207">
        <v>0</v>
      </c>
      <c r="CB89" s="207">
        <v>0</v>
      </c>
      <c r="CC89" s="207">
        <v>0</v>
      </c>
      <c r="CD89" s="207">
        <v>0</v>
      </c>
      <c r="CE89" s="207">
        <v>0</v>
      </c>
      <c r="CF89" s="207">
        <v>0</v>
      </c>
      <c r="CG89" s="147"/>
      <c r="CH89" s="176"/>
      <c r="CJ89" s="150"/>
      <c r="CK89" s="76">
        <f t="shared" ref="CK89:CK152" ca="1" si="90">IF(AZ89="", "", RAND())</f>
        <v>0.18416361164113226</v>
      </c>
      <c r="CL89" s="179">
        <f t="shared" ref="CL89:CL152" si="91">IF(AZ89="", "", AZ89)</f>
        <v>2</v>
      </c>
      <c r="CM89" s="180">
        <f t="shared" ref="CM89:CM152" si="92">IF(AZ89="", "", BA89)</f>
        <v>39646</v>
      </c>
      <c r="CN89" s="208">
        <v>0</v>
      </c>
      <c r="CO89" s="208">
        <v>0</v>
      </c>
      <c r="CP89" s="208">
        <v>0</v>
      </c>
      <c r="CQ89" s="208">
        <v>0</v>
      </c>
      <c r="CR89" s="208">
        <v>0</v>
      </c>
      <c r="CS89" s="208">
        <v>0</v>
      </c>
      <c r="CT89" s="208">
        <v>0</v>
      </c>
      <c r="CU89" s="208">
        <v>0</v>
      </c>
      <c r="CW89">
        <v>1</v>
      </c>
      <c r="CX89">
        <f>2/1</f>
        <v>2</v>
      </c>
      <c r="CY89" s="158"/>
      <c r="CZ89" s="177">
        <f t="shared" ref="CZ89:CZ152" si="93">IF(AZ89="", "", $G$15)</f>
        <v>9.6000000000000002E-2</v>
      </c>
      <c r="DB89" s="150"/>
      <c r="DC89" s="76">
        <f t="shared" ca="1" si="51"/>
        <v>0.12630287218525194</v>
      </c>
      <c r="DD89">
        <f t="shared" ref="DD89:DD152" si="94">IF(AZ89="", "", AZ89)</f>
        <v>2</v>
      </c>
      <c r="DE89" s="129">
        <f t="shared" si="52"/>
        <v>39646</v>
      </c>
      <c r="DF89" s="161">
        <f t="shared" ref="DF89:DF152" si="95">IF($AZ89="", "", ((BB89*$CW89)+(CN89*$CX89))/$CZ89)</f>
        <v>0</v>
      </c>
      <c r="DG89" s="161">
        <f t="shared" ref="DG89:DG152" si="96">IF($AZ89="", "", ((BC89*$CW89)+(CO89*$CX89))/$CZ89)</f>
        <v>0</v>
      </c>
      <c r="DH89" s="161">
        <f t="shared" ref="DH89:DH152" si="97">IF($AZ89="", "", ((BD89*$CW89)+(CP89*$CX89))/$CZ89)</f>
        <v>0</v>
      </c>
      <c r="DI89" s="161">
        <f t="shared" ref="DI89:DI152" si="98">IF($AZ89="", "", ((BE89*$CW89)+(CQ89*$CX89))/$CZ89)</f>
        <v>0</v>
      </c>
      <c r="DJ89" s="161">
        <f t="shared" ref="DJ89:DJ152" si="99">IF($AZ89="", "", ((BF89*$CW89)+(CR89*$CX89))/$CZ89)</f>
        <v>0</v>
      </c>
      <c r="DK89" s="161">
        <f t="shared" ref="DK89:DK152" si="100">IF($AZ89="", "", ((BG89*$CW89)+(CS89*$CX89))/$CZ89)</f>
        <v>0</v>
      </c>
      <c r="DL89" s="161">
        <f t="shared" ref="DL89:DL152" si="101">IF($AZ89="", "", ((BH89*$CW89)+(CT89*$CX89))/$CZ89)</f>
        <v>0</v>
      </c>
      <c r="DM89" s="161">
        <f t="shared" ref="DM89:DM152" si="102">IF($AZ89="", "", ((BI89*$CW89)+(CU89*$CX89))/$CZ89)</f>
        <v>0</v>
      </c>
      <c r="DN89" s="161">
        <f t="shared" ref="DN89:DN152" si="103">IF($AZ89="", "", (BJ89*$CW89)/$CZ89)</f>
        <v>0</v>
      </c>
      <c r="DO89" s="161">
        <f t="shared" ref="DO89:DO152" si="104">IF($AZ89="", "", (BK89*$CW89)/$CZ89)</f>
        <v>0</v>
      </c>
      <c r="DP89" s="161">
        <f t="shared" ref="DP89:DP152" si="105">IF($AZ89="", "", (BL89*$CW89)/$CZ89)</f>
        <v>0</v>
      </c>
      <c r="DQ89" s="161">
        <f t="shared" ref="DQ89:DQ152" si="106">IF($AZ89="", "", (BM89*$CW89)/$CZ89)</f>
        <v>0</v>
      </c>
      <c r="DR89" s="161">
        <f t="shared" ref="DR89:DR152" si="107">IF($AZ89="", "", (BN89*$CW89)/$CZ89)</f>
        <v>0</v>
      </c>
      <c r="DS89" s="161">
        <f t="shared" ref="DS89:DS152" si="108">IF($AZ89="", "", (BO89*$CW89)/$CZ89)</f>
        <v>0</v>
      </c>
      <c r="DT89" s="161">
        <f t="shared" ref="DT89:DT152" si="109">IF($AZ89="", "", (BP89*$CW89)/$CZ89)</f>
        <v>0</v>
      </c>
      <c r="DU89" s="161">
        <f t="shared" ref="DU89:DU152" si="110">IF($AZ89="", "", (BQ89*$CW89)/$CZ89)</f>
        <v>0</v>
      </c>
      <c r="DV89" s="161">
        <f t="shared" ref="DV89:DV152" si="111">IF($AZ89="", "", (BR89*$CW89)/$CZ89)</f>
        <v>0</v>
      </c>
      <c r="DW89" s="161">
        <f t="shared" ref="DW89:DW152" si="112">IF($AZ89="", "", (BS89*$CW89)/$CZ89)</f>
        <v>0</v>
      </c>
      <c r="DX89" s="161">
        <f t="shared" ref="DX89:DX152" si="113">IF($AZ89="", "", (BT89*$CW89)/$CZ89)</f>
        <v>0</v>
      </c>
      <c r="DY89" s="161">
        <f t="shared" ref="DY89:DY152" si="114">IF($AZ89="", "", (BU89*$CW89)/$CZ89)</f>
        <v>0</v>
      </c>
      <c r="DZ89" s="161">
        <f t="shared" ref="DZ89:DZ152" si="115">IF($AZ89="", "", (BV89*$CW89)/$CZ89)</f>
        <v>0</v>
      </c>
      <c r="EA89" s="161">
        <f t="shared" ref="EA89:EA152" si="116">IF($AZ89="", "", (BW89*$CW89)/$CZ89)</f>
        <v>0</v>
      </c>
      <c r="EB89" s="161">
        <f t="shared" ref="EB89:EB152" si="117">IF($AZ89="", "", (BX89*$CW89)/$CZ89)</f>
        <v>0</v>
      </c>
      <c r="EC89" s="161">
        <f t="shared" ref="EC89:EC152" si="118">IF($AZ89="", "", (BY89*$CW89)/$CZ89)</f>
        <v>0</v>
      </c>
      <c r="ED89" s="161">
        <f t="shared" ref="ED89:ED152" si="119">IF($AZ89="", "", (BZ89*$CW89)/$CZ89)</f>
        <v>0</v>
      </c>
      <c r="EE89" s="161">
        <f t="shared" ref="EE89:EE152" si="120">IF($AZ89="", "", (CA89*$CW89)/$CZ89)</f>
        <v>0</v>
      </c>
      <c r="EF89" s="161">
        <f t="shared" ref="EF89:EF152" si="121">IF($AZ89="", "", (CB89*$CW89)/$CZ89)</f>
        <v>0</v>
      </c>
      <c r="EG89" s="161">
        <f t="shared" ref="EG89:EG152" si="122">IF($AZ89="", "", (CC89*$CW89)/$CZ89)</f>
        <v>0</v>
      </c>
      <c r="EH89" s="161">
        <f t="shared" ref="EH89:EH152" si="123">IF($AZ89="", "", (CD89*$CW89)/$CZ89)</f>
        <v>0</v>
      </c>
      <c r="EI89" s="161">
        <f t="shared" ref="EI89:EI152" si="124">IF($AZ89="", "", (CE89*$CW89)/$CZ89)</f>
        <v>0</v>
      </c>
      <c r="EJ89" s="161">
        <f t="shared" ref="EJ89:EJ152" si="125">IF($AZ89="", "", (CF89*$CW89)/$CZ89)</f>
        <v>0</v>
      </c>
      <c r="EK89" s="147">
        <f t="shared" si="55"/>
        <v>0</v>
      </c>
      <c r="EL89" s="149"/>
      <c r="EN89" s="150"/>
      <c r="EO89" s="150"/>
      <c r="EP89" s="139">
        <f t="shared" si="56"/>
        <v>0</v>
      </c>
      <c r="EQ89" s="139">
        <f t="shared" si="57"/>
        <v>0</v>
      </c>
      <c r="ER89" s="139">
        <f t="shared" si="58"/>
        <v>0</v>
      </c>
      <c r="ES89" s="139">
        <f t="shared" si="59"/>
        <v>0</v>
      </c>
      <c r="ET89" s="139">
        <f t="shared" si="60"/>
        <v>0</v>
      </c>
      <c r="EU89" s="139">
        <f t="shared" si="61"/>
        <v>0</v>
      </c>
      <c r="EV89" s="139">
        <f t="shared" si="62"/>
        <v>0</v>
      </c>
      <c r="EW89" s="139">
        <f t="shared" si="63"/>
        <v>0</v>
      </c>
      <c r="EX89" s="139">
        <f t="shared" si="64"/>
        <v>0</v>
      </c>
      <c r="EY89" s="139">
        <f t="shared" si="65"/>
        <v>0</v>
      </c>
      <c r="EZ89" s="139">
        <f t="shared" si="66"/>
        <v>0</v>
      </c>
      <c r="FA89" s="139">
        <f t="shared" si="67"/>
        <v>0</v>
      </c>
      <c r="FB89" s="139">
        <f t="shared" si="68"/>
        <v>0</v>
      </c>
      <c r="FC89" s="139">
        <f t="shared" si="69"/>
        <v>0</v>
      </c>
      <c r="FD89" s="139">
        <f t="shared" si="70"/>
        <v>0</v>
      </c>
      <c r="FE89" s="139">
        <f t="shared" si="71"/>
        <v>0</v>
      </c>
      <c r="FF89" s="139">
        <f t="shared" si="72"/>
        <v>0</v>
      </c>
      <c r="FG89" s="139">
        <f t="shared" si="73"/>
        <v>0</v>
      </c>
      <c r="FH89" s="139">
        <f t="shared" si="74"/>
        <v>0</v>
      </c>
      <c r="FI89" s="139">
        <f t="shared" si="75"/>
        <v>0</v>
      </c>
      <c r="FJ89" s="139">
        <f t="shared" si="76"/>
        <v>0</v>
      </c>
      <c r="FK89" s="139">
        <f t="shared" si="77"/>
        <v>0</v>
      </c>
      <c r="FL89" s="139">
        <f t="shared" si="78"/>
        <v>0</v>
      </c>
      <c r="FM89" s="139">
        <f t="shared" si="79"/>
        <v>0</v>
      </c>
      <c r="FN89" s="139">
        <f t="shared" si="80"/>
        <v>0</v>
      </c>
      <c r="FO89" s="139">
        <f t="shared" si="81"/>
        <v>0</v>
      </c>
      <c r="FP89" s="139">
        <f t="shared" si="82"/>
        <v>0</v>
      </c>
      <c r="FQ89" s="139">
        <f t="shared" si="83"/>
        <v>0</v>
      </c>
      <c r="FR89" s="139">
        <f t="shared" si="84"/>
        <v>0</v>
      </c>
      <c r="FS89" s="139">
        <f t="shared" si="85"/>
        <v>0</v>
      </c>
      <c r="FT89" s="139">
        <f t="shared" si="86"/>
        <v>0</v>
      </c>
      <c r="FU89" s="148">
        <f t="shared" si="87"/>
        <v>0</v>
      </c>
      <c r="FV89" s="149"/>
      <c r="FY89" s="214">
        <v>84</v>
      </c>
      <c r="FZ89">
        <v>1.238944137688643</v>
      </c>
      <c r="GA89">
        <v>5.4178895508343601</v>
      </c>
      <c r="GB89">
        <v>5.4177626252736939</v>
      </c>
      <c r="GC89">
        <v>2.5674680312093408</v>
      </c>
      <c r="GD89">
        <v>0.80430004376016173</v>
      </c>
      <c r="GE89">
        <v>7.1839845133923959</v>
      </c>
      <c r="GF89">
        <v>20.226391949292939</v>
      </c>
      <c r="GG89">
        <v>11.995647419395612</v>
      </c>
      <c r="GH89">
        <v>7.7881832069848107</v>
      </c>
      <c r="GI89">
        <v>7.2028270967879582</v>
      </c>
      <c r="GJ89"/>
      <c r="GK89"/>
      <c r="GL89"/>
      <c r="GM89"/>
    </row>
    <row r="90" spans="1:195" s="7" customFormat="1">
      <c r="A90" s="115"/>
      <c r="B90" s="76">
        <f t="shared" ca="1" si="50"/>
        <v>0.66758564717358393</v>
      </c>
      <c r="C90">
        <v>5</v>
      </c>
      <c r="D90">
        <v>39646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75.397513630115</v>
      </c>
      <c r="AO90">
        <v>15.14513142736681</v>
      </c>
      <c r="AP90">
        <v>45.727039839512521</v>
      </c>
      <c r="AQ90">
        <v>90.66468790460587</v>
      </c>
      <c r="AR90">
        <v>13.971262469946497</v>
      </c>
      <c r="AS90">
        <v>72.945711129448938</v>
      </c>
      <c r="AT90">
        <v>7.446730287979002</v>
      </c>
      <c r="AU90">
        <v>8.506124324322343</v>
      </c>
      <c r="AV90"/>
      <c r="AW90"/>
      <c r="AX90" s="150"/>
      <c r="AY90" s="76">
        <f t="shared" ca="1" si="88"/>
        <v>0.59039351768621717</v>
      </c>
      <c r="AZ90">
        <v>3</v>
      </c>
      <c r="BA90" s="129">
        <f t="shared" si="89"/>
        <v>39646</v>
      </c>
      <c r="BB90" s="207">
        <v>0</v>
      </c>
      <c r="BC90" s="207">
        <v>0</v>
      </c>
      <c r="BD90" s="207">
        <v>0</v>
      </c>
      <c r="BE90" s="207">
        <v>0</v>
      </c>
      <c r="BF90" s="207">
        <v>0</v>
      </c>
      <c r="BG90" s="207">
        <v>0</v>
      </c>
      <c r="BH90" s="207">
        <v>0</v>
      </c>
      <c r="BI90" s="207">
        <v>0</v>
      </c>
      <c r="BJ90" s="207">
        <v>0</v>
      </c>
      <c r="BK90" s="207">
        <v>0</v>
      </c>
      <c r="BL90" s="207">
        <v>0</v>
      </c>
      <c r="BM90" s="207">
        <v>0</v>
      </c>
      <c r="BN90" s="207">
        <v>0</v>
      </c>
      <c r="BO90" s="207">
        <v>0</v>
      </c>
      <c r="BP90" s="207">
        <v>0</v>
      </c>
      <c r="BQ90" s="207">
        <v>0</v>
      </c>
      <c r="BR90" s="207">
        <v>0</v>
      </c>
      <c r="BS90" s="207">
        <v>0</v>
      </c>
      <c r="BT90" s="207">
        <v>0</v>
      </c>
      <c r="BU90" s="207">
        <v>0</v>
      </c>
      <c r="BV90" s="207">
        <v>0</v>
      </c>
      <c r="BW90" s="207">
        <v>0</v>
      </c>
      <c r="BX90" s="207">
        <v>0</v>
      </c>
      <c r="BY90" s="207">
        <v>0</v>
      </c>
      <c r="BZ90" s="207">
        <v>0</v>
      </c>
      <c r="CA90" s="207">
        <v>0</v>
      </c>
      <c r="CB90" s="207">
        <v>0</v>
      </c>
      <c r="CC90" s="207">
        <v>0</v>
      </c>
      <c r="CD90" s="207">
        <v>0</v>
      </c>
      <c r="CE90" s="207">
        <v>0</v>
      </c>
      <c r="CF90" s="207">
        <v>0</v>
      </c>
      <c r="CG90" s="147"/>
      <c r="CH90" s="176"/>
      <c r="CJ90" s="150"/>
      <c r="CK90" s="76">
        <f t="shared" ca="1" si="90"/>
        <v>0.68525379715331836</v>
      </c>
      <c r="CL90" s="179">
        <f t="shared" si="91"/>
        <v>3</v>
      </c>
      <c r="CM90" s="180">
        <f t="shared" si="92"/>
        <v>39646</v>
      </c>
      <c r="CN90" s="208">
        <v>0</v>
      </c>
      <c r="CO90" s="208">
        <v>1</v>
      </c>
      <c r="CP90" s="208">
        <v>0</v>
      </c>
      <c r="CQ90" s="208">
        <v>0</v>
      </c>
      <c r="CR90" s="208">
        <v>0</v>
      </c>
      <c r="CS90" s="208">
        <v>0</v>
      </c>
      <c r="CT90" s="208">
        <v>0</v>
      </c>
      <c r="CU90" s="208">
        <v>0</v>
      </c>
      <c r="CW90">
        <v>1</v>
      </c>
      <c r="CX90">
        <v>1</v>
      </c>
      <c r="CY90" s="158"/>
      <c r="CZ90" s="177">
        <f t="shared" si="93"/>
        <v>9.6000000000000002E-2</v>
      </c>
      <c r="DB90" s="150"/>
      <c r="DC90" s="76">
        <f t="shared" ca="1" si="51"/>
        <v>0.12686173309525839</v>
      </c>
      <c r="DD90">
        <f t="shared" si="94"/>
        <v>3</v>
      </c>
      <c r="DE90" s="129">
        <f t="shared" si="52"/>
        <v>39646</v>
      </c>
      <c r="DF90" s="161">
        <f t="shared" si="95"/>
        <v>0</v>
      </c>
      <c r="DG90" s="161">
        <f t="shared" si="96"/>
        <v>10.416666666666666</v>
      </c>
      <c r="DH90" s="161">
        <f t="shared" si="97"/>
        <v>0</v>
      </c>
      <c r="DI90" s="161">
        <f t="shared" si="98"/>
        <v>0</v>
      </c>
      <c r="DJ90" s="161">
        <f t="shared" si="99"/>
        <v>0</v>
      </c>
      <c r="DK90" s="161">
        <f t="shared" si="100"/>
        <v>0</v>
      </c>
      <c r="DL90" s="161">
        <f t="shared" si="101"/>
        <v>0</v>
      </c>
      <c r="DM90" s="161">
        <f t="shared" si="102"/>
        <v>0</v>
      </c>
      <c r="DN90" s="161">
        <f t="shared" si="103"/>
        <v>0</v>
      </c>
      <c r="DO90" s="161">
        <f t="shared" si="104"/>
        <v>0</v>
      </c>
      <c r="DP90" s="161">
        <f t="shared" si="105"/>
        <v>0</v>
      </c>
      <c r="DQ90" s="161">
        <f t="shared" si="106"/>
        <v>0</v>
      </c>
      <c r="DR90" s="161">
        <f t="shared" si="107"/>
        <v>0</v>
      </c>
      <c r="DS90" s="161">
        <f t="shared" si="108"/>
        <v>0</v>
      </c>
      <c r="DT90" s="161">
        <f t="shared" si="109"/>
        <v>0</v>
      </c>
      <c r="DU90" s="161">
        <f t="shared" si="110"/>
        <v>0</v>
      </c>
      <c r="DV90" s="161">
        <f t="shared" si="111"/>
        <v>0</v>
      </c>
      <c r="DW90" s="161">
        <f t="shared" si="112"/>
        <v>0</v>
      </c>
      <c r="DX90" s="161">
        <f t="shared" si="113"/>
        <v>0</v>
      </c>
      <c r="DY90" s="161">
        <f t="shared" si="114"/>
        <v>0</v>
      </c>
      <c r="DZ90" s="161">
        <f t="shared" si="115"/>
        <v>0</v>
      </c>
      <c r="EA90" s="161">
        <f t="shared" si="116"/>
        <v>0</v>
      </c>
      <c r="EB90" s="161">
        <f t="shared" si="117"/>
        <v>0</v>
      </c>
      <c r="EC90" s="161">
        <f t="shared" si="118"/>
        <v>0</v>
      </c>
      <c r="ED90" s="161">
        <f t="shared" si="119"/>
        <v>0</v>
      </c>
      <c r="EE90" s="161">
        <f t="shared" si="120"/>
        <v>0</v>
      </c>
      <c r="EF90" s="161">
        <f t="shared" si="121"/>
        <v>0</v>
      </c>
      <c r="EG90" s="161">
        <f t="shared" si="122"/>
        <v>0</v>
      </c>
      <c r="EH90" s="161">
        <f t="shared" si="123"/>
        <v>0</v>
      </c>
      <c r="EI90" s="161">
        <f t="shared" si="124"/>
        <v>0</v>
      </c>
      <c r="EJ90" s="161">
        <f t="shared" si="125"/>
        <v>0</v>
      </c>
      <c r="EK90" s="147">
        <f t="shared" si="55"/>
        <v>10.416666666666666</v>
      </c>
      <c r="EL90" s="149"/>
      <c r="EN90" s="150"/>
      <c r="EO90" s="150"/>
      <c r="EP90" s="139">
        <f t="shared" si="56"/>
        <v>0</v>
      </c>
      <c r="EQ90" s="139">
        <f t="shared" si="57"/>
        <v>7.0852083333333329E-2</v>
      </c>
      <c r="ER90" s="139">
        <f t="shared" si="58"/>
        <v>0</v>
      </c>
      <c r="ES90" s="139">
        <f t="shared" si="59"/>
        <v>0</v>
      </c>
      <c r="ET90" s="139">
        <f t="shared" si="60"/>
        <v>0</v>
      </c>
      <c r="EU90" s="139">
        <f t="shared" si="61"/>
        <v>0</v>
      </c>
      <c r="EV90" s="139">
        <f t="shared" si="62"/>
        <v>0</v>
      </c>
      <c r="EW90" s="139">
        <f t="shared" si="63"/>
        <v>0</v>
      </c>
      <c r="EX90" s="139">
        <f t="shared" si="64"/>
        <v>0</v>
      </c>
      <c r="EY90" s="139">
        <f t="shared" si="65"/>
        <v>0</v>
      </c>
      <c r="EZ90" s="139">
        <f t="shared" si="66"/>
        <v>0</v>
      </c>
      <c r="FA90" s="139">
        <f t="shared" si="67"/>
        <v>0</v>
      </c>
      <c r="FB90" s="139">
        <f t="shared" si="68"/>
        <v>0</v>
      </c>
      <c r="FC90" s="139">
        <f t="shared" si="69"/>
        <v>0</v>
      </c>
      <c r="FD90" s="139">
        <f t="shared" si="70"/>
        <v>0</v>
      </c>
      <c r="FE90" s="139">
        <f t="shared" si="71"/>
        <v>0</v>
      </c>
      <c r="FF90" s="139">
        <f t="shared" si="72"/>
        <v>0</v>
      </c>
      <c r="FG90" s="139">
        <f t="shared" si="73"/>
        <v>0</v>
      </c>
      <c r="FH90" s="139">
        <f t="shared" si="74"/>
        <v>0</v>
      </c>
      <c r="FI90" s="139">
        <f t="shared" si="75"/>
        <v>0</v>
      </c>
      <c r="FJ90" s="139">
        <f t="shared" si="76"/>
        <v>0</v>
      </c>
      <c r="FK90" s="139">
        <f t="shared" si="77"/>
        <v>0</v>
      </c>
      <c r="FL90" s="139">
        <f t="shared" si="78"/>
        <v>0</v>
      </c>
      <c r="FM90" s="139">
        <f t="shared" si="79"/>
        <v>0</v>
      </c>
      <c r="FN90" s="139">
        <f t="shared" si="80"/>
        <v>0</v>
      </c>
      <c r="FO90" s="139">
        <f t="shared" si="81"/>
        <v>0</v>
      </c>
      <c r="FP90" s="139">
        <f t="shared" si="82"/>
        <v>0</v>
      </c>
      <c r="FQ90" s="139">
        <f t="shared" si="83"/>
        <v>0</v>
      </c>
      <c r="FR90" s="139">
        <f t="shared" si="84"/>
        <v>0</v>
      </c>
      <c r="FS90" s="139">
        <f t="shared" si="85"/>
        <v>0</v>
      </c>
      <c r="FT90" s="139">
        <f t="shared" si="86"/>
        <v>0</v>
      </c>
      <c r="FU90" s="148">
        <f t="shared" si="87"/>
        <v>7.0852083333333329E-2</v>
      </c>
      <c r="FV90" s="149"/>
      <c r="FY90" s="214">
        <v>85</v>
      </c>
      <c r="FZ90">
        <v>0.47254311604309179</v>
      </c>
      <c r="GA90">
        <v>4.6719282477085704</v>
      </c>
      <c r="GB90">
        <v>10.765683132038395</v>
      </c>
      <c r="GC90">
        <v>5.4211367488042095</v>
      </c>
      <c r="GD90">
        <v>4.1688100873789793</v>
      </c>
      <c r="GE90">
        <v>10.428212019662761</v>
      </c>
      <c r="GF90">
        <v>12.892996393426806</v>
      </c>
      <c r="GG90">
        <v>10.021824656175887</v>
      </c>
      <c r="GH90">
        <v>5.833164351279815</v>
      </c>
      <c r="GI90">
        <v>8.6443243550750264</v>
      </c>
      <c r="GJ90"/>
      <c r="GK90"/>
      <c r="GL90"/>
      <c r="GM90"/>
    </row>
    <row r="91" spans="1:195" s="7" customFormat="1">
      <c r="A91" s="77"/>
      <c r="B91" s="76">
        <f t="shared" ca="1" si="50"/>
        <v>0.326273968706011</v>
      </c>
      <c r="C91">
        <v>4</v>
      </c>
      <c r="D91">
        <v>39646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87.518190817182358</v>
      </c>
      <c r="AO91">
        <v>14.908973316793174</v>
      </c>
      <c r="AP91">
        <v>68.706697198655604</v>
      </c>
      <c r="AQ91">
        <v>95.667189691370552</v>
      </c>
      <c r="AR91">
        <v>13.745008091326513</v>
      </c>
      <c r="AS91">
        <v>77.349934622844273</v>
      </c>
      <c r="AT91">
        <v>7.8997205035450877</v>
      </c>
      <c r="AU91">
        <v>58.129555264320693</v>
      </c>
      <c r="AV91"/>
      <c r="AW91"/>
      <c r="AX91" s="151"/>
      <c r="AY91" s="76">
        <f t="shared" ca="1" si="88"/>
        <v>0.98965880144135432</v>
      </c>
      <c r="AZ91">
        <v>4</v>
      </c>
      <c r="BA91" s="129">
        <f t="shared" si="89"/>
        <v>39646</v>
      </c>
      <c r="BB91" s="207">
        <v>0</v>
      </c>
      <c r="BC91" s="207">
        <v>0</v>
      </c>
      <c r="BD91" s="207">
        <v>0</v>
      </c>
      <c r="BE91" s="207">
        <v>0</v>
      </c>
      <c r="BF91" s="207">
        <v>0</v>
      </c>
      <c r="BG91" s="207">
        <v>0</v>
      </c>
      <c r="BH91" s="207">
        <v>0</v>
      </c>
      <c r="BI91" s="207">
        <v>0</v>
      </c>
      <c r="BJ91" s="207">
        <v>0</v>
      </c>
      <c r="BK91" s="207">
        <v>0</v>
      </c>
      <c r="BL91" s="207">
        <v>0</v>
      </c>
      <c r="BM91" s="207">
        <v>0</v>
      </c>
      <c r="BN91" s="207">
        <v>0</v>
      </c>
      <c r="BO91" s="207">
        <v>0</v>
      </c>
      <c r="BP91" s="207">
        <v>0</v>
      </c>
      <c r="BQ91" s="207">
        <v>0</v>
      </c>
      <c r="BR91" s="207">
        <v>0</v>
      </c>
      <c r="BS91" s="207">
        <v>0</v>
      </c>
      <c r="BT91" s="207">
        <v>0</v>
      </c>
      <c r="BU91" s="207">
        <v>0</v>
      </c>
      <c r="BV91" s="207">
        <v>0</v>
      </c>
      <c r="BW91" s="207">
        <v>0</v>
      </c>
      <c r="BX91" s="207">
        <v>0</v>
      </c>
      <c r="BY91" s="207">
        <v>0</v>
      </c>
      <c r="BZ91" s="207">
        <v>0</v>
      </c>
      <c r="CA91" s="207">
        <v>0</v>
      </c>
      <c r="CB91" s="207">
        <v>0</v>
      </c>
      <c r="CC91" s="207">
        <v>0</v>
      </c>
      <c r="CD91" s="207">
        <v>0</v>
      </c>
      <c r="CE91" s="207">
        <v>0</v>
      </c>
      <c r="CF91" s="207">
        <v>0</v>
      </c>
      <c r="CG91" s="147"/>
      <c r="CH91" s="176"/>
      <c r="CJ91" s="151"/>
      <c r="CK91" s="76">
        <f t="shared" ca="1" si="90"/>
        <v>8.6779392974836167E-2</v>
      </c>
      <c r="CL91" s="179">
        <f t="shared" si="91"/>
        <v>4</v>
      </c>
      <c r="CM91" s="180">
        <f t="shared" si="92"/>
        <v>39646</v>
      </c>
      <c r="CN91" s="208">
        <v>0</v>
      </c>
      <c r="CO91" s="208">
        <v>0</v>
      </c>
      <c r="CP91" s="208">
        <v>0</v>
      </c>
      <c r="CQ91" s="208">
        <v>0</v>
      </c>
      <c r="CR91" s="208">
        <v>0</v>
      </c>
      <c r="CS91" s="208">
        <v>0</v>
      </c>
      <c r="CT91" s="208">
        <v>0</v>
      </c>
      <c r="CU91" s="208">
        <v>0</v>
      </c>
      <c r="CW91">
        <v>1</v>
      </c>
      <c r="CX91">
        <v>1</v>
      </c>
      <c r="CY91" s="158"/>
      <c r="CZ91" s="177">
        <f t="shared" si="93"/>
        <v>9.6000000000000002E-2</v>
      </c>
      <c r="DB91" s="151"/>
      <c r="DC91" s="76">
        <f t="shared" ca="1" si="51"/>
        <v>0.62886339999117036</v>
      </c>
      <c r="DD91">
        <f t="shared" si="94"/>
        <v>4</v>
      </c>
      <c r="DE91" s="129">
        <f t="shared" si="52"/>
        <v>39646</v>
      </c>
      <c r="DF91" s="161">
        <f t="shared" si="95"/>
        <v>0</v>
      </c>
      <c r="DG91" s="161">
        <f t="shared" si="96"/>
        <v>0</v>
      </c>
      <c r="DH91" s="161">
        <f t="shared" si="97"/>
        <v>0</v>
      </c>
      <c r="DI91" s="161">
        <f t="shared" si="98"/>
        <v>0</v>
      </c>
      <c r="DJ91" s="161">
        <f t="shared" si="99"/>
        <v>0</v>
      </c>
      <c r="DK91" s="161">
        <f t="shared" si="100"/>
        <v>0</v>
      </c>
      <c r="DL91" s="161">
        <f t="shared" si="101"/>
        <v>0</v>
      </c>
      <c r="DM91" s="161">
        <f t="shared" si="102"/>
        <v>0</v>
      </c>
      <c r="DN91" s="161">
        <f t="shared" si="103"/>
        <v>0</v>
      </c>
      <c r="DO91" s="161">
        <f t="shared" si="104"/>
        <v>0</v>
      </c>
      <c r="DP91" s="161">
        <f t="shared" si="105"/>
        <v>0</v>
      </c>
      <c r="DQ91" s="161">
        <f t="shared" si="106"/>
        <v>0</v>
      </c>
      <c r="DR91" s="161">
        <f t="shared" si="107"/>
        <v>0</v>
      </c>
      <c r="DS91" s="161">
        <f t="shared" si="108"/>
        <v>0</v>
      </c>
      <c r="DT91" s="161">
        <f t="shared" si="109"/>
        <v>0</v>
      </c>
      <c r="DU91" s="161">
        <f t="shared" si="110"/>
        <v>0</v>
      </c>
      <c r="DV91" s="161">
        <f t="shared" si="111"/>
        <v>0</v>
      </c>
      <c r="DW91" s="161">
        <f t="shared" si="112"/>
        <v>0</v>
      </c>
      <c r="DX91" s="161">
        <f t="shared" si="113"/>
        <v>0</v>
      </c>
      <c r="DY91" s="161">
        <f t="shared" si="114"/>
        <v>0</v>
      </c>
      <c r="DZ91" s="161">
        <f t="shared" si="115"/>
        <v>0</v>
      </c>
      <c r="EA91" s="161">
        <f t="shared" si="116"/>
        <v>0</v>
      </c>
      <c r="EB91" s="161">
        <f t="shared" si="117"/>
        <v>0</v>
      </c>
      <c r="EC91" s="161">
        <f t="shared" si="118"/>
        <v>0</v>
      </c>
      <c r="ED91" s="161">
        <f t="shared" si="119"/>
        <v>0</v>
      </c>
      <c r="EE91" s="161">
        <f t="shared" si="120"/>
        <v>0</v>
      </c>
      <c r="EF91" s="161">
        <f t="shared" si="121"/>
        <v>0</v>
      </c>
      <c r="EG91" s="161">
        <f t="shared" si="122"/>
        <v>0</v>
      </c>
      <c r="EH91" s="161">
        <f t="shared" si="123"/>
        <v>0</v>
      </c>
      <c r="EI91" s="161">
        <f t="shared" si="124"/>
        <v>0</v>
      </c>
      <c r="EJ91" s="161">
        <f t="shared" si="125"/>
        <v>0</v>
      </c>
      <c r="EK91" s="147">
        <f t="shared" si="55"/>
        <v>0</v>
      </c>
      <c r="EL91" s="149"/>
      <c r="EN91" s="151"/>
      <c r="EO91" s="151"/>
      <c r="EP91" s="139">
        <f t="shared" si="56"/>
        <v>0</v>
      </c>
      <c r="EQ91" s="139">
        <f t="shared" si="57"/>
        <v>0</v>
      </c>
      <c r="ER91" s="139">
        <f t="shared" si="58"/>
        <v>0</v>
      </c>
      <c r="ES91" s="139">
        <f t="shared" si="59"/>
        <v>0</v>
      </c>
      <c r="ET91" s="139">
        <f t="shared" si="60"/>
        <v>0</v>
      </c>
      <c r="EU91" s="139">
        <f t="shared" si="61"/>
        <v>0</v>
      </c>
      <c r="EV91" s="139">
        <f t="shared" si="62"/>
        <v>0</v>
      </c>
      <c r="EW91" s="139">
        <f t="shared" si="63"/>
        <v>0</v>
      </c>
      <c r="EX91" s="139">
        <f t="shared" si="64"/>
        <v>0</v>
      </c>
      <c r="EY91" s="139">
        <f t="shared" si="65"/>
        <v>0</v>
      </c>
      <c r="EZ91" s="139">
        <f t="shared" si="66"/>
        <v>0</v>
      </c>
      <c r="FA91" s="139">
        <f t="shared" si="67"/>
        <v>0</v>
      </c>
      <c r="FB91" s="139">
        <f t="shared" si="68"/>
        <v>0</v>
      </c>
      <c r="FC91" s="139">
        <f t="shared" si="69"/>
        <v>0</v>
      </c>
      <c r="FD91" s="139">
        <f t="shared" si="70"/>
        <v>0</v>
      </c>
      <c r="FE91" s="139">
        <f t="shared" si="71"/>
        <v>0</v>
      </c>
      <c r="FF91" s="139">
        <f t="shared" si="72"/>
        <v>0</v>
      </c>
      <c r="FG91" s="139">
        <f t="shared" si="73"/>
        <v>0</v>
      </c>
      <c r="FH91" s="139">
        <f t="shared" si="74"/>
        <v>0</v>
      </c>
      <c r="FI91" s="139">
        <f t="shared" si="75"/>
        <v>0</v>
      </c>
      <c r="FJ91" s="139">
        <f t="shared" si="76"/>
        <v>0</v>
      </c>
      <c r="FK91" s="139">
        <f t="shared" si="77"/>
        <v>0</v>
      </c>
      <c r="FL91" s="139">
        <f t="shared" si="78"/>
        <v>0</v>
      </c>
      <c r="FM91" s="139">
        <f t="shared" si="79"/>
        <v>0</v>
      </c>
      <c r="FN91" s="139">
        <f t="shared" si="80"/>
        <v>0</v>
      </c>
      <c r="FO91" s="139">
        <f t="shared" si="81"/>
        <v>0</v>
      </c>
      <c r="FP91" s="139">
        <f t="shared" si="82"/>
        <v>0</v>
      </c>
      <c r="FQ91" s="139">
        <f t="shared" si="83"/>
        <v>0</v>
      </c>
      <c r="FR91" s="139">
        <f t="shared" si="84"/>
        <v>0</v>
      </c>
      <c r="FS91" s="139">
        <f t="shared" si="85"/>
        <v>0</v>
      </c>
      <c r="FT91" s="139">
        <f t="shared" si="86"/>
        <v>0</v>
      </c>
      <c r="FU91" s="148">
        <f t="shared" si="87"/>
        <v>0</v>
      </c>
      <c r="FV91" s="149"/>
      <c r="FY91" s="214">
        <v>86</v>
      </c>
      <c r="FZ91">
        <v>0.96140990342364963</v>
      </c>
      <c r="GA91">
        <v>16.754830884494861</v>
      </c>
      <c r="GB91">
        <v>15.033491561687798</v>
      </c>
      <c r="GC91">
        <v>4.3835781924321209</v>
      </c>
      <c r="GD91">
        <v>3.8133240172819991</v>
      </c>
      <c r="GE91">
        <v>9.101656859884832</v>
      </c>
      <c r="GF91">
        <v>16.063656948456568</v>
      </c>
      <c r="GG91">
        <v>16.696267517851872</v>
      </c>
      <c r="GH91">
        <v>7.062004549051272</v>
      </c>
      <c r="GI91">
        <v>10.507174229466729</v>
      </c>
      <c r="GJ91"/>
      <c r="GK91"/>
      <c r="GL91"/>
      <c r="GM91"/>
    </row>
    <row r="92" spans="1:195" s="7" customFormat="1">
      <c r="A92" s="77"/>
      <c r="B92" s="76">
        <f t="shared" ca="1" si="50"/>
        <v>0.84242712097065153</v>
      </c>
      <c r="C92">
        <v>6</v>
      </c>
      <c r="D92">
        <v>39646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62.31456882104046</v>
      </c>
      <c r="AO92">
        <v>13.493007272987583</v>
      </c>
      <c r="AP92">
        <v>75.118585205125655</v>
      </c>
      <c r="AQ92">
        <v>75.935821147404084</v>
      </c>
      <c r="AR92">
        <v>12.636308811585954</v>
      </c>
      <c r="AS92">
        <v>66.29538910878891</v>
      </c>
      <c r="AT92">
        <v>7.1618074482083633</v>
      </c>
      <c r="AU92">
        <v>13.442595927652235</v>
      </c>
      <c r="AV92"/>
      <c r="AW92"/>
      <c r="AX92" s="151"/>
      <c r="AY92" s="76">
        <f t="shared" ca="1" si="88"/>
        <v>0.73143276376685895</v>
      </c>
      <c r="AZ92">
        <v>5</v>
      </c>
      <c r="BA92" s="129">
        <f t="shared" si="89"/>
        <v>39646</v>
      </c>
      <c r="BB92" s="207">
        <v>0</v>
      </c>
      <c r="BC92" s="207">
        <v>0</v>
      </c>
      <c r="BD92" s="207">
        <v>0</v>
      </c>
      <c r="BE92" s="207">
        <v>0</v>
      </c>
      <c r="BF92" s="207">
        <v>0</v>
      </c>
      <c r="BG92" s="207">
        <v>0</v>
      </c>
      <c r="BH92" s="207">
        <v>0</v>
      </c>
      <c r="BI92" s="207">
        <v>0</v>
      </c>
      <c r="BJ92" s="207">
        <v>0</v>
      </c>
      <c r="BK92" s="207">
        <v>0</v>
      </c>
      <c r="BL92" s="207">
        <v>0</v>
      </c>
      <c r="BM92" s="207">
        <v>0</v>
      </c>
      <c r="BN92" s="207">
        <v>0</v>
      </c>
      <c r="BO92" s="207">
        <v>0</v>
      </c>
      <c r="BP92" s="207">
        <v>0</v>
      </c>
      <c r="BQ92" s="207">
        <v>0</v>
      </c>
      <c r="BR92" s="207">
        <v>0</v>
      </c>
      <c r="BS92" s="207">
        <v>0</v>
      </c>
      <c r="BT92" s="207">
        <v>0</v>
      </c>
      <c r="BU92" s="207">
        <v>0</v>
      </c>
      <c r="BV92" s="207">
        <v>0</v>
      </c>
      <c r="BW92" s="207">
        <v>0</v>
      </c>
      <c r="BX92" s="207">
        <v>0</v>
      </c>
      <c r="BY92" s="207">
        <v>0</v>
      </c>
      <c r="BZ92" s="207">
        <v>0</v>
      </c>
      <c r="CA92" s="207">
        <v>0</v>
      </c>
      <c r="CB92" s="207">
        <v>0</v>
      </c>
      <c r="CC92" s="207">
        <v>0</v>
      </c>
      <c r="CD92" s="207">
        <v>0</v>
      </c>
      <c r="CE92" s="207">
        <v>0</v>
      </c>
      <c r="CF92" s="207">
        <v>0</v>
      </c>
      <c r="CG92" s="147"/>
      <c r="CH92" s="176"/>
      <c r="CJ92" s="151"/>
      <c r="CK92" s="76">
        <f t="shared" ca="1" si="90"/>
        <v>0.33477949341070223</v>
      </c>
      <c r="CL92" s="179">
        <f t="shared" si="91"/>
        <v>5</v>
      </c>
      <c r="CM92" s="180">
        <f t="shared" si="92"/>
        <v>39646</v>
      </c>
      <c r="CN92" s="208">
        <v>0</v>
      </c>
      <c r="CO92" s="208">
        <v>0</v>
      </c>
      <c r="CP92" s="208">
        <v>0</v>
      </c>
      <c r="CQ92" s="208">
        <v>0</v>
      </c>
      <c r="CR92" s="208">
        <v>0</v>
      </c>
      <c r="CS92" s="208">
        <v>0</v>
      </c>
      <c r="CT92" s="208">
        <v>0</v>
      </c>
      <c r="CU92" s="208">
        <v>0</v>
      </c>
      <c r="CW92">
        <v>1</v>
      </c>
      <c r="CX92">
        <v>1</v>
      </c>
      <c r="CY92" s="158"/>
      <c r="CZ92" s="177">
        <f t="shared" si="93"/>
        <v>9.6000000000000002E-2</v>
      </c>
      <c r="DB92" s="151"/>
      <c r="DC92" s="76">
        <f t="shared" ca="1" si="51"/>
        <v>0.53009270006002174</v>
      </c>
      <c r="DD92">
        <f t="shared" si="94"/>
        <v>5</v>
      </c>
      <c r="DE92" s="129">
        <f t="shared" si="52"/>
        <v>39646</v>
      </c>
      <c r="DF92" s="161">
        <f t="shared" si="95"/>
        <v>0</v>
      </c>
      <c r="DG92" s="161">
        <f t="shared" si="96"/>
        <v>0</v>
      </c>
      <c r="DH92" s="161">
        <f t="shared" si="97"/>
        <v>0</v>
      </c>
      <c r="DI92" s="161">
        <f t="shared" si="98"/>
        <v>0</v>
      </c>
      <c r="DJ92" s="161">
        <f t="shared" si="99"/>
        <v>0</v>
      </c>
      <c r="DK92" s="161">
        <f t="shared" si="100"/>
        <v>0</v>
      </c>
      <c r="DL92" s="161">
        <f t="shared" si="101"/>
        <v>0</v>
      </c>
      <c r="DM92" s="161">
        <f t="shared" si="102"/>
        <v>0</v>
      </c>
      <c r="DN92" s="161">
        <f t="shared" si="103"/>
        <v>0</v>
      </c>
      <c r="DO92" s="161">
        <f t="shared" si="104"/>
        <v>0</v>
      </c>
      <c r="DP92" s="161">
        <f t="shared" si="105"/>
        <v>0</v>
      </c>
      <c r="DQ92" s="161">
        <f t="shared" si="106"/>
        <v>0</v>
      </c>
      <c r="DR92" s="161">
        <f t="shared" si="107"/>
        <v>0</v>
      </c>
      <c r="DS92" s="161">
        <f t="shared" si="108"/>
        <v>0</v>
      </c>
      <c r="DT92" s="161">
        <f t="shared" si="109"/>
        <v>0</v>
      </c>
      <c r="DU92" s="161">
        <f t="shared" si="110"/>
        <v>0</v>
      </c>
      <c r="DV92" s="161">
        <f t="shared" si="111"/>
        <v>0</v>
      </c>
      <c r="DW92" s="161">
        <f t="shared" si="112"/>
        <v>0</v>
      </c>
      <c r="DX92" s="161">
        <f t="shared" si="113"/>
        <v>0</v>
      </c>
      <c r="DY92" s="161">
        <f t="shared" si="114"/>
        <v>0</v>
      </c>
      <c r="DZ92" s="161">
        <f t="shared" si="115"/>
        <v>0</v>
      </c>
      <c r="EA92" s="161">
        <f t="shared" si="116"/>
        <v>0</v>
      </c>
      <c r="EB92" s="161">
        <f t="shared" si="117"/>
        <v>0</v>
      </c>
      <c r="EC92" s="161">
        <f t="shared" si="118"/>
        <v>0</v>
      </c>
      <c r="ED92" s="161">
        <f t="shared" si="119"/>
        <v>0</v>
      </c>
      <c r="EE92" s="161">
        <f t="shared" si="120"/>
        <v>0</v>
      </c>
      <c r="EF92" s="161">
        <f t="shared" si="121"/>
        <v>0</v>
      </c>
      <c r="EG92" s="161">
        <f t="shared" si="122"/>
        <v>0</v>
      </c>
      <c r="EH92" s="161">
        <f t="shared" si="123"/>
        <v>0</v>
      </c>
      <c r="EI92" s="161">
        <f t="shared" si="124"/>
        <v>0</v>
      </c>
      <c r="EJ92" s="161">
        <f t="shared" si="125"/>
        <v>0</v>
      </c>
      <c r="EK92" s="147">
        <f t="shared" si="55"/>
        <v>0</v>
      </c>
      <c r="EL92" s="149"/>
      <c r="EN92" s="151"/>
      <c r="EO92" s="151"/>
      <c r="EP92" s="139">
        <f t="shared" si="56"/>
        <v>0</v>
      </c>
      <c r="EQ92" s="139">
        <f t="shared" si="57"/>
        <v>0</v>
      </c>
      <c r="ER92" s="139">
        <f t="shared" si="58"/>
        <v>0</v>
      </c>
      <c r="ES92" s="139">
        <f t="shared" si="59"/>
        <v>0</v>
      </c>
      <c r="ET92" s="139">
        <f t="shared" si="60"/>
        <v>0</v>
      </c>
      <c r="EU92" s="139">
        <f t="shared" si="61"/>
        <v>0</v>
      </c>
      <c r="EV92" s="139">
        <f t="shared" si="62"/>
        <v>0</v>
      </c>
      <c r="EW92" s="139">
        <f t="shared" si="63"/>
        <v>0</v>
      </c>
      <c r="EX92" s="139">
        <f t="shared" si="64"/>
        <v>0</v>
      </c>
      <c r="EY92" s="139">
        <f t="shared" si="65"/>
        <v>0</v>
      </c>
      <c r="EZ92" s="139">
        <f t="shared" si="66"/>
        <v>0</v>
      </c>
      <c r="FA92" s="139">
        <f t="shared" si="67"/>
        <v>0</v>
      </c>
      <c r="FB92" s="139">
        <f t="shared" si="68"/>
        <v>0</v>
      </c>
      <c r="FC92" s="139">
        <f t="shared" si="69"/>
        <v>0</v>
      </c>
      <c r="FD92" s="139">
        <f t="shared" si="70"/>
        <v>0</v>
      </c>
      <c r="FE92" s="139">
        <f t="shared" si="71"/>
        <v>0</v>
      </c>
      <c r="FF92" s="139">
        <f t="shared" si="72"/>
        <v>0</v>
      </c>
      <c r="FG92" s="139">
        <f t="shared" si="73"/>
        <v>0</v>
      </c>
      <c r="FH92" s="139">
        <f t="shared" si="74"/>
        <v>0</v>
      </c>
      <c r="FI92" s="139">
        <f t="shared" si="75"/>
        <v>0</v>
      </c>
      <c r="FJ92" s="139">
        <f t="shared" si="76"/>
        <v>0</v>
      </c>
      <c r="FK92" s="139">
        <f t="shared" si="77"/>
        <v>0</v>
      </c>
      <c r="FL92" s="139">
        <f t="shared" si="78"/>
        <v>0</v>
      </c>
      <c r="FM92" s="139">
        <f t="shared" si="79"/>
        <v>0</v>
      </c>
      <c r="FN92" s="139">
        <f t="shared" si="80"/>
        <v>0</v>
      </c>
      <c r="FO92" s="139">
        <f t="shared" si="81"/>
        <v>0</v>
      </c>
      <c r="FP92" s="139">
        <f t="shared" si="82"/>
        <v>0</v>
      </c>
      <c r="FQ92" s="139">
        <f t="shared" si="83"/>
        <v>0</v>
      </c>
      <c r="FR92" s="139">
        <f t="shared" si="84"/>
        <v>0</v>
      </c>
      <c r="FS92" s="139">
        <f t="shared" si="85"/>
        <v>0</v>
      </c>
      <c r="FT92" s="139">
        <f t="shared" si="86"/>
        <v>0</v>
      </c>
      <c r="FU92" s="148">
        <f t="shared" si="87"/>
        <v>0</v>
      </c>
      <c r="FV92" s="149"/>
      <c r="FY92" s="214">
        <v>87</v>
      </c>
      <c r="FZ92">
        <v>0.92220245981082782</v>
      </c>
      <c r="GA92">
        <v>3.7902284774994062</v>
      </c>
      <c r="GB92">
        <v>4.3276263157000443</v>
      </c>
      <c r="GC92">
        <v>2.4011995310833547</v>
      </c>
      <c r="GD92">
        <v>7.264605926610181</v>
      </c>
      <c r="GE92">
        <v>16.784936560233927</v>
      </c>
      <c r="GF92">
        <v>11.259287569893637</v>
      </c>
      <c r="GG92">
        <v>6.57178204710182</v>
      </c>
      <c r="GH92">
        <v>1.1130280735147748</v>
      </c>
      <c r="GI92">
        <v>8.1253190740515411</v>
      </c>
      <c r="GJ92"/>
      <c r="GK92"/>
      <c r="GL92"/>
      <c r="GM92"/>
    </row>
    <row r="93" spans="1:195" s="7" customFormat="1">
      <c r="A93" s="77"/>
      <c r="B93" s="76">
        <f t="shared" ca="1" si="50"/>
        <v>0.64967196749827094</v>
      </c>
      <c r="C93">
        <v>7</v>
      </c>
      <c r="D93">
        <v>39646</v>
      </c>
      <c r="E93">
        <v>0</v>
      </c>
      <c r="F93">
        <v>0</v>
      </c>
      <c r="G93">
        <v>0</v>
      </c>
      <c r="H93">
        <v>20.833333333333332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88.944781032645778</v>
      </c>
      <c r="AO93">
        <v>16.772817899085631</v>
      </c>
      <c r="AP93">
        <v>74.535719732119119</v>
      </c>
      <c r="AQ93">
        <v>94.724855431594307</v>
      </c>
      <c r="AR93">
        <v>15.463186741274233</v>
      </c>
      <c r="AS93">
        <v>84.019469174911904</v>
      </c>
      <c r="AT93">
        <v>8.8657150767105506</v>
      </c>
      <c r="AU93">
        <v>11.685226626800155</v>
      </c>
      <c r="AV93"/>
      <c r="AW93"/>
      <c r="AX93" s="151"/>
      <c r="AY93" s="76">
        <f t="shared" ca="1" si="88"/>
        <v>0.60811118647684648</v>
      </c>
      <c r="AZ93">
        <v>6</v>
      </c>
      <c r="BA93" s="129">
        <f t="shared" si="89"/>
        <v>39646</v>
      </c>
      <c r="BB93" s="207">
        <v>0</v>
      </c>
      <c r="BC93" s="207">
        <v>0</v>
      </c>
      <c r="BD93" s="207">
        <v>0</v>
      </c>
      <c r="BE93" s="207">
        <v>0</v>
      </c>
      <c r="BF93" s="207">
        <v>0</v>
      </c>
      <c r="BG93" s="207">
        <v>0</v>
      </c>
      <c r="BH93" s="207">
        <v>0</v>
      </c>
      <c r="BI93" s="207">
        <v>0</v>
      </c>
      <c r="BJ93" s="207">
        <v>0</v>
      </c>
      <c r="BK93" s="207">
        <v>0</v>
      </c>
      <c r="BL93" s="207">
        <v>0</v>
      </c>
      <c r="BM93" s="207">
        <v>0</v>
      </c>
      <c r="BN93" s="207">
        <v>0</v>
      </c>
      <c r="BO93" s="207">
        <v>0</v>
      </c>
      <c r="BP93" s="207">
        <v>0</v>
      </c>
      <c r="BQ93" s="207">
        <v>0</v>
      </c>
      <c r="BR93" s="207">
        <v>0</v>
      </c>
      <c r="BS93" s="207">
        <v>0</v>
      </c>
      <c r="BT93" s="207">
        <v>0</v>
      </c>
      <c r="BU93" s="207">
        <v>0</v>
      </c>
      <c r="BV93" s="207">
        <v>0</v>
      </c>
      <c r="BW93" s="207">
        <v>0</v>
      </c>
      <c r="BX93" s="207">
        <v>0</v>
      </c>
      <c r="BY93" s="207">
        <v>0</v>
      </c>
      <c r="BZ93" s="207">
        <v>0</v>
      </c>
      <c r="CA93" s="207">
        <v>0</v>
      </c>
      <c r="CB93" s="207">
        <v>0</v>
      </c>
      <c r="CC93" s="207">
        <v>0</v>
      </c>
      <c r="CD93" s="207">
        <v>0</v>
      </c>
      <c r="CE93" s="207">
        <v>0</v>
      </c>
      <c r="CF93" s="207">
        <v>0</v>
      </c>
      <c r="CG93" s="147"/>
      <c r="CH93" s="176"/>
      <c r="CJ93" s="151"/>
      <c r="CK93" s="76">
        <f t="shared" ca="1" si="90"/>
        <v>0.73334115644136633</v>
      </c>
      <c r="CL93" s="179">
        <f t="shared" si="91"/>
        <v>6</v>
      </c>
      <c r="CM93" s="180">
        <f t="shared" si="92"/>
        <v>39646</v>
      </c>
      <c r="CN93" s="208">
        <v>0</v>
      </c>
      <c r="CO93" s="208">
        <v>0</v>
      </c>
      <c r="CP93" s="208">
        <v>0</v>
      </c>
      <c r="CQ93" s="208">
        <v>0</v>
      </c>
      <c r="CR93" s="208">
        <v>0</v>
      </c>
      <c r="CS93" s="208">
        <v>0</v>
      </c>
      <c r="CT93" s="208">
        <v>0</v>
      </c>
      <c r="CU93" s="208">
        <v>0</v>
      </c>
      <c r="CW93">
        <v>1</v>
      </c>
      <c r="CX93">
        <v>2</v>
      </c>
      <c r="CY93" s="159"/>
      <c r="CZ93" s="177">
        <f t="shared" si="93"/>
        <v>9.6000000000000002E-2</v>
      </c>
      <c r="DB93" s="151"/>
      <c r="DC93" s="76">
        <f t="shared" ca="1" si="51"/>
        <v>5.6891780115259083E-2</v>
      </c>
      <c r="DD93">
        <f t="shared" si="94"/>
        <v>6</v>
      </c>
      <c r="DE93" s="129">
        <f t="shared" si="52"/>
        <v>39646</v>
      </c>
      <c r="DF93" s="161">
        <f t="shared" si="95"/>
        <v>0</v>
      </c>
      <c r="DG93" s="161">
        <f t="shared" si="96"/>
        <v>0</v>
      </c>
      <c r="DH93" s="161">
        <f t="shared" si="97"/>
        <v>0</v>
      </c>
      <c r="DI93" s="161">
        <f t="shared" si="98"/>
        <v>0</v>
      </c>
      <c r="DJ93" s="161">
        <f t="shared" si="99"/>
        <v>0</v>
      </c>
      <c r="DK93" s="161">
        <f t="shared" si="100"/>
        <v>0</v>
      </c>
      <c r="DL93" s="161">
        <f t="shared" si="101"/>
        <v>0</v>
      </c>
      <c r="DM93" s="161">
        <f t="shared" si="102"/>
        <v>0</v>
      </c>
      <c r="DN93" s="161">
        <f t="shared" si="103"/>
        <v>0</v>
      </c>
      <c r="DO93" s="161">
        <f t="shared" si="104"/>
        <v>0</v>
      </c>
      <c r="DP93" s="161">
        <f t="shared" si="105"/>
        <v>0</v>
      </c>
      <c r="DQ93" s="161">
        <f t="shared" si="106"/>
        <v>0</v>
      </c>
      <c r="DR93" s="161">
        <f t="shared" si="107"/>
        <v>0</v>
      </c>
      <c r="DS93" s="161">
        <f t="shared" si="108"/>
        <v>0</v>
      </c>
      <c r="DT93" s="161">
        <f t="shared" si="109"/>
        <v>0</v>
      </c>
      <c r="DU93" s="161">
        <f t="shared" si="110"/>
        <v>0</v>
      </c>
      <c r="DV93" s="161">
        <f t="shared" si="111"/>
        <v>0</v>
      </c>
      <c r="DW93" s="161">
        <f t="shared" si="112"/>
        <v>0</v>
      </c>
      <c r="DX93" s="161">
        <f t="shared" si="113"/>
        <v>0</v>
      </c>
      <c r="DY93" s="161">
        <f t="shared" si="114"/>
        <v>0</v>
      </c>
      <c r="DZ93" s="161">
        <f t="shared" si="115"/>
        <v>0</v>
      </c>
      <c r="EA93" s="161">
        <f t="shared" si="116"/>
        <v>0</v>
      </c>
      <c r="EB93" s="161">
        <f t="shared" si="117"/>
        <v>0</v>
      </c>
      <c r="EC93" s="161">
        <f t="shared" si="118"/>
        <v>0</v>
      </c>
      <c r="ED93" s="161">
        <f t="shared" si="119"/>
        <v>0</v>
      </c>
      <c r="EE93" s="161">
        <f t="shared" si="120"/>
        <v>0</v>
      </c>
      <c r="EF93" s="161">
        <f t="shared" si="121"/>
        <v>0</v>
      </c>
      <c r="EG93" s="161">
        <f t="shared" si="122"/>
        <v>0</v>
      </c>
      <c r="EH93" s="161">
        <f t="shared" si="123"/>
        <v>0</v>
      </c>
      <c r="EI93" s="161">
        <f t="shared" si="124"/>
        <v>0</v>
      </c>
      <c r="EJ93" s="161">
        <f t="shared" si="125"/>
        <v>0</v>
      </c>
      <c r="EK93" s="147">
        <f t="shared" si="55"/>
        <v>0</v>
      </c>
      <c r="EL93" s="149"/>
      <c r="EN93" s="151"/>
      <c r="EO93" s="151"/>
      <c r="EP93" s="139">
        <f t="shared" si="56"/>
        <v>0</v>
      </c>
      <c r="EQ93" s="139">
        <f t="shared" si="57"/>
        <v>0</v>
      </c>
      <c r="ER93" s="139">
        <f t="shared" si="58"/>
        <v>0</v>
      </c>
      <c r="ES93" s="139">
        <f t="shared" si="59"/>
        <v>0</v>
      </c>
      <c r="ET93" s="139">
        <f t="shared" si="60"/>
        <v>0</v>
      </c>
      <c r="EU93" s="139">
        <f t="shared" si="61"/>
        <v>0</v>
      </c>
      <c r="EV93" s="139">
        <f t="shared" si="62"/>
        <v>0</v>
      </c>
      <c r="EW93" s="139">
        <f t="shared" si="63"/>
        <v>0</v>
      </c>
      <c r="EX93" s="139">
        <f t="shared" si="64"/>
        <v>0</v>
      </c>
      <c r="EY93" s="139">
        <f t="shared" si="65"/>
        <v>0</v>
      </c>
      <c r="EZ93" s="139">
        <f t="shared" si="66"/>
        <v>0</v>
      </c>
      <c r="FA93" s="139">
        <f t="shared" si="67"/>
        <v>0</v>
      </c>
      <c r="FB93" s="139">
        <f t="shared" si="68"/>
        <v>0</v>
      </c>
      <c r="FC93" s="139">
        <f t="shared" si="69"/>
        <v>0</v>
      </c>
      <c r="FD93" s="139">
        <f t="shared" si="70"/>
        <v>0</v>
      </c>
      <c r="FE93" s="139">
        <f t="shared" si="71"/>
        <v>0</v>
      </c>
      <c r="FF93" s="139">
        <f t="shared" si="72"/>
        <v>0</v>
      </c>
      <c r="FG93" s="139">
        <f t="shared" si="73"/>
        <v>0</v>
      </c>
      <c r="FH93" s="139">
        <f t="shared" si="74"/>
        <v>0</v>
      </c>
      <c r="FI93" s="139">
        <f t="shared" si="75"/>
        <v>0</v>
      </c>
      <c r="FJ93" s="139">
        <f t="shared" si="76"/>
        <v>0</v>
      </c>
      <c r="FK93" s="139">
        <f t="shared" si="77"/>
        <v>0</v>
      </c>
      <c r="FL93" s="139">
        <f t="shared" si="78"/>
        <v>0</v>
      </c>
      <c r="FM93" s="139">
        <f t="shared" si="79"/>
        <v>0</v>
      </c>
      <c r="FN93" s="139">
        <f t="shared" si="80"/>
        <v>0</v>
      </c>
      <c r="FO93" s="139">
        <f t="shared" si="81"/>
        <v>0</v>
      </c>
      <c r="FP93" s="139">
        <f t="shared" si="82"/>
        <v>0</v>
      </c>
      <c r="FQ93" s="139">
        <f t="shared" si="83"/>
        <v>0</v>
      </c>
      <c r="FR93" s="139">
        <f t="shared" si="84"/>
        <v>0</v>
      </c>
      <c r="FS93" s="139">
        <f t="shared" si="85"/>
        <v>0</v>
      </c>
      <c r="FT93" s="139">
        <f t="shared" si="86"/>
        <v>0</v>
      </c>
      <c r="FU93" s="148">
        <f t="shared" si="87"/>
        <v>0</v>
      </c>
      <c r="FV93" s="149"/>
      <c r="FY93" s="214">
        <v>88</v>
      </c>
      <c r="FZ93">
        <v>1.2198976823134842</v>
      </c>
      <c r="GA93">
        <v>3.2752276051378217</v>
      </c>
      <c r="GB93">
        <v>4.6248616217841185</v>
      </c>
      <c r="GC93">
        <v>2.5969726612396031</v>
      </c>
      <c r="GD93">
        <v>3.2768607586926652</v>
      </c>
      <c r="GE93">
        <v>10.775973462626688</v>
      </c>
      <c r="GF93">
        <v>18.468230230134736</v>
      </c>
      <c r="GG93">
        <v>9.8015660472831989</v>
      </c>
      <c r="GH93">
        <v>2.038767181988276</v>
      </c>
      <c r="GI93">
        <v>7.4133528623417826</v>
      </c>
      <c r="GJ93"/>
      <c r="GK93"/>
      <c r="GL93"/>
      <c r="GM93"/>
    </row>
    <row r="94" spans="1:195" s="7" customFormat="1">
      <c r="A94" s="77"/>
      <c r="B94" s="76">
        <f t="shared" ca="1" si="50"/>
        <v>0.5387580062206947</v>
      </c>
      <c r="C94">
        <v>10</v>
      </c>
      <c r="D94">
        <v>39646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82.388440971547098</v>
      </c>
      <c r="AO94">
        <v>14.757704826339898</v>
      </c>
      <c r="AP94">
        <v>85.845488145914914</v>
      </c>
      <c r="AQ94">
        <v>82.475169552477084</v>
      </c>
      <c r="AR94">
        <v>13.797599047277464</v>
      </c>
      <c r="AS94">
        <v>73.157575601640744</v>
      </c>
      <c r="AT94">
        <v>7.3543705772827481</v>
      </c>
      <c r="AU94">
        <v>19.304962215137063</v>
      </c>
      <c r="AV94"/>
      <c r="AW94"/>
      <c r="AX94" s="151"/>
      <c r="AY94" s="76">
        <f t="shared" ca="1" si="88"/>
        <v>0.86544404212743409</v>
      </c>
      <c r="AZ94">
        <v>7</v>
      </c>
      <c r="BA94" s="129">
        <f t="shared" si="89"/>
        <v>39646</v>
      </c>
      <c r="BB94" s="207">
        <v>0</v>
      </c>
      <c r="BC94" s="207">
        <v>0</v>
      </c>
      <c r="BD94" s="207">
        <v>0</v>
      </c>
      <c r="BE94" s="207">
        <v>0</v>
      </c>
      <c r="BF94" s="207">
        <v>0</v>
      </c>
      <c r="BG94" s="207">
        <v>0</v>
      </c>
      <c r="BH94" s="207">
        <v>0</v>
      </c>
      <c r="BI94" s="207">
        <v>0</v>
      </c>
      <c r="BJ94" s="207">
        <v>0</v>
      </c>
      <c r="BK94" s="207">
        <v>0</v>
      </c>
      <c r="BL94" s="207">
        <v>0</v>
      </c>
      <c r="BM94" s="207">
        <v>0</v>
      </c>
      <c r="BN94" s="207">
        <v>0</v>
      </c>
      <c r="BO94" s="207">
        <v>0</v>
      </c>
      <c r="BP94" s="207">
        <v>0</v>
      </c>
      <c r="BQ94" s="207">
        <v>0</v>
      </c>
      <c r="BR94" s="207">
        <v>0</v>
      </c>
      <c r="BS94" s="207">
        <v>0</v>
      </c>
      <c r="BT94" s="207">
        <v>0</v>
      </c>
      <c r="BU94" s="207">
        <v>0</v>
      </c>
      <c r="BV94" s="207">
        <v>0</v>
      </c>
      <c r="BW94" s="207">
        <v>0</v>
      </c>
      <c r="BX94" s="207">
        <v>0</v>
      </c>
      <c r="BY94" s="207">
        <v>0</v>
      </c>
      <c r="BZ94" s="207">
        <v>0</v>
      </c>
      <c r="CA94" s="207">
        <v>0</v>
      </c>
      <c r="CB94" s="207">
        <v>0</v>
      </c>
      <c r="CC94" s="207">
        <v>0</v>
      </c>
      <c r="CD94" s="207">
        <v>0</v>
      </c>
      <c r="CE94" s="207">
        <v>0</v>
      </c>
      <c r="CF94" s="207">
        <v>0</v>
      </c>
      <c r="CG94" s="147"/>
      <c r="CH94" s="176"/>
      <c r="CJ94" s="151"/>
      <c r="CK94" s="76">
        <f t="shared" ca="1" si="90"/>
        <v>0.22953911132644067</v>
      </c>
      <c r="CL94" s="179">
        <f t="shared" si="91"/>
        <v>7</v>
      </c>
      <c r="CM94" s="180">
        <f t="shared" si="92"/>
        <v>39646</v>
      </c>
      <c r="CN94" s="208">
        <v>0</v>
      </c>
      <c r="CO94" s="208">
        <v>0</v>
      </c>
      <c r="CP94" s="208">
        <v>0</v>
      </c>
      <c r="CQ94" s="208">
        <v>1</v>
      </c>
      <c r="CR94" s="208">
        <v>0</v>
      </c>
      <c r="CS94" s="208">
        <v>0</v>
      </c>
      <c r="CT94" s="208">
        <v>0</v>
      </c>
      <c r="CU94" s="208">
        <v>0</v>
      </c>
      <c r="CV94" s="160"/>
      <c r="CW94">
        <v>1</v>
      </c>
      <c r="CX94">
        <v>2</v>
      </c>
      <c r="CY94" s="164"/>
      <c r="CZ94" s="177">
        <f t="shared" si="93"/>
        <v>9.6000000000000002E-2</v>
      </c>
      <c r="DB94" s="151"/>
      <c r="DC94" s="76">
        <f t="shared" ca="1" si="51"/>
        <v>0.3411167560416315</v>
      </c>
      <c r="DD94">
        <f t="shared" si="94"/>
        <v>7</v>
      </c>
      <c r="DE94" s="129">
        <f t="shared" si="52"/>
        <v>39646</v>
      </c>
      <c r="DF94" s="161">
        <f t="shared" si="95"/>
        <v>0</v>
      </c>
      <c r="DG94" s="161">
        <f t="shared" si="96"/>
        <v>0</v>
      </c>
      <c r="DH94" s="161">
        <f t="shared" si="97"/>
        <v>0</v>
      </c>
      <c r="DI94" s="161">
        <f t="shared" si="98"/>
        <v>20.833333333333332</v>
      </c>
      <c r="DJ94" s="161">
        <f t="shared" si="99"/>
        <v>0</v>
      </c>
      <c r="DK94" s="161">
        <f t="shared" si="100"/>
        <v>0</v>
      </c>
      <c r="DL94" s="161">
        <f t="shared" si="101"/>
        <v>0</v>
      </c>
      <c r="DM94" s="161">
        <f t="shared" si="102"/>
        <v>0</v>
      </c>
      <c r="DN94" s="161">
        <f t="shared" si="103"/>
        <v>0</v>
      </c>
      <c r="DO94" s="161">
        <f t="shared" si="104"/>
        <v>0</v>
      </c>
      <c r="DP94" s="161">
        <f t="shared" si="105"/>
        <v>0</v>
      </c>
      <c r="DQ94" s="161">
        <f t="shared" si="106"/>
        <v>0</v>
      </c>
      <c r="DR94" s="161">
        <f t="shared" si="107"/>
        <v>0</v>
      </c>
      <c r="DS94" s="161">
        <f t="shared" si="108"/>
        <v>0</v>
      </c>
      <c r="DT94" s="161">
        <f t="shared" si="109"/>
        <v>0</v>
      </c>
      <c r="DU94" s="161">
        <f t="shared" si="110"/>
        <v>0</v>
      </c>
      <c r="DV94" s="161">
        <f t="shared" si="111"/>
        <v>0</v>
      </c>
      <c r="DW94" s="161">
        <f t="shared" si="112"/>
        <v>0</v>
      </c>
      <c r="DX94" s="161">
        <f t="shared" si="113"/>
        <v>0</v>
      </c>
      <c r="DY94" s="161">
        <f t="shared" si="114"/>
        <v>0</v>
      </c>
      <c r="DZ94" s="161">
        <f t="shared" si="115"/>
        <v>0</v>
      </c>
      <c r="EA94" s="161">
        <f t="shared" si="116"/>
        <v>0</v>
      </c>
      <c r="EB94" s="161">
        <f t="shared" si="117"/>
        <v>0</v>
      </c>
      <c r="EC94" s="161">
        <f t="shared" si="118"/>
        <v>0</v>
      </c>
      <c r="ED94" s="161">
        <f t="shared" si="119"/>
        <v>0</v>
      </c>
      <c r="EE94" s="161">
        <f t="shared" si="120"/>
        <v>0</v>
      </c>
      <c r="EF94" s="161">
        <f t="shared" si="121"/>
        <v>0</v>
      </c>
      <c r="EG94" s="161">
        <f t="shared" si="122"/>
        <v>0</v>
      </c>
      <c r="EH94" s="161">
        <f t="shared" si="123"/>
        <v>0</v>
      </c>
      <c r="EI94" s="161">
        <f t="shared" si="124"/>
        <v>0</v>
      </c>
      <c r="EJ94" s="161">
        <f t="shared" si="125"/>
        <v>0</v>
      </c>
      <c r="EK94" s="147">
        <f t="shared" si="55"/>
        <v>20.833333333333332</v>
      </c>
      <c r="EL94" s="149"/>
      <c r="EN94" s="151"/>
      <c r="EO94" s="151"/>
      <c r="EP94" s="139">
        <f t="shared" si="56"/>
        <v>0</v>
      </c>
      <c r="EQ94" s="139">
        <f t="shared" si="57"/>
        <v>0</v>
      </c>
      <c r="ER94" s="139">
        <f t="shared" si="58"/>
        <v>0</v>
      </c>
      <c r="ES94" s="139">
        <f t="shared" si="59"/>
        <v>2.6860453483363713</v>
      </c>
      <c r="ET94" s="139">
        <f t="shared" si="60"/>
        <v>0</v>
      </c>
      <c r="EU94" s="139">
        <f t="shared" si="61"/>
        <v>0</v>
      </c>
      <c r="EV94" s="139">
        <f t="shared" si="62"/>
        <v>0</v>
      </c>
      <c r="EW94" s="139">
        <f t="shared" si="63"/>
        <v>0</v>
      </c>
      <c r="EX94" s="139">
        <f t="shared" si="64"/>
        <v>0</v>
      </c>
      <c r="EY94" s="139">
        <f t="shared" si="65"/>
        <v>0</v>
      </c>
      <c r="EZ94" s="139">
        <f t="shared" si="66"/>
        <v>0</v>
      </c>
      <c r="FA94" s="139">
        <f t="shared" si="67"/>
        <v>0</v>
      </c>
      <c r="FB94" s="139">
        <f t="shared" si="68"/>
        <v>0</v>
      </c>
      <c r="FC94" s="139">
        <f t="shared" si="69"/>
        <v>0</v>
      </c>
      <c r="FD94" s="139">
        <f t="shared" si="70"/>
        <v>0</v>
      </c>
      <c r="FE94" s="139">
        <f t="shared" si="71"/>
        <v>0</v>
      </c>
      <c r="FF94" s="139">
        <f t="shared" si="72"/>
        <v>0</v>
      </c>
      <c r="FG94" s="139">
        <f t="shared" si="73"/>
        <v>0</v>
      </c>
      <c r="FH94" s="139">
        <f t="shared" si="74"/>
        <v>0</v>
      </c>
      <c r="FI94" s="139">
        <f t="shared" si="75"/>
        <v>0</v>
      </c>
      <c r="FJ94" s="139">
        <f t="shared" si="76"/>
        <v>0</v>
      </c>
      <c r="FK94" s="139">
        <f t="shared" si="77"/>
        <v>0</v>
      </c>
      <c r="FL94" s="139">
        <f t="shared" si="78"/>
        <v>0</v>
      </c>
      <c r="FM94" s="139">
        <f t="shared" si="79"/>
        <v>0</v>
      </c>
      <c r="FN94" s="139">
        <f t="shared" si="80"/>
        <v>0</v>
      </c>
      <c r="FO94" s="139">
        <f t="shared" si="81"/>
        <v>0</v>
      </c>
      <c r="FP94" s="139">
        <f t="shared" si="82"/>
        <v>0</v>
      </c>
      <c r="FQ94" s="139">
        <f t="shared" si="83"/>
        <v>0</v>
      </c>
      <c r="FR94" s="139">
        <f t="shared" si="84"/>
        <v>0</v>
      </c>
      <c r="FS94" s="139">
        <f t="shared" si="85"/>
        <v>0</v>
      </c>
      <c r="FT94" s="139">
        <f t="shared" si="86"/>
        <v>0</v>
      </c>
      <c r="FU94" s="148">
        <f t="shared" si="87"/>
        <v>2.6860453483363713</v>
      </c>
      <c r="FV94" s="149"/>
      <c r="FY94" s="214">
        <v>89</v>
      </c>
      <c r="FZ94">
        <v>0.66755199782119035</v>
      </c>
      <c r="GA94">
        <v>5.889879207074781</v>
      </c>
      <c r="GB94">
        <v>8.3036828650233865</v>
      </c>
      <c r="GC94">
        <v>4.1198773705408591</v>
      </c>
      <c r="GD94">
        <v>4.2138100820844668</v>
      </c>
      <c r="GE94">
        <v>20.334559560724106</v>
      </c>
      <c r="GF94">
        <v>38.025627052982202</v>
      </c>
      <c r="GG94">
        <v>21.769878836351495</v>
      </c>
      <c r="GH94">
        <v>9.4060407889470916</v>
      </c>
      <c r="GI94">
        <v>13.869436258795545</v>
      </c>
      <c r="GJ94"/>
      <c r="GK94"/>
      <c r="GL94"/>
      <c r="GM94"/>
    </row>
    <row r="95" spans="1:195" s="7" customFormat="1">
      <c r="A95" s="77"/>
      <c r="B95" s="76">
        <f t="shared" ca="1" si="50"/>
        <v>0.53636707780180881</v>
      </c>
      <c r="C95">
        <v>9</v>
      </c>
      <c r="D95">
        <v>39646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53.451800967891472</v>
      </c>
      <c r="AO95">
        <v>8.8110324084453531</v>
      </c>
      <c r="AP95">
        <v>32.542607003594796</v>
      </c>
      <c r="AQ95">
        <v>54.316547367260135</v>
      </c>
      <c r="AR95">
        <v>8.1888940954118077</v>
      </c>
      <c r="AS95">
        <v>46.888034953920908</v>
      </c>
      <c r="AT95">
        <v>4.7131071787501311</v>
      </c>
      <c r="AU95">
        <v>25.430156981797893</v>
      </c>
      <c r="AV95"/>
      <c r="AW95"/>
      <c r="AX95" s="151"/>
      <c r="AY95" s="76">
        <f t="shared" ca="1" si="88"/>
        <v>0.33210900022847056</v>
      </c>
      <c r="AZ95">
        <v>8</v>
      </c>
      <c r="BA95" s="129">
        <f t="shared" si="89"/>
        <v>39646</v>
      </c>
      <c r="BB95" s="207">
        <v>0</v>
      </c>
      <c r="BC95" s="207">
        <v>0</v>
      </c>
      <c r="BD95" s="207">
        <v>0</v>
      </c>
      <c r="BE95" s="207">
        <v>0</v>
      </c>
      <c r="BF95" s="207">
        <v>0</v>
      </c>
      <c r="BG95" s="207">
        <v>0</v>
      </c>
      <c r="BH95" s="207">
        <v>0</v>
      </c>
      <c r="BI95" s="207">
        <v>0</v>
      </c>
      <c r="BJ95" s="207">
        <v>0</v>
      </c>
      <c r="BK95" s="207">
        <v>0</v>
      </c>
      <c r="BL95" s="207">
        <v>0</v>
      </c>
      <c r="BM95" s="207">
        <v>0</v>
      </c>
      <c r="BN95" s="207">
        <v>0</v>
      </c>
      <c r="BO95" s="207">
        <v>0</v>
      </c>
      <c r="BP95" s="207">
        <v>0</v>
      </c>
      <c r="BQ95" s="207">
        <v>0</v>
      </c>
      <c r="BR95" s="207">
        <v>0</v>
      </c>
      <c r="BS95" s="207">
        <v>0</v>
      </c>
      <c r="BT95" s="207">
        <v>0</v>
      </c>
      <c r="BU95" s="207">
        <v>0</v>
      </c>
      <c r="BV95" s="207">
        <v>0</v>
      </c>
      <c r="BW95" s="207">
        <v>0</v>
      </c>
      <c r="BX95" s="207">
        <v>0</v>
      </c>
      <c r="BY95" s="207">
        <v>0</v>
      </c>
      <c r="BZ95" s="207">
        <v>0</v>
      </c>
      <c r="CA95" s="207">
        <v>0</v>
      </c>
      <c r="CB95" s="207">
        <v>0</v>
      </c>
      <c r="CC95" s="207">
        <v>0</v>
      </c>
      <c r="CD95" s="207">
        <v>0</v>
      </c>
      <c r="CE95" s="207">
        <v>0</v>
      </c>
      <c r="CF95" s="207">
        <v>0</v>
      </c>
      <c r="CG95" s="147"/>
      <c r="CH95" s="176"/>
      <c r="CJ95" s="151"/>
      <c r="CK95" s="76">
        <f t="shared" ca="1" si="90"/>
        <v>0.32869799523495558</v>
      </c>
      <c r="CL95" s="179">
        <f t="shared" si="91"/>
        <v>8</v>
      </c>
      <c r="CM95" s="180">
        <f t="shared" si="92"/>
        <v>39646</v>
      </c>
      <c r="CN95" s="208">
        <v>0</v>
      </c>
      <c r="CO95" s="208">
        <v>0</v>
      </c>
      <c r="CP95" s="208">
        <v>0</v>
      </c>
      <c r="CQ95" s="208">
        <v>0</v>
      </c>
      <c r="CR95" s="208">
        <v>0</v>
      </c>
      <c r="CS95" s="208">
        <v>0</v>
      </c>
      <c r="CT95" s="208">
        <v>0</v>
      </c>
      <c r="CU95" s="208">
        <v>0</v>
      </c>
      <c r="CV95" s="160"/>
      <c r="CW95">
        <v>1</v>
      </c>
      <c r="CX95">
        <v>2</v>
      </c>
      <c r="CY95" s="164"/>
      <c r="CZ95" s="177">
        <f t="shared" si="93"/>
        <v>9.6000000000000002E-2</v>
      </c>
      <c r="DB95" s="151"/>
      <c r="DC95" s="76">
        <f t="shared" ca="1" si="51"/>
        <v>0.19421457077967919</v>
      </c>
      <c r="DD95">
        <f t="shared" si="94"/>
        <v>8</v>
      </c>
      <c r="DE95" s="129">
        <f t="shared" si="52"/>
        <v>39646</v>
      </c>
      <c r="DF95" s="161">
        <f t="shared" si="95"/>
        <v>0</v>
      </c>
      <c r="DG95" s="161">
        <f t="shared" si="96"/>
        <v>0</v>
      </c>
      <c r="DH95" s="161">
        <f t="shared" si="97"/>
        <v>0</v>
      </c>
      <c r="DI95" s="161">
        <f t="shared" si="98"/>
        <v>0</v>
      </c>
      <c r="DJ95" s="161">
        <f t="shared" si="99"/>
        <v>0</v>
      </c>
      <c r="DK95" s="161">
        <f t="shared" si="100"/>
        <v>0</v>
      </c>
      <c r="DL95" s="161">
        <f t="shared" si="101"/>
        <v>0</v>
      </c>
      <c r="DM95" s="161">
        <f t="shared" si="102"/>
        <v>0</v>
      </c>
      <c r="DN95" s="161">
        <f t="shared" si="103"/>
        <v>0</v>
      </c>
      <c r="DO95" s="161">
        <f t="shared" si="104"/>
        <v>0</v>
      </c>
      <c r="DP95" s="161">
        <f t="shared" si="105"/>
        <v>0</v>
      </c>
      <c r="DQ95" s="161">
        <f t="shared" si="106"/>
        <v>0</v>
      </c>
      <c r="DR95" s="161">
        <f t="shared" si="107"/>
        <v>0</v>
      </c>
      <c r="DS95" s="161">
        <f t="shared" si="108"/>
        <v>0</v>
      </c>
      <c r="DT95" s="161">
        <f t="shared" si="109"/>
        <v>0</v>
      </c>
      <c r="DU95" s="161">
        <f t="shared" si="110"/>
        <v>0</v>
      </c>
      <c r="DV95" s="161">
        <f t="shared" si="111"/>
        <v>0</v>
      </c>
      <c r="DW95" s="161">
        <f t="shared" si="112"/>
        <v>0</v>
      </c>
      <c r="DX95" s="161">
        <f t="shared" si="113"/>
        <v>0</v>
      </c>
      <c r="DY95" s="161">
        <f t="shared" si="114"/>
        <v>0</v>
      </c>
      <c r="DZ95" s="161">
        <f t="shared" si="115"/>
        <v>0</v>
      </c>
      <c r="EA95" s="161">
        <f t="shared" si="116"/>
        <v>0</v>
      </c>
      <c r="EB95" s="161">
        <f t="shared" si="117"/>
        <v>0</v>
      </c>
      <c r="EC95" s="161">
        <f t="shared" si="118"/>
        <v>0</v>
      </c>
      <c r="ED95" s="161">
        <f t="shared" si="119"/>
        <v>0</v>
      </c>
      <c r="EE95" s="161">
        <f t="shared" si="120"/>
        <v>0</v>
      </c>
      <c r="EF95" s="161">
        <f t="shared" si="121"/>
        <v>0</v>
      </c>
      <c r="EG95" s="161">
        <f t="shared" si="122"/>
        <v>0</v>
      </c>
      <c r="EH95" s="161">
        <f t="shared" si="123"/>
        <v>0</v>
      </c>
      <c r="EI95" s="161">
        <f t="shared" si="124"/>
        <v>0</v>
      </c>
      <c r="EJ95" s="161">
        <f t="shared" si="125"/>
        <v>0</v>
      </c>
      <c r="EK95" s="147">
        <f t="shared" si="55"/>
        <v>0</v>
      </c>
      <c r="EL95" s="149"/>
      <c r="EN95" s="151"/>
      <c r="EO95" s="151"/>
      <c r="EP95" s="139">
        <f t="shared" si="56"/>
        <v>0</v>
      </c>
      <c r="EQ95" s="139">
        <f t="shared" si="57"/>
        <v>0</v>
      </c>
      <c r="ER95" s="139">
        <f t="shared" si="58"/>
        <v>0</v>
      </c>
      <c r="ES95" s="139">
        <f t="shared" si="59"/>
        <v>0</v>
      </c>
      <c r="ET95" s="139">
        <f t="shared" si="60"/>
        <v>0</v>
      </c>
      <c r="EU95" s="139">
        <f t="shared" si="61"/>
        <v>0</v>
      </c>
      <c r="EV95" s="139">
        <f t="shared" si="62"/>
        <v>0</v>
      </c>
      <c r="EW95" s="139">
        <f t="shared" si="63"/>
        <v>0</v>
      </c>
      <c r="EX95" s="139">
        <f t="shared" si="64"/>
        <v>0</v>
      </c>
      <c r="EY95" s="139">
        <f t="shared" si="65"/>
        <v>0</v>
      </c>
      <c r="EZ95" s="139">
        <f t="shared" si="66"/>
        <v>0</v>
      </c>
      <c r="FA95" s="139">
        <f t="shared" si="67"/>
        <v>0</v>
      </c>
      <c r="FB95" s="139">
        <f t="shared" si="68"/>
        <v>0</v>
      </c>
      <c r="FC95" s="139">
        <f t="shared" si="69"/>
        <v>0</v>
      </c>
      <c r="FD95" s="139">
        <f t="shared" si="70"/>
        <v>0</v>
      </c>
      <c r="FE95" s="139">
        <f t="shared" si="71"/>
        <v>0</v>
      </c>
      <c r="FF95" s="139">
        <f t="shared" si="72"/>
        <v>0</v>
      </c>
      <c r="FG95" s="139">
        <f t="shared" si="73"/>
        <v>0</v>
      </c>
      <c r="FH95" s="139">
        <f t="shared" si="74"/>
        <v>0</v>
      </c>
      <c r="FI95" s="139">
        <f t="shared" si="75"/>
        <v>0</v>
      </c>
      <c r="FJ95" s="139">
        <f t="shared" si="76"/>
        <v>0</v>
      </c>
      <c r="FK95" s="139">
        <f t="shared" si="77"/>
        <v>0</v>
      </c>
      <c r="FL95" s="139">
        <f t="shared" si="78"/>
        <v>0</v>
      </c>
      <c r="FM95" s="139">
        <f t="shared" si="79"/>
        <v>0</v>
      </c>
      <c r="FN95" s="139">
        <f t="shared" si="80"/>
        <v>0</v>
      </c>
      <c r="FO95" s="139">
        <f t="shared" si="81"/>
        <v>0</v>
      </c>
      <c r="FP95" s="139">
        <f t="shared" si="82"/>
        <v>0</v>
      </c>
      <c r="FQ95" s="139">
        <f t="shared" si="83"/>
        <v>0</v>
      </c>
      <c r="FR95" s="139">
        <f t="shared" si="84"/>
        <v>0</v>
      </c>
      <c r="FS95" s="139">
        <f t="shared" si="85"/>
        <v>0</v>
      </c>
      <c r="FT95" s="139">
        <f t="shared" si="86"/>
        <v>0</v>
      </c>
      <c r="FU95" s="148">
        <f t="shared" si="87"/>
        <v>0</v>
      </c>
      <c r="FV95" s="149"/>
      <c r="FY95" s="214">
        <v>90</v>
      </c>
      <c r="FZ95">
        <v>0.6939944537811169</v>
      </c>
      <c r="GA95">
        <v>17.122842472042347</v>
      </c>
      <c r="GB95">
        <v>11.996122995149923</v>
      </c>
      <c r="GC95">
        <v>2.5941742499272618</v>
      </c>
      <c r="GD95">
        <v>6.8867586997110752</v>
      </c>
      <c r="GE95">
        <v>17.442170666286717</v>
      </c>
      <c r="GF95">
        <v>16.005572670866474</v>
      </c>
      <c r="GG95">
        <v>16.545966063496795</v>
      </c>
      <c r="GH95">
        <v>12.811420574047805</v>
      </c>
      <c r="GI95">
        <v>12.538395513711279</v>
      </c>
      <c r="GJ95"/>
      <c r="GK95"/>
      <c r="GL95"/>
      <c r="GM95"/>
    </row>
    <row r="96" spans="1:195" s="7" customFormat="1">
      <c r="A96" s="77"/>
      <c r="B96" s="76">
        <f t="shared" ca="1" si="50"/>
        <v>5.4660173070602447E-2</v>
      </c>
      <c r="C96">
        <v>1</v>
      </c>
      <c r="D96">
        <v>39646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73.227306607162305</v>
      </c>
      <c r="AO96">
        <v>15.092809138821536</v>
      </c>
      <c r="AP96">
        <v>78.020347120578322</v>
      </c>
      <c r="AQ96">
        <v>86.503814741707117</v>
      </c>
      <c r="AR96">
        <v>14.256363315540417</v>
      </c>
      <c r="AS96">
        <v>74.577586436418073</v>
      </c>
      <c r="AT96" t="e">
        <v>#DIV/0!</v>
      </c>
      <c r="AU96" t="e">
        <v>#DIV/0!</v>
      </c>
      <c r="AV96"/>
      <c r="AW96"/>
      <c r="AX96" s="151"/>
      <c r="AY96" s="76">
        <f t="shared" ca="1" si="88"/>
        <v>0.49366858304061223</v>
      </c>
      <c r="AZ96">
        <v>9</v>
      </c>
      <c r="BA96" s="129">
        <f t="shared" si="89"/>
        <v>39646</v>
      </c>
      <c r="BB96" s="207">
        <v>0</v>
      </c>
      <c r="BC96" s="207">
        <v>0</v>
      </c>
      <c r="BD96" s="207">
        <v>0</v>
      </c>
      <c r="BE96" s="207">
        <v>0</v>
      </c>
      <c r="BF96" s="207">
        <v>0</v>
      </c>
      <c r="BG96" s="207">
        <v>0</v>
      </c>
      <c r="BH96" s="207">
        <v>0</v>
      </c>
      <c r="BI96" s="207">
        <v>0</v>
      </c>
      <c r="BJ96" s="207">
        <v>0</v>
      </c>
      <c r="BK96" s="207">
        <v>0</v>
      </c>
      <c r="BL96" s="207">
        <v>0</v>
      </c>
      <c r="BM96" s="207">
        <v>0</v>
      </c>
      <c r="BN96" s="207">
        <v>0</v>
      </c>
      <c r="BO96" s="207">
        <v>0</v>
      </c>
      <c r="BP96" s="207">
        <v>0</v>
      </c>
      <c r="BQ96" s="207">
        <v>0</v>
      </c>
      <c r="BR96" s="207">
        <v>0</v>
      </c>
      <c r="BS96" s="207">
        <v>0</v>
      </c>
      <c r="BT96" s="207">
        <v>0</v>
      </c>
      <c r="BU96" s="207">
        <v>0</v>
      </c>
      <c r="BV96" s="207">
        <v>0</v>
      </c>
      <c r="BW96" s="207">
        <v>0</v>
      </c>
      <c r="BX96" s="207">
        <v>0</v>
      </c>
      <c r="BY96" s="207">
        <v>0</v>
      </c>
      <c r="BZ96" s="207">
        <v>0</v>
      </c>
      <c r="CA96" s="207">
        <v>0</v>
      </c>
      <c r="CB96" s="207">
        <v>0</v>
      </c>
      <c r="CC96" s="207">
        <v>0</v>
      </c>
      <c r="CD96" s="207">
        <v>0</v>
      </c>
      <c r="CE96" s="207">
        <v>0</v>
      </c>
      <c r="CF96" s="207">
        <v>0</v>
      </c>
      <c r="CG96" s="147"/>
      <c r="CH96" s="176"/>
      <c r="CJ96" s="151"/>
      <c r="CK96" s="76">
        <f t="shared" ca="1" si="90"/>
        <v>0.34946632472158301</v>
      </c>
      <c r="CL96" s="179">
        <f t="shared" si="91"/>
        <v>9</v>
      </c>
      <c r="CM96" s="180">
        <f t="shared" si="92"/>
        <v>39646</v>
      </c>
      <c r="CN96" s="208">
        <v>0</v>
      </c>
      <c r="CO96" s="208">
        <v>0</v>
      </c>
      <c r="CP96" s="208">
        <v>0</v>
      </c>
      <c r="CQ96" s="208">
        <v>0</v>
      </c>
      <c r="CR96" s="208">
        <v>0</v>
      </c>
      <c r="CS96" s="208">
        <v>0</v>
      </c>
      <c r="CT96" s="208">
        <v>0</v>
      </c>
      <c r="CU96" s="208">
        <v>0</v>
      </c>
      <c r="CV96" s="160"/>
      <c r="CW96">
        <v>1</v>
      </c>
      <c r="CX96">
        <v>1</v>
      </c>
      <c r="CY96" s="164"/>
      <c r="CZ96" s="177">
        <f t="shared" si="93"/>
        <v>9.6000000000000002E-2</v>
      </c>
      <c r="DB96" s="151"/>
      <c r="DC96" s="76">
        <f t="shared" ca="1" si="51"/>
        <v>0.54152491427323057</v>
      </c>
      <c r="DD96">
        <f t="shared" si="94"/>
        <v>9</v>
      </c>
      <c r="DE96" s="129">
        <f t="shared" si="52"/>
        <v>39646</v>
      </c>
      <c r="DF96" s="161">
        <f t="shared" si="95"/>
        <v>0</v>
      </c>
      <c r="DG96" s="161">
        <f t="shared" si="96"/>
        <v>0</v>
      </c>
      <c r="DH96" s="161">
        <f t="shared" si="97"/>
        <v>0</v>
      </c>
      <c r="DI96" s="161">
        <f t="shared" si="98"/>
        <v>0</v>
      </c>
      <c r="DJ96" s="161">
        <f t="shared" si="99"/>
        <v>0</v>
      </c>
      <c r="DK96" s="161">
        <f t="shared" si="100"/>
        <v>0</v>
      </c>
      <c r="DL96" s="161">
        <f t="shared" si="101"/>
        <v>0</v>
      </c>
      <c r="DM96" s="161">
        <f t="shared" si="102"/>
        <v>0</v>
      </c>
      <c r="DN96" s="161">
        <f t="shared" si="103"/>
        <v>0</v>
      </c>
      <c r="DO96" s="161">
        <f t="shared" si="104"/>
        <v>0</v>
      </c>
      <c r="DP96" s="161">
        <f t="shared" si="105"/>
        <v>0</v>
      </c>
      <c r="DQ96" s="161">
        <f t="shared" si="106"/>
        <v>0</v>
      </c>
      <c r="DR96" s="161">
        <f t="shared" si="107"/>
        <v>0</v>
      </c>
      <c r="DS96" s="161">
        <f t="shared" si="108"/>
        <v>0</v>
      </c>
      <c r="DT96" s="161">
        <f t="shared" si="109"/>
        <v>0</v>
      </c>
      <c r="DU96" s="161">
        <f t="shared" si="110"/>
        <v>0</v>
      </c>
      <c r="DV96" s="161">
        <f t="shared" si="111"/>
        <v>0</v>
      </c>
      <c r="DW96" s="161">
        <f t="shared" si="112"/>
        <v>0</v>
      </c>
      <c r="DX96" s="161">
        <f t="shared" si="113"/>
        <v>0</v>
      </c>
      <c r="DY96" s="161">
        <f t="shared" si="114"/>
        <v>0</v>
      </c>
      <c r="DZ96" s="161">
        <f t="shared" si="115"/>
        <v>0</v>
      </c>
      <c r="EA96" s="161">
        <f t="shared" si="116"/>
        <v>0</v>
      </c>
      <c r="EB96" s="161">
        <f t="shared" si="117"/>
        <v>0</v>
      </c>
      <c r="EC96" s="161">
        <f t="shared" si="118"/>
        <v>0</v>
      </c>
      <c r="ED96" s="161">
        <f t="shared" si="119"/>
        <v>0</v>
      </c>
      <c r="EE96" s="161">
        <f t="shared" si="120"/>
        <v>0</v>
      </c>
      <c r="EF96" s="161">
        <f t="shared" si="121"/>
        <v>0</v>
      </c>
      <c r="EG96" s="161">
        <f t="shared" si="122"/>
        <v>0</v>
      </c>
      <c r="EH96" s="161">
        <f t="shared" si="123"/>
        <v>0</v>
      </c>
      <c r="EI96" s="161">
        <f t="shared" si="124"/>
        <v>0</v>
      </c>
      <c r="EJ96" s="161">
        <f t="shared" si="125"/>
        <v>0</v>
      </c>
      <c r="EK96" s="147">
        <f t="shared" si="55"/>
        <v>0</v>
      </c>
      <c r="EL96" s="149"/>
      <c r="EN96" s="151"/>
      <c r="EO96" s="151"/>
      <c r="EP96" s="139">
        <f t="shared" si="56"/>
        <v>0</v>
      </c>
      <c r="EQ96" s="139">
        <f t="shared" si="57"/>
        <v>0</v>
      </c>
      <c r="ER96" s="139">
        <f t="shared" si="58"/>
        <v>0</v>
      </c>
      <c r="ES96" s="139">
        <f t="shared" si="59"/>
        <v>0</v>
      </c>
      <c r="ET96" s="139">
        <f t="shared" si="60"/>
        <v>0</v>
      </c>
      <c r="EU96" s="139">
        <f t="shared" si="61"/>
        <v>0</v>
      </c>
      <c r="EV96" s="139">
        <f t="shared" si="62"/>
        <v>0</v>
      </c>
      <c r="EW96" s="139">
        <f t="shared" si="63"/>
        <v>0</v>
      </c>
      <c r="EX96" s="139">
        <f t="shared" si="64"/>
        <v>0</v>
      </c>
      <c r="EY96" s="139">
        <f t="shared" si="65"/>
        <v>0</v>
      </c>
      <c r="EZ96" s="139">
        <f t="shared" si="66"/>
        <v>0</v>
      </c>
      <c r="FA96" s="139">
        <f t="shared" si="67"/>
        <v>0</v>
      </c>
      <c r="FB96" s="139">
        <f t="shared" si="68"/>
        <v>0</v>
      </c>
      <c r="FC96" s="139">
        <f t="shared" si="69"/>
        <v>0</v>
      </c>
      <c r="FD96" s="139">
        <f t="shared" si="70"/>
        <v>0</v>
      </c>
      <c r="FE96" s="139">
        <f t="shared" si="71"/>
        <v>0</v>
      </c>
      <c r="FF96" s="139">
        <f t="shared" si="72"/>
        <v>0</v>
      </c>
      <c r="FG96" s="139">
        <f t="shared" si="73"/>
        <v>0</v>
      </c>
      <c r="FH96" s="139">
        <f t="shared" si="74"/>
        <v>0</v>
      </c>
      <c r="FI96" s="139">
        <f t="shared" si="75"/>
        <v>0</v>
      </c>
      <c r="FJ96" s="139">
        <f t="shared" si="76"/>
        <v>0</v>
      </c>
      <c r="FK96" s="139">
        <f t="shared" si="77"/>
        <v>0</v>
      </c>
      <c r="FL96" s="139">
        <f t="shared" si="78"/>
        <v>0</v>
      </c>
      <c r="FM96" s="139">
        <f t="shared" si="79"/>
        <v>0</v>
      </c>
      <c r="FN96" s="139">
        <f t="shared" si="80"/>
        <v>0</v>
      </c>
      <c r="FO96" s="139">
        <f t="shared" si="81"/>
        <v>0</v>
      </c>
      <c r="FP96" s="139">
        <f t="shared" si="82"/>
        <v>0</v>
      </c>
      <c r="FQ96" s="139">
        <f t="shared" si="83"/>
        <v>0</v>
      </c>
      <c r="FR96" s="139">
        <f t="shared" si="84"/>
        <v>0</v>
      </c>
      <c r="FS96" s="139">
        <f t="shared" si="85"/>
        <v>0</v>
      </c>
      <c r="FT96" s="139">
        <f t="shared" si="86"/>
        <v>0</v>
      </c>
      <c r="FU96" s="148">
        <f t="shared" si="87"/>
        <v>0</v>
      </c>
      <c r="FV96" s="149"/>
      <c r="FY96" s="214">
        <v>91</v>
      </c>
      <c r="FZ96">
        <v>1.126873885884319</v>
      </c>
      <c r="GA96">
        <v>2.0030540516386059</v>
      </c>
      <c r="GB96">
        <v>5.7317564073053537</v>
      </c>
      <c r="GC96">
        <v>3.6435663874400275</v>
      </c>
      <c r="GD96">
        <v>1.155631780973597</v>
      </c>
      <c r="GE96">
        <v>4.663411467070965</v>
      </c>
      <c r="GF96">
        <v>14.724914099251968</v>
      </c>
      <c r="GG96">
        <v>8.5780172509001442</v>
      </c>
      <c r="GH96">
        <v>2.3440362398958201</v>
      </c>
      <c r="GI96">
        <v>5.5554104725315048</v>
      </c>
      <c r="GJ96"/>
      <c r="GK96"/>
      <c r="GL96"/>
      <c r="GM96"/>
    </row>
    <row r="97" spans="1:195" s="7" customFormat="1">
      <c r="A97" s="77"/>
      <c r="B97" s="76">
        <f t="shared" ca="1" si="50"/>
        <v>0.97956261726726024</v>
      </c>
      <c r="C97">
        <v>3</v>
      </c>
      <c r="D97">
        <v>39646</v>
      </c>
      <c r="E97">
        <v>0</v>
      </c>
      <c r="F97">
        <v>10.416666666666666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86.473773195489485</v>
      </c>
      <c r="AO97">
        <v>17.552134531666198</v>
      </c>
      <c r="AP97">
        <v>72.329531913501441</v>
      </c>
      <c r="AQ97">
        <v>107.08346959377933</v>
      </c>
      <c r="AR97">
        <v>16.327068611142263</v>
      </c>
      <c r="AS97">
        <v>82.050522999422611</v>
      </c>
      <c r="AT97">
        <v>9.386938584972464</v>
      </c>
      <c r="AU97">
        <v>-16.238902501909745</v>
      </c>
      <c r="AV97"/>
      <c r="AW97"/>
      <c r="AX97" s="151"/>
      <c r="AY97" s="76">
        <f t="shared" ca="1" si="88"/>
        <v>0.82184602593578271</v>
      </c>
      <c r="AZ97">
        <v>10</v>
      </c>
      <c r="BA97" s="129">
        <f t="shared" si="89"/>
        <v>39646</v>
      </c>
      <c r="BB97" s="207">
        <v>0</v>
      </c>
      <c r="BC97" s="207">
        <v>0</v>
      </c>
      <c r="BD97" s="207">
        <v>0</v>
      </c>
      <c r="BE97" s="207">
        <v>0</v>
      </c>
      <c r="BF97" s="207">
        <v>0</v>
      </c>
      <c r="BG97" s="207">
        <v>0</v>
      </c>
      <c r="BH97" s="207">
        <v>0</v>
      </c>
      <c r="BI97" s="207">
        <v>0</v>
      </c>
      <c r="BJ97" s="207">
        <v>0</v>
      </c>
      <c r="BK97" s="207">
        <v>0</v>
      </c>
      <c r="BL97" s="207">
        <v>0</v>
      </c>
      <c r="BM97" s="207">
        <v>0</v>
      </c>
      <c r="BN97" s="207">
        <v>0</v>
      </c>
      <c r="BO97" s="207">
        <v>0</v>
      </c>
      <c r="BP97" s="207">
        <v>0</v>
      </c>
      <c r="BQ97" s="207">
        <v>0</v>
      </c>
      <c r="BR97" s="207">
        <v>0</v>
      </c>
      <c r="BS97" s="207">
        <v>0</v>
      </c>
      <c r="BT97" s="207">
        <v>0</v>
      </c>
      <c r="BU97" s="207">
        <v>0</v>
      </c>
      <c r="BV97" s="207">
        <v>0</v>
      </c>
      <c r="BW97" s="207">
        <v>0</v>
      </c>
      <c r="BX97" s="207">
        <v>0</v>
      </c>
      <c r="BY97" s="207">
        <v>0</v>
      </c>
      <c r="BZ97" s="207">
        <v>0</v>
      </c>
      <c r="CA97" s="207">
        <v>0</v>
      </c>
      <c r="CB97" s="207">
        <v>0</v>
      </c>
      <c r="CC97" s="207">
        <v>0</v>
      </c>
      <c r="CD97" s="207">
        <v>0</v>
      </c>
      <c r="CE97" s="207">
        <v>0</v>
      </c>
      <c r="CF97" s="207">
        <v>0</v>
      </c>
      <c r="CG97" s="147"/>
      <c r="CH97" s="176"/>
      <c r="CJ97" s="151"/>
      <c r="CK97" s="76">
        <f t="shared" ca="1" si="90"/>
        <v>0.77319614860032471</v>
      </c>
      <c r="CL97" s="179">
        <f t="shared" si="91"/>
        <v>10</v>
      </c>
      <c r="CM97" s="180">
        <f t="shared" si="92"/>
        <v>39646</v>
      </c>
      <c r="CN97" s="208">
        <v>0</v>
      </c>
      <c r="CO97" s="208">
        <v>0</v>
      </c>
      <c r="CP97" s="208">
        <v>0</v>
      </c>
      <c r="CQ97" s="208">
        <v>0</v>
      </c>
      <c r="CR97" s="208">
        <v>0</v>
      </c>
      <c r="CS97" s="208">
        <v>0</v>
      </c>
      <c r="CT97" s="208">
        <v>0</v>
      </c>
      <c r="CU97" s="208">
        <v>0</v>
      </c>
      <c r="CV97" s="160"/>
      <c r="CW97">
        <v>1</v>
      </c>
      <c r="CX97">
        <v>2</v>
      </c>
      <c r="CY97" s="164"/>
      <c r="CZ97" s="177">
        <f t="shared" si="93"/>
        <v>9.6000000000000002E-2</v>
      </c>
      <c r="DB97" s="151"/>
      <c r="DC97" s="76">
        <f t="shared" ca="1" si="51"/>
        <v>0.73772014031492383</v>
      </c>
      <c r="DD97">
        <f t="shared" si="94"/>
        <v>10</v>
      </c>
      <c r="DE97" s="129">
        <f t="shared" si="52"/>
        <v>39646</v>
      </c>
      <c r="DF97" s="161">
        <f t="shared" si="95"/>
        <v>0</v>
      </c>
      <c r="DG97" s="161">
        <f t="shared" si="96"/>
        <v>0</v>
      </c>
      <c r="DH97" s="161">
        <f t="shared" si="97"/>
        <v>0</v>
      </c>
      <c r="DI97" s="161">
        <f t="shared" si="98"/>
        <v>0</v>
      </c>
      <c r="DJ97" s="161">
        <f t="shared" si="99"/>
        <v>0</v>
      </c>
      <c r="DK97" s="161">
        <f t="shared" si="100"/>
        <v>0</v>
      </c>
      <c r="DL97" s="161">
        <f t="shared" si="101"/>
        <v>0</v>
      </c>
      <c r="DM97" s="161">
        <f t="shared" si="102"/>
        <v>0</v>
      </c>
      <c r="DN97" s="161">
        <f t="shared" si="103"/>
        <v>0</v>
      </c>
      <c r="DO97" s="161">
        <f t="shared" si="104"/>
        <v>0</v>
      </c>
      <c r="DP97" s="161">
        <f t="shared" si="105"/>
        <v>0</v>
      </c>
      <c r="DQ97" s="161">
        <f t="shared" si="106"/>
        <v>0</v>
      </c>
      <c r="DR97" s="161">
        <f t="shared" si="107"/>
        <v>0</v>
      </c>
      <c r="DS97" s="161">
        <f t="shared" si="108"/>
        <v>0</v>
      </c>
      <c r="DT97" s="161">
        <f t="shared" si="109"/>
        <v>0</v>
      </c>
      <c r="DU97" s="161">
        <f t="shared" si="110"/>
        <v>0</v>
      </c>
      <c r="DV97" s="161">
        <f t="shared" si="111"/>
        <v>0</v>
      </c>
      <c r="DW97" s="161">
        <f t="shared" si="112"/>
        <v>0</v>
      </c>
      <c r="DX97" s="161">
        <f t="shared" si="113"/>
        <v>0</v>
      </c>
      <c r="DY97" s="161">
        <f t="shared" si="114"/>
        <v>0</v>
      </c>
      <c r="DZ97" s="161">
        <f t="shared" si="115"/>
        <v>0</v>
      </c>
      <c r="EA97" s="161">
        <f t="shared" si="116"/>
        <v>0</v>
      </c>
      <c r="EB97" s="161">
        <f t="shared" si="117"/>
        <v>0</v>
      </c>
      <c r="EC97" s="161">
        <f t="shared" si="118"/>
        <v>0</v>
      </c>
      <c r="ED97" s="161">
        <f t="shared" si="119"/>
        <v>0</v>
      </c>
      <c r="EE97" s="161">
        <f t="shared" si="120"/>
        <v>0</v>
      </c>
      <c r="EF97" s="161">
        <f t="shared" si="121"/>
        <v>0</v>
      </c>
      <c r="EG97" s="161">
        <f t="shared" si="122"/>
        <v>0</v>
      </c>
      <c r="EH97" s="161">
        <f t="shared" si="123"/>
        <v>0</v>
      </c>
      <c r="EI97" s="161">
        <f t="shared" si="124"/>
        <v>0</v>
      </c>
      <c r="EJ97" s="161">
        <f t="shared" si="125"/>
        <v>0</v>
      </c>
      <c r="EK97" s="147">
        <f t="shared" si="55"/>
        <v>0</v>
      </c>
      <c r="EL97" s="149"/>
      <c r="EN97" s="151"/>
      <c r="EO97" s="151"/>
      <c r="EP97" s="139">
        <f t="shared" si="56"/>
        <v>0</v>
      </c>
      <c r="EQ97" s="139">
        <f t="shared" si="57"/>
        <v>0</v>
      </c>
      <c r="ER97" s="139">
        <f t="shared" si="58"/>
        <v>0</v>
      </c>
      <c r="ES97" s="139">
        <f t="shared" si="59"/>
        <v>0</v>
      </c>
      <c r="ET97" s="139">
        <f t="shared" si="60"/>
        <v>0</v>
      </c>
      <c r="EU97" s="139">
        <f t="shared" si="61"/>
        <v>0</v>
      </c>
      <c r="EV97" s="139">
        <f t="shared" si="62"/>
        <v>0</v>
      </c>
      <c r="EW97" s="139">
        <f t="shared" si="63"/>
        <v>0</v>
      </c>
      <c r="EX97" s="139">
        <f t="shared" si="64"/>
        <v>0</v>
      </c>
      <c r="EY97" s="139">
        <f t="shared" si="65"/>
        <v>0</v>
      </c>
      <c r="EZ97" s="139">
        <f t="shared" si="66"/>
        <v>0</v>
      </c>
      <c r="FA97" s="139">
        <f t="shared" si="67"/>
        <v>0</v>
      </c>
      <c r="FB97" s="139">
        <f t="shared" si="68"/>
        <v>0</v>
      </c>
      <c r="FC97" s="139">
        <f t="shared" si="69"/>
        <v>0</v>
      </c>
      <c r="FD97" s="139">
        <f t="shared" si="70"/>
        <v>0</v>
      </c>
      <c r="FE97" s="139">
        <f t="shared" si="71"/>
        <v>0</v>
      </c>
      <c r="FF97" s="139">
        <f t="shared" si="72"/>
        <v>0</v>
      </c>
      <c r="FG97" s="139">
        <f t="shared" si="73"/>
        <v>0</v>
      </c>
      <c r="FH97" s="139">
        <f t="shared" si="74"/>
        <v>0</v>
      </c>
      <c r="FI97" s="139">
        <f t="shared" si="75"/>
        <v>0</v>
      </c>
      <c r="FJ97" s="139">
        <f t="shared" si="76"/>
        <v>0</v>
      </c>
      <c r="FK97" s="139">
        <f t="shared" si="77"/>
        <v>0</v>
      </c>
      <c r="FL97" s="139">
        <f t="shared" si="78"/>
        <v>0</v>
      </c>
      <c r="FM97" s="139">
        <f t="shared" si="79"/>
        <v>0</v>
      </c>
      <c r="FN97" s="139">
        <f t="shared" si="80"/>
        <v>0</v>
      </c>
      <c r="FO97" s="139">
        <f t="shared" si="81"/>
        <v>0</v>
      </c>
      <c r="FP97" s="139">
        <f t="shared" si="82"/>
        <v>0</v>
      </c>
      <c r="FQ97" s="139">
        <f t="shared" si="83"/>
        <v>0</v>
      </c>
      <c r="FR97" s="139">
        <f t="shared" si="84"/>
        <v>0</v>
      </c>
      <c r="FS97" s="139">
        <f t="shared" si="85"/>
        <v>0</v>
      </c>
      <c r="FT97" s="139">
        <f t="shared" si="86"/>
        <v>0</v>
      </c>
      <c r="FU97" s="148">
        <f t="shared" si="87"/>
        <v>0</v>
      </c>
      <c r="FV97" s="149"/>
      <c r="FY97" s="214">
        <v>92</v>
      </c>
      <c r="FZ97">
        <v>0.94152754840161279</v>
      </c>
      <c r="GA97">
        <v>11.04759590429639</v>
      </c>
      <c r="GB97">
        <v>7.3799392758803481</v>
      </c>
      <c r="GC97">
        <v>1.9499041245803868</v>
      </c>
      <c r="GD97">
        <v>8.0224883708100059</v>
      </c>
      <c r="GE97">
        <v>26.329177159437364</v>
      </c>
      <c r="GF97">
        <v>31.411072878031991</v>
      </c>
      <c r="GG97">
        <v>18.138413177327198</v>
      </c>
      <c r="GH97">
        <v>10.553300629044855</v>
      </c>
      <c r="GI97">
        <v>14.812816292703012</v>
      </c>
      <c r="GJ97"/>
      <c r="GK97"/>
      <c r="GL97"/>
      <c r="GM97"/>
    </row>
    <row r="98" spans="1:195" s="7" customFormat="1">
      <c r="A98" s="128"/>
      <c r="B98" s="76">
        <f t="shared" ca="1" si="50"/>
        <v>0.15391038327793094</v>
      </c>
      <c r="C98">
        <v>6</v>
      </c>
      <c r="D98">
        <v>39673</v>
      </c>
      <c r="E98">
        <v>0</v>
      </c>
      <c r="F98">
        <v>0</v>
      </c>
      <c r="G98">
        <v>0</v>
      </c>
      <c r="H98">
        <v>0</v>
      </c>
      <c r="I98">
        <v>10.416666666666666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97.529234400929084</v>
      </c>
      <c r="AO98">
        <v>18.860073251254192</v>
      </c>
      <c r="AP98">
        <v>79.554859066496192</v>
      </c>
      <c r="AQ98">
        <v>106.60429188138313</v>
      </c>
      <c r="AR98">
        <v>17.324707825616819</v>
      </c>
      <c r="AS98">
        <v>94.969447154119493</v>
      </c>
      <c r="AT98">
        <v>9.6421969227266473</v>
      </c>
      <c r="AU98">
        <v>22.714362368392091</v>
      </c>
      <c r="AV98"/>
      <c r="AW98"/>
      <c r="AX98" s="128"/>
      <c r="AY98" s="76">
        <f t="shared" ca="1" si="88"/>
        <v>7.703188073346201E-2</v>
      </c>
      <c r="AZ98">
        <v>1</v>
      </c>
      <c r="BA98" s="129">
        <f>IF(AZ98="", "",$C$5)</f>
        <v>39673</v>
      </c>
      <c r="BB98" s="207">
        <v>0</v>
      </c>
      <c r="BC98" s="207">
        <v>0</v>
      </c>
      <c r="BD98" s="207">
        <v>0</v>
      </c>
      <c r="BE98" s="207">
        <v>1</v>
      </c>
      <c r="BF98" s="207">
        <v>0</v>
      </c>
      <c r="BG98" s="207">
        <v>0</v>
      </c>
      <c r="BH98" s="207">
        <v>0</v>
      </c>
      <c r="BI98" s="207">
        <v>0</v>
      </c>
      <c r="BJ98" s="207">
        <v>0</v>
      </c>
      <c r="BK98" s="207">
        <v>0</v>
      </c>
      <c r="BL98" s="207">
        <v>0</v>
      </c>
      <c r="BM98" s="207">
        <v>0</v>
      </c>
      <c r="BN98" s="207">
        <v>0</v>
      </c>
      <c r="BO98" s="207">
        <v>0</v>
      </c>
      <c r="BP98" s="207">
        <v>0</v>
      </c>
      <c r="BQ98" s="207">
        <v>0</v>
      </c>
      <c r="BR98" s="207">
        <v>0</v>
      </c>
      <c r="BS98" s="207">
        <v>0</v>
      </c>
      <c r="BT98" s="207">
        <v>0</v>
      </c>
      <c r="BU98" s="207">
        <v>0</v>
      </c>
      <c r="BV98" s="207">
        <v>0</v>
      </c>
      <c r="BW98" s="207">
        <v>0</v>
      </c>
      <c r="BX98" s="207">
        <v>0</v>
      </c>
      <c r="BY98" s="207">
        <v>0</v>
      </c>
      <c r="BZ98" s="207">
        <v>0</v>
      </c>
      <c r="CA98" s="207">
        <v>0</v>
      </c>
      <c r="CB98" s="207">
        <v>0</v>
      </c>
      <c r="CC98" s="207">
        <v>0</v>
      </c>
      <c r="CD98" s="207">
        <v>0</v>
      </c>
      <c r="CE98" s="207">
        <v>0</v>
      </c>
      <c r="CF98" s="207">
        <v>0</v>
      </c>
      <c r="CG98" s="147"/>
      <c r="CH98" s="176"/>
      <c r="CJ98" s="128"/>
      <c r="CK98" s="76">
        <f t="shared" ca="1" si="90"/>
        <v>0.35890967632963999</v>
      </c>
      <c r="CL98" s="179">
        <f t="shared" si="91"/>
        <v>1</v>
      </c>
      <c r="CM98" s="180">
        <f t="shared" si="92"/>
        <v>39673</v>
      </c>
      <c r="CN98" s="208">
        <v>0</v>
      </c>
      <c r="CO98" s="208">
        <v>0</v>
      </c>
      <c r="CP98" s="208">
        <v>0</v>
      </c>
      <c r="CQ98" s="208">
        <v>0</v>
      </c>
      <c r="CR98" s="208">
        <v>0</v>
      </c>
      <c r="CS98" s="208">
        <v>0</v>
      </c>
      <c r="CT98" s="208">
        <v>0</v>
      </c>
      <c r="CU98" s="208">
        <v>0</v>
      </c>
      <c r="CW98">
        <v>1</v>
      </c>
      <c r="CX98">
        <v>1</v>
      </c>
      <c r="CY98" s="158"/>
      <c r="CZ98" s="177">
        <f t="shared" si="93"/>
        <v>9.6000000000000002E-2</v>
      </c>
      <c r="DB98" s="128"/>
      <c r="DC98" s="76">
        <f t="shared" ca="1" si="51"/>
        <v>0.26009223366124967</v>
      </c>
      <c r="DD98">
        <f t="shared" si="94"/>
        <v>1</v>
      </c>
      <c r="DE98" s="129">
        <f t="shared" ref="DE98:DE107" si="126">IF((DD98)="", "", $C$5)</f>
        <v>39673</v>
      </c>
      <c r="DF98" s="161">
        <f t="shared" si="95"/>
        <v>0</v>
      </c>
      <c r="DG98" s="161">
        <f t="shared" si="96"/>
        <v>0</v>
      </c>
      <c r="DH98" s="161">
        <f t="shared" si="97"/>
        <v>0</v>
      </c>
      <c r="DI98" s="161">
        <f t="shared" si="98"/>
        <v>10.416666666666666</v>
      </c>
      <c r="DJ98" s="161">
        <f t="shared" si="99"/>
        <v>0</v>
      </c>
      <c r="DK98" s="161">
        <f t="shared" si="100"/>
        <v>0</v>
      </c>
      <c r="DL98" s="161">
        <f t="shared" si="101"/>
        <v>0</v>
      </c>
      <c r="DM98" s="161">
        <f t="shared" si="102"/>
        <v>0</v>
      </c>
      <c r="DN98" s="161">
        <f t="shared" si="103"/>
        <v>0</v>
      </c>
      <c r="DO98" s="161">
        <f t="shared" si="104"/>
        <v>0</v>
      </c>
      <c r="DP98" s="161">
        <f t="shared" si="105"/>
        <v>0</v>
      </c>
      <c r="DQ98" s="161">
        <f t="shared" si="106"/>
        <v>0</v>
      </c>
      <c r="DR98" s="161">
        <f t="shared" si="107"/>
        <v>0</v>
      </c>
      <c r="DS98" s="161">
        <f t="shared" si="108"/>
        <v>0</v>
      </c>
      <c r="DT98" s="161">
        <f t="shared" si="109"/>
        <v>0</v>
      </c>
      <c r="DU98" s="161">
        <f t="shared" si="110"/>
        <v>0</v>
      </c>
      <c r="DV98" s="161">
        <f t="shared" si="111"/>
        <v>0</v>
      </c>
      <c r="DW98" s="161">
        <f t="shared" si="112"/>
        <v>0</v>
      </c>
      <c r="DX98" s="161">
        <f t="shared" si="113"/>
        <v>0</v>
      </c>
      <c r="DY98" s="161">
        <f t="shared" si="114"/>
        <v>0</v>
      </c>
      <c r="DZ98" s="161">
        <f t="shared" si="115"/>
        <v>0</v>
      </c>
      <c r="EA98" s="161">
        <f t="shared" si="116"/>
        <v>0</v>
      </c>
      <c r="EB98" s="161">
        <f t="shared" si="117"/>
        <v>0</v>
      </c>
      <c r="EC98" s="161">
        <f t="shared" si="118"/>
        <v>0</v>
      </c>
      <c r="ED98" s="161">
        <f t="shared" si="119"/>
        <v>0</v>
      </c>
      <c r="EE98" s="161">
        <f t="shared" si="120"/>
        <v>0</v>
      </c>
      <c r="EF98" s="161">
        <f t="shared" si="121"/>
        <v>0</v>
      </c>
      <c r="EG98" s="161">
        <f t="shared" si="122"/>
        <v>0</v>
      </c>
      <c r="EH98" s="161">
        <f t="shared" si="123"/>
        <v>0</v>
      </c>
      <c r="EI98" s="161">
        <f t="shared" si="124"/>
        <v>0</v>
      </c>
      <c r="EJ98" s="161">
        <f t="shared" si="125"/>
        <v>0</v>
      </c>
      <c r="EK98" s="147">
        <f t="shared" si="55"/>
        <v>10.416666666666666</v>
      </c>
      <c r="EL98" s="149"/>
      <c r="EN98" s="146"/>
      <c r="EO98" s="146"/>
      <c r="EP98" s="139">
        <f t="shared" si="56"/>
        <v>0</v>
      </c>
      <c r="EQ98" s="139">
        <f t="shared" si="57"/>
        <v>0</v>
      </c>
      <c r="ER98" s="139">
        <f t="shared" si="58"/>
        <v>0</v>
      </c>
      <c r="ES98" s="139">
        <f t="shared" si="59"/>
        <v>1.3430226741681857</v>
      </c>
      <c r="ET98" s="139">
        <f t="shared" si="60"/>
        <v>0</v>
      </c>
      <c r="EU98" s="139">
        <f t="shared" si="61"/>
        <v>0</v>
      </c>
      <c r="EV98" s="139">
        <f t="shared" si="62"/>
        <v>0</v>
      </c>
      <c r="EW98" s="139">
        <f t="shared" si="63"/>
        <v>0</v>
      </c>
      <c r="EX98" s="139">
        <f t="shared" si="64"/>
        <v>0</v>
      </c>
      <c r="EY98" s="139">
        <f t="shared" si="65"/>
        <v>0</v>
      </c>
      <c r="EZ98" s="139">
        <f t="shared" si="66"/>
        <v>0</v>
      </c>
      <c r="FA98" s="139">
        <f t="shared" si="67"/>
        <v>0</v>
      </c>
      <c r="FB98" s="139">
        <f t="shared" si="68"/>
        <v>0</v>
      </c>
      <c r="FC98" s="139">
        <f t="shared" si="69"/>
        <v>0</v>
      </c>
      <c r="FD98" s="139">
        <f t="shared" si="70"/>
        <v>0</v>
      </c>
      <c r="FE98" s="139">
        <f t="shared" si="71"/>
        <v>0</v>
      </c>
      <c r="FF98" s="139">
        <f t="shared" si="72"/>
        <v>0</v>
      </c>
      <c r="FG98" s="139">
        <f t="shared" si="73"/>
        <v>0</v>
      </c>
      <c r="FH98" s="139">
        <f t="shared" si="74"/>
        <v>0</v>
      </c>
      <c r="FI98" s="139">
        <f t="shared" si="75"/>
        <v>0</v>
      </c>
      <c r="FJ98" s="139">
        <f t="shared" si="76"/>
        <v>0</v>
      </c>
      <c r="FK98" s="139">
        <f t="shared" si="77"/>
        <v>0</v>
      </c>
      <c r="FL98" s="139">
        <f t="shared" si="78"/>
        <v>0</v>
      </c>
      <c r="FM98" s="139">
        <f t="shared" si="79"/>
        <v>0</v>
      </c>
      <c r="FN98" s="139">
        <f t="shared" si="80"/>
        <v>0</v>
      </c>
      <c r="FO98" s="139">
        <f t="shared" si="81"/>
        <v>0</v>
      </c>
      <c r="FP98" s="139">
        <f t="shared" si="82"/>
        <v>0</v>
      </c>
      <c r="FQ98" s="139">
        <f t="shared" si="83"/>
        <v>0</v>
      </c>
      <c r="FR98" s="139">
        <f t="shared" si="84"/>
        <v>0</v>
      </c>
      <c r="FS98" s="139">
        <f t="shared" si="85"/>
        <v>0</v>
      </c>
      <c r="FT98" s="139">
        <f t="shared" si="86"/>
        <v>0</v>
      </c>
      <c r="FU98" s="148">
        <f t="shared" si="87"/>
        <v>1.3430226741681857</v>
      </c>
      <c r="FV98" s="149"/>
      <c r="FY98" s="214">
        <v>93</v>
      </c>
      <c r="FZ98">
        <v>1.6119033563646799</v>
      </c>
      <c r="GA98">
        <v>11.707193005894053</v>
      </c>
      <c r="GB98">
        <v>12.145409926138306</v>
      </c>
      <c r="GC98">
        <v>4.4390318494528422</v>
      </c>
      <c r="GD98">
        <v>2.9535521408963294</v>
      </c>
      <c r="GE98">
        <v>10.824686283816622</v>
      </c>
      <c r="GF98">
        <v>13.381566909819032</v>
      </c>
      <c r="GG98">
        <v>3.887181311386271</v>
      </c>
      <c r="GH98">
        <v>3.91003771140999</v>
      </c>
      <c r="GI98">
        <v>8.1885729158612897</v>
      </c>
      <c r="GJ98"/>
      <c r="GK98"/>
      <c r="GL98"/>
      <c r="GM98"/>
    </row>
    <row r="99" spans="1:195" s="7" customFormat="1">
      <c r="A99" s="1"/>
      <c r="B99" s="76">
        <f t="shared" ca="1" si="50"/>
        <v>0.48603772797167299</v>
      </c>
      <c r="C99">
        <v>4</v>
      </c>
      <c r="D99">
        <v>39673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74.581969286093141</v>
      </c>
      <c r="AO99">
        <v>14.722790416711344</v>
      </c>
      <c r="AP99">
        <v>90.28868281824704</v>
      </c>
      <c r="AQ99">
        <v>91.735466626527213</v>
      </c>
      <c r="AR99">
        <v>13.563541612396047</v>
      </c>
      <c r="AS99">
        <v>70.345938662611076</v>
      </c>
      <c r="AT99">
        <v>7.7928364658532923</v>
      </c>
      <c r="AU99">
        <v>4.2209528469064788</v>
      </c>
      <c r="AV99"/>
      <c r="AW99"/>
      <c r="AX99" s="146"/>
      <c r="AY99" s="76">
        <f t="shared" ca="1" si="88"/>
        <v>0.68226767172718805</v>
      </c>
      <c r="AZ99">
        <v>2</v>
      </c>
      <c r="BA99" s="129">
        <f t="shared" ref="BA99:BA107" si="127">IF(AZ99="", "",$C$5)</f>
        <v>39673</v>
      </c>
      <c r="BB99" s="207">
        <v>0</v>
      </c>
      <c r="BC99" s="207">
        <v>0</v>
      </c>
      <c r="BD99" s="207">
        <v>0</v>
      </c>
      <c r="BE99" s="207">
        <v>0</v>
      </c>
      <c r="BF99" s="207">
        <v>0</v>
      </c>
      <c r="BG99" s="207">
        <v>0</v>
      </c>
      <c r="BH99" s="207">
        <v>0</v>
      </c>
      <c r="BI99" s="207">
        <v>0</v>
      </c>
      <c r="BJ99" s="207">
        <v>0</v>
      </c>
      <c r="BK99" s="207">
        <v>0</v>
      </c>
      <c r="BL99" s="207">
        <v>0</v>
      </c>
      <c r="BM99" s="207">
        <v>0</v>
      </c>
      <c r="BN99" s="207">
        <v>0</v>
      </c>
      <c r="BO99" s="207">
        <v>0</v>
      </c>
      <c r="BP99" s="207">
        <v>0</v>
      </c>
      <c r="BQ99" s="207">
        <v>0</v>
      </c>
      <c r="BR99" s="207">
        <v>0</v>
      </c>
      <c r="BS99" s="207">
        <v>0</v>
      </c>
      <c r="BT99" s="207">
        <v>0</v>
      </c>
      <c r="BU99" s="207">
        <v>0</v>
      </c>
      <c r="BV99" s="207">
        <v>0</v>
      </c>
      <c r="BW99" s="207">
        <v>0</v>
      </c>
      <c r="BX99" s="207">
        <v>0</v>
      </c>
      <c r="BY99" s="207">
        <v>0</v>
      </c>
      <c r="BZ99" s="207">
        <v>0</v>
      </c>
      <c r="CA99" s="207">
        <v>0</v>
      </c>
      <c r="CB99" s="207">
        <v>0</v>
      </c>
      <c r="CC99" s="207">
        <v>0</v>
      </c>
      <c r="CD99" s="207">
        <v>0</v>
      </c>
      <c r="CE99" s="207">
        <v>0</v>
      </c>
      <c r="CF99" s="207">
        <v>0</v>
      </c>
      <c r="CG99" s="147"/>
      <c r="CH99" s="176"/>
      <c r="CJ99" s="146"/>
      <c r="CK99" s="76">
        <f t="shared" ca="1" si="90"/>
        <v>0.10803798374460172</v>
      </c>
      <c r="CL99" s="179">
        <f t="shared" si="91"/>
        <v>2</v>
      </c>
      <c r="CM99" s="180">
        <f t="shared" si="92"/>
        <v>39673</v>
      </c>
      <c r="CN99" s="208">
        <v>0</v>
      </c>
      <c r="CO99" s="208">
        <v>0</v>
      </c>
      <c r="CP99" s="208">
        <v>0</v>
      </c>
      <c r="CQ99" s="208">
        <v>0</v>
      </c>
      <c r="CR99" s="208">
        <v>0</v>
      </c>
      <c r="CS99" s="208">
        <v>0</v>
      </c>
      <c r="CT99" s="208">
        <v>0</v>
      </c>
      <c r="CU99" s="208">
        <v>0</v>
      </c>
      <c r="CW99">
        <v>1</v>
      </c>
      <c r="CX99">
        <v>6</v>
      </c>
      <c r="CY99" s="158"/>
      <c r="CZ99" s="177">
        <f t="shared" si="93"/>
        <v>9.6000000000000002E-2</v>
      </c>
      <c r="DB99" s="146"/>
      <c r="DC99" s="76">
        <f t="shared" ca="1" si="51"/>
        <v>0.31709951952452631</v>
      </c>
      <c r="DD99">
        <f t="shared" si="94"/>
        <v>2</v>
      </c>
      <c r="DE99" s="129">
        <f t="shared" si="126"/>
        <v>39673</v>
      </c>
      <c r="DF99" s="161">
        <f t="shared" si="95"/>
        <v>0</v>
      </c>
      <c r="DG99" s="161">
        <f t="shared" si="96"/>
        <v>0</v>
      </c>
      <c r="DH99" s="161">
        <f t="shared" si="97"/>
        <v>0</v>
      </c>
      <c r="DI99" s="161">
        <f t="shared" si="98"/>
        <v>0</v>
      </c>
      <c r="DJ99" s="161">
        <f t="shared" si="99"/>
        <v>0</v>
      </c>
      <c r="DK99" s="161">
        <f t="shared" si="100"/>
        <v>0</v>
      </c>
      <c r="DL99" s="161">
        <f t="shared" si="101"/>
        <v>0</v>
      </c>
      <c r="DM99" s="161">
        <f t="shared" si="102"/>
        <v>0</v>
      </c>
      <c r="DN99" s="161">
        <f t="shared" si="103"/>
        <v>0</v>
      </c>
      <c r="DO99" s="161">
        <f t="shared" si="104"/>
        <v>0</v>
      </c>
      <c r="DP99" s="161">
        <f t="shared" si="105"/>
        <v>0</v>
      </c>
      <c r="DQ99" s="161">
        <f t="shared" si="106"/>
        <v>0</v>
      </c>
      <c r="DR99" s="161">
        <f t="shared" si="107"/>
        <v>0</v>
      </c>
      <c r="DS99" s="161">
        <f t="shared" si="108"/>
        <v>0</v>
      </c>
      <c r="DT99" s="161">
        <f t="shared" si="109"/>
        <v>0</v>
      </c>
      <c r="DU99" s="161">
        <f t="shared" si="110"/>
        <v>0</v>
      </c>
      <c r="DV99" s="161">
        <f t="shared" si="111"/>
        <v>0</v>
      </c>
      <c r="DW99" s="161">
        <f t="shared" si="112"/>
        <v>0</v>
      </c>
      <c r="DX99" s="161">
        <f t="shared" si="113"/>
        <v>0</v>
      </c>
      <c r="DY99" s="161">
        <f t="shared" si="114"/>
        <v>0</v>
      </c>
      <c r="DZ99" s="161">
        <f t="shared" si="115"/>
        <v>0</v>
      </c>
      <c r="EA99" s="161">
        <f t="shared" si="116"/>
        <v>0</v>
      </c>
      <c r="EB99" s="161">
        <f t="shared" si="117"/>
        <v>0</v>
      </c>
      <c r="EC99" s="161">
        <f t="shared" si="118"/>
        <v>0</v>
      </c>
      <c r="ED99" s="161">
        <f t="shared" si="119"/>
        <v>0</v>
      </c>
      <c r="EE99" s="161">
        <f t="shared" si="120"/>
        <v>0</v>
      </c>
      <c r="EF99" s="161">
        <f t="shared" si="121"/>
        <v>0</v>
      </c>
      <c r="EG99" s="161">
        <f t="shared" si="122"/>
        <v>0</v>
      </c>
      <c r="EH99" s="161">
        <f t="shared" si="123"/>
        <v>0</v>
      </c>
      <c r="EI99" s="161">
        <f t="shared" si="124"/>
        <v>0</v>
      </c>
      <c r="EJ99" s="161">
        <f t="shared" si="125"/>
        <v>0</v>
      </c>
      <c r="EK99" s="147">
        <f t="shared" si="55"/>
        <v>0</v>
      </c>
      <c r="EL99" s="149"/>
      <c r="EN99" s="146"/>
      <c r="EO99" s="146"/>
      <c r="EP99" s="139">
        <f t="shared" si="56"/>
        <v>0</v>
      </c>
      <c r="EQ99" s="139">
        <f t="shared" si="57"/>
        <v>0</v>
      </c>
      <c r="ER99" s="139">
        <f t="shared" si="58"/>
        <v>0</v>
      </c>
      <c r="ES99" s="139">
        <f t="shared" si="59"/>
        <v>0</v>
      </c>
      <c r="ET99" s="139">
        <f t="shared" si="60"/>
        <v>0</v>
      </c>
      <c r="EU99" s="139">
        <f t="shared" si="61"/>
        <v>0</v>
      </c>
      <c r="EV99" s="139">
        <f t="shared" si="62"/>
        <v>0</v>
      </c>
      <c r="EW99" s="139">
        <f t="shared" si="63"/>
        <v>0</v>
      </c>
      <c r="EX99" s="139">
        <f t="shared" si="64"/>
        <v>0</v>
      </c>
      <c r="EY99" s="139">
        <f t="shared" si="65"/>
        <v>0</v>
      </c>
      <c r="EZ99" s="139">
        <f t="shared" si="66"/>
        <v>0</v>
      </c>
      <c r="FA99" s="139">
        <f t="shared" si="67"/>
        <v>0</v>
      </c>
      <c r="FB99" s="139">
        <f t="shared" si="68"/>
        <v>0</v>
      </c>
      <c r="FC99" s="139">
        <f t="shared" si="69"/>
        <v>0</v>
      </c>
      <c r="FD99" s="139">
        <f t="shared" si="70"/>
        <v>0</v>
      </c>
      <c r="FE99" s="139">
        <f t="shared" si="71"/>
        <v>0</v>
      </c>
      <c r="FF99" s="139">
        <f t="shared" si="72"/>
        <v>0</v>
      </c>
      <c r="FG99" s="139">
        <f t="shared" si="73"/>
        <v>0</v>
      </c>
      <c r="FH99" s="139">
        <f t="shared" si="74"/>
        <v>0</v>
      </c>
      <c r="FI99" s="139">
        <f t="shared" si="75"/>
        <v>0</v>
      </c>
      <c r="FJ99" s="139">
        <f t="shared" si="76"/>
        <v>0</v>
      </c>
      <c r="FK99" s="139">
        <f t="shared" si="77"/>
        <v>0</v>
      </c>
      <c r="FL99" s="139">
        <f t="shared" si="78"/>
        <v>0</v>
      </c>
      <c r="FM99" s="139">
        <f t="shared" si="79"/>
        <v>0</v>
      </c>
      <c r="FN99" s="139">
        <f t="shared" si="80"/>
        <v>0</v>
      </c>
      <c r="FO99" s="139">
        <f t="shared" si="81"/>
        <v>0</v>
      </c>
      <c r="FP99" s="139">
        <f t="shared" si="82"/>
        <v>0</v>
      </c>
      <c r="FQ99" s="139">
        <f t="shared" si="83"/>
        <v>0</v>
      </c>
      <c r="FR99" s="139">
        <f t="shared" si="84"/>
        <v>0</v>
      </c>
      <c r="FS99" s="139">
        <f t="shared" si="85"/>
        <v>0</v>
      </c>
      <c r="FT99" s="139">
        <f t="shared" si="86"/>
        <v>0</v>
      </c>
      <c r="FU99" s="148">
        <f t="shared" si="87"/>
        <v>0</v>
      </c>
      <c r="FV99" s="149"/>
      <c r="FY99" s="214">
        <v>94</v>
      </c>
      <c r="FZ99">
        <v>0.41544671275780354</v>
      </c>
      <c r="GA99">
        <v>10.949880586627046</v>
      </c>
      <c r="GB99">
        <v>8.105849022181566</v>
      </c>
      <c r="GC99">
        <v>2.4055756931603689</v>
      </c>
      <c r="GD99">
        <v>7.1448924586632474</v>
      </c>
      <c r="GE99">
        <v>18.680400600607349</v>
      </c>
      <c r="GF99">
        <v>26.19637429469422</v>
      </c>
      <c r="GG99">
        <v>20.889861410217065</v>
      </c>
      <c r="GH99">
        <v>9.3222924626638104</v>
      </c>
      <c r="GI99">
        <v>12.858190309873404</v>
      </c>
      <c r="GJ99"/>
      <c r="GK99"/>
      <c r="GL99"/>
      <c r="GM99"/>
    </row>
    <row r="100" spans="1:195" s="7" customFormat="1">
      <c r="A100" s="1"/>
      <c r="B100" s="76">
        <f t="shared" ca="1" si="50"/>
        <v>0.27562530350380321</v>
      </c>
      <c r="C100">
        <v>10</v>
      </c>
      <c r="D100">
        <v>39673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54.95103288039688</v>
      </c>
      <c r="AO100">
        <v>10.728041464009445</v>
      </c>
      <c r="AP100">
        <v>39.979582770633854</v>
      </c>
      <c r="AQ100">
        <v>69.843398574619911</v>
      </c>
      <c r="AR100">
        <v>10.122381475772492</v>
      </c>
      <c r="AS100">
        <v>53.41282094730834</v>
      </c>
      <c r="AT100">
        <v>6.0242673700696976</v>
      </c>
      <c r="AU100">
        <v>19.561711917010093</v>
      </c>
      <c r="AV100"/>
      <c r="AW100"/>
      <c r="AX100" s="146"/>
      <c r="AY100" s="76">
        <f t="shared" ca="1" si="88"/>
        <v>0.50335374828066581</v>
      </c>
      <c r="AZ100">
        <v>3</v>
      </c>
      <c r="BA100" s="129">
        <f t="shared" si="127"/>
        <v>39673</v>
      </c>
      <c r="BB100" s="207">
        <v>0</v>
      </c>
      <c r="BC100" s="207">
        <v>0</v>
      </c>
      <c r="BD100" s="207">
        <v>0</v>
      </c>
      <c r="BE100" s="207">
        <v>0</v>
      </c>
      <c r="BF100" s="207">
        <v>0</v>
      </c>
      <c r="BG100" s="207">
        <v>0</v>
      </c>
      <c r="BH100" s="207">
        <v>0</v>
      </c>
      <c r="BI100" s="207">
        <v>0</v>
      </c>
      <c r="BJ100" s="207">
        <v>0</v>
      </c>
      <c r="BK100" s="207">
        <v>0</v>
      </c>
      <c r="BL100" s="207">
        <v>0</v>
      </c>
      <c r="BM100" s="207">
        <v>0</v>
      </c>
      <c r="BN100" s="207">
        <v>0</v>
      </c>
      <c r="BO100" s="207">
        <v>0</v>
      </c>
      <c r="BP100" s="207">
        <v>0</v>
      </c>
      <c r="BQ100" s="207">
        <v>0</v>
      </c>
      <c r="BR100" s="207">
        <v>0</v>
      </c>
      <c r="BS100" s="207">
        <v>0</v>
      </c>
      <c r="BT100" s="207">
        <v>0</v>
      </c>
      <c r="BU100" s="207">
        <v>0</v>
      </c>
      <c r="BV100" s="207">
        <v>0</v>
      </c>
      <c r="BW100" s="207">
        <v>0</v>
      </c>
      <c r="BX100" s="207">
        <v>0</v>
      </c>
      <c r="BY100" s="207">
        <v>0</v>
      </c>
      <c r="BZ100" s="207">
        <v>0</v>
      </c>
      <c r="CA100" s="207">
        <v>0</v>
      </c>
      <c r="CB100" s="207">
        <v>0</v>
      </c>
      <c r="CC100" s="207">
        <v>0</v>
      </c>
      <c r="CD100" s="207">
        <v>0</v>
      </c>
      <c r="CE100" s="207">
        <v>0</v>
      </c>
      <c r="CF100" s="207">
        <v>0</v>
      </c>
      <c r="CG100" s="147"/>
      <c r="CH100" s="176"/>
      <c r="CJ100" s="146"/>
      <c r="CK100" s="76">
        <f t="shared" ca="1" si="90"/>
        <v>8.1077706568538188E-2</v>
      </c>
      <c r="CL100" s="179">
        <f t="shared" si="91"/>
        <v>3</v>
      </c>
      <c r="CM100" s="180">
        <f t="shared" si="92"/>
        <v>39673</v>
      </c>
      <c r="CN100" s="208">
        <v>0</v>
      </c>
      <c r="CO100" s="208">
        <v>0</v>
      </c>
      <c r="CP100" s="208">
        <v>0</v>
      </c>
      <c r="CQ100" s="208">
        <v>0</v>
      </c>
      <c r="CR100" s="208">
        <v>0</v>
      </c>
      <c r="CS100" s="208">
        <v>0</v>
      </c>
      <c r="CT100" s="208">
        <v>0</v>
      </c>
      <c r="CU100" s="208">
        <v>0</v>
      </c>
      <c r="CW100">
        <v>1</v>
      </c>
      <c r="CX100">
        <f>350/51</f>
        <v>6.8627450980392153</v>
      </c>
      <c r="CY100" s="158"/>
      <c r="CZ100" s="177">
        <f t="shared" si="93"/>
        <v>9.6000000000000002E-2</v>
      </c>
      <c r="DB100" s="146"/>
      <c r="DC100" s="76">
        <f t="shared" ca="1" si="51"/>
        <v>0.86189014658132024</v>
      </c>
      <c r="DD100">
        <f t="shared" si="94"/>
        <v>3</v>
      </c>
      <c r="DE100" s="129">
        <f t="shared" si="126"/>
        <v>39673</v>
      </c>
      <c r="DF100" s="161">
        <f t="shared" si="95"/>
        <v>0</v>
      </c>
      <c r="DG100" s="161">
        <f t="shared" si="96"/>
        <v>0</v>
      </c>
      <c r="DH100" s="161">
        <f t="shared" si="97"/>
        <v>0</v>
      </c>
      <c r="DI100" s="161">
        <f t="shared" si="98"/>
        <v>0</v>
      </c>
      <c r="DJ100" s="161">
        <f t="shared" si="99"/>
        <v>0</v>
      </c>
      <c r="DK100" s="161">
        <f t="shared" si="100"/>
        <v>0</v>
      </c>
      <c r="DL100" s="161">
        <f t="shared" si="101"/>
        <v>0</v>
      </c>
      <c r="DM100" s="161">
        <f t="shared" si="102"/>
        <v>0</v>
      </c>
      <c r="DN100" s="161">
        <f t="shared" si="103"/>
        <v>0</v>
      </c>
      <c r="DO100" s="161">
        <f t="shared" si="104"/>
        <v>0</v>
      </c>
      <c r="DP100" s="161">
        <f t="shared" si="105"/>
        <v>0</v>
      </c>
      <c r="DQ100" s="161">
        <f t="shared" si="106"/>
        <v>0</v>
      </c>
      <c r="DR100" s="161">
        <f t="shared" si="107"/>
        <v>0</v>
      </c>
      <c r="DS100" s="161">
        <f t="shared" si="108"/>
        <v>0</v>
      </c>
      <c r="DT100" s="161">
        <f t="shared" si="109"/>
        <v>0</v>
      </c>
      <c r="DU100" s="161">
        <f t="shared" si="110"/>
        <v>0</v>
      </c>
      <c r="DV100" s="161">
        <f t="shared" si="111"/>
        <v>0</v>
      </c>
      <c r="DW100" s="161">
        <f t="shared" si="112"/>
        <v>0</v>
      </c>
      <c r="DX100" s="161">
        <f t="shared" si="113"/>
        <v>0</v>
      </c>
      <c r="DY100" s="161">
        <f t="shared" si="114"/>
        <v>0</v>
      </c>
      <c r="DZ100" s="161">
        <f t="shared" si="115"/>
        <v>0</v>
      </c>
      <c r="EA100" s="161">
        <f t="shared" si="116"/>
        <v>0</v>
      </c>
      <c r="EB100" s="161">
        <f t="shared" si="117"/>
        <v>0</v>
      </c>
      <c r="EC100" s="161">
        <f t="shared" si="118"/>
        <v>0</v>
      </c>
      <c r="ED100" s="161">
        <f t="shared" si="119"/>
        <v>0</v>
      </c>
      <c r="EE100" s="161">
        <f t="shared" si="120"/>
        <v>0</v>
      </c>
      <c r="EF100" s="161">
        <f t="shared" si="121"/>
        <v>0</v>
      </c>
      <c r="EG100" s="161">
        <f t="shared" si="122"/>
        <v>0</v>
      </c>
      <c r="EH100" s="161">
        <f t="shared" si="123"/>
        <v>0</v>
      </c>
      <c r="EI100" s="161">
        <f t="shared" si="124"/>
        <v>0</v>
      </c>
      <c r="EJ100" s="161">
        <f t="shared" si="125"/>
        <v>0</v>
      </c>
      <c r="EK100" s="147">
        <f t="shared" si="55"/>
        <v>0</v>
      </c>
      <c r="EL100" s="149"/>
      <c r="EN100" s="146"/>
      <c r="EO100" s="146"/>
      <c r="EP100" s="139">
        <f t="shared" si="56"/>
        <v>0</v>
      </c>
      <c r="EQ100" s="139">
        <f t="shared" si="57"/>
        <v>0</v>
      </c>
      <c r="ER100" s="139">
        <f t="shared" si="58"/>
        <v>0</v>
      </c>
      <c r="ES100" s="139">
        <f t="shared" si="59"/>
        <v>0</v>
      </c>
      <c r="ET100" s="139">
        <f t="shared" si="60"/>
        <v>0</v>
      </c>
      <c r="EU100" s="139">
        <f t="shared" si="61"/>
        <v>0</v>
      </c>
      <c r="EV100" s="139">
        <f t="shared" si="62"/>
        <v>0</v>
      </c>
      <c r="EW100" s="139">
        <f t="shared" si="63"/>
        <v>0</v>
      </c>
      <c r="EX100" s="139">
        <f t="shared" si="64"/>
        <v>0</v>
      </c>
      <c r="EY100" s="139">
        <f t="shared" si="65"/>
        <v>0</v>
      </c>
      <c r="EZ100" s="139">
        <f t="shared" si="66"/>
        <v>0</v>
      </c>
      <c r="FA100" s="139">
        <f t="shared" si="67"/>
        <v>0</v>
      </c>
      <c r="FB100" s="139">
        <f t="shared" si="68"/>
        <v>0</v>
      </c>
      <c r="FC100" s="139">
        <f t="shared" si="69"/>
        <v>0</v>
      </c>
      <c r="FD100" s="139">
        <f t="shared" si="70"/>
        <v>0</v>
      </c>
      <c r="FE100" s="139">
        <f t="shared" si="71"/>
        <v>0</v>
      </c>
      <c r="FF100" s="139">
        <f t="shared" si="72"/>
        <v>0</v>
      </c>
      <c r="FG100" s="139">
        <f t="shared" si="73"/>
        <v>0</v>
      </c>
      <c r="FH100" s="139">
        <f t="shared" si="74"/>
        <v>0</v>
      </c>
      <c r="FI100" s="139">
        <f t="shared" si="75"/>
        <v>0</v>
      </c>
      <c r="FJ100" s="139">
        <f t="shared" si="76"/>
        <v>0</v>
      </c>
      <c r="FK100" s="139">
        <f t="shared" si="77"/>
        <v>0</v>
      </c>
      <c r="FL100" s="139">
        <f t="shared" si="78"/>
        <v>0</v>
      </c>
      <c r="FM100" s="139">
        <f t="shared" si="79"/>
        <v>0</v>
      </c>
      <c r="FN100" s="139">
        <f t="shared" si="80"/>
        <v>0</v>
      </c>
      <c r="FO100" s="139">
        <f t="shared" si="81"/>
        <v>0</v>
      </c>
      <c r="FP100" s="139">
        <f t="shared" si="82"/>
        <v>0</v>
      </c>
      <c r="FQ100" s="139">
        <f t="shared" si="83"/>
        <v>0</v>
      </c>
      <c r="FR100" s="139">
        <f t="shared" si="84"/>
        <v>0</v>
      </c>
      <c r="FS100" s="139">
        <f t="shared" si="85"/>
        <v>0</v>
      </c>
      <c r="FT100" s="139">
        <f t="shared" si="86"/>
        <v>0</v>
      </c>
      <c r="FU100" s="148">
        <f t="shared" si="87"/>
        <v>0</v>
      </c>
      <c r="FV100" s="149"/>
      <c r="FY100" s="214">
        <v>95</v>
      </c>
      <c r="FZ100">
        <v>0.60661827763570519</v>
      </c>
      <c r="GA100">
        <v>10.734663595184605</v>
      </c>
      <c r="GB100">
        <v>7.382093674816991</v>
      </c>
      <c r="GC100">
        <v>2.0525816926830984</v>
      </c>
      <c r="GD100">
        <v>4.234224228733134</v>
      </c>
      <c r="GE100">
        <v>11.706739878621541</v>
      </c>
      <c r="GF100">
        <v>13.017768218108815</v>
      </c>
      <c r="GG100">
        <v>13.629436426169724</v>
      </c>
      <c r="GH100">
        <v>10.634880986718549</v>
      </c>
      <c r="GI100">
        <v>8.8059332310351817</v>
      </c>
      <c r="GJ100"/>
      <c r="GK100"/>
      <c r="GL100"/>
      <c r="GM100"/>
    </row>
    <row r="101" spans="1:195" s="7" customFormat="1">
      <c r="A101" s="1"/>
      <c r="B101" s="76">
        <f t="shared" ca="1" si="50"/>
        <v>6.7070926637962103E-3</v>
      </c>
      <c r="C101">
        <v>2</v>
      </c>
      <c r="D101">
        <v>39673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66.797871522388647</v>
      </c>
      <c r="AO101">
        <v>13.021843534895449</v>
      </c>
      <c r="AP101">
        <v>54.161042339684997</v>
      </c>
      <c r="AQ101">
        <v>73.320623107593548</v>
      </c>
      <c r="AR101">
        <v>12.016904210366448</v>
      </c>
      <c r="AS101">
        <v>64.802068973773913</v>
      </c>
      <c r="AT101">
        <v>6.8556397346905884</v>
      </c>
      <c r="AU101">
        <v>11.10474317376786</v>
      </c>
      <c r="AV101"/>
      <c r="AW101"/>
      <c r="AX101" s="146"/>
      <c r="AY101" s="76">
        <f t="shared" ca="1" si="88"/>
        <v>0.38123862147436083</v>
      </c>
      <c r="AZ101">
        <v>4</v>
      </c>
      <c r="BA101" s="129">
        <f t="shared" si="127"/>
        <v>39673</v>
      </c>
      <c r="BB101" s="207">
        <v>0</v>
      </c>
      <c r="BC101" s="207">
        <v>0</v>
      </c>
      <c r="BD101" s="207">
        <v>0</v>
      </c>
      <c r="BE101" s="207">
        <v>0</v>
      </c>
      <c r="BF101" s="207">
        <v>0</v>
      </c>
      <c r="BG101" s="207">
        <v>0</v>
      </c>
      <c r="BH101" s="207">
        <v>0</v>
      </c>
      <c r="BI101" s="207">
        <v>0</v>
      </c>
      <c r="BJ101" s="207">
        <v>0</v>
      </c>
      <c r="BK101" s="207">
        <v>0</v>
      </c>
      <c r="BL101" s="207">
        <v>0</v>
      </c>
      <c r="BM101" s="207">
        <v>0</v>
      </c>
      <c r="BN101" s="207">
        <v>0</v>
      </c>
      <c r="BO101" s="207">
        <v>0</v>
      </c>
      <c r="BP101" s="207">
        <v>0</v>
      </c>
      <c r="BQ101" s="207">
        <v>0</v>
      </c>
      <c r="BR101" s="207">
        <v>0</v>
      </c>
      <c r="BS101" s="207">
        <v>0</v>
      </c>
      <c r="BT101" s="207">
        <v>0</v>
      </c>
      <c r="BU101" s="207">
        <v>0</v>
      </c>
      <c r="BV101" s="207">
        <v>0</v>
      </c>
      <c r="BW101" s="207">
        <v>0</v>
      </c>
      <c r="BX101" s="207">
        <v>0</v>
      </c>
      <c r="BY101" s="207">
        <v>0</v>
      </c>
      <c r="BZ101" s="207">
        <v>0</v>
      </c>
      <c r="CA101" s="207">
        <v>0</v>
      </c>
      <c r="CB101" s="207">
        <v>0</v>
      </c>
      <c r="CC101" s="207">
        <v>0</v>
      </c>
      <c r="CD101" s="207">
        <v>0</v>
      </c>
      <c r="CE101" s="207">
        <v>0</v>
      </c>
      <c r="CF101" s="207">
        <v>0</v>
      </c>
      <c r="CG101" s="147"/>
      <c r="CH101" s="176"/>
      <c r="CJ101" s="146"/>
      <c r="CK101" s="76">
        <f t="shared" ca="1" si="90"/>
        <v>0.16660500735424222</v>
      </c>
      <c r="CL101" s="179">
        <f t="shared" si="91"/>
        <v>4</v>
      </c>
      <c r="CM101" s="180">
        <f t="shared" si="92"/>
        <v>39673</v>
      </c>
      <c r="CN101" s="208">
        <v>0</v>
      </c>
      <c r="CO101" s="208">
        <v>0</v>
      </c>
      <c r="CP101" s="208">
        <v>0</v>
      </c>
      <c r="CQ101" s="208">
        <v>0</v>
      </c>
      <c r="CR101" s="208">
        <v>0</v>
      </c>
      <c r="CS101" s="208">
        <v>0</v>
      </c>
      <c r="CT101" s="208">
        <v>0</v>
      </c>
      <c r="CU101" s="208">
        <v>0</v>
      </c>
      <c r="CW101">
        <v>1</v>
      </c>
      <c r="CX101">
        <f>355/50</f>
        <v>7.1</v>
      </c>
      <c r="CY101" s="158"/>
      <c r="CZ101" s="177">
        <f t="shared" si="93"/>
        <v>9.6000000000000002E-2</v>
      </c>
      <c r="DB101" s="146"/>
      <c r="DC101" s="76">
        <f t="shared" ca="1" si="51"/>
        <v>0.27109979688435093</v>
      </c>
      <c r="DD101">
        <f t="shared" si="94"/>
        <v>4</v>
      </c>
      <c r="DE101" s="129">
        <f t="shared" si="126"/>
        <v>39673</v>
      </c>
      <c r="DF101" s="161">
        <f t="shared" si="95"/>
        <v>0</v>
      </c>
      <c r="DG101" s="161">
        <f t="shared" si="96"/>
        <v>0</v>
      </c>
      <c r="DH101" s="161">
        <f t="shared" si="97"/>
        <v>0</v>
      </c>
      <c r="DI101" s="161">
        <f t="shared" si="98"/>
        <v>0</v>
      </c>
      <c r="DJ101" s="161">
        <f t="shared" si="99"/>
        <v>0</v>
      </c>
      <c r="DK101" s="161">
        <f t="shared" si="100"/>
        <v>0</v>
      </c>
      <c r="DL101" s="161">
        <f t="shared" si="101"/>
        <v>0</v>
      </c>
      <c r="DM101" s="161">
        <f t="shared" si="102"/>
        <v>0</v>
      </c>
      <c r="DN101" s="161">
        <f t="shared" si="103"/>
        <v>0</v>
      </c>
      <c r="DO101" s="161">
        <f t="shared" si="104"/>
        <v>0</v>
      </c>
      <c r="DP101" s="161">
        <f t="shared" si="105"/>
        <v>0</v>
      </c>
      <c r="DQ101" s="161">
        <f t="shared" si="106"/>
        <v>0</v>
      </c>
      <c r="DR101" s="161">
        <f t="shared" si="107"/>
        <v>0</v>
      </c>
      <c r="DS101" s="161">
        <f t="shared" si="108"/>
        <v>0</v>
      </c>
      <c r="DT101" s="161">
        <f t="shared" si="109"/>
        <v>0</v>
      </c>
      <c r="DU101" s="161">
        <f t="shared" si="110"/>
        <v>0</v>
      </c>
      <c r="DV101" s="161">
        <f t="shared" si="111"/>
        <v>0</v>
      </c>
      <c r="DW101" s="161">
        <f t="shared" si="112"/>
        <v>0</v>
      </c>
      <c r="DX101" s="161">
        <f t="shared" si="113"/>
        <v>0</v>
      </c>
      <c r="DY101" s="161">
        <f t="shared" si="114"/>
        <v>0</v>
      </c>
      <c r="DZ101" s="161">
        <f t="shared" si="115"/>
        <v>0</v>
      </c>
      <c r="EA101" s="161">
        <f t="shared" si="116"/>
        <v>0</v>
      </c>
      <c r="EB101" s="161">
        <f t="shared" si="117"/>
        <v>0</v>
      </c>
      <c r="EC101" s="161">
        <f t="shared" si="118"/>
        <v>0</v>
      </c>
      <c r="ED101" s="161">
        <f t="shared" si="119"/>
        <v>0</v>
      </c>
      <c r="EE101" s="161">
        <f t="shared" si="120"/>
        <v>0</v>
      </c>
      <c r="EF101" s="161">
        <f t="shared" si="121"/>
        <v>0</v>
      </c>
      <c r="EG101" s="161">
        <f t="shared" si="122"/>
        <v>0</v>
      </c>
      <c r="EH101" s="161">
        <f t="shared" si="123"/>
        <v>0</v>
      </c>
      <c r="EI101" s="161">
        <f t="shared" si="124"/>
        <v>0</v>
      </c>
      <c r="EJ101" s="161">
        <f t="shared" si="125"/>
        <v>0</v>
      </c>
      <c r="EK101" s="147">
        <f t="shared" si="55"/>
        <v>0</v>
      </c>
      <c r="EL101" s="149"/>
      <c r="EN101" s="146"/>
      <c r="EO101" s="146"/>
      <c r="EP101" s="139">
        <f t="shared" si="56"/>
        <v>0</v>
      </c>
      <c r="EQ101" s="139">
        <f t="shared" si="57"/>
        <v>0</v>
      </c>
      <c r="ER101" s="139">
        <f t="shared" si="58"/>
        <v>0</v>
      </c>
      <c r="ES101" s="139">
        <f t="shared" si="59"/>
        <v>0</v>
      </c>
      <c r="ET101" s="139">
        <f t="shared" si="60"/>
        <v>0</v>
      </c>
      <c r="EU101" s="139">
        <f t="shared" si="61"/>
        <v>0</v>
      </c>
      <c r="EV101" s="139">
        <f t="shared" si="62"/>
        <v>0</v>
      </c>
      <c r="EW101" s="139">
        <f t="shared" si="63"/>
        <v>0</v>
      </c>
      <c r="EX101" s="139">
        <f t="shared" si="64"/>
        <v>0</v>
      </c>
      <c r="EY101" s="139">
        <f t="shared" si="65"/>
        <v>0</v>
      </c>
      <c r="EZ101" s="139">
        <f t="shared" si="66"/>
        <v>0</v>
      </c>
      <c r="FA101" s="139">
        <f t="shared" si="67"/>
        <v>0</v>
      </c>
      <c r="FB101" s="139">
        <f t="shared" si="68"/>
        <v>0</v>
      </c>
      <c r="FC101" s="139">
        <f t="shared" si="69"/>
        <v>0</v>
      </c>
      <c r="FD101" s="139">
        <f t="shared" si="70"/>
        <v>0</v>
      </c>
      <c r="FE101" s="139">
        <f t="shared" si="71"/>
        <v>0</v>
      </c>
      <c r="FF101" s="139">
        <f t="shared" si="72"/>
        <v>0</v>
      </c>
      <c r="FG101" s="139">
        <f t="shared" si="73"/>
        <v>0</v>
      </c>
      <c r="FH101" s="139">
        <f t="shared" si="74"/>
        <v>0</v>
      </c>
      <c r="FI101" s="139">
        <f t="shared" si="75"/>
        <v>0</v>
      </c>
      <c r="FJ101" s="139">
        <f t="shared" si="76"/>
        <v>0</v>
      </c>
      <c r="FK101" s="139">
        <f t="shared" si="77"/>
        <v>0</v>
      </c>
      <c r="FL101" s="139">
        <f t="shared" si="78"/>
        <v>0</v>
      </c>
      <c r="FM101" s="139">
        <f t="shared" si="79"/>
        <v>0</v>
      </c>
      <c r="FN101" s="139">
        <f t="shared" si="80"/>
        <v>0</v>
      </c>
      <c r="FO101" s="139">
        <f t="shared" si="81"/>
        <v>0</v>
      </c>
      <c r="FP101" s="139">
        <f t="shared" si="82"/>
        <v>0</v>
      </c>
      <c r="FQ101" s="139">
        <f t="shared" si="83"/>
        <v>0</v>
      </c>
      <c r="FR101" s="139">
        <f t="shared" si="84"/>
        <v>0</v>
      </c>
      <c r="FS101" s="139">
        <f t="shared" si="85"/>
        <v>0</v>
      </c>
      <c r="FT101" s="139">
        <f t="shared" si="86"/>
        <v>0</v>
      </c>
      <c r="FU101" s="148">
        <f t="shared" si="87"/>
        <v>0</v>
      </c>
      <c r="FV101" s="149"/>
      <c r="FY101" s="214">
        <v>96</v>
      </c>
      <c r="FZ101">
        <v>0.39584299095139264</v>
      </c>
      <c r="GA101">
        <v>11.267513504998128</v>
      </c>
      <c r="GB101">
        <v>11.907101384773163</v>
      </c>
      <c r="GC101">
        <v>4.0610320555024462</v>
      </c>
      <c r="GD101">
        <v>0.70543615744415367</v>
      </c>
      <c r="GE101">
        <v>7.7789449478713175</v>
      </c>
      <c r="GF101">
        <v>20.564378335663612</v>
      </c>
      <c r="GG101">
        <v>10.995650375731994</v>
      </c>
      <c r="GH101">
        <v>12.983253163833547</v>
      </c>
      <c r="GI101">
        <v>9.3516317155710578</v>
      </c>
      <c r="GJ101"/>
      <c r="GK101"/>
      <c r="GL101"/>
      <c r="GM101"/>
    </row>
    <row r="102" spans="1:195" s="7" customFormat="1">
      <c r="A102" s="1"/>
      <c r="B102" s="76">
        <f t="shared" ca="1" si="50"/>
        <v>0.10503025426474721</v>
      </c>
      <c r="C102">
        <v>7</v>
      </c>
      <c r="D102">
        <v>39673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85.306484855808748</v>
      </c>
      <c r="AO102">
        <v>16.151915526193683</v>
      </c>
      <c r="AP102">
        <v>71.378926310863463</v>
      </c>
      <c r="AQ102">
        <v>100.3773946640317</v>
      </c>
      <c r="AR102">
        <v>14.696090921229121</v>
      </c>
      <c r="AS102">
        <v>77.492439219158911</v>
      </c>
      <c r="AT102" t="e">
        <v>#DIV/0!</v>
      </c>
      <c r="AU102" t="e">
        <v>#DIV/0!</v>
      </c>
      <c r="AV102"/>
      <c r="AW102"/>
      <c r="AX102" s="146"/>
      <c r="AY102" s="76">
        <f t="shared" ca="1" si="88"/>
        <v>0.19843991258524163</v>
      </c>
      <c r="AZ102">
        <v>5</v>
      </c>
      <c r="BA102" s="129">
        <f t="shared" si="127"/>
        <v>39673</v>
      </c>
      <c r="BB102" s="207">
        <v>0</v>
      </c>
      <c r="BC102" s="207">
        <v>0</v>
      </c>
      <c r="BD102" s="207">
        <v>0</v>
      </c>
      <c r="BE102" s="207">
        <v>0</v>
      </c>
      <c r="BF102" s="207">
        <v>0</v>
      </c>
      <c r="BG102" s="207">
        <v>0</v>
      </c>
      <c r="BH102" s="207">
        <v>0</v>
      </c>
      <c r="BI102" s="207">
        <v>0</v>
      </c>
      <c r="BJ102" s="207">
        <v>0</v>
      </c>
      <c r="BK102" s="207">
        <v>0</v>
      </c>
      <c r="BL102" s="207">
        <v>0</v>
      </c>
      <c r="BM102" s="207">
        <v>0</v>
      </c>
      <c r="BN102" s="207">
        <v>0</v>
      </c>
      <c r="BO102" s="207">
        <v>0</v>
      </c>
      <c r="BP102" s="207">
        <v>0</v>
      </c>
      <c r="BQ102" s="207">
        <v>0</v>
      </c>
      <c r="BR102" s="207">
        <v>0</v>
      </c>
      <c r="BS102" s="207">
        <v>0</v>
      </c>
      <c r="BT102" s="207">
        <v>0</v>
      </c>
      <c r="BU102" s="207">
        <v>0</v>
      </c>
      <c r="BV102" s="207">
        <v>0</v>
      </c>
      <c r="BW102" s="207">
        <v>0</v>
      </c>
      <c r="BX102" s="207">
        <v>0</v>
      </c>
      <c r="BY102" s="207">
        <v>0</v>
      </c>
      <c r="BZ102" s="207">
        <v>0</v>
      </c>
      <c r="CA102" s="207">
        <v>0</v>
      </c>
      <c r="CB102" s="207">
        <v>0</v>
      </c>
      <c r="CC102" s="207">
        <v>0</v>
      </c>
      <c r="CD102" s="207">
        <v>0</v>
      </c>
      <c r="CE102" s="207">
        <v>0</v>
      </c>
      <c r="CF102" s="207">
        <v>0</v>
      </c>
      <c r="CG102" s="147"/>
      <c r="CH102" s="176"/>
      <c r="CJ102" s="146"/>
      <c r="CK102" s="76">
        <f t="shared" ca="1" si="90"/>
        <v>0.17168595032816647</v>
      </c>
      <c r="CL102" s="179">
        <f t="shared" si="91"/>
        <v>5</v>
      </c>
      <c r="CM102" s="180">
        <f t="shared" si="92"/>
        <v>39673</v>
      </c>
      <c r="CN102" s="208">
        <v>0</v>
      </c>
      <c r="CO102" s="208">
        <v>0</v>
      </c>
      <c r="CP102" s="208">
        <v>0</v>
      </c>
      <c r="CQ102" s="208">
        <v>0</v>
      </c>
      <c r="CR102" s="208">
        <v>0</v>
      </c>
      <c r="CS102" s="208">
        <v>0</v>
      </c>
      <c r="CT102" s="208">
        <v>0</v>
      </c>
      <c r="CU102" s="208">
        <v>0</v>
      </c>
      <c r="CW102">
        <v>1</v>
      </c>
      <c r="CX102">
        <v>1</v>
      </c>
      <c r="CY102" s="164"/>
      <c r="CZ102" s="177">
        <f t="shared" si="93"/>
        <v>9.6000000000000002E-2</v>
      </c>
      <c r="DB102" s="146"/>
      <c r="DC102" s="76">
        <f t="shared" ca="1" si="51"/>
        <v>0.92527151003355801</v>
      </c>
      <c r="DD102">
        <f t="shared" si="94"/>
        <v>5</v>
      </c>
      <c r="DE102" s="129">
        <f t="shared" si="126"/>
        <v>39673</v>
      </c>
      <c r="DF102" s="161">
        <f t="shared" si="95"/>
        <v>0</v>
      </c>
      <c r="DG102" s="161">
        <f t="shared" si="96"/>
        <v>0</v>
      </c>
      <c r="DH102" s="161">
        <f t="shared" si="97"/>
        <v>0</v>
      </c>
      <c r="DI102" s="161">
        <f t="shared" si="98"/>
        <v>0</v>
      </c>
      <c r="DJ102" s="161">
        <f t="shared" si="99"/>
        <v>0</v>
      </c>
      <c r="DK102" s="161">
        <f t="shared" si="100"/>
        <v>0</v>
      </c>
      <c r="DL102" s="161">
        <f t="shared" si="101"/>
        <v>0</v>
      </c>
      <c r="DM102" s="161">
        <f t="shared" si="102"/>
        <v>0</v>
      </c>
      <c r="DN102" s="161">
        <f t="shared" si="103"/>
        <v>0</v>
      </c>
      <c r="DO102" s="161">
        <f t="shared" si="104"/>
        <v>0</v>
      </c>
      <c r="DP102" s="161">
        <f t="shared" si="105"/>
        <v>0</v>
      </c>
      <c r="DQ102" s="161">
        <f t="shared" si="106"/>
        <v>0</v>
      </c>
      <c r="DR102" s="161">
        <f t="shared" si="107"/>
        <v>0</v>
      </c>
      <c r="DS102" s="161">
        <f t="shared" si="108"/>
        <v>0</v>
      </c>
      <c r="DT102" s="161">
        <f t="shared" si="109"/>
        <v>0</v>
      </c>
      <c r="DU102" s="161">
        <f t="shared" si="110"/>
        <v>0</v>
      </c>
      <c r="DV102" s="161">
        <f t="shared" si="111"/>
        <v>0</v>
      </c>
      <c r="DW102" s="161">
        <f t="shared" si="112"/>
        <v>0</v>
      </c>
      <c r="DX102" s="161">
        <f t="shared" si="113"/>
        <v>0</v>
      </c>
      <c r="DY102" s="161">
        <f t="shared" si="114"/>
        <v>0</v>
      </c>
      <c r="DZ102" s="161">
        <f t="shared" si="115"/>
        <v>0</v>
      </c>
      <c r="EA102" s="161">
        <f t="shared" si="116"/>
        <v>0</v>
      </c>
      <c r="EB102" s="161">
        <f t="shared" si="117"/>
        <v>0</v>
      </c>
      <c r="EC102" s="161">
        <f t="shared" si="118"/>
        <v>0</v>
      </c>
      <c r="ED102" s="161">
        <f t="shared" si="119"/>
        <v>0</v>
      </c>
      <c r="EE102" s="161">
        <f t="shared" si="120"/>
        <v>0</v>
      </c>
      <c r="EF102" s="161">
        <f t="shared" si="121"/>
        <v>0</v>
      </c>
      <c r="EG102" s="161">
        <f t="shared" si="122"/>
        <v>0</v>
      </c>
      <c r="EH102" s="161">
        <f t="shared" si="123"/>
        <v>0</v>
      </c>
      <c r="EI102" s="161">
        <f t="shared" si="124"/>
        <v>0</v>
      </c>
      <c r="EJ102" s="161">
        <f t="shared" si="125"/>
        <v>0</v>
      </c>
      <c r="EK102" s="147">
        <f t="shared" si="55"/>
        <v>0</v>
      </c>
      <c r="EL102" s="149"/>
      <c r="EN102" s="146"/>
      <c r="EO102" s="146"/>
      <c r="EP102" s="139">
        <f t="shared" si="56"/>
        <v>0</v>
      </c>
      <c r="EQ102" s="139">
        <f t="shared" si="57"/>
        <v>0</v>
      </c>
      <c r="ER102" s="139">
        <f t="shared" si="58"/>
        <v>0</v>
      </c>
      <c r="ES102" s="139">
        <f t="shared" si="59"/>
        <v>0</v>
      </c>
      <c r="ET102" s="139">
        <f t="shared" si="60"/>
        <v>0</v>
      </c>
      <c r="EU102" s="139">
        <f t="shared" si="61"/>
        <v>0</v>
      </c>
      <c r="EV102" s="139">
        <f t="shared" si="62"/>
        <v>0</v>
      </c>
      <c r="EW102" s="139">
        <f t="shared" si="63"/>
        <v>0</v>
      </c>
      <c r="EX102" s="139">
        <f t="shared" si="64"/>
        <v>0</v>
      </c>
      <c r="EY102" s="139">
        <f t="shared" si="65"/>
        <v>0</v>
      </c>
      <c r="EZ102" s="139">
        <f t="shared" si="66"/>
        <v>0</v>
      </c>
      <c r="FA102" s="139">
        <f t="shared" si="67"/>
        <v>0</v>
      </c>
      <c r="FB102" s="139">
        <f t="shared" si="68"/>
        <v>0</v>
      </c>
      <c r="FC102" s="139">
        <f t="shared" si="69"/>
        <v>0</v>
      </c>
      <c r="FD102" s="139">
        <f t="shared" si="70"/>
        <v>0</v>
      </c>
      <c r="FE102" s="139">
        <f t="shared" si="71"/>
        <v>0</v>
      </c>
      <c r="FF102" s="139">
        <f t="shared" si="72"/>
        <v>0</v>
      </c>
      <c r="FG102" s="139">
        <f t="shared" si="73"/>
        <v>0</v>
      </c>
      <c r="FH102" s="139">
        <f t="shared" si="74"/>
        <v>0</v>
      </c>
      <c r="FI102" s="139">
        <f t="shared" si="75"/>
        <v>0</v>
      </c>
      <c r="FJ102" s="139">
        <f t="shared" si="76"/>
        <v>0</v>
      </c>
      <c r="FK102" s="139">
        <f t="shared" si="77"/>
        <v>0</v>
      </c>
      <c r="FL102" s="139">
        <f t="shared" si="78"/>
        <v>0</v>
      </c>
      <c r="FM102" s="139">
        <f t="shared" si="79"/>
        <v>0</v>
      </c>
      <c r="FN102" s="139">
        <f t="shared" si="80"/>
        <v>0</v>
      </c>
      <c r="FO102" s="139">
        <f t="shared" si="81"/>
        <v>0</v>
      </c>
      <c r="FP102" s="139">
        <f t="shared" si="82"/>
        <v>0</v>
      </c>
      <c r="FQ102" s="139">
        <f t="shared" si="83"/>
        <v>0</v>
      </c>
      <c r="FR102" s="139">
        <f t="shared" si="84"/>
        <v>0</v>
      </c>
      <c r="FS102" s="139">
        <f t="shared" si="85"/>
        <v>0</v>
      </c>
      <c r="FT102" s="139">
        <f t="shared" si="86"/>
        <v>0</v>
      </c>
      <c r="FU102" s="148">
        <f t="shared" si="87"/>
        <v>0</v>
      </c>
      <c r="FV102" s="149"/>
      <c r="FY102" s="214">
        <v>97</v>
      </c>
      <c r="FZ102">
        <v>0.93214363732184624</v>
      </c>
      <c r="GA102">
        <v>24.248353706172338</v>
      </c>
      <c r="GB102">
        <v>15.40336485036881</v>
      </c>
      <c r="GC102">
        <v>2.3881063256472004</v>
      </c>
      <c r="GD102">
        <v>8.8470910424144265</v>
      </c>
      <c r="GE102">
        <v>21.671272498625502</v>
      </c>
      <c r="GF102">
        <v>14.306699788031473</v>
      </c>
      <c r="GG102">
        <v>9.6238137923242881</v>
      </c>
      <c r="GH102">
        <v>5.5278952933722714</v>
      </c>
      <c r="GI102">
        <v>13.1457203659087</v>
      </c>
      <c r="GJ102"/>
      <c r="GK102"/>
      <c r="GL102"/>
      <c r="GM102"/>
    </row>
    <row r="103" spans="1:195" s="7" customFormat="1">
      <c r="A103" s="1"/>
      <c r="B103" s="76">
        <f t="shared" ca="1" si="50"/>
        <v>0.33475230754040286</v>
      </c>
      <c r="C103">
        <v>5</v>
      </c>
      <c r="D103">
        <v>39673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65.564891260001133</v>
      </c>
      <c r="AO103">
        <v>12.627514338967138</v>
      </c>
      <c r="AP103">
        <v>88.550993551553958</v>
      </c>
      <c r="AQ103">
        <v>62.560216035499515</v>
      </c>
      <c r="AR103">
        <v>11.479880544894369</v>
      </c>
      <c r="AS103">
        <v>71.400571727642884</v>
      </c>
      <c r="AT103" t="e">
        <v>#DIV/0!</v>
      </c>
      <c r="AU103" t="e">
        <v>#DIV/0!</v>
      </c>
      <c r="AV103"/>
      <c r="AW103"/>
      <c r="AX103" s="146"/>
      <c r="AY103" s="76">
        <f ca="1">IF(AZ103="", "", RAND())</f>
        <v>0.41135379977658371</v>
      </c>
      <c r="AZ103">
        <v>6</v>
      </c>
      <c r="BA103" s="129">
        <f t="shared" si="127"/>
        <v>39673</v>
      </c>
      <c r="BB103" s="207">
        <v>0</v>
      </c>
      <c r="BC103" s="207">
        <v>0</v>
      </c>
      <c r="BD103" s="207">
        <v>0</v>
      </c>
      <c r="BE103" s="207">
        <v>0</v>
      </c>
      <c r="BF103" s="207">
        <v>0</v>
      </c>
      <c r="BG103" s="207">
        <v>0</v>
      </c>
      <c r="BH103" s="207">
        <v>0</v>
      </c>
      <c r="BI103" s="207">
        <v>0</v>
      </c>
      <c r="BJ103" s="207">
        <v>0</v>
      </c>
      <c r="BK103" s="207">
        <v>0</v>
      </c>
      <c r="BL103" s="207">
        <v>0</v>
      </c>
      <c r="BM103" s="207">
        <v>0</v>
      </c>
      <c r="BN103" s="207">
        <v>0</v>
      </c>
      <c r="BO103" s="207">
        <v>0</v>
      </c>
      <c r="BP103" s="207">
        <v>0</v>
      </c>
      <c r="BQ103" s="207">
        <v>0</v>
      </c>
      <c r="BR103" s="207">
        <v>0</v>
      </c>
      <c r="BS103" s="207">
        <v>0</v>
      </c>
      <c r="BT103" s="207">
        <v>0</v>
      </c>
      <c r="BU103" s="207">
        <v>0</v>
      </c>
      <c r="BV103" s="207">
        <v>0</v>
      </c>
      <c r="BW103" s="207">
        <v>0</v>
      </c>
      <c r="BX103" s="207">
        <v>0</v>
      </c>
      <c r="BY103" s="207">
        <v>0</v>
      </c>
      <c r="BZ103" s="207">
        <v>0</v>
      </c>
      <c r="CA103" s="207">
        <v>0</v>
      </c>
      <c r="CB103" s="207">
        <v>0</v>
      </c>
      <c r="CC103" s="207">
        <v>0</v>
      </c>
      <c r="CD103" s="207">
        <v>0</v>
      </c>
      <c r="CE103" s="207">
        <v>0</v>
      </c>
      <c r="CF103" s="207">
        <v>0</v>
      </c>
      <c r="CG103" s="147"/>
      <c r="CH103" s="176"/>
      <c r="CJ103" s="146"/>
      <c r="CK103" s="76">
        <f t="shared" ca="1" si="90"/>
        <v>0.82682157931846878</v>
      </c>
      <c r="CL103" s="179">
        <f t="shared" si="91"/>
        <v>6</v>
      </c>
      <c r="CM103" s="180">
        <f t="shared" si="92"/>
        <v>39673</v>
      </c>
      <c r="CN103" s="208">
        <v>0</v>
      </c>
      <c r="CO103" s="208">
        <v>0</v>
      </c>
      <c r="CP103" s="208">
        <v>0</v>
      </c>
      <c r="CQ103" s="208">
        <v>0</v>
      </c>
      <c r="CR103" s="208">
        <v>1</v>
      </c>
      <c r="CS103" s="208">
        <v>0</v>
      </c>
      <c r="CT103" s="208">
        <v>0</v>
      </c>
      <c r="CU103" s="208">
        <v>0</v>
      </c>
      <c r="CV103" s="160"/>
      <c r="CW103">
        <v>1</v>
      </c>
      <c r="CX103">
        <v>1</v>
      </c>
      <c r="CY103" s="164"/>
      <c r="CZ103" s="177">
        <f t="shared" si="93"/>
        <v>9.6000000000000002E-2</v>
      </c>
      <c r="DB103" s="146"/>
      <c r="DC103" s="76">
        <f t="shared" ca="1" si="51"/>
        <v>0.65064704491209224</v>
      </c>
      <c r="DD103">
        <f>IF(AZ103="", "", AZ103)</f>
        <v>6</v>
      </c>
      <c r="DE103" s="129">
        <f t="shared" si="126"/>
        <v>39673</v>
      </c>
      <c r="DF103" s="161">
        <f t="shared" si="95"/>
        <v>0</v>
      </c>
      <c r="DG103" s="161">
        <f t="shared" si="96"/>
        <v>0</v>
      </c>
      <c r="DH103" s="161">
        <f t="shared" si="97"/>
        <v>0</v>
      </c>
      <c r="DI103" s="161">
        <f t="shared" si="98"/>
        <v>0</v>
      </c>
      <c r="DJ103" s="161">
        <f t="shared" si="99"/>
        <v>10.416666666666666</v>
      </c>
      <c r="DK103" s="161">
        <f t="shared" si="100"/>
        <v>0</v>
      </c>
      <c r="DL103" s="161">
        <f t="shared" si="101"/>
        <v>0</v>
      </c>
      <c r="DM103" s="161">
        <f t="shared" si="102"/>
        <v>0</v>
      </c>
      <c r="DN103" s="161">
        <f t="shared" si="103"/>
        <v>0</v>
      </c>
      <c r="DO103" s="161">
        <f t="shared" si="104"/>
        <v>0</v>
      </c>
      <c r="DP103" s="161">
        <f t="shared" si="105"/>
        <v>0</v>
      </c>
      <c r="DQ103" s="161">
        <f t="shared" si="106"/>
        <v>0</v>
      </c>
      <c r="DR103" s="161">
        <f t="shared" si="107"/>
        <v>0</v>
      </c>
      <c r="DS103" s="161">
        <f t="shared" si="108"/>
        <v>0</v>
      </c>
      <c r="DT103" s="161">
        <f t="shared" si="109"/>
        <v>0</v>
      </c>
      <c r="DU103" s="161">
        <f t="shared" si="110"/>
        <v>0</v>
      </c>
      <c r="DV103" s="161">
        <f t="shared" si="111"/>
        <v>0</v>
      </c>
      <c r="DW103" s="161">
        <f t="shared" si="112"/>
        <v>0</v>
      </c>
      <c r="DX103" s="161">
        <f t="shared" si="113"/>
        <v>0</v>
      </c>
      <c r="DY103" s="161">
        <f t="shared" si="114"/>
        <v>0</v>
      </c>
      <c r="DZ103" s="161">
        <f t="shared" si="115"/>
        <v>0</v>
      </c>
      <c r="EA103" s="161">
        <f t="shared" si="116"/>
        <v>0</v>
      </c>
      <c r="EB103" s="161">
        <f t="shared" si="117"/>
        <v>0</v>
      </c>
      <c r="EC103" s="161">
        <f t="shared" si="118"/>
        <v>0</v>
      </c>
      <c r="ED103" s="161">
        <f t="shared" si="119"/>
        <v>0</v>
      </c>
      <c r="EE103" s="161">
        <f t="shared" si="120"/>
        <v>0</v>
      </c>
      <c r="EF103" s="161">
        <f t="shared" si="121"/>
        <v>0</v>
      </c>
      <c r="EG103" s="161">
        <f t="shared" si="122"/>
        <v>0</v>
      </c>
      <c r="EH103" s="161">
        <f t="shared" si="123"/>
        <v>0</v>
      </c>
      <c r="EI103" s="161">
        <f t="shared" si="124"/>
        <v>0</v>
      </c>
      <c r="EJ103" s="161">
        <f t="shared" si="125"/>
        <v>0</v>
      </c>
      <c r="EK103" s="147">
        <f t="shared" si="55"/>
        <v>10.416666666666666</v>
      </c>
      <c r="EL103" s="149"/>
      <c r="EN103" s="146"/>
      <c r="EO103" s="146"/>
      <c r="EP103" s="139">
        <f t="shared" si="56"/>
        <v>0</v>
      </c>
      <c r="EQ103" s="139">
        <f t="shared" si="57"/>
        <v>0</v>
      </c>
      <c r="ER103" s="139">
        <f t="shared" si="58"/>
        <v>0</v>
      </c>
      <c r="ES103" s="139">
        <f t="shared" si="59"/>
        <v>0</v>
      </c>
      <c r="ET103" s="139">
        <f t="shared" si="60"/>
        <v>2.9018120614954044</v>
      </c>
      <c r="EU103" s="139">
        <f t="shared" si="61"/>
        <v>0</v>
      </c>
      <c r="EV103" s="139">
        <f t="shared" si="62"/>
        <v>0</v>
      </c>
      <c r="EW103" s="139">
        <f t="shared" si="63"/>
        <v>0</v>
      </c>
      <c r="EX103" s="139">
        <f t="shared" si="64"/>
        <v>0</v>
      </c>
      <c r="EY103" s="139">
        <f t="shared" si="65"/>
        <v>0</v>
      </c>
      <c r="EZ103" s="139">
        <f t="shared" si="66"/>
        <v>0</v>
      </c>
      <c r="FA103" s="139">
        <f t="shared" si="67"/>
        <v>0</v>
      </c>
      <c r="FB103" s="139">
        <f t="shared" si="68"/>
        <v>0</v>
      </c>
      <c r="FC103" s="139">
        <f t="shared" si="69"/>
        <v>0</v>
      </c>
      <c r="FD103" s="139">
        <f t="shared" si="70"/>
        <v>0</v>
      </c>
      <c r="FE103" s="139">
        <f t="shared" si="71"/>
        <v>0</v>
      </c>
      <c r="FF103" s="139">
        <f t="shared" si="72"/>
        <v>0</v>
      </c>
      <c r="FG103" s="139">
        <f t="shared" si="73"/>
        <v>0</v>
      </c>
      <c r="FH103" s="139">
        <f t="shared" si="74"/>
        <v>0</v>
      </c>
      <c r="FI103" s="139">
        <f t="shared" si="75"/>
        <v>0</v>
      </c>
      <c r="FJ103" s="139">
        <f t="shared" si="76"/>
        <v>0</v>
      </c>
      <c r="FK103" s="139">
        <f t="shared" si="77"/>
        <v>0</v>
      </c>
      <c r="FL103" s="139">
        <f t="shared" si="78"/>
        <v>0</v>
      </c>
      <c r="FM103" s="139">
        <f t="shared" si="79"/>
        <v>0</v>
      </c>
      <c r="FN103" s="139">
        <f t="shared" si="80"/>
        <v>0</v>
      </c>
      <c r="FO103" s="139">
        <f t="shared" si="81"/>
        <v>0</v>
      </c>
      <c r="FP103" s="139">
        <f t="shared" si="82"/>
        <v>0</v>
      </c>
      <c r="FQ103" s="139">
        <f t="shared" si="83"/>
        <v>0</v>
      </c>
      <c r="FR103" s="139">
        <f t="shared" si="84"/>
        <v>0</v>
      </c>
      <c r="FS103" s="139">
        <f t="shared" si="85"/>
        <v>0</v>
      </c>
      <c r="FT103" s="139">
        <f t="shared" si="86"/>
        <v>0</v>
      </c>
      <c r="FU103" s="148">
        <f t="shared" si="87"/>
        <v>2.9018120614954044</v>
      </c>
      <c r="FV103" s="149"/>
      <c r="FY103" s="214">
        <v>98</v>
      </c>
      <c r="FZ103">
        <v>0.68359703594303034</v>
      </c>
      <c r="GA103">
        <v>17.981933685920591</v>
      </c>
      <c r="GB103">
        <v>11.768015285983857</v>
      </c>
      <c r="GC103">
        <v>2.3568993431933505</v>
      </c>
      <c r="GD103">
        <v>4.4689914741461969</v>
      </c>
      <c r="GE103">
        <v>8.4031588118391429</v>
      </c>
      <c r="GF103">
        <v>5.4175322026165178</v>
      </c>
      <c r="GG103">
        <v>10.129834217222946</v>
      </c>
      <c r="GH103">
        <v>8.1750326225660466</v>
      </c>
      <c r="GI103">
        <v>8.038435775778682</v>
      </c>
      <c r="GJ103"/>
      <c r="GK103"/>
      <c r="GL103"/>
      <c r="GM103"/>
    </row>
    <row r="104" spans="1:195" s="7" customFormat="1">
      <c r="A104" s="1"/>
      <c r="B104" s="76">
        <f t="shared" ca="1" si="50"/>
        <v>0.5162134682771351</v>
      </c>
      <c r="C104">
        <v>9</v>
      </c>
      <c r="D104">
        <v>39673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10.416666666666666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57.229517306105116</v>
      </c>
      <c r="AO104">
        <v>11.348534055172886</v>
      </c>
      <c r="AP104">
        <v>81.141407809223594</v>
      </c>
      <c r="AQ104">
        <v>63.491710113542382</v>
      </c>
      <c r="AR104">
        <v>10.556760259444484</v>
      </c>
      <c r="AS104">
        <v>55.194715373305961</v>
      </c>
      <c r="AT104">
        <v>6.0190836678253836</v>
      </c>
      <c r="AU104">
        <v>65.691572722391783</v>
      </c>
      <c r="AV104"/>
      <c r="AW104"/>
      <c r="AX104" s="146"/>
      <c r="AY104" s="76">
        <f ca="1">IF(AZ104="", "", RAND())</f>
        <v>0.73885315717223499</v>
      </c>
      <c r="AZ104">
        <v>7</v>
      </c>
      <c r="BA104" s="129">
        <f t="shared" si="127"/>
        <v>39673</v>
      </c>
      <c r="BB104" s="207">
        <v>0</v>
      </c>
      <c r="BC104" s="207">
        <v>0</v>
      </c>
      <c r="BD104" s="207">
        <v>0</v>
      </c>
      <c r="BE104" s="207">
        <v>0</v>
      </c>
      <c r="BF104" s="207">
        <v>0</v>
      </c>
      <c r="BG104" s="207">
        <v>0</v>
      </c>
      <c r="BH104" s="207">
        <v>0</v>
      </c>
      <c r="BI104" s="207">
        <v>0</v>
      </c>
      <c r="BJ104" s="207">
        <v>0</v>
      </c>
      <c r="BK104" s="207">
        <v>0</v>
      </c>
      <c r="BL104" s="207">
        <v>0</v>
      </c>
      <c r="BM104" s="207">
        <v>0</v>
      </c>
      <c r="BN104" s="207">
        <v>0</v>
      </c>
      <c r="BO104" s="207">
        <v>0</v>
      </c>
      <c r="BP104" s="207">
        <v>0</v>
      </c>
      <c r="BQ104" s="207">
        <v>0</v>
      </c>
      <c r="BR104" s="207">
        <v>0</v>
      </c>
      <c r="BS104" s="207">
        <v>0</v>
      </c>
      <c r="BT104" s="207">
        <v>0</v>
      </c>
      <c r="BU104" s="207">
        <v>0</v>
      </c>
      <c r="BV104" s="207">
        <v>0</v>
      </c>
      <c r="BW104" s="207">
        <v>0</v>
      </c>
      <c r="BX104" s="207">
        <v>0</v>
      </c>
      <c r="BY104" s="207">
        <v>0</v>
      </c>
      <c r="BZ104" s="207">
        <v>0</v>
      </c>
      <c r="CA104" s="207">
        <v>0</v>
      </c>
      <c r="CB104" s="207">
        <v>0</v>
      </c>
      <c r="CC104" s="207">
        <v>0</v>
      </c>
      <c r="CD104" s="207">
        <v>0</v>
      </c>
      <c r="CE104" s="207">
        <v>0</v>
      </c>
      <c r="CF104" s="207">
        <v>0</v>
      </c>
      <c r="CG104" s="147"/>
      <c r="CH104" s="176"/>
      <c r="CJ104" s="146"/>
      <c r="CK104" s="76">
        <f t="shared" ca="1" si="90"/>
        <v>0.59530079619681331</v>
      </c>
      <c r="CL104" s="179">
        <f t="shared" si="91"/>
        <v>7</v>
      </c>
      <c r="CM104" s="180">
        <f t="shared" si="92"/>
        <v>39673</v>
      </c>
      <c r="CN104" s="208">
        <v>0</v>
      </c>
      <c r="CO104" s="208">
        <v>0</v>
      </c>
      <c r="CP104" s="208">
        <v>0</v>
      </c>
      <c r="CQ104" s="208">
        <v>0</v>
      </c>
      <c r="CR104" s="208">
        <v>0</v>
      </c>
      <c r="CS104" s="208">
        <v>0</v>
      </c>
      <c r="CT104" s="208">
        <v>0</v>
      </c>
      <c r="CU104" s="208">
        <v>0</v>
      </c>
      <c r="CV104" s="160"/>
      <c r="CW104">
        <v>1</v>
      </c>
      <c r="CX104">
        <v>1</v>
      </c>
      <c r="CY104" s="164"/>
      <c r="CZ104" s="177">
        <f t="shared" si="93"/>
        <v>9.6000000000000002E-2</v>
      </c>
      <c r="DB104" s="146"/>
      <c r="DC104" s="76">
        <f t="shared" ca="1" si="51"/>
        <v>0.30375011362120752</v>
      </c>
      <c r="DD104">
        <f>IF(AZ104="", "", AZ104)</f>
        <v>7</v>
      </c>
      <c r="DE104" s="129">
        <f t="shared" si="126"/>
        <v>39673</v>
      </c>
      <c r="DF104" s="161">
        <f t="shared" si="95"/>
        <v>0</v>
      </c>
      <c r="DG104" s="161">
        <f t="shared" si="96"/>
        <v>0</v>
      </c>
      <c r="DH104" s="161">
        <f t="shared" si="97"/>
        <v>0</v>
      </c>
      <c r="DI104" s="161">
        <f t="shared" si="98"/>
        <v>0</v>
      </c>
      <c r="DJ104" s="161">
        <f t="shared" si="99"/>
        <v>0</v>
      </c>
      <c r="DK104" s="161">
        <f t="shared" si="100"/>
        <v>0</v>
      </c>
      <c r="DL104" s="161">
        <f t="shared" si="101"/>
        <v>0</v>
      </c>
      <c r="DM104" s="161">
        <f t="shared" si="102"/>
        <v>0</v>
      </c>
      <c r="DN104" s="161">
        <f t="shared" si="103"/>
        <v>0</v>
      </c>
      <c r="DO104" s="161">
        <f t="shared" si="104"/>
        <v>0</v>
      </c>
      <c r="DP104" s="161">
        <f t="shared" si="105"/>
        <v>0</v>
      </c>
      <c r="DQ104" s="161">
        <f t="shared" si="106"/>
        <v>0</v>
      </c>
      <c r="DR104" s="161">
        <f t="shared" si="107"/>
        <v>0</v>
      </c>
      <c r="DS104" s="161">
        <f t="shared" si="108"/>
        <v>0</v>
      </c>
      <c r="DT104" s="161">
        <f t="shared" si="109"/>
        <v>0</v>
      </c>
      <c r="DU104" s="161">
        <f t="shared" si="110"/>
        <v>0</v>
      </c>
      <c r="DV104" s="161">
        <f t="shared" si="111"/>
        <v>0</v>
      </c>
      <c r="DW104" s="161">
        <f t="shared" si="112"/>
        <v>0</v>
      </c>
      <c r="DX104" s="161">
        <f t="shared" si="113"/>
        <v>0</v>
      </c>
      <c r="DY104" s="161">
        <f t="shared" si="114"/>
        <v>0</v>
      </c>
      <c r="DZ104" s="161">
        <f t="shared" si="115"/>
        <v>0</v>
      </c>
      <c r="EA104" s="161">
        <f t="shared" si="116"/>
        <v>0</v>
      </c>
      <c r="EB104" s="161">
        <f t="shared" si="117"/>
        <v>0</v>
      </c>
      <c r="EC104" s="161">
        <f t="shared" si="118"/>
        <v>0</v>
      </c>
      <c r="ED104" s="161">
        <f t="shared" si="119"/>
        <v>0</v>
      </c>
      <c r="EE104" s="161">
        <f t="shared" si="120"/>
        <v>0</v>
      </c>
      <c r="EF104" s="161">
        <f t="shared" si="121"/>
        <v>0</v>
      </c>
      <c r="EG104" s="161">
        <f t="shared" si="122"/>
        <v>0</v>
      </c>
      <c r="EH104" s="161">
        <f t="shared" si="123"/>
        <v>0</v>
      </c>
      <c r="EI104" s="161">
        <f t="shared" si="124"/>
        <v>0</v>
      </c>
      <c r="EJ104" s="161">
        <f t="shared" si="125"/>
        <v>0</v>
      </c>
      <c r="EK104" s="147">
        <f t="shared" si="55"/>
        <v>0</v>
      </c>
      <c r="EL104" s="149"/>
      <c r="EN104" s="146"/>
      <c r="EO104" s="146"/>
      <c r="EP104" s="139">
        <f t="shared" si="56"/>
        <v>0</v>
      </c>
      <c r="EQ104" s="139">
        <f t="shared" si="57"/>
        <v>0</v>
      </c>
      <c r="ER104" s="139">
        <f t="shared" si="58"/>
        <v>0</v>
      </c>
      <c r="ES104" s="139">
        <f t="shared" si="59"/>
        <v>0</v>
      </c>
      <c r="ET104" s="139">
        <f t="shared" si="60"/>
        <v>0</v>
      </c>
      <c r="EU104" s="139">
        <f t="shared" si="61"/>
        <v>0</v>
      </c>
      <c r="EV104" s="139">
        <f t="shared" si="62"/>
        <v>0</v>
      </c>
      <c r="EW104" s="139">
        <f t="shared" si="63"/>
        <v>0</v>
      </c>
      <c r="EX104" s="139">
        <f t="shared" si="64"/>
        <v>0</v>
      </c>
      <c r="EY104" s="139">
        <f t="shared" si="65"/>
        <v>0</v>
      </c>
      <c r="EZ104" s="139">
        <f t="shared" si="66"/>
        <v>0</v>
      </c>
      <c r="FA104" s="139">
        <f t="shared" si="67"/>
        <v>0</v>
      </c>
      <c r="FB104" s="139">
        <f t="shared" si="68"/>
        <v>0</v>
      </c>
      <c r="FC104" s="139">
        <f t="shared" si="69"/>
        <v>0</v>
      </c>
      <c r="FD104" s="139">
        <f t="shared" si="70"/>
        <v>0</v>
      </c>
      <c r="FE104" s="139">
        <f t="shared" si="71"/>
        <v>0</v>
      </c>
      <c r="FF104" s="139">
        <f t="shared" si="72"/>
        <v>0</v>
      </c>
      <c r="FG104" s="139">
        <f t="shared" si="73"/>
        <v>0</v>
      </c>
      <c r="FH104" s="139">
        <f t="shared" si="74"/>
        <v>0</v>
      </c>
      <c r="FI104" s="139">
        <f t="shared" si="75"/>
        <v>0</v>
      </c>
      <c r="FJ104" s="139">
        <f t="shared" si="76"/>
        <v>0</v>
      </c>
      <c r="FK104" s="139">
        <f t="shared" si="77"/>
        <v>0</v>
      </c>
      <c r="FL104" s="139">
        <f t="shared" si="78"/>
        <v>0</v>
      </c>
      <c r="FM104" s="139">
        <f t="shared" si="79"/>
        <v>0</v>
      </c>
      <c r="FN104" s="139">
        <f t="shared" si="80"/>
        <v>0</v>
      </c>
      <c r="FO104" s="139">
        <f t="shared" si="81"/>
        <v>0</v>
      </c>
      <c r="FP104" s="139">
        <f t="shared" si="82"/>
        <v>0</v>
      </c>
      <c r="FQ104" s="139">
        <f t="shared" si="83"/>
        <v>0</v>
      </c>
      <c r="FR104" s="139">
        <f t="shared" si="84"/>
        <v>0</v>
      </c>
      <c r="FS104" s="139">
        <f t="shared" si="85"/>
        <v>0</v>
      </c>
      <c r="FT104" s="139">
        <f t="shared" si="86"/>
        <v>0</v>
      </c>
      <c r="FU104" s="148">
        <f t="shared" si="87"/>
        <v>0</v>
      </c>
      <c r="FV104" s="149"/>
      <c r="FY104" s="214">
        <v>99</v>
      </c>
      <c r="FZ104">
        <v>0.93824749793266793</v>
      </c>
      <c r="GA104">
        <v>19.109000961419571</v>
      </c>
      <c r="GB104">
        <v>18.384059633155751</v>
      </c>
      <c r="GC104">
        <v>5.7928470978285063</v>
      </c>
      <c r="GD104">
        <v>9.4527396361130798</v>
      </c>
      <c r="GE104">
        <v>28.098062956129734</v>
      </c>
      <c r="GF104">
        <v>28.040419429639371</v>
      </c>
      <c r="GG104">
        <v>13.910525898651164</v>
      </c>
      <c r="GH104">
        <v>7.7044348807015295</v>
      </c>
      <c r="GI104">
        <v>17.195237431035874</v>
      </c>
      <c r="GJ104"/>
      <c r="GK104"/>
      <c r="GL104"/>
      <c r="GM104"/>
    </row>
    <row r="105" spans="1:195" s="7" customFormat="1">
      <c r="A105" s="1"/>
      <c r="B105" s="76">
        <f t="shared" ca="1" si="50"/>
        <v>0.80688601224021639</v>
      </c>
      <c r="C105">
        <v>8</v>
      </c>
      <c r="D105">
        <v>39673</v>
      </c>
      <c r="E105">
        <v>0</v>
      </c>
      <c r="F105">
        <v>0</v>
      </c>
      <c r="G105">
        <v>0</v>
      </c>
      <c r="H105">
        <v>41.666666666666664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100.91574030861116</v>
      </c>
      <c r="AO105">
        <v>21.490023570454866</v>
      </c>
      <c r="AP105">
        <v>128.8812561202277</v>
      </c>
      <c r="AQ105">
        <v>126.60034402034512</v>
      </c>
      <c r="AR105">
        <v>19.715571752162887</v>
      </c>
      <c r="AS105">
        <v>101.95483726277877</v>
      </c>
      <c r="AT105">
        <v>11.050733439499128</v>
      </c>
      <c r="AU105">
        <v>86.120977002284263</v>
      </c>
      <c r="AV105"/>
      <c r="AW105"/>
      <c r="AX105" s="146"/>
      <c r="AY105" s="76">
        <f ca="1">IF(AZ105="", "", RAND())</f>
        <v>0.13653397349391039</v>
      </c>
      <c r="AZ105">
        <v>8</v>
      </c>
      <c r="BA105" s="129">
        <f t="shared" si="127"/>
        <v>39673</v>
      </c>
      <c r="BB105" s="207">
        <v>0</v>
      </c>
      <c r="BC105" s="207">
        <v>0</v>
      </c>
      <c r="BD105" s="207">
        <v>0</v>
      </c>
      <c r="BE105" s="207">
        <v>0</v>
      </c>
      <c r="BF105" s="207">
        <v>0</v>
      </c>
      <c r="BG105" s="207">
        <v>0</v>
      </c>
      <c r="BH105" s="207">
        <v>0</v>
      </c>
      <c r="BI105" s="207">
        <v>0</v>
      </c>
      <c r="BJ105" s="207">
        <v>0</v>
      </c>
      <c r="BK105" s="207">
        <v>0</v>
      </c>
      <c r="BL105" s="207">
        <v>0</v>
      </c>
      <c r="BM105" s="207">
        <v>0</v>
      </c>
      <c r="BN105" s="207">
        <v>0</v>
      </c>
      <c r="BO105" s="207">
        <v>0</v>
      </c>
      <c r="BP105" s="207">
        <v>0</v>
      </c>
      <c r="BQ105" s="207">
        <v>0</v>
      </c>
      <c r="BR105" s="207">
        <v>0</v>
      </c>
      <c r="BS105" s="207">
        <v>0</v>
      </c>
      <c r="BT105" s="207">
        <v>0</v>
      </c>
      <c r="BU105" s="207">
        <v>0</v>
      </c>
      <c r="BV105" s="207">
        <v>0</v>
      </c>
      <c r="BW105" s="207">
        <v>0</v>
      </c>
      <c r="BX105" s="207">
        <v>0</v>
      </c>
      <c r="BY105" s="207">
        <v>0</v>
      </c>
      <c r="BZ105" s="207">
        <v>0</v>
      </c>
      <c r="CA105" s="207">
        <v>0</v>
      </c>
      <c r="CB105" s="207">
        <v>0</v>
      </c>
      <c r="CC105" s="207">
        <v>0</v>
      </c>
      <c r="CD105" s="207">
        <v>0</v>
      </c>
      <c r="CE105" s="207">
        <v>0</v>
      </c>
      <c r="CF105" s="207">
        <v>0</v>
      </c>
      <c r="CG105" s="147"/>
      <c r="CH105" s="176"/>
      <c r="CJ105" s="146"/>
      <c r="CK105" s="76">
        <f t="shared" ca="1" si="90"/>
        <v>0.97222141190369893</v>
      </c>
      <c r="CL105" s="179">
        <f t="shared" si="91"/>
        <v>8</v>
      </c>
      <c r="CM105" s="180">
        <f t="shared" si="92"/>
        <v>39673</v>
      </c>
      <c r="CN105" s="208">
        <v>0</v>
      </c>
      <c r="CO105" s="208">
        <v>0</v>
      </c>
      <c r="CP105" s="208">
        <v>0</v>
      </c>
      <c r="CQ105" s="208">
        <v>2</v>
      </c>
      <c r="CR105" s="208">
        <v>0</v>
      </c>
      <c r="CS105" s="208">
        <v>0</v>
      </c>
      <c r="CT105" s="208">
        <v>0</v>
      </c>
      <c r="CU105" s="208">
        <v>0</v>
      </c>
      <c r="CV105" s="160"/>
      <c r="CW105">
        <v>1</v>
      </c>
      <c r="CX105">
        <v>2</v>
      </c>
      <c r="CY105" s="164"/>
      <c r="CZ105" s="177">
        <f t="shared" si="93"/>
        <v>9.6000000000000002E-2</v>
      </c>
      <c r="DB105" s="146"/>
      <c r="DC105" s="76">
        <f t="shared" ca="1" si="51"/>
        <v>0.78268030962685131</v>
      </c>
      <c r="DD105">
        <f>IF(AZ105="", "", AZ105)</f>
        <v>8</v>
      </c>
      <c r="DE105" s="129">
        <f t="shared" si="126"/>
        <v>39673</v>
      </c>
      <c r="DF105" s="161">
        <f t="shared" si="95"/>
        <v>0</v>
      </c>
      <c r="DG105" s="161">
        <f t="shared" si="96"/>
        <v>0</v>
      </c>
      <c r="DH105" s="161">
        <f t="shared" si="97"/>
        <v>0</v>
      </c>
      <c r="DI105" s="161">
        <f t="shared" si="98"/>
        <v>41.666666666666664</v>
      </c>
      <c r="DJ105" s="161">
        <f t="shared" si="99"/>
        <v>0</v>
      </c>
      <c r="DK105" s="161">
        <f t="shared" si="100"/>
        <v>0</v>
      </c>
      <c r="DL105" s="161">
        <f t="shared" si="101"/>
        <v>0</v>
      </c>
      <c r="DM105" s="161">
        <f t="shared" si="102"/>
        <v>0</v>
      </c>
      <c r="DN105" s="161">
        <f t="shared" si="103"/>
        <v>0</v>
      </c>
      <c r="DO105" s="161">
        <f t="shared" si="104"/>
        <v>0</v>
      </c>
      <c r="DP105" s="161">
        <f t="shared" si="105"/>
        <v>0</v>
      </c>
      <c r="DQ105" s="161">
        <f t="shared" si="106"/>
        <v>0</v>
      </c>
      <c r="DR105" s="161">
        <f t="shared" si="107"/>
        <v>0</v>
      </c>
      <c r="DS105" s="161">
        <f t="shared" si="108"/>
        <v>0</v>
      </c>
      <c r="DT105" s="161">
        <f t="shared" si="109"/>
        <v>0</v>
      </c>
      <c r="DU105" s="161">
        <f t="shared" si="110"/>
        <v>0</v>
      </c>
      <c r="DV105" s="161">
        <f t="shared" si="111"/>
        <v>0</v>
      </c>
      <c r="DW105" s="161">
        <f t="shared" si="112"/>
        <v>0</v>
      </c>
      <c r="DX105" s="161">
        <f t="shared" si="113"/>
        <v>0</v>
      </c>
      <c r="DY105" s="161">
        <f t="shared" si="114"/>
        <v>0</v>
      </c>
      <c r="DZ105" s="161">
        <f t="shared" si="115"/>
        <v>0</v>
      </c>
      <c r="EA105" s="161">
        <f t="shared" si="116"/>
        <v>0</v>
      </c>
      <c r="EB105" s="161">
        <f t="shared" si="117"/>
        <v>0</v>
      </c>
      <c r="EC105" s="161">
        <f t="shared" si="118"/>
        <v>0</v>
      </c>
      <c r="ED105" s="161">
        <f t="shared" si="119"/>
        <v>0</v>
      </c>
      <c r="EE105" s="161">
        <f t="shared" si="120"/>
        <v>0</v>
      </c>
      <c r="EF105" s="161">
        <f t="shared" si="121"/>
        <v>0</v>
      </c>
      <c r="EG105" s="161">
        <f t="shared" si="122"/>
        <v>0</v>
      </c>
      <c r="EH105" s="161">
        <f t="shared" si="123"/>
        <v>0</v>
      </c>
      <c r="EI105" s="161">
        <f t="shared" si="124"/>
        <v>0</v>
      </c>
      <c r="EJ105" s="161">
        <f t="shared" si="125"/>
        <v>0</v>
      </c>
      <c r="EK105" s="147">
        <f t="shared" si="55"/>
        <v>41.666666666666664</v>
      </c>
      <c r="EL105" s="149"/>
      <c r="EN105" s="146"/>
      <c r="EO105" s="146"/>
      <c r="EP105" s="139">
        <f t="shared" si="56"/>
        <v>0</v>
      </c>
      <c r="EQ105" s="139">
        <f t="shared" si="57"/>
        <v>0</v>
      </c>
      <c r="ER105" s="139">
        <f t="shared" si="58"/>
        <v>0</v>
      </c>
      <c r="ES105" s="139">
        <f t="shared" si="59"/>
        <v>5.3720906966727426</v>
      </c>
      <c r="ET105" s="139">
        <f t="shared" si="60"/>
        <v>0</v>
      </c>
      <c r="EU105" s="139">
        <f t="shared" si="61"/>
        <v>0</v>
      </c>
      <c r="EV105" s="139">
        <f t="shared" si="62"/>
        <v>0</v>
      </c>
      <c r="EW105" s="139">
        <f t="shared" si="63"/>
        <v>0</v>
      </c>
      <c r="EX105" s="139">
        <f t="shared" si="64"/>
        <v>0</v>
      </c>
      <c r="EY105" s="139">
        <f t="shared" si="65"/>
        <v>0</v>
      </c>
      <c r="EZ105" s="139">
        <f t="shared" si="66"/>
        <v>0</v>
      </c>
      <c r="FA105" s="139">
        <f t="shared" si="67"/>
        <v>0</v>
      </c>
      <c r="FB105" s="139">
        <f t="shared" si="68"/>
        <v>0</v>
      </c>
      <c r="FC105" s="139">
        <f t="shared" si="69"/>
        <v>0</v>
      </c>
      <c r="FD105" s="139">
        <f t="shared" si="70"/>
        <v>0</v>
      </c>
      <c r="FE105" s="139">
        <f t="shared" si="71"/>
        <v>0</v>
      </c>
      <c r="FF105" s="139">
        <f t="shared" si="72"/>
        <v>0</v>
      </c>
      <c r="FG105" s="139">
        <f t="shared" si="73"/>
        <v>0</v>
      </c>
      <c r="FH105" s="139">
        <f t="shared" si="74"/>
        <v>0</v>
      </c>
      <c r="FI105" s="139">
        <f t="shared" si="75"/>
        <v>0</v>
      </c>
      <c r="FJ105" s="139">
        <f t="shared" si="76"/>
        <v>0</v>
      </c>
      <c r="FK105" s="139">
        <f t="shared" si="77"/>
        <v>0</v>
      </c>
      <c r="FL105" s="139">
        <f t="shared" si="78"/>
        <v>0</v>
      </c>
      <c r="FM105" s="139">
        <f t="shared" si="79"/>
        <v>0</v>
      </c>
      <c r="FN105" s="139">
        <f t="shared" si="80"/>
        <v>0</v>
      </c>
      <c r="FO105" s="139">
        <f t="shared" si="81"/>
        <v>0</v>
      </c>
      <c r="FP105" s="139">
        <f t="shared" si="82"/>
        <v>0</v>
      </c>
      <c r="FQ105" s="139">
        <f t="shared" si="83"/>
        <v>0</v>
      </c>
      <c r="FR105" s="139">
        <f t="shared" si="84"/>
        <v>0</v>
      </c>
      <c r="FS105" s="139">
        <f t="shared" si="85"/>
        <v>0</v>
      </c>
      <c r="FT105" s="139">
        <f t="shared" si="86"/>
        <v>0</v>
      </c>
      <c r="FU105" s="148">
        <f t="shared" si="87"/>
        <v>5.3720906966727426</v>
      </c>
      <c r="FV105" s="149"/>
      <c r="FY105" s="214">
        <v>100</v>
      </c>
      <c r="FZ105">
        <v>1.4014067028959936</v>
      </c>
      <c r="GA105">
        <v>3.9865791804269257</v>
      </c>
      <c r="GB105">
        <v>8.3295394547356274</v>
      </c>
      <c r="GC105">
        <v>4.4469172576879261</v>
      </c>
      <c r="GD105">
        <v>1.2423683482002865</v>
      </c>
      <c r="GE105">
        <v>2.5696989563744235</v>
      </c>
      <c r="GF105">
        <v>10.214154205031154</v>
      </c>
      <c r="GG105">
        <v>12.758541316984129</v>
      </c>
      <c r="GH105">
        <v>10.553300629044855</v>
      </c>
      <c r="GI105">
        <v>6.5690140198185425</v>
      </c>
      <c r="GJ105"/>
      <c r="GK105"/>
      <c r="GL105"/>
      <c r="GM105"/>
    </row>
    <row r="106" spans="1:195" s="7" customFormat="1">
      <c r="A106" s="1"/>
      <c r="B106" s="76">
        <f t="shared" ca="1" si="50"/>
        <v>0.31584633958695729</v>
      </c>
      <c r="C106">
        <v>3</v>
      </c>
      <c r="D106">
        <v>39673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87.567799405931041</v>
      </c>
      <c r="AO106">
        <v>19.117133797822291</v>
      </c>
      <c r="AP106">
        <v>82.613819848169484</v>
      </c>
      <c r="AQ106">
        <v>114.63741835902078</v>
      </c>
      <c r="AR106">
        <v>17.571252638474192</v>
      </c>
      <c r="AS106">
        <v>90.596077982553069</v>
      </c>
      <c r="AT106">
        <v>10.119292050038053</v>
      </c>
      <c r="AU106">
        <v>6.0379890406216763</v>
      </c>
      <c r="AV106"/>
      <c r="AW106"/>
      <c r="AX106" s="146"/>
      <c r="AY106" s="76">
        <f t="shared" ca="1" si="88"/>
        <v>0.30358077405536932</v>
      </c>
      <c r="AZ106">
        <v>9</v>
      </c>
      <c r="BA106" s="129">
        <f t="shared" si="127"/>
        <v>39673</v>
      </c>
      <c r="BB106" s="207">
        <v>0</v>
      </c>
      <c r="BC106" s="207">
        <v>0</v>
      </c>
      <c r="BD106" s="207">
        <v>0</v>
      </c>
      <c r="BE106" s="207">
        <v>0</v>
      </c>
      <c r="BF106" s="207">
        <v>0</v>
      </c>
      <c r="BG106" s="207">
        <v>0</v>
      </c>
      <c r="BH106" s="207">
        <v>0</v>
      </c>
      <c r="BI106" s="207">
        <v>0</v>
      </c>
      <c r="BJ106" s="207">
        <v>0</v>
      </c>
      <c r="BK106" s="207">
        <v>0</v>
      </c>
      <c r="BL106" s="207">
        <v>0</v>
      </c>
      <c r="BM106" s="207">
        <v>0</v>
      </c>
      <c r="BN106" s="207">
        <v>0</v>
      </c>
      <c r="BO106" s="207">
        <v>0</v>
      </c>
      <c r="BP106" s="207">
        <v>0</v>
      </c>
      <c r="BQ106" s="207">
        <v>0</v>
      </c>
      <c r="BR106" s="207">
        <v>0</v>
      </c>
      <c r="BS106" s="207">
        <v>0</v>
      </c>
      <c r="BT106" s="207">
        <v>0</v>
      </c>
      <c r="BU106" s="207">
        <v>0</v>
      </c>
      <c r="BV106" s="207">
        <v>0</v>
      </c>
      <c r="BW106" s="207">
        <v>0</v>
      </c>
      <c r="BX106" s="207">
        <v>0</v>
      </c>
      <c r="BY106" s="207">
        <v>0</v>
      </c>
      <c r="BZ106" s="207">
        <v>0</v>
      </c>
      <c r="CA106" s="207">
        <v>0</v>
      </c>
      <c r="CB106" s="207">
        <v>0</v>
      </c>
      <c r="CC106" s="207">
        <v>0</v>
      </c>
      <c r="CD106" s="207">
        <v>0</v>
      </c>
      <c r="CE106" s="207">
        <v>0</v>
      </c>
      <c r="CF106" s="207">
        <v>0</v>
      </c>
      <c r="CG106" s="147"/>
      <c r="CH106" s="176"/>
      <c r="CJ106" s="146"/>
      <c r="CK106" s="76">
        <f t="shared" ca="1" si="90"/>
        <v>0.12497955745500011</v>
      </c>
      <c r="CL106" s="179">
        <f t="shared" si="91"/>
        <v>9</v>
      </c>
      <c r="CM106" s="180">
        <f t="shared" si="92"/>
        <v>39673</v>
      </c>
      <c r="CN106" s="208">
        <v>0</v>
      </c>
      <c r="CO106" s="208">
        <v>0</v>
      </c>
      <c r="CP106" s="208">
        <v>0</v>
      </c>
      <c r="CQ106" s="208">
        <v>0</v>
      </c>
      <c r="CR106" s="208">
        <v>0</v>
      </c>
      <c r="CS106" s="208">
        <v>1</v>
      </c>
      <c r="CT106" s="208">
        <v>0</v>
      </c>
      <c r="CU106" s="208">
        <v>0</v>
      </c>
      <c r="CV106" s="160"/>
      <c r="CW106">
        <v>1</v>
      </c>
      <c r="CX106">
        <v>1</v>
      </c>
      <c r="CY106" s="164"/>
      <c r="CZ106" s="177">
        <f t="shared" si="93"/>
        <v>9.6000000000000002E-2</v>
      </c>
      <c r="DB106" s="146"/>
      <c r="DC106" s="76">
        <f t="shared" ca="1" si="51"/>
        <v>0.77676781236685066</v>
      </c>
      <c r="DD106">
        <f t="shared" si="94"/>
        <v>9</v>
      </c>
      <c r="DE106" s="129">
        <f t="shared" si="126"/>
        <v>39673</v>
      </c>
      <c r="DF106" s="161">
        <f t="shared" si="95"/>
        <v>0</v>
      </c>
      <c r="DG106" s="161">
        <f t="shared" si="96"/>
        <v>0</v>
      </c>
      <c r="DH106" s="161">
        <f t="shared" si="97"/>
        <v>0</v>
      </c>
      <c r="DI106" s="161">
        <f t="shared" si="98"/>
        <v>0</v>
      </c>
      <c r="DJ106" s="161">
        <f t="shared" si="99"/>
        <v>0</v>
      </c>
      <c r="DK106" s="161">
        <f t="shared" si="100"/>
        <v>10.416666666666666</v>
      </c>
      <c r="DL106" s="161">
        <f t="shared" si="101"/>
        <v>0</v>
      </c>
      <c r="DM106" s="161">
        <f t="shared" si="102"/>
        <v>0</v>
      </c>
      <c r="DN106" s="161">
        <f t="shared" si="103"/>
        <v>0</v>
      </c>
      <c r="DO106" s="161">
        <f t="shared" si="104"/>
        <v>0</v>
      </c>
      <c r="DP106" s="161">
        <f t="shared" si="105"/>
        <v>0</v>
      </c>
      <c r="DQ106" s="161">
        <f t="shared" si="106"/>
        <v>0</v>
      </c>
      <c r="DR106" s="161">
        <f t="shared" si="107"/>
        <v>0</v>
      </c>
      <c r="DS106" s="161">
        <f t="shared" si="108"/>
        <v>0</v>
      </c>
      <c r="DT106" s="161">
        <f t="shared" si="109"/>
        <v>0</v>
      </c>
      <c r="DU106" s="161">
        <f t="shared" si="110"/>
        <v>0</v>
      </c>
      <c r="DV106" s="161">
        <f t="shared" si="111"/>
        <v>0</v>
      </c>
      <c r="DW106" s="161">
        <f t="shared" si="112"/>
        <v>0</v>
      </c>
      <c r="DX106" s="161">
        <f t="shared" si="113"/>
        <v>0</v>
      </c>
      <c r="DY106" s="161">
        <f t="shared" si="114"/>
        <v>0</v>
      </c>
      <c r="DZ106" s="161">
        <f t="shared" si="115"/>
        <v>0</v>
      </c>
      <c r="EA106" s="161">
        <f t="shared" si="116"/>
        <v>0</v>
      </c>
      <c r="EB106" s="161">
        <f t="shared" si="117"/>
        <v>0</v>
      </c>
      <c r="EC106" s="161">
        <f t="shared" si="118"/>
        <v>0</v>
      </c>
      <c r="ED106" s="161">
        <f t="shared" si="119"/>
        <v>0</v>
      </c>
      <c r="EE106" s="161">
        <f t="shared" si="120"/>
        <v>0</v>
      </c>
      <c r="EF106" s="161">
        <f t="shared" si="121"/>
        <v>0</v>
      </c>
      <c r="EG106" s="161">
        <f t="shared" si="122"/>
        <v>0</v>
      </c>
      <c r="EH106" s="161">
        <f t="shared" si="123"/>
        <v>0</v>
      </c>
      <c r="EI106" s="161">
        <f t="shared" si="124"/>
        <v>0</v>
      </c>
      <c r="EJ106" s="161">
        <f t="shared" si="125"/>
        <v>0</v>
      </c>
      <c r="EK106" s="147">
        <f t="shared" si="55"/>
        <v>10.416666666666666</v>
      </c>
      <c r="EL106" s="149"/>
      <c r="EN106" s="146"/>
      <c r="EO106" s="146"/>
      <c r="EP106" s="139">
        <f t="shared" si="56"/>
        <v>0</v>
      </c>
      <c r="EQ106" s="139">
        <f t="shared" si="57"/>
        <v>0</v>
      </c>
      <c r="ER106" s="139">
        <f t="shared" si="58"/>
        <v>0</v>
      </c>
      <c r="ES106" s="139">
        <f t="shared" si="59"/>
        <v>0</v>
      </c>
      <c r="ET106" s="139">
        <f t="shared" si="60"/>
        <v>0</v>
      </c>
      <c r="EU106" s="139">
        <f t="shared" si="61"/>
        <v>5.2746578835861495</v>
      </c>
      <c r="EV106" s="139">
        <f t="shared" si="62"/>
        <v>0</v>
      </c>
      <c r="EW106" s="139">
        <f t="shared" si="63"/>
        <v>0</v>
      </c>
      <c r="EX106" s="139">
        <f t="shared" si="64"/>
        <v>0</v>
      </c>
      <c r="EY106" s="139">
        <f t="shared" si="65"/>
        <v>0</v>
      </c>
      <c r="EZ106" s="139">
        <f t="shared" si="66"/>
        <v>0</v>
      </c>
      <c r="FA106" s="139">
        <f t="shared" si="67"/>
        <v>0</v>
      </c>
      <c r="FB106" s="139">
        <f t="shared" si="68"/>
        <v>0</v>
      </c>
      <c r="FC106" s="139">
        <f t="shared" si="69"/>
        <v>0</v>
      </c>
      <c r="FD106" s="139">
        <f t="shared" si="70"/>
        <v>0</v>
      </c>
      <c r="FE106" s="139">
        <f t="shared" si="71"/>
        <v>0</v>
      </c>
      <c r="FF106" s="139">
        <f t="shared" si="72"/>
        <v>0</v>
      </c>
      <c r="FG106" s="139">
        <f t="shared" si="73"/>
        <v>0</v>
      </c>
      <c r="FH106" s="139">
        <f t="shared" si="74"/>
        <v>0</v>
      </c>
      <c r="FI106" s="139">
        <f t="shared" si="75"/>
        <v>0</v>
      </c>
      <c r="FJ106" s="139">
        <f t="shared" si="76"/>
        <v>0</v>
      </c>
      <c r="FK106" s="139">
        <f t="shared" si="77"/>
        <v>0</v>
      </c>
      <c r="FL106" s="139">
        <f t="shared" si="78"/>
        <v>0</v>
      </c>
      <c r="FM106" s="139">
        <f t="shared" si="79"/>
        <v>0</v>
      </c>
      <c r="FN106" s="139">
        <f t="shared" si="80"/>
        <v>0</v>
      </c>
      <c r="FO106" s="139">
        <f t="shared" si="81"/>
        <v>0</v>
      </c>
      <c r="FP106" s="139">
        <f t="shared" si="82"/>
        <v>0</v>
      </c>
      <c r="FQ106" s="139">
        <f t="shared" si="83"/>
        <v>0</v>
      </c>
      <c r="FR106" s="139">
        <f t="shared" si="84"/>
        <v>0</v>
      </c>
      <c r="FS106" s="139">
        <f t="shared" si="85"/>
        <v>0</v>
      </c>
      <c r="FT106" s="139">
        <f t="shared" si="86"/>
        <v>0</v>
      </c>
      <c r="FU106" s="148">
        <f t="shared" si="87"/>
        <v>5.2746578835861495</v>
      </c>
      <c r="FV106" s="149"/>
      <c r="FY106" s="214">
        <v>101</v>
      </c>
      <c r="FZ106">
        <v>0.45932188806312851</v>
      </c>
      <c r="GA106">
        <v>11.344463833431531</v>
      </c>
      <c r="GB106">
        <v>9.997907382402289</v>
      </c>
      <c r="GC106">
        <v>3.0015955506647725</v>
      </c>
      <c r="GD106">
        <v>4.9709704876019902</v>
      </c>
      <c r="GE106">
        <v>13.843417061532385</v>
      </c>
      <c r="GF106">
        <v>21.373817206335929</v>
      </c>
      <c r="GG106">
        <v>15.690848408992437</v>
      </c>
      <c r="GH106">
        <v>5.2766503145224277</v>
      </c>
      <c r="GI106">
        <v>10.773056998346904</v>
      </c>
      <c r="GJ106"/>
      <c r="GK106"/>
      <c r="GL106"/>
      <c r="GM106"/>
    </row>
    <row r="107" spans="1:195" s="7" customFormat="1">
      <c r="A107" s="1"/>
      <c r="B107" s="76">
        <f t="shared" ca="1" si="50"/>
        <v>0.68870331740446655</v>
      </c>
      <c r="C107">
        <v>1</v>
      </c>
      <c r="D107">
        <v>39673</v>
      </c>
      <c r="E107">
        <v>0</v>
      </c>
      <c r="F107">
        <v>0</v>
      </c>
      <c r="G107">
        <v>0</v>
      </c>
      <c r="H107">
        <v>10.416666666666666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45.598530987205763</v>
      </c>
      <c r="AO107">
        <v>8.3654735358593868</v>
      </c>
      <c r="AP107">
        <v>50.665114467549301</v>
      </c>
      <c r="AQ107">
        <v>49.526672042892308</v>
      </c>
      <c r="AR107">
        <v>7.8329998179549278</v>
      </c>
      <c r="AS107">
        <v>44.303960617085067</v>
      </c>
      <c r="AT107">
        <v>4.6034567824153356</v>
      </c>
      <c r="AU107">
        <v>33.794664492325687</v>
      </c>
      <c r="AV107"/>
      <c r="AW107"/>
      <c r="AX107" s="146"/>
      <c r="AY107" s="76">
        <f t="shared" ca="1" si="88"/>
        <v>9.4528768973232147E-2</v>
      </c>
      <c r="AZ107">
        <v>10</v>
      </c>
      <c r="BA107" s="129">
        <f t="shared" si="127"/>
        <v>39673</v>
      </c>
      <c r="BB107" s="207">
        <v>0</v>
      </c>
      <c r="BC107" s="207">
        <v>0</v>
      </c>
      <c r="BD107" s="207">
        <v>0</v>
      </c>
      <c r="BE107" s="207">
        <v>0</v>
      </c>
      <c r="BF107" s="207">
        <v>0</v>
      </c>
      <c r="BG107" s="207">
        <v>0</v>
      </c>
      <c r="BH107" s="207">
        <v>0</v>
      </c>
      <c r="BI107" s="207">
        <v>0</v>
      </c>
      <c r="BJ107" s="207">
        <v>0</v>
      </c>
      <c r="BK107" s="207">
        <v>0</v>
      </c>
      <c r="BL107" s="207">
        <v>0</v>
      </c>
      <c r="BM107" s="207">
        <v>0</v>
      </c>
      <c r="BN107" s="207">
        <v>0</v>
      </c>
      <c r="BO107" s="207">
        <v>0</v>
      </c>
      <c r="BP107" s="207">
        <v>0</v>
      </c>
      <c r="BQ107" s="207">
        <v>0</v>
      </c>
      <c r="BR107" s="207">
        <v>0</v>
      </c>
      <c r="BS107" s="207">
        <v>0</v>
      </c>
      <c r="BT107" s="207">
        <v>0</v>
      </c>
      <c r="BU107" s="207">
        <v>0</v>
      </c>
      <c r="BV107" s="207">
        <v>0</v>
      </c>
      <c r="BW107" s="207">
        <v>0</v>
      </c>
      <c r="BX107" s="207">
        <v>0</v>
      </c>
      <c r="BY107" s="207">
        <v>0</v>
      </c>
      <c r="BZ107" s="207">
        <v>0</v>
      </c>
      <c r="CA107" s="207">
        <v>0</v>
      </c>
      <c r="CB107" s="207">
        <v>0</v>
      </c>
      <c r="CC107" s="207">
        <v>0</v>
      </c>
      <c r="CD107" s="207">
        <v>0</v>
      </c>
      <c r="CE107" s="207">
        <v>0</v>
      </c>
      <c r="CF107" s="207">
        <v>0</v>
      </c>
      <c r="CG107" s="147"/>
      <c r="CH107" s="176"/>
      <c r="CJ107" s="146"/>
      <c r="CK107" s="76">
        <f t="shared" ca="1" si="90"/>
        <v>0.92396314012097758</v>
      </c>
      <c r="CL107" s="179">
        <f t="shared" si="91"/>
        <v>10</v>
      </c>
      <c r="CM107" s="180">
        <f t="shared" si="92"/>
        <v>39673</v>
      </c>
      <c r="CN107" s="208">
        <v>0</v>
      </c>
      <c r="CO107" s="208">
        <v>0</v>
      </c>
      <c r="CP107" s="208">
        <v>0</v>
      </c>
      <c r="CQ107" s="208">
        <v>0</v>
      </c>
      <c r="CR107" s="208">
        <v>0</v>
      </c>
      <c r="CS107" s="208">
        <v>0</v>
      </c>
      <c r="CT107" s="208">
        <v>0</v>
      </c>
      <c r="CU107" s="208">
        <v>0</v>
      </c>
      <c r="CV107" s="160"/>
      <c r="CW107">
        <f>18/10</f>
        <v>1.8</v>
      </c>
      <c r="CX107">
        <f>100/7</f>
        <v>14.285714285714286</v>
      </c>
      <c r="CY107" s="164"/>
      <c r="CZ107" s="177">
        <f t="shared" si="93"/>
        <v>9.6000000000000002E-2</v>
      </c>
      <c r="DB107" s="146"/>
      <c r="DC107" s="76">
        <f t="shared" ca="1" si="51"/>
        <v>0.61286650859991365</v>
      </c>
      <c r="DD107">
        <f t="shared" si="94"/>
        <v>10</v>
      </c>
      <c r="DE107" s="129">
        <f t="shared" si="126"/>
        <v>39673</v>
      </c>
      <c r="DF107" s="161">
        <f t="shared" si="95"/>
        <v>0</v>
      </c>
      <c r="DG107" s="161">
        <f t="shared" si="96"/>
        <v>0</v>
      </c>
      <c r="DH107" s="161">
        <f t="shared" si="97"/>
        <v>0</v>
      </c>
      <c r="DI107" s="161">
        <f t="shared" si="98"/>
        <v>0</v>
      </c>
      <c r="DJ107" s="161">
        <f t="shared" si="99"/>
        <v>0</v>
      </c>
      <c r="DK107" s="161">
        <f t="shared" si="100"/>
        <v>0</v>
      </c>
      <c r="DL107" s="161">
        <f t="shared" si="101"/>
        <v>0</v>
      </c>
      <c r="DM107" s="161">
        <f t="shared" si="102"/>
        <v>0</v>
      </c>
      <c r="DN107" s="161">
        <f t="shared" si="103"/>
        <v>0</v>
      </c>
      <c r="DO107" s="161">
        <f t="shared" si="104"/>
        <v>0</v>
      </c>
      <c r="DP107" s="161">
        <f t="shared" si="105"/>
        <v>0</v>
      </c>
      <c r="DQ107" s="161">
        <f t="shared" si="106"/>
        <v>0</v>
      </c>
      <c r="DR107" s="161">
        <f t="shared" si="107"/>
        <v>0</v>
      </c>
      <c r="DS107" s="161">
        <f t="shared" si="108"/>
        <v>0</v>
      </c>
      <c r="DT107" s="161">
        <f t="shared" si="109"/>
        <v>0</v>
      </c>
      <c r="DU107" s="161">
        <f t="shared" si="110"/>
        <v>0</v>
      </c>
      <c r="DV107" s="161">
        <f t="shared" si="111"/>
        <v>0</v>
      </c>
      <c r="DW107" s="161">
        <f t="shared" si="112"/>
        <v>0</v>
      </c>
      <c r="DX107" s="161">
        <f t="shared" si="113"/>
        <v>0</v>
      </c>
      <c r="DY107" s="161">
        <f t="shared" si="114"/>
        <v>0</v>
      </c>
      <c r="DZ107" s="161">
        <f t="shared" si="115"/>
        <v>0</v>
      </c>
      <c r="EA107" s="161">
        <f t="shared" si="116"/>
        <v>0</v>
      </c>
      <c r="EB107" s="161">
        <f t="shared" si="117"/>
        <v>0</v>
      </c>
      <c r="EC107" s="161">
        <f t="shared" si="118"/>
        <v>0</v>
      </c>
      <c r="ED107" s="161">
        <f t="shared" si="119"/>
        <v>0</v>
      </c>
      <c r="EE107" s="161">
        <f t="shared" si="120"/>
        <v>0</v>
      </c>
      <c r="EF107" s="161">
        <f t="shared" si="121"/>
        <v>0</v>
      </c>
      <c r="EG107" s="161">
        <f t="shared" si="122"/>
        <v>0</v>
      </c>
      <c r="EH107" s="161">
        <f t="shared" si="123"/>
        <v>0</v>
      </c>
      <c r="EI107" s="161">
        <f t="shared" si="124"/>
        <v>0</v>
      </c>
      <c r="EJ107" s="161">
        <f t="shared" si="125"/>
        <v>0</v>
      </c>
      <c r="EK107" s="147">
        <f t="shared" si="55"/>
        <v>0</v>
      </c>
      <c r="EL107" s="149"/>
      <c r="EN107" s="146"/>
      <c r="EO107" s="146"/>
      <c r="EP107" s="139">
        <f t="shared" si="56"/>
        <v>0</v>
      </c>
      <c r="EQ107" s="139">
        <f t="shared" si="57"/>
        <v>0</v>
      </c>
      <c r="ER107" s="139">
        <f t="shared" si="58"/>
        <v>0</v>
      </c>
      <c r="ES107" s="139">
        <f t="shared" si="59"/>
        <v>0</v>
      </c>
      <c r="ET107" s="139">
        <f t="shared" si="60"/>
        <v>0</v>
      </c>
      <c r="EU107" s="139">
        <f t="shared" si="61"/>
        <v>0</v>
      </c>
      <c r="EV107" s="139">
        <f t="shared" si="62"/>
        <v>0</v>
      </c>
      <c r="EW107" s="139">
        <f t="shared" si="63"/>
        <v>0</v>
      </c>
      <c r="EX107" s="139">
        <f t="shared" si="64"/>
        <v>0</v>
      </c>
      <c r="EY107" s="139">
        <f t="shared" si="65"/>
        <v>0</v>
      </c>
      <c r="EZ107" s="139">
        <f t="shared" si="66"/>
        <v>0</v>
      </c>
      <c r="FA107" s="139">
        <f t="shared" si="67"/>
        <v>0</v>
      </c>
      <c r="FB107" s="139">
        <f t="shared" si="68"/>
        <v>0</v>
      </c>
      <c r="FC107" s="139">
        <f t="shared" si="69"/>
        <v>0</v>
      </c>
      <c r="FD107" s="139">
        <f t="shared" si="70"/>
        <v>0</v>
      </c>
      <c r="FE107" s="139">
        <f t="shared" si="71"/>
        <v>0</v>
      </c>
      <c r="FF107" s="139">
        <f t="shared" si="72"/>
        <v>0</v>
      </c>
      <c r="FG107" s="139">
        <f t="shared" si="73"/>
        <v>0</v>
      </c>
      <c r="FH107" s="139">
        <f t="shared" si="74"/>
        <v>0</v>
      </c>
      <c r="FI107" s="139">
        <f t="shared" si="75"/>
        <v>0</v>
      </c>
      <c r="FJ107" s="139">
        <f t="shared" si="76"/>
        <v>0</v>
      </c>
      <c r="FK107" s="139">
        <f t="shared" si="77"/>
        <v>0</v>
      </c>
      <c r="FL107" s="139">
        <f t="shared" si="78"/>
        <v>0</v>
      </c>
      <c r="FM107" s="139">
        <f t="shared" si="79"/>
        <v>0</v>
      </c>
      <c r="FN107" s="139">
        <f t="shared" si="80"/>
        <v>0</v>
      </c>
      <c r="FO107" s="139">
        <f t="shared" si="81"/>
        <v>0</v>
      </c>
      <c r="FP107" s="139">
        <f t="shared" si="82"/>
        <v>0</v>
      </c>
      <c r="FQ107" s="139">
        <f t="shared" si="83"/>
        <v>0</v>
      </c>
      <c r="FR107" s="139">
        <f t="shared" si="84"/>
        <v>0</v>
      </c>
      <c r="FS107" s="139">
        <f t="shared" si="85"/>
        <v>0</v>
      </c>
      <c r="FT107" s="139">
        <f t="shared" si="86"/>
        <v>0</v>
      </c>
      <c r="FU107" s="148">
        <f t="shared" si="87"/>
        <v>0</v>
      </c>
      <c r="FV107" s="149"/>
      <c r="FY107" s="214">
        <v>102</v>
      </c>
      <c r="FZ107">
        <v>0.66399331413661944</v>
      </c>
      <c r="GA107">
        <v>1.3661337559107376</v>
      </c>
      <c r="GB107">
        <v>4.7084776391768912</v>
      </c>
      <c r="GC107">
        <v>3.3468722496666654</v>
      </c>
      <c r="GD107">
        <v>3.1792967234897578</v>
      </c>
      <c r="GE107">
        <v>14.189024254286842</v>
      </c>
      <c r="GF107">
        <v>27.263015560049617</v>
      </c>
      <c r="GG107">
        <v>14.886923580886556</v>
      </c>
      <c r="GH107">
        <v>4.0456421481413827</v>
      </c>
      <c r="GI107">
        <v>9.2965433206586976</v>
      </c>
      <c r="GJ107"/>
      <c r="GK107"/>
      <c r="GL107"/>
      <c r="GM107"/>
    </row>
    <row r="108" spans="1:195" s="7" customFormat="1">
      <c r="A108" s="128"/>
      <c r="B108" s="76">
        <f t="shared" ca="1" si="50"/>
        <v>0.62594257566448319</v>
      </c>
      <c r="C108">
        <v>4</v>
      </c>
      <c r="D108">
        <v>39714</v>
      </c>
      <c r="E108">
        <v>0</v>
      </c>
      <c r="F108">
        <v>0</v>
      </c>
      <c r="G108">
        <v>0</v>
      </c>
      <c r="H108">
        <v>10.416666666666666</v>
      </c>
      <c r="I108">
        <v>10.416666666666666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113.44095867173874</v>
      </c>
      <c r="AO108">
        <v>22.569575061024484</v>
      </c>
      <c r="AP108">
        <v>127.77298364269133</v>
      </c>
      <c r="AQ108">
        <v>130.58623536051314</v>
      </c>
      <c r="AR108">
        <v>20.887412018513437</v>
      </c>
      <c r="AS108">
        <v>111.64965612087242</v>
      </c>
      <c r="AT108">
        <v>11.672809123204138</v>
      </c>
      <c r="AU108">
        <v>38.886357680491052</v>
      </c>
      <c r="AV108"/>
      <c r="AW108"/>
      <c r="AX108" s="128"/>
      <c r="AY108" s="76">
        <f t="shared" ca="1" si="88"/>
        <v>0.96693744820641436</v>
      </c>
      <c r="AZ108">
        <v>1</v>
      </c>
      <c r="BA108" s="129">
        <f>IF(AZ108="", "",$C$6)</f>
        <v>39714</v>
      </c>
      <c r="BB108" s="207">
        <v>0</v>
      </c>
      <c r="BC108" s="207">
        <v>0</v>
      </c>
      <c r="BD108" s="207">
        <v>0</v>
      </c>
      <c r="BE108" s="207">
        <v>0</v>
      </c>
      <c r="BF108" s="207">
        <v>0</v>
      </c>
      <c r="BG108" s="207">
        <v>0</v>
      </c>
      <c r="BH108" s="207">
        <v>0</v>
      </c>
      <c r="BI108" s="207">
        <v>0</v>
      </c>
      <c r="BJ108" s="207">
        <v>0</v>
      </c>
      <c r="BK108" s="207">
        <v>0</v>
      </c>
      <c r="BL108" s="207">
        <v>0</v>
      </c>
      <c r="BM108" s="207">
        <v>0</v>
      </c>
      <c r="BN108" s="207">
        <v>0</v>
      </c>
      <c r="BO108" s="207">
        <v>0</v>
      </c>
      <c r="BP108" s="207">
        <v>0</v>
      </c>
      <c r="BQ108" s="207">
        <v>0</v>
      </c>
      <c r="BR108" s="207">
        <v>0</v>
      </c>
      <c r="BS108" s="207">
        <v>0</v>
      </c>
      <c r="BT108" s="207">
        <v>0</v>
      </c>
      <c r="BU108" s="207">
        <v>0</v>
      </c>
      <c r="BV108" s="207">
        <v>0</v>
      </c>
      <c r="BW108" s="207">
        <v>0</v>
      </c>
      <c r="BX108" s="207">
        <v>0</v>
      </c>
      <c r="BY108" s="207">
        <v>0</v>
      </c>
      <c r="BZ108" s="207">
        <v>0</v>
      </c>
      <c r="CA108" s="207">
        <v>0</v>
      </c>
      <c r="CB108" s="207">
        <v>0</v>
      </c>
      <c r="CC108" s="207">
        <v>0</v>
      </c>
      <c r="CD108" s="207">
        <v>0</v>
      </c>
      <c r="CE108" s="207">
        <v>0</v>
      </c>
      <c r="CF108" s="207">
        <v>0</v>
      </c>
      <c r="CG108" s="147"/>
      <c r="CH108" s="176"/>
      <c r="CJ108" s="128"/>
      <c r="CK108" s="76">
        <f t="shared" ca="1" si="90"/>
        <v>0.66839317298366829</v>
      </c>
      <c r="CL108" s="179">
        <f t="shared" si="91"/>
        <v>1</v>
      </c>
      <c r="CM108" s="180">
        <f t="shared" si="92"/>
        <v>39714</v>
      </c>
      <c r="CN108" s="208">
        <v>0</v>
      </c>
      <c r="CO108" s="208">
        <v>0</v>
      </c>
      <c r="CP108" s="208">
        <v>0</v>
      </c>
      <c r="CQ108" s="208">
        <v>0</v>
      </c>
      <c r="CR108" s="208">
        <v>0</v>
      </c>
      <c r="CS108" s="208">
        <v>0</v>
      </c>
      <c r="CT108" s="208">
        <v>0</v>
      </c>
      <c r="CU108" s="208">
        <v>0</v>
      </c>
      <c r="CW108">
        <v>1</v>
      </c>
      <c r="CX108">
        <f>300/48</f>
        <v>6.25</v>
      </c>
      <c r="CY108" s="158"/>
      <c r="CZ108" s="177">
        <f t="shared" si="93"/>
        <v>9.6000000000000002E-2</v>
      </c>
      <c r="DB108" s="128"/>
      <c r="DC108" s="76">
        <f t="shared" ca="1" si="51"/>
        <v>0.92115355746659677</v>
      </c>
      <c r="DD108">
        <f t="shared" si="94"/>
        <v>1</v>
      </c>
      <c r="DE108" s="129">
        <f t="shared" ref="DE108:DE117" si="128">IF((DD108)="", "", $C$6)</f>
        <v>39714</v>
      </c>
      <c r="DF108" s="161">
        <f t="shared" si="95"/>
        <v>0</v>
      </c>
      <c r="DG108" s="161">
        <f t="shared" si="96"/>
        <v>0</v>
      </c>
      <c r="DH108" s="161">
        <f t="shared" si="97"/>
        <v>0</v>
      </c>
      <c r="DI108" s="161">
        <f t="shared" si="98"/>
        <v>0</v>
      </c>
      <c r="DJ108" s="161">
        <f t="shared" si="99"/>
        <v>0</v>
      </c>
      <c r="DK108" s="161">
        <f t="shared" si="100"/>
        <v>0</v>
      </c>
      <c r="DL108" s="161">
        <f t="shared" si="101"/>
        <v>0</v>
      </c>
      <c r="DM108" s="161">
        <f t="shared" si="102"/>
        <v>0</v>
      </c>
      <c r="DN108" s="161">
        <f t="shared" si="103"/>
        <v>0</v>
      </c>
      <c r="DO108" s="161">
        <f t="shared" si="104"/>
        <v>0</v>
      </c>
      <c r="DP108" s="161">
        <f t="shared" si="105"/>
        <v>0</v>
      </c>
      <c r="DQ108" s="161">
        <f t="shared" si="106"/>
        <v>0</v>
      </c>
      <c r="DR108" s="161">
        <f t="shared" si="107"/>
        <v>0</v>
      </c>
      <c r="DS108" s="161">
        <f t="shared" si="108"/>
        <v>0</v>
      </c>
      <c r="DT108" s="161">
        <f t="shared" si="109"/>
        <v>0</v>
      </c>
      <c r="DU108" s="161">
        <f t="shared" si="110"/>
        <v>0</v>
      </c>
      <c r="DV108" s="161">
        <f t="shared" si="111"/>
        <v>0</v>
      </c>
      <c r="DW108" s="161">
        <f t="shared" si="112"/>
        <v>0</v>
      </c>
      <c r="DX108" s="161">
        <f t="shared" si="113"/>
        <v>0</v>
      </c>
      <c r="DY108" s="161">
        <f t="shared" si="114"/>
        <v>0</v>
      </c>
      <c r="DZ108" s="161">
        <f t="shared" si="115"/>
        <v>0</v>
      </c>
      <c r="EA108" s="161">
        <f t="shared" si="116"/>
        <v>0</v>
      </c>
      <c r="EB108" s="161">
        <f t="shared" si="117"/>
        <v>0</v>
      </c>
      <c r="EC108" s="161">
        <f t="shared" si="118"/>
        <v>0</v>
      </c>
      <c r="ED108" s="161">
        <f t="shared" si="119"/>
        <v>0</v>
      </c>
      <c r="EE108" s="161">
        <f t="shared" si="120"/>
        <v>0</v>
      </c>
      <c r="EF108" s="161">
        <f t="shared" si="121"/>
        <v>0</v>
      </c>
      <c r="EG108" s="161">
        <f t="shared" si="122"/>
        <v>0</v>
      </c>
      <c r="EH108" s="161">
        <f t="shared" si="123"/>
        <v>0</v>
      </c>
      <c r="EI108" s="161">
        <f t="shared" si="124"/>
        <v>0</v>
      </c>
      <c r="EJ108" s="161">
        <f t="shared" si="125"/>
        <v>0</v>
      </c>
      <c r="EK108" s="147">
        <f t="shared" si="55"/>
        <v>0</v>
      </c>
      <c r="EL108" s="149"/>
      <c r="EN108" s="146"/>
      <c r="EO108" s="146"/>
      <c r="EP108" s="139">
        <f t="shared" si="56"/>
        <v>0</v>
      </c>
      <c r="EQ108" s="139">
        <f t="shared" si="57"/>
        <v>0</v>
      </c>
      <c r="ER108" s="139">
        <f t="shared" si="58"/>
        <v>0</v>
      </c>
      <c r="ES108" s="139">
        <f t="shared" si="59"/>
        <v>0</v>
      </c>
      <c r="ET108" s="139">
        <f t="shared" si="60"/>
        <v>0</v>
      </c>
      <c r="EU108" s="139">
        <f t="shared" si="61"/>
        <v>0</v>
      </c>
      <c r="EV108" s="139">
        <f t="shared" si="62"/>
        <v>0</v>
      </c>
      <c r="EW108" s="139">
        <f t="shared" si="63"/>
        <v>0</v>
      </c>
      <c r="EX108" s="139">
        <f t="shared" si="64"/>
        <v>0</v>
      </c>
      <c r="EY108" s="139">
        <f t="shared" si="65"/>
        <v>0</v>
      </c>
      <c r="EZ108" s="139">
        <f t="shared" si="66"/>
        <v>0</v>
      </c>
      <c r="FA108" s="139">
        <f t="shared" si="67"/>
        <v>0</v>
      </c>
      <c r="FB108" s="139">
        <f t="shared" si="68"/>
        <v>0</v>
      </c>
      <c r="FC108" s="139">
        <f t="shared" si="69"/>
        <v>0</v>
      </c>
      <c r="FD108" s="139">
        <f t="shared" si="70"/>
        <v>0</v>
      </c>
      <c r="FE108" s="139">
        <f t="shared" si="71"/>
        <v>0</v>
      </c>
      <c r="FF108" s="139">
        <f t="shared" si="72"/>
        <v>0</v>
      </c>
      <c r="FG108" s="139">
        <f t="shared" si="73"/>
        <v>0</v>
      </c>
      <c r="FH108" s="139">
        <f t="shared" si="74"/>
        <v>0</v>
      </c>
      <c r="FI108" s="139">
        <f t="shared" si="75"/>
        <v>0</v>
      </c>
      <c r="FJ108" s="139">
        <f t="shared" si="76"/>
        <v>0</v>
      </c>
      <c r="FK108" s="139">
        <f t="shared" si="77"/>
        <v>0</v>
      </c>
      <c r="FL108" s="139">
        <f t="shared" si="78"/>
        <v>0</v>
      </c>
      <c r="FM108" s="139">
        <f t="shared" si="79"/>
        <v>0</v>
      </c>
      <c r="FN108" s="139">
        <f t="shared" si="80"/>
        <v>0</v>
      </c>
      <c r="FO108" s="139">
        <f t="shared" si="81"/>
        <v>0</v>
      </c>
      <c r="FP108" s="139">
        <f t="shared" si="82"/>
        <v>0</v>
      </c>
      <c r="FQ108" s="139">
        <f t="shared" si="83"/>
        <v>0</v>
      </c>
      <c r="FR108" s="139">
        <f t="shared" si="84"/>
        <v>0</v>
      </c>
      <c r="FS108" s="139">
        <f t="shared" si="85"/>
        <v>0</v>
      </c>
      <c r="FT108" s="139">
        <f t="shared" si="86"/>
        <v>0</v>
      </c>
      <c r="FU108" s="148">
        <f t="shared" si="87"/>
        <v>0</v>
      </c>
      <c r="FV108" s="149"/>
      <c r="FY108" s="214">
        <v>103</v>
      </c>
      <c r="FZ108">
        <v>1.0694988493834046</v>
      </c>
      <c r="GA108">
        <v>4.6141396464270148</v>
      </c>
      <c r="GB108">
        <v>5.1293921768210273</v>
      </c>
      <c r="GC108">
        <v>2.9415998541944317</v>
      </c>
      <c r="GD108">
        <v>3.1470102403425324</v>
      </c>
      <c r="GE108">
        <v>13.084202815414907</v>
      </c>
      <c r="GF108">
        <v>22.010588146343345</v>
      </c>
      <c r="GG108">
        <v>8.3750265251926201</v>
      </c>
      <c r="GH108">
        <v>2.3440362398958201</v>
      </c>
      <c r="GI108">
        <v>7.9890512591959491</v>
      </c>
      <c r="GJ108"/>
      <c r="GK108"/>
      <c r="GL108"/>
      <c r="GM108"/>
    </row>
    <row r="109" spans="1:195" s="7" customFormat="1">
      <c r="A109" s="1"/>
      <c r="B109" s="76">
        <f t="shared" ca="1" si="50"/>
        <v>0.54464879195612981</v>
      </c>
      <c r="C109">
        <v>2</v>
      </c>
      <c r="D109">
        <v>39714</v>
      </c>
      <c r="E109">
        <v>0</v>
      </c>
      <c r="F109">
        <v>0</v>
      </c>
      <c r="G109">
        <v>0</v>
      </c>
      <c r="H109">
        <v>31.25</v>
      </c>
      <c r="I109">
        <v>20.833333333333332</v>
      </c>
      <c r="J109">
        <v>0</v>
      </c>
      <c r="K109">
        <v>10.416666666666666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70.402043166415098</v>
      </c>
      <c r="AO109">
        <v>12.044514587473865</v>
      </c>
      <c r="AP109">
        <v>38.680812549792634</v>
      </c>
      <c r="AQ109">
        <v>73.049135411039401</v>
      </c>
      <c r="AR109">
        <v>11.331384521414401</v>
      </c>
      <c r="AS109">
        <v>66.70406509775313</v>
      </c>
      <c r="AT109">
        <v>6.2594505364089343</v>
      </c>
      <c r="AU109">
        <v>7.7185458791468564</v>
      </c>
      <c r="AV109"/>
      <c r="AW109"/>
      <c r="AX109" s="146"/>
      <c r="AY109" s="76">
        <f t="shared" ca="1" si="88"/>
        <v>0.40428061163244777</v>
      </c>
      <c r="AZ109">
        <v>2</v>
      </c>
      <c r="BA109" s="129">
        <f t="shared" ref="BA109:BA117" si="129">IF(AZ109="", "",$C$6)</f>
        <v>39714</v>
      </c>
      <c r="BB109" s="207">
        <v>0</v>
      </c>
      <c r="BC109" s="207">
        <v>0</v>
      </c>
      <c r="BD109" s="207">
        <v>0</v>
      </c>
      <c r="BE109" s="207">
        <v>3</v>
      </c>
      <c r="BF109" s="207">
        <v>2</v>
      </c>
      <c r="BG109" s="207">
        <v>0</v>
      </c>
      <c r="BH109" s="207">
        <v>1</v>
      </c>
      <c r="BI109" s="207">
        <v>0</v>
      </c>
      <c r="BJ109" s="207">
        <v>0</v>
      </c>
      <c r="BK109" s="207">
        <v>0</v>
      </c>
      <c r="BL109" s="207">
        <v>0</v>
      </c>
      <c r="BM109" s="207">
        <v>0</v>
      </c>
      <c r="BN109" s="207">
        <v>0</v>
      </c>
      <c r="BO109" s="207">
        <v>0</v>
      </c>
      <c r="BP109" s="207">
        <v>0</v>
      </c>
      <c r="BQ109" s="207">
        <v>0</v>
      </c>
      <c r="BR109" s="207">
        <v>0</v>
      </c>
      <c r="BS109" s="207">
        <v>0</v>
      </c>
      <c r="BT109" s="207">
        <v>0</v>
      </c>
      <c r="BU109" s="207">
        <v>0</v>
      </c>
      <c r="BV109" s="207">
        <v>0</v>
      </c>
      <c r="BW109" s="207">
        <v>0</v>
      </c>
      <c r="BX109" s="207">
        <v>0</v>
      </c>
      <c r="BY109" s="207">
        <v>0</v>
      </c>
      <c r="BZ109" s="207">
        <v>0</v>
      </c>
      <c r="CA109" s="207">
        <v>0</v>
      </c>
      <c r="CB109" s="207">
        <v>0</v>
      </c>
      <c r="CC109" s="207">
        <v>0</v>
      </c>
      <c r="CD109" s="207">
        <v>0</v>
      </c>
      <c r="CE109" s="207">
        <v>0</v>
      </c>
      <c r="CF109" s="207">
        <v>0</v>
      </c>
      <c r="CG109" s="147"/>
      <c r="CH109" s="176"/>
      <c r="CJ109" s="146"/>
      <c r="CK109" s="76">
        <f t="shared" ca="1" si="90"/>
        <v>0.29851327148111828</v>
      </c>
      <c r="CL109" s="179">
        <f t="shared" si="91"/>
        <v>2</v>
      </c>
      <c r="CM109" s="180">
        <f t="shared" si="92"/>
        <v>39714</v>
      </c>
      <c r="CN109" s="208">
        <v>0</v>
      </c>
      <c r="CO109" s="208">
        <v>0</v>
      </c>
      <c r="CP109" s="208">
        <v>0</v>
      </c>
      <c r="CQ109" s="208">
        <v>0</v>
      </c>
      <c r="CR109" s="208">
        <v>0</v>
      </c>
      <c r="CS109" s="208">
        <v>0</v>
      </c>
      <c r="CT109" s="208">
        <v>0</v>
      </c>
      <c r="CU109" s="208">
        <v>0</v>
      </c>
      <c r="CW109">
        <v>1</v>
      </c>
      <c r="CX109">
        <v>1</v>
      </c>
      <c r="CY109" s="158"/>
      <c r="CZ109" s="177">
        <f t="shared" si="93"/>
        <v>9.6000000000000002E-2</v>
      </c>
      <c r="DB109" s="146"/>
      <c r="DC109" s="76">
        <f t="shared" ca="1" si="51"/>
        <v>0.16576117100486165</v>
      </c>
      <c r="DD109">
        <f t="shared" si="94"/>
        <v>2</v>
      </c>
      <c r="DE109" s="129">
        <f t="shared" si="128"/>
        <v>39714</v>
      </c>
      <c r="DF109" s="161">
        <f t="shared" si="95"/>
        <v>0</v>
      </c>
      <c r="DG109" s="161">
        <f t="shared" si="96"/>
        <v>0</v>
      </c>
      <c r="DH109" s="161">
        <f t="shared" si="97"/>
        <v>0</v>
      </c>
      <c r="DI109" s="161">
        <f t="shared" si="98"/>
        <v>31.25</v>
      </c>
      <c r="DJ109" s="161">
        <f t="shared" si="99"/>
        <v>20.833333333333332</v>
      </c>
      <c r="DK109" s="161">
        <f t="shared" si="100"/>
        <v>0</v>
      </c>
      <c r="DL109" s="161">
        <f t="shared" si="101"/>
        <v>10.416666666666666</v>
      </c>
      <c r="DM109" s="161">
        <f t="shared" si="102"/>
        <v>0</v>
      </c>
      <c r="DN109" s="161">
        <f t="shared" si="103"/>
        <v>0</v>
      </c>
      <c r="DO109" s="161">
        <f t="shared" si="104"/>
        <v>0</v>
      </c>
      <c r="DP109" s="161">
        <f t="shared" si="105"/>
        <v>0</v>
      </c>
      <c r="DQ109" s="161">
        <f t="shared" si="106"/>
        <v>0</v>
      </c>
      <c r="DR109" s="161">
        <f t="shared" si="107"/>
        <v>0</v>
      </c>
      <c r="DS109" s="161">
        <f t="shared" si="108"/>
        <v>0</v>
      </c>
      <c r="DT109" s="161">
        <f t="shared" si="109"/>
        <v>0</v>
      </c>
      <c r="DU109" s="161">
        <f t="shared" si="110"/>
        <v>0</v>
      </c>
      <c r="DV109" s="161">
        <f t="shared" si="111"/>
        <v>0</v>
      </c>
      <c r="DW109" s="161">
        <f t="shared" si="112"/>
        <v>0</v>
      </c>
      <c r="DX109" s="161">
        <f t="shared" si="113"/>
        <v>0</v>
      </c>
      <c r="DY109" s="161">
        <f t="shared" si="114"/>
        <v>0</v>
      </c>
      <c r="DZ109" s="161">
        <f t="shared" si="115"/>
        <v>0</v>
      </c>
      <c r="EA109" s="161">
        <f t="shared" si="116"/>
        <v>0</v>
      </c>
      <c r="EB109" s="161">
        <f t="shared" si="117"/>
        <v>0</v>
      </c>
      <c r="EC109" s="161">
        <f t="shared" si="118"/>
        <v>0</v>
      </c>
      <c r="ED109" s="161">
        <f t="shared" si="119"/>
        <v>0</v>
      </c>
      <c r="EE109" s="161">
        <f t="shared" si="120"/>
        <v>0</v>
      </c>
      <c r="EF109" s="161">
        <f t="shared" si="121"/>
        <v>0</v>
      </c>
      <c r="EG109" s="161">
        <f t="shared" si="122"/>
        <v>0</v>
      </c>
      <c r="EH109" s="161">
        <f t="shared" si="123"/>
        <v>0</v>
      </c>
      <c r="EI109" s="161">
        <f t="shared" si="124"/>
        <v>0</v>
      </c>
      <c r="EJ109" s="161">
        <f t="shared" si="125"/>
        <v>0</v>
      </c>
      <c r="EK109" s="147">
        <f t="shared" si="55"/>
        <v>62.499999999999993</v>
      </c>
      <c r="EL109" s="149"/>
      <c r="EN109" s="146"/>
      <c r="EO109" s="146"/>
      <c r="EP109" s="139">
        <f t="shared" si="56"/>
        <v>0</v>
      </c>
      <c r="EQ109" s="139">
        <f t="shared" si="57"/>
        <v>0</v>
      </c>
      <c r="ER109" s="139">
        <f t="shared" si="58"/>
        <v>0</v>
      </c>
      <c r="ES109" s="139">
        <f t="shared" si="59"/>
        <v>4.0290680225045579</v>
      </c>
      <c r="ET109" s="139">
        <f t="shared" si="60"/>
        <v>5.8036241229908088</v>
      </c>
      <c r="EU109" s="139">
        <f t="shared" si="61"/>
        <v>0</v>
      </c>
      <c r="EV109" s="139">
        <f t="shared" si="62"/>
        <v>8.5949167262510269</v>
      </c>
      <c r="EW109" s="139">
        <f t="shared" si="63"/>
        <v>0</v>
      </c>
      <c r="EX109" s="139">
        <f t="shared" si="64"/>
        <v>0</v>
      </c>
      <c r="EY109" s="139">
        <f t="shared" si="65"/>
        <v>0</v>
      </c>
      <c r="EZ109" s="139">
        <f t="shared" si="66"/>
        <v>0</v>
      </c>
      <c r="FA109" s="139">
        <f t="shared" si="67"/>
        <v>0</v>
      </c>
      <c r="FB109" s="139">
        <f t="shared" si="68"/>
        <v>0</v>
      </c>
      <c r="FC109" s="139">
        <f t="shared" si="69"/>
        <v>0</v>
      </c>
      <c r="FD109" s="139">
        <f t="shared" si="70"/>
        <v>0</v>
      </c>
      <c r="FE109" s="139">
        <f t="shared" si="71"/>
        <v>0</v>
      </c>
      <c r="FF109" s="139">
        <f t="shared" si="72"/>
        <v>0</v>
      </c>
      <c r="FG109" s="139">
        <f t="shared" si="73"/>
        <v>0</v>
      </c>
      <c r="FH109" s="139">
        <f t="shared" si="74"/>
        <v>0</v>
      </c>
      <c r="FI109" s="139">
        <f t="shared" si="75"/>
        <v>0</v>
      </c>
      <c r="FJ109" s="139">
        <f t="shared" si="76"/>
        <v>0</v>
      </c>
      <c r="FK109" s="139">
        <f t="shared" si="77"/>
        <v>0</v>
      </c>
      <c r="FL109" s="139">
        <f t="shared" si="78"/>
        <v>0</v>
      </c>
      <c r="FM109" s="139">
        <f t="shared" si="79"/>
        <v>0</v>
      </c>
      <c r="FN109" s="139">
        <f t="shared" si="80"/>
        <v>0</v>
      </c>
      <c r="FO109" s="139">
        <f t="shared" si="81"/>
        <v>0</v>
      </c>
      <c r="FP109" s="139">
        <f t="shared" si="82"/>
        <v>0</v>
      </c>
      <c r="FQ109" s="139">
        <f t="shared" si="83"/>
        <v>0</v>
      </c>
      <c r="FR109" s="139">
        <f t="shared" si="84"/>
        <v>0</v>
      </c>
      <c r="FS109" s="139">
        <f t="shared" si="85"/>
        <v>0</v>
      </c>
      <c r="FT109" s="139">
        <f t="shared" si="86"/>
        <v>0</v>
      </c>
      <c r="FU109" s="148">
        <f t="shared" si="87"/>
        <v>18.427608871746394</v>
      </c>
      <c r="FV109" s="149"/>
      <c r="FY109" s="214">
        <v>104</v>
      </c>
      <c r="FZ109">
        <v>0.7445307561285156</v>
      </c>
      <c r="GA109">
        <v>11.063466502776715</v>
      </c>
      <c r="GB109">
        <v>10.19227632670971</v>
      </c>
      <c r="GC109">
        <v>3.3524119584615226</v>
      </c>
      <c r="GD109">
        <v>5.0185605239421083</v>
      </c>
      <c r="GE109">
        <v>12.576900321646903</v>
      </c>
      <c r="GF109">
        <v>10.218336693602858</v>
      </c>
      <c r="GG109">
        <v>13.165374532578131</v>
      </c>
      <c r="GH109">
        <v>11.580412407666762</v>
      </c>
      <c r="GI109">
        <v>9.6826573385964245</v>
      </c>
      <c r="GJ109"/>
      <c r="GK109"/>
      <c r="GL109"/>
      <c r="GM109"/>
    </row>
    <row r="110" spans="1:195" s="7" customFormat="1">
      <c r="A110" s="1"/>
      <c r="B110" s="76">
        <f t="shared" ca="1" si="50"/>
        <v>0.51378096680056773</v>
      </c>
      <c r="C110">
        <v>7</v>
      </c>
      <c r="D110">
        <v>39714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88.504227898274095</v>
      </c>
      <c r="AO110">
        <v>19.448518341061821</v>
      </c>
      <c r="AP110">
        <v>74.398590480630318</v>
      </c>
      <c r="AQ110">
        <v>116.96876355144589</v>
      </c>
      <c r="AR110">
        <v>17.859335852335871</v>
      </c>
      <c r="AS110">
        <v>94.901624168235088</v>
      </c>
      <c r="AT110">
        <v>10.849240093541667</v>
      </c>
      <c r="AU110">
        <v>34.448387642494538</v>
      </c>
      <c r="AV110"/>
      <c r="AW110"/>
      <c r="AX110" s="146"/>
      <c r="AY110" s="76">
        <f t="shared" ca="1" si="88"/>
        <v>0.57938941863115101</v>
      </c>
      <c r="AZ110">
        <v>3</v>
      </c>
      <c r="BA110" s="129">
        <f t="shared" si="129"/>
        <v>39714</v>
      </c>
      <c r="BB110" s="207">
        <v>0</v>
      </c>
      <c r="BC110" s="207">
        <v>0</v>
      </c>
      <c r="BD110" s="207">
        <v>0</v>
      </c>
      <c r="BE110" s="207">
        <v>0</v>
      </c>
      <c r="BF110" s="207">
        <v>2</v>
      </c>
      <c r="BG110" s="207">
        <v>0</v>
      </c>
      <c r="BH110" s="207">
        <v>0</v>
      </c>
      <c r="BI110" s="207">
        <v>0</v>
      </c>
      <c r="BJ110" s="207">
        <v>0</v>
      </c>
      <c r="BK110" s="207">
        <v>0</v>
      </c>
      <c r="BL110" s="207">
        <v>0</v>
      </c>
      <c r="BM110" s="207">
        <v>0</v>
      </c>
      <c r="BN110" s="207">
        <v>0</v>
      </c>
      <c r="BO110" s="207">
        <v>0</v>
      </c>
      <c r="BP110" s="207">
        <v>0</v>
      </c>
      <c r="BQ110" s="207">
        <v>0</v>
      </c>
      <c r="BR110" s="207">
        <v>0</v>
      </c>
      <c r="BS110" s="207">
        <v>0</v>
      </c>
      <c r="BT110" s="207">
        <v>0</v>
      </c>
      <c r="BU110" s="207">
        <v>0</v>
      </c>
      <c r="BV110" s="207">
        <v>0</v>
      </c>
      <c r="BW110" s="207">
        <v>0</v>
      </c>
      <c r="BX110" s="207">
        <v>0</v>
      </c>
      <c r="BY110" s="207">
        <v>0</v>
      </c>
      <c r="BZ110" s="207">
        <v>0</v>
      </c>
      <c r="CA110" s="207">
        <v>0</v>
      </c>
      <c r="CB110" s="207">
        <v>0</v>
      </c>
      <c r="CC110" s="207">
        <v>0</v>
      </c>
      <c r="CD110" s="207">
        <v>0</v>
      </c>
      <c r="CE110" s="207">
        <v>0</v>
      </c>
      <c r="CF110" s="207">
        <v>0</v>
      </c>
      <c r="CG110" s="147"/>
      <c r="CH110" s="176"/>
      <c r="CJ110" s="146"/>
      <c r="CK110" s="76">
        <f t="shared" ca="1" si="90"/>
        <v>0.31506373194543991</v>
      </c>
      <c r="CL110" s="179">
        <f t="shared" si="91"/>
        <v>3</v>
      </c>
      <c r="CM110" s="180">
        <f t="shared" si="92"/>
        <v>39714</v>
      </c>
      <c r="CN110" s="208">
        <v>0</v>
      </c>
      <c r="CO110" s="208">
        <v>0</v>
      </c>
      <c r="CP110" s="208">
        <v>0</v>
      </c>
      <c r="CQ110" s="208">
        <v>0</v>
      </c>
      <c r="CR110" s="208">
        <v>0</v>
      </c>
      <c r="CS110" s="208">
        <v>0</v>
      </c>
      <c r="CT110" s="208">
        <v>0</v>
      </c>
      <c r="CU110" s="208">
        <v>0</v>
      </c>
      <c r="CW110">
        <v>1</v>
      </c>
      <c r="CX110">
        <f>300/32</f>
        <v>9.375</v>
      </c>
      <c r="CY110" s="158"/>
      <c r="CZ110" s="177">
        <f t="shared" si="93"/>
        <v>9.6000000000000002E-2</v>
      </c>
      <c r="DB110" s="146"/>
      <c r="DC110" s="76">
        <f t="shared" ca="1" si="51"/>
        <v>7.5155743434823563E-2</v>
      </c>
      <c r="DD110">
        <f t="shared" si="94"/>
        <v>3</v>
      </c>
      <c r="DE110" s="129">
        <f t="shared" si="128"/>
        <v>39714</v>
      </c>
      <c r="DF110" s="161">
        <f t="shared" si="95"/>
        <v>0</v>
      </c>
      <c r="DG110" s="161">
        <f t="shared" si="96"/>
        <v>0</v>
      </c>
      <c r="DH110" s="161">
        <f t="shared" si="97"/>
        <v>0</v>
      </c>
      <c r="DI110" s="161">
        <f t="shared" si="98"/>
        <v>0</v>
      </c>
      <c r="DJ110" s="161">
        <f t="shared" si="99"/>
        <v>20.833333333333332</v>
      </c>
      <c r="DK110" s="161">
        <f t="shared" si="100"/>
        <v>0</v>
      </c>
      <c r="DL110" s="161">
        <f t="shared" si="101"/>
        <v>0</v>
      </c>
      <c r="DM110" s="161">
        <f t="shared" si="102"/>
        <v>0</v>
      </c>
      <c r="DN110" s="161">
        <f t="shared" si="103"/>
        <v>0</v>
      </c>
      <c r="DO110" s="161">
        <f t="shared" si="104"/>
        <v>0</v>
      </c>
      <c r="DP110" s="161">
        <f t="shared" si="105"/>
        <v>0</v>
      </c>
      <c r="DQ110" s="161">
        <f t="shared" si="106"/>
        <v>0</v>
      </c>
      <c r="DR110" s="161">
        <f t="shared" si="107"/>
        <v>0</v>
      </c>
      <c r="DS110" s="161">
        <f t="shared" si="108"/>
        <v>0</v>
      </c>
      <c r="DT110" s="161">
        <f t="shared" si="109"/>
        <v>0</v>
      </c>
      <c r="DU110" s="161">
        <f t="shared" si="110"/>
        <v>0</v>
      </c>
      <c r="DV110" s="161">
        <f t="shared" si="111"/>
        <v>0</v>
      </c>
      <c r="DW110" s="161">
        <f t="shared" si="112"/>
        <v>0</v>
      </c>
      <c r="DX110" s="161">
        <f t="shared" si="113"/>
        <v>0</v>
      </c>
      <c r="DY110" s="161">
        <f t="shared" si="114"/>
        <v>0</v>
      </c>
      <c r="DZ110" s="161">
        <f t="shared" si="115"/>
        <v>0</v>
      </c>
      <c r="EA110" s="161">
        <f t="shared" si="116"/>
        <v>0</v>
      </c>
      <c r="EB110" s="161">
        <f t="shared" si="117"/>
        <v>0</v>
      </c>
      <c r="EC110" s="161">
        <f t="shared" si="118"/>
        <v>0</v>
      </c>
      <c r="ED110" s="161">
        <f t="shared" si="119"/>
        <v>0</v>
      </c>
      <c r="EE110" s="161">
        <f t="shared" si="120"/>
        <v>0</v>
      </c>
      <c r="EF110" s="161">
        <f t="shared" si="121"/>
        <v>0</v>
      </c>
      <c r="EG110" s="161">
        <f t="shared" si="122"/>
        <v>0</v>
      </c>
      <c r="EH110" s="161">
        <f t="shared" si="123"/>
        <v>0</v>
      </c>
      <c r="EI110" s="161">
        <f t="shared" si="124"/>
        <v>0</v>
      </c>
      <c r="EJ110" s="161">
        <f t="shared" si="125"/>
        <v>0</v>
      </c>
      <c r="EK110" s="147">
        <f t="shared" si="55"/>
        <v>20.833333333333332</v>
      </c>
      <c r="EL110" s="149"/>
      <c r="EN110" s="146"/>
      <c r="EO110" s="146"/>
      <c r="EP110" s="139">
        <f t="shared" si="56"/>
        <v>0</v>
      </c>
      <c r="EQ110" s="139">
        <f t="shared" si="57"/>
        <v>0</v>
      </c>
      <c r="ER110" s="139">
        <f t="shared" si="58"/>
        <v>0</v>
      </c>
      <c r="ES110" s="139">
        <f t="shared" si="59"/>
        <v>0</v>
      </c>
      <c r="ET110" s="139">
        <f t="shared" si="60"/>
        <v>5.8036241229908088</v>
      </c>
      <c r="EU110" s="139">
        <f t="shared" si="61"/>
        <v>0</v>
      </c>
      <c r="EV110" s="139">
        <f t="shared" si="62"/>
        <v>0</v>
      </c>
      <c r="EW110" s="139">
        <f t="shared" si="63"/>
        <v>0</v>
      </c>
      <c r="EX110" s="139">
        <f t="shared" si="64"/>
        <v>0</v>
      </c>
      <c r="EY110" s="139">
        <f t="shared" si="65"/>
        <v>0</v>
      </c>
      <c r="EZ110" s="139">
        <f t="shared" si="66"/>
        <v>0</v>
      </c>
      <c r="FA110" s="139">
        <f t="shared" si="67"/>
        <v>0</v>
      </c>
      <c r="FB110" s="139">
        <f t="shared" si="68"/>
        <v>0</v>
      </c>
      <c r="FC110" s="139">
        <f t="shared" si="69"/>
        <v>0</v>
      </c>
      <c r="FD110" s="139">
        <f t="shared" si="70"/>
        <v>0</v>
      </c>
      <c r="FE110" s="139">
        <f t="shared" si="71"/>
        <v>0</v>
      </c>
      <c r="FF110" s="139">
        <f t="shared" si="72"/>
        <v>0</v>
      </c>
      <c r="FG110" s="139">
        <f t="shared" si="73"/>
        <v>0</v>
      </c>
      <c r="FH110" s="139">
        <f t="shared" si="74"/>
        <v>0</v>
      </c>
      <c r="FI110" s="139">
        <f t="shared" si="75"/>
        <v>0</v>
      </c>
      <c r="FJ110" s="139">
        <f t="shared" si="76"/>
        <v>0</v>
      </c>
      <c r="FK110" s="139">
        <f t="shared" si="77"/>
        <v>0</v>
      </c>
      <c r="FL110" s="139">
        <f t="shared" si="78"/>
        <v>0</v>
      </c>
      <c r="FM110" s="139">
        <f t="shared" si="79"/>
        <v>0</v>
      </c>
      <c r="FN110" s="139">
        <f t="shared" si="80"/>
        <v>0</v>
      </c>
      <c r="FO110" s="139">
        <f t="shared" si="81"/>
        <v>0</v>
      </c>
      <c r="FP110" s="139">
        <f t="shared" si="82"/>
        <v>0</v>
      </c>
      <c r="FQ110" s="139">
        <f t="shared" si="83"/>
        <v>0</v>
      </c>
      <c r="FR110" s="139">
        <f t="shared" si="84"/>
        <v>0</v>
      </c>
      <c r="FS110" s="139">
        <f t="shared" si="85"/>
        <v>0</v>
      </c>
      <c r="FT110" s="139">
        <f t="shared" si="86"/>
        <v>0</v>
      </c>
      <c r="FU110" s="148">
        <f t="shared" si="87"/>
        <v>5.8036241229908088</v>
      </c>
      <c r="FV110" s="149"/>
      <c r="FY110" s="214">
        <v>105</v>
      </c>
      <c r="FZ110">
        <v>1.5316445475884102</v>
      </c>
      <c r="GA110">
        <v>11.78331215204272</v>
      </c>
      <c r="GB110">
        <v>11.6249874843526</v>
      </c>
      <c r="GC110">
        <v>4.132521958276091</v>
      </c>
      <c r="GD110">
        <v>5.031650491221737</v>
      </c>
      <c r="GE110">
        <v>13.74818058283549</v>
      </c>
      <c r="GF110">
        <v>17.046995992607091</v>
      </c>
      <c r="GG110">
        <v>9.8879608537692558</v>
      </c>
      <c r="GH110">
        <v>3.5408126396938764</v>
      </c>
      <c r="GI110">
        <v>9.9710510902590332</v>
      </c>
      <c r="GJ110"/>
      <c r="GK110"/>
      <c r="GL110"/>
      <c r="GM110"/>
    </row>
    <row r="111" spans="1:195" s="7" customFormat="1">
      <c r="A111" s="1"/>
      <c r="B111" s="76">
        <f t="shared" ca="1" si="50"/>
        <v>0.95113296998111707</v>
      </c>
      <c r="C111">
        <v>9</v>
      </c>
      <c r="D111">
        <v>39714</v>
      </c>
      <c r="E111">
        <v>0</v>
      </c>
      <c r="F111">
        <v>201.61290322580646</v>
      </c>
      <c r="G111">
        <v>0</v>
      </c>
      <c r="H111">
        <v>469.08602150537632</v>
      </c>
      <c r="I111">
        <v>166.66666666666666</v>
      </c>
      <c r="J111">
        <v>20.833333333333332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69.982169053471964</v>
      </c>
      <c r="AO111">
        <v>13.587155498935356</v>
      </c>
      <c r="AP111">
        <v>62.367355425116457</v>
      </c>
      <c r="AQ111">
        <v>82.80494020970734</v>
      </c>
      <c r="AR111">
        <v>12.364490896448823</v>
      </c>
      <c r="AS111">
        <v>66.094234634092032</v>
      </c>
      <c r="AT111" t="e">
        <v>#DIV/0!</v>
      </c>
      <c r="AU111" t="e">
        <v>#DIV/0!</v>
      </c>
      <c r="AV111"/>
      <c r="AW111"/>
      <c r="AX111" s="146"/>
      <c r="AY111" s="76">
        <f t="shared" ca="1" si="88"/>
        <v>0.58212144198757887</v>
      </c>
      <c r="AZ111">
        <v>4</v>
      </c>
      <c r="BA111" s="129">
        <f t="shared" si="129"/>
        <v>39714</v>
      </c>
      <c r="BB111" s="207">
        <v>0</v>
      </c>
      <c r="BC111" s="207">
        <v>0</v>
      </c>
      <c r="BD111" s="207">
        <v>0</v>
      </c>
      <c r="BE111" s="207">
        <v>1</v>
      </c>
      <c r="BF111" s="207">
        <v>1</v>
      </c>
      <c r="BG111" s="207">
        <v>0</v>
      </c>
      <c r="BH111" s="207">
        <v>0</v>
      </c>
      <c r="BI111" s="207">
        <v>0</v>
      </c>
      <c r="BJ111" s="207">
        <v>0</v>
      </c>
      <c r="BK111" s="207">
        <v>0</v>
      </c>
      <c r="BL111" s="207">
        <v>0</v>
      </c>
      <c r="BM111" s="207">
        <v>0</v>
      </c>
      <c r="BN111" s="207">
        <v>0</v>
      </c>
      <c r="BO111" s="207">
        <v>0</v>
      </c>
      <c r="BP111" s="207">
        <v>0</v>
      </c>
      <c r="BQ111" s="207">
        <v>0</v>
      </c>
      <c r="BR111" s="207">
        <v>0</v>
      </c>
      <c r="BS111" s="207">
        <v>0</v>
      </c>
      <c r="BT111" s="207">
        <v>0</v>
      </c>
      <c r="BU111" s="207">
        <v>0</v>
      </c>
      <c r="BV111" s="207">
        <v>0</v>
      </c>
      <c r="BW111" s="207">
        <v>0</v>
      </c>
      <c r="BX111" s="207">
        <v>0</v>
      </c>
      <c r="BY111" s="207">
        <v>0</v>
      </c>
      <c r="BZ111" s="207">
        <v>0</v>
      </c>
      <c r="CA111" s="207">
        <v>0</v>
      </c>
      <c r="CB111" s="207">
        <v>0</v>
      </c>
      <c r="CC111" s="207">
        <v>0</v>
      </c>
      <c r="CD111" s="207">
        <v>0</v>
      </c>
      <c r="CE111" s="207">
        <v>0</v>
      </c>
      <c r="CF111" s="207">
        <v>0</v>
      </c>
      <c r="CG111" s="147"/>
      <c r="CH111" s="176"/>
      <c r="CJ111" s="146"/>
      <c r="CK111" s="76">
        <f t="shared" ca="1" si="90"/>
        <v>0.17166059176868931</v>
      </c>
      <c r="CL111" s="179">
        <f t="shared" si="91"/>
        <v>4</v>
      </c>
      <c r="CM111" s="180">
        <f t="shared" si="92"/>
        <v>39714</v>
      </c>
      <c r="CN111" s="208">
        <v>0</v>
      </c>
      <c r="CO111" s="208">
        <v>0</v>
      </c>
      <c r="CP111" s="208">
        <v>0</v>
      </c>
      <c r="CQ111" s="208">
        <v>0</v>
      </c>
      <c r="CR111" s="208">
        <v>0</v>
      </c>
      <c r="CS111" s="208">
        <v>0</v>
      </c>
      <c r="CT111" s="208">
        <v>0</v>
      </c>
      <c r="CU111" s="208">
        <v>0</v>
      </c>
      <c r="CW111">
        <v>1</v>
      </c>
      <c r="CX111">
        <v>1</v>
      </c>
      <c r="CY111" s="158"/>
      <c r="CZ111" s="177">
        <f t="shared" si="93"/>
        <v>9.6000000000000002E-2</v>
      </c>
      <c r="DB111" s="146"/>
      <c r="DC111" s="76">
        <f t="shared" ca="1" si="51"/>
        <v>0.91404163286324969</v>
      </c>
      <c r="DD111">
        <f t="shared" si="94"/>
        <v>4</v>
      </c>
      <c r="DE111" s="129">
        <f t="shared" si="128"/>
        <v>39714</v>
      </c>
      <c r="DF111" s="161">
        <f t="shared" si="95"/>
        <v>0</v>
      </c>
      <c r="DG111" s="161">
        <f t="shared" si="96"/>
        <v>0</v>
      </c>
      <c r="DH111" s="161">
        <f t="shared" si="97"/>
        <v>0</v>
      </c>
      <c r="DI111" s="161">
        <f t="shared" si="98"/>
        <v>10.416666666666666</v>
      </c>
      <c r="DJ111" s="161">
        <f t="shared" si="99"/>
        <v>10.416666666666666</v>
      </c>
      <c r="DK111" s="161">
        <f t="shared" si="100"/>
        <v>0</v>
      </c>
      <c r="DL111" s="161">
        <f t="shared" si="101"/>
        <v>0</v>
      </c>
      <c r="DM111" s="161">
        <f t="shared" si="102"/>
        <v>0</v>
      </c>
      <c r="DN111" s="161">
        <f t="shared" si="103"/>
        <v>0</v>
      </c>
      <c r="DO111" s="161">
        <f t="shared" si="104"/>
        <v>0</v>
      </c>
      <c r="DP111" s="161">
        <f t="shared" si="105"/>
        <v>0</v>
      </c>
      <c r="DQ111" s="161">
        <f t="shared" si="106"/>
        <v>0</v>
      </c>
      <c r="DR111" s="161">
        <f t="shared" si="107"/>
        <v>0</v>
      </c>
      <c r="DS111" s="161">
        <f t="shared" si="108"/>
        <v>0</v>
      </c>
      <c r="DT111" s="161">
        <f t="shared" si="109"/>
        <v>0</v>
      </c>
      <c r="DU111" s="161">
        <f t="shared" si="110"/>
        <v>0</v>
      </c>
      <c r="DV111" s="161">
        <f t="shared" si="111"/>
        <v>0</v>
      </c>
      <c r="DW111" s="161">
        <f t="shared" si="112"/>
        <v>0</v>
      </c>
      <c r="DX111" s="161">
        <f t="shared" si="113"/>
        <v>0</v>
      </c>
      <c r="DY111" s="161">
        <f t="shared" si="114"/>
        <v>0</v>
      </c>
      <c r="DZ111" s="161">
        <f t="shared" si="115"/>
        <v>0</v>
      </c>
      <c r="EA111" s="161">
        <f t="shared" si="116"/>
        <v>0</v>
      </c>
      <c r="EB111" s="161">
        <f t="shared" si="117"/>
        <v>0</v>
      </c>
      <c r="EC111" s="161">
        <f t="shared" si="118"/>
        <v>0</v>
      </c>
      <c r="ED111" s="161">
        <f t="shared" si="119"/>
        <v>0</v>
      </c>
      <c r="EE111" s="161">
        <f t="shared" si="120"/>
        <v>0</v>
      </c>
      <c r="EF111" s="161">
        <f t="shared" si="121"/>
        <v>0</v>
      </c>
      <c r="EG111" s="161">
        <f t="shared" si="122"/>
        <v>0</v>
      </c>
      <c r="EH111" s="161">
        <f t="shared" si="123"/>
        <v>0</v>
      </c>
      <c r="EI111" s="161">
        <f t="shared" si="124"/>
        <v>0</v>
      </c>
      <c r="EJ111" s="161">
        <f t="shared" si="125"/>
        <v>0</v>
      </c>
      <c r="EK111" s="147">
        <f t="shared" si="55"/>
        <v>20.833333333333332</v>
      </c>
      <c r="EL111" s="149"/>
      <c r="EN111" s="146"/>
      <c r="EO111" s="146"/>
      <c r="EP111" s="139">
        <f t="shared" si="56"/>
        <v>0</v>
      </c>
      <c r="EQ111" s="139">
        <f t="shared" si="57"/>
        <v>0</v>
      </c>
      <c r="ER111" s="139">
        <f t="shared" si="58"/>
        <v>0</v>
      </c>
      <c r="ES111" s="139">
        <f t="shared" si="59"/>
        <v>1.3430226741681857</v>
      </c>
      <c r="ET111" s="139">
        <f t="shared" si="60"/>
        <v>2.9018120614954044</v>
      </c>
      <c r="EU111" s="139">
        <f t="shared" si="61"/>
        <v>0</v>
      </c>
      <c r="EV111" s="139">
        <f t="shared" si="62"/>
        <v>0</v>
      </c>
      <c r="EW111" s="139">
        <f t="shared" si="63"/>
        <v>0</v>
      </c>
      <c r="EX111" s="139">
        <f t="shared" si="64"/>
        <v>0</v>
      </c>
      <c r="EY111" s="139">
        <f t="shared" si="65"/>
        <v>0</v>
      </c>
      <c r="EZ111" s="139">
        <f t="shared" si="66"/>
        <v>0</v>
      </c>
      <c r="FA111" s="139">
        <f t="shared" si="67"/>
        <v>0</v>
      </c>
      <c r="FB111" s="139">
        <f t="shared" si="68"/>
        <v>0</v>
      </c>
      <c r="FC111" s="139">
        <f t="shared" si="69"/>
        <v>0</v>
      </c>
      <c r="FD111" s="139">
        <f t="shared" si="70"/>
        <v>0</v>
      </c>
      <c r="FE111" s="139">
        <f t="shared" si="71"/>
        <v>0</v>
      </c>
      <c r="FF111" s="139">
        <f t="shared" si="72"/>
        <v>0</v>
      </c>
      <c r="FG111" s="139">
        <f t="shared" si="73"/>
        <v>0</v>
      </c>
      <c r="FH111" s="139">
        <f t="shared" si="74"/>
        <v>0</v>
      </c>
      <c r="FI111" s="139">
        <f t="shared" si="75"/>
        <v>0</v>
      </c>
      <c r="FJ111" s="139">
        <f t="shared" si="76"/>
        <v>0</v>
      </c>
      <c r="FK111" s="139">
        <f t="shared" si="77"/>
        <v>0</v>
      </c>
      <c r="FL111" s="139">
        <f t="shared" si="78"/>
        <v>0</v>
      </c>
      <c r="FM111" s="139">
        <f t="shared" si="79"/>
        <v>0</v>
      </c>
      <c r="FN111" s="139">
        <f t="shared" si="80"/>
        <v>0</v>
      </c>
      <c r="FO111" s="139">
        <f t="shared" si="81"/>
        <v>0</v>
      </c>
      <c r="FP111" s="139">
        <f t="shared" si="82"/>
        <v>0</v>
      </c>
      <c r="FQ111" s="139">
        <f t="shared" si="83"/>
        <v>0</v>
      </c>
      <c r="FR111" s="139">
        <f t="shared" si="84"/>
        <v>0</v>
      </c>
      <c r="FS111" s="139">
        <f t="shared" si="85"/>
        <v>0</v>
      </c>
      <c r="FT111" s="139">
        <f t="shared" si="86"/>
        <v>0</v>
      </c>
      <c r="FU111" s="148">
        <f t="shared" si="87"/>
        <v>4.2448347356635896</v>
      </c>
      <c r="FV111" s="149"/>
      <c r="FY111" s="214">
        <v>106</v>
      </c>
      <c r="FZ111">
        <v>1.0761599764254786</v>
      </c>
      <c r="GA111">
        <v>10.658819327512962</v>
      </c>
      <c r="GB111">
        <v>11.063171431619587</v>
      </c>
      <c r="GC111">
        <v>3.9995419495047155</v>
      </c>
      <c r="GD111">
        <v>4.9575000688143023</v>
      </c>
      <c r="GE111">
        <v>17.876933821006961</v>
      </c>
      <c r="GF111">
        <v>18.139525849451431</v>
      </c>
      <c r="GG111">
        <v>3.8658309071439967</v>
      </c>
      <c r="GH111">
        <v>0.25124497884984359</v>
      </c>
      <c r="GI111">
        <v>9.3927406615255506</v>
      </c>
      <c r="GJ111"/>
      <c r="GK111"/>
      <c r="GL111"/>
      <c r="GM111"/>
    </row>
    <row r="112" spans="1:195" s="7" customFormat="1">
      <c r="A112" s="1"/>
      <c r="B112" s="76">
        <f t="shared" ca="1" si="50"/>
        <v>0.60820127733186879</v>
      </c>
      <c r="C112">
        <v>3</v>
      </c>
      <c r="D112">
        <v>39714</v>
      </c>
      <c r="E112">
        <v>0</v>
      </c>
      <c r="F112">
        <v>0</v>
      </c>
      <c r="G112">
        <v>0</v>
      </c>
      <c r="H112">
        <v>0</v>
      </c>
      <c r="I112">
        <v>20.833333333333332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82.918036294703256</v>
      </c>
      <c r="AO112">
        <v>13.250278424676697</v>
      </c>
      <c r="AP112">
        <v>48.911213147729235</v>
      </c>
      <c r="AQ112">
        <v>90.010784632340815</v>
      </c>
      <c r="AR112">
        <v>12.938742605043846</v>
      </c>
      <c r="AS112">
        <v>76.163284885880714</v>
      </c>
      <c r="AT112">
        <v>8.0888350682182644</v>
      </c>
      <c r="AU112">
        <v>22.508090945396834</v>
      </c>
      <c r="AV112"/>
      <c r="AW112"/>
      <c r="AX112" s="146"/>
      <c r="AY112" s="76">
        <f t="shared" ca="1" si="88"/>
        <v>0.56608987459449578</v>
      </c>
      <c r="AZ112">
        <v>5</v>
      </c>
      <c r="BA112" s="129">
        <f t="shared" si="129"/>
        <v>39714</v>
      </c>
      <c r="BB112" s="207">
        <v>0</v>
      </c>
      <c r="BC112" s="207">
        <v>0</v>
      </c>
      <c r="BD112" s="207">
        <v>0</v>
      </c>
      <c r="BE112" s="207">
        <v>2</v>
      </c>
      <c r="BF112" s="207">
        <v>0</v>
      </c>
      <c r="BG112" s="207">
        <v>0</v>
      </c>
      <c r="BH112" s="207">
        <v>0</v>
      </c>
      <c r="BI112" s="207">
        <v>0</v>
      </c>
      <c r="BJ112" s="207">
        <v>0</v>
      </c>
      <c r="BK112" s="207">
        <v>0</v>
      </c>
      <c r="BL112" s="207">
        <v>0</v>
      </c>
      <c r="BM112" s="207">
        <v>0</v>
      </c>
      <c r="BN112" s="207">
        <v>0</v>
      </c>
      <c r="BO112" s="207">
        <v>0</v>
      </c>
      <c r="BP112" s="207">
        <v>0</v>
      </c>
      <c r="BQ112" s="207">
        <v>0</v>
      </c>
      <c r="BR112" s="207">
        <v>0</v>
      </c>
      <c r="BS112" s="207">
        <v>0</v>
      </c>
      <c r="BT112" s="207">
        <v>0</v>
      </c>
      <c r="BU112" s="207">
        <v>0</v>
      </c>
      <c r="BV112" s="207">
        <v>0</v>
      </c>
      <c r="BW112" s="207">
        <v>0</v>
      </c>
      <c r="BX112" s="207">
        <v>0</v>
      </c>
      <c r="BY112" s="207">
        <v>0</v>
      </c>
      <c r="BZ112" s="207">
        <v>0</v>
      </c>
      <c r="CA112" s="207">
        <v>0</v>
      </c>
      <c r="CB112" s="207">
        <v>0</v>
      </c>
      <c r="CC112" s="207">
        <v>0</v>
      </c>
      <c r="CD112" s="207">
        <v>0</v>
      </c>
      <c r="CE112" s="207">
        <v>0</v>
      </c>
      <c r="CF112" s="207">
        <v>0</v>
      </c>
      <c r="CG112" s="147"/>
      <c r="CH112" s="176"/>
      <c r="CJ112" s="146"/>
      <c r="CK112" s="76">
        <f t="shared" ca="1" si="90"/>
        <v>0.18915307310980189</v>
      </c>
      <c r="CL112" s="179">
        <f t="shared" si="91"/>
        <v>5</v>
      </c>
      <c r="CM112" s="180">
        <f t="shared" si="92"/>
        <v>39714</v>
      </c>
      <c r="CN112" s="208">
        <v>0</v>
      </c>
      <c r="CO112" s="208">
        <v>0</v>
      </c>
      <c r="CP112" s="208">
        <v>0</v>
      </c>
      <c r="CQ112" s="208">
        <v>0</v>
      </c>
      <c r="CR112" s="208">
        <v>0</v>
      </c>
      <c r="CS112" s="208">
        <v>0</v>
      </c>
      <c r="CT112" s="208">
        <v>0</v>
      </c>
      <c r="CU112" s="208">
        <v>0</v>
      </c>
      <c r="CW112">
        <v>1</v>
      </c>
      <c r="CX112">
        <v>1</v>
      </c>
      <c r="CY112" s="158"/>
      <c r="CZ112" s="177">
        <f t="shared" si="93"/>
        <v>9.6000000000000002E-2</v>
      </c>
      <c r="DB112" s="146"/>
      <c r="DC112" s="76">
        <f t="shared" ca="1" si="51"/>
        <v>0.49802230166812955</v>
      </c>
      <c r="DD112">
        <f t="shared" si="94"/>
        <v>5</v>
      </c>
      <c r="DE112" s="129">
        <f t="shared" si="128"/>
        <v>39714</v>
      </c>
      <c r="DF112" s="161">
        <f t="shared" si="95"/>
        <v>0</v>
      </c>
      <c r="DG112" s="161">
        <f t="shared" si="96"/>
        <v>0</v>
      </c>
      <c r="DH112" s="161">
        <f t="shared" si="97"/>
        <v>0</v>
      </c>
      <c r="DI112" s="161">
        <f t="shared" si="98"/>
        <v>20.833333333333332</v>
      </c>
      <c r="DJ112" s="161">
        <f t="shared" si="99"/>
        <v>0</v>
      </c>
      <c r="DK112" s="161">
        <f t="shared" si="100"/>
        <v>0</v>
      </c>
      <c r="DL112" s="161">
        <f t="shared" si="101"/>
        <v>0</v>
      </c>
      <c r="DM112" s="161">
        <f t="shared" si="102"/>
        <v>0</v>
      </c>
      <c r="DN112" s="161">
        <f t="shared" si="103"/>
        <v>0</v>
      </c>
      <c r="DO112" s="161">
        <f t="shared" si="104"/>
        <v>0</v>
      </c>
      <c r="DP112" s="161">
        <f t="shared" si="105"/>
        <v>0</v>
      </c>
      <c r="DQ112" s="161">
        <f t="shared" si="106"/>
        <v>0</v>
      </c>
      <c r="DR112" s="161">
        <f t="shared" si="107"/>
        <v>0</v>
      </c>
      <c r="DS112" s="161">
        <f t="shared" si="108"/>
        <v>0</v>
      </c>
      <c r="DT112" s="161">
        <f t="shared" si="109"/>
        <v>0</v>
      </c>
      <c r="DU112" s="161">
        <f t="shared" si="110"/>
        <v>0</v>
      </c>
      <c r="DV112" s="161">
        <f t="shared" si="111"/>
        <v>0</v>
      </c>
      <c r="DW112" s="161">
        <f t="shared" si="112"/>
        <v>0</v>
      </c>
      <c r="DX112" s="161">
        <f t="shared" si="113"/>
        <v>0</v>
      </c>
      <c r="DY112" s="161">
        <f t="shared" si="114"/>
        <v>0</v>
      </c>
      <c r="DZ112" s="161">
        <f t="shared" si="115"/>
        <v>0</v>
      </c>
      <c r="EA112" s="161">
        <f t="shared" si="116"/>
        <v>0</v>
      </c>
      <c r="EB112" s="161">
        <f t="shared" si="117"/>
        <v>0</v>
      </c>
      <c r="EC112" s="161">
        <f t="shared" si="118"/>
        <v>0</v>
      </c>
      <c r="ED112" s="161">
        <f t="shared" si="119"/>
        <v>0</v>
      </c>
      <c r="EE112" s="161">
        <f t="shared" si="120"/>
        <v>0</v>
      </c>
      <c r="EF112" s="161">
        <f t="shared" si="121"/>
        <v>0</v>
      </c>
      <c r="EG112" s="161">
        <f t="shared" si="122"/>
        <v>0</v>
      </c>
      <c r="EH112" s="161">
        <f t="shared" si="123"/>
        <v>0</v>
      </c>
      <c r="EI112" s="161">
        <f t="shared" si="124"/>
        <v>0</v>
      </c>
      <c r="EJ112" s="161">
        <f t="shared" si="125"/>
        <v>0</v>
      </c>
      <c r="EK112" s="147">
        <f t="shared" si="55"/>
        <v>20.833333333333332</v>
      </c>
      <c r="EL112" s="149"/>
      <c r="EN112" s="146"/>
      <c r="EO112" s="146"/>
      <c r="EP112" s="139">
        <f t="shared" si="56"/>
        <v>0</v>
      </c>
      <c r="EQ112" s="139">
        <f t="shared" si="57"/>
        <v>0</v>
      </c>
      <c r="ER112" s="139">
        <f t="shared" si="58"/>
        <v>0</v>
      </c>
      <c r="ES112" s="139">
        <f t="shared" si="59"/>
        <v>2.6860453483363713</v>
      </c>
      <c r="ET112" s="139">
        <f t="shared" si="60"/>
        <v>0</v>
      </c>
      <c r="EU112" s="139">
        <f t="shared" si="61"/>
        <v>0</v>
      </c>
      <c r="EV112" s="139">
        <f t="shared" si="62"/>
        <v>0</v>
      </c>
      <c r="EW112" s="139">
        <f t="shared" si="63"/>
        <v>0</v>
      </c>
      <c r="EX112" s="139">
        <f t="shared" si="64"/>
        <v>0</v>
      </c>
      <c r="EY112" s="139">
        <f t="shared" si="65"/>
        <v>0</v>
      </c>
      <c r="EZ112" s="139">
        <f t="shared" si="66"/>
        <v>0</v>
      </c>
      <c r="FA112" s="139">
        <f t="shared" si="67"/>
        <v>0</v>
      </c>
      <c r="FB112" s="139">
        <f t="shared" si="68"/>
        <v>0</v>
      </c>
      <c r="FC112" s="139">
        <f t="shared" si="69"/>
        <v>0</v>
      </c>
      <c r="FD112" s="139">
        <f t="shared" si="70"/>
        <v>0</v>
      </c>
      <c r="FE112" s="139">
        <f t="shared" si="71"/>
        <v>0</v>
      </c>
      <c r="FF112" s="139">
        <f t="shared" si="72"/>
        <v>0</v>
      </c>
      <c r="FG112" s="139">
        <f t="shared" si="73"/>
        <v>0</v>
      </c>
      <c r="FH112" s="139">
        <f t="shared" si="74"/>
        <v>0</v>
      </c>
      <c r="FI112" s="139">
        <f t="shared" si="75"/>
        <v>0</v>
      </c>
      <c r="FJ112" s="139">
        <f t="shared" si="76"/>
        <v>0</v>
      </c>
      <c r="FK112" s="139">
        <f t="shared" si="77"/>
        <v>0</v>
      </c>
      <c r="FL112" s="139">
        <f t="shared" si="78"/>
        <v>0</v>
      </c>
      <c r="FM112" s="139">
        <f t="shared" si="79"/>
        <v>0</v>
      </c>
      <c r="FN112" s="139">
        <f t="shared" si="80"/>
        <v>0</v>
      </c>
      <c r="FO112" s="139">
        <f t="shared" si="81"/>
        <v>0</v>
      </c>
      <c r="FP112" s="139">
        <f t="shared" si="82"/>
        <v>0</v>
      </c>
      <c r="FQ112" s="139">
        <f t="shared" si="83"/>
        <v>0</v>
      </c>
      <c r="FR112" s="139">
        <f t="shared" si="84"/>
        <v>0</v>
      </c>
      <c r="FS112" s="139">
        <f t="shared" si="85"/>
        <v>0</v>
      </c>
      <c r="FT112" s="139">
        <f t="shared" si="86"/>
        <v>0</v>
      </c>
      <c r="FU112" s="148">
        <f t="shared" si="87"/>
        <v>2.6860453483363713</v>
      </c>
      <c r="FV112" s="149"/>
      <c r="FY112" s="214">
        <v>107</v>
      </c>
      <c r="FZ112">
        <v>1.0733361662836014</v>
      </c>
      <c r="GA112">
        <v>12.332762185480703</v>
      </c>
      <c r="GB112">
        <v>9.8026522061097001</v>
      </c>
      <c r="GC112">
        <v>2.9702231629938884</v>
      </c>
      <c r="GD112">
        <v>9.1519164295102176</v>
      </c>
      <c r="GE112">
        <v>23.309572758905762</v>
      </c>
      <c r="GF112">
        <v>16.614724850962624</v>
      </c>
      <c r="GG112">
        <v>11.527329129611822</v>
      </c>
      <c r="GH112">
        <v>6.9782562227679907</v>
      </c>
      <c r="GI112">
        <v>12.46001925297273</v>
      </c>
      <c r="GJ112"/>
      <c r="GK112"/>
      <c r="GL112"/>
      <c r="GM112"/>
    </row>
    <row r="113" spans="1:195" s="7" customFormat="1">
      <c r="A113" s="1"/>
      <c r="B113" s="76">
        <f t="shared" ca="1" si="50"/>
        <v>0.95755023985024534</v>
      </c>
      <c r="C113">
        <v>8</v>
      </c>
      <c r="D113">
        <v>39714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10.416666666666666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102.09779364251933</v>
      </c>
      <c r="AO113">
        <v>20.025622077152327</v>
      </c>
      <c r="AP113">
        <v>109.12197052851273</v>
      </c>
      <c r="AQ113">
        <v>116.09446130018686</v>
      </c>
      <c r="AR113">
        <v>18.396184909456043</v>
      </c>
      <c r="AS113">
        <v>91.585109061285081</v>
      </c>
      <c r="AT113">
        <v>9.8110325837376333</v>
      </c>
      <c r="AU113">
        <v>16.447080870894421</v>
      </c>
      <c r="AV113"/>
      <c r="AW113"/>
      <c r="AX113" s="146"/>
      <c r="AY113" s="76">
        <f t="shared" ca="1" si="88"/>
        <v>0.90355060006651766</v>
      </c>
      <c r="AZ113">
        <v>6</v>
      </c>
      <c r="BA113" s="129">
        <f t="shared" si="129"/>
        <v>39714</v>
      </c>
      <c r="BB113" s="207">
        <v>0</v>
      </c>
      <c r="BC113" s="207">
        <v>0</v>
      </c>
      <c r="BD113" s="207">
        <v>0</v>
      </c>
      <c r="BE113" s="207">
        <v>0</v>
      </c>
      <c r="BF113" s="207">
        <v>0</v>
      </c>
      <c r="BG113" s="207">
        <v>0</v>
      </c>
      <c r="BH113" s="207">
        <v>0</v>
      </c>
      <c r="BI113" s="207">
        <v>0</v>
      </c>
      <c r="BJ113" s="207">
        <v>0</v>
      </c>
      <c r="BK113" s="207">
        <v>0</v>
      </c>
      <c r="BL113" s="207">
        <v>0</v>
      </c>
      <c r="BM113" s="207">
        <v>0</v>
      </c>
      <c r="BN113" s="207">
        <v>0</v>
      </c>
      <c r="BO113" s="207">
        <v>0</v>
      </c>
      <c r="BP113" s="207">
        <v>0</v>
      </c>
      <c r="BQ113" s="207">
        <v>0</v>
      </c>
      <c r="BR113" s="207">
        <v>0</v>
      </c>
      <c r="BS113" s="207">
        <v>0</v>
      </c>
      <c r="BT113" s="207">
        <v>0</v>
      </c>
      <c r="BU113" s="207">
        <v>0</v>
      </c>
      <c r="BV113" s="207">
        <v>0</v>
      </c>
      <c r="BW113" s="207">
        <v>0</v>
      </c>
      <c r="BX113" s="207">
        <v>0</v>
      </c>
      <c r="BY113" s="207">
        <v>0</v>
      </c>
      <c r="BZ113" s="207">
        <v>0</v>
      </c>
      <c r="CA113" s="207">
        <v>0</v>
      </c>
      <c r="CB113" s="207">
        <v>0</v>
      </c>
      <c r="CC113" s="207">
        <v>0</v>
      </c>
      <c r="CD113" s="207">
        <v>0</v>
      </c>
      <c r="CE113" s="207">
        <v>0</v>
      </c>
      <c r="CF113" s="207">
        <v>0</v>
      </c>
      <c r="CG113" s="147"/>
      <c r="CH113" s="176"/>
      <c r="CJ113" s="146"/>
      <c r="CK113" s="76">
        <f t="shared" ca="1" si="90"/>
        <v>0.49057692358845006</v>
      </c>
      <c r="CL113" s="179">
        <f t="shared" si="91"/>
        <v>6</v>
      </c>
      <c r="CM113" s="180">
        <f t="shared" si="92"/>
        <v>39714</v>
      </c>
      <c r="CN113" s="208">
        <v>0</v>
      </c>
      <c r="CO113" s="208">
        <v>0</v>
      </c>
      <c r="CP113" s="208">
        <v>0</v>
      </c>
      <c r="CQ113" s="208">
        <v>0</v>
      </c>
      <c r="CR113" s="208">
        <v>0</v>
      </c>
      <c r="CS113" s="208">
        <v>0</v>
      </c>
      <c r="CT113" s="208">
        <v>0</v>
      </c>
      <c r="CU113" s="208">
        <v>0</v>
      </c>
      <c r="CV113" s="160"/>
      <c r="CW113">
        <v>1</v>
      </c>
      <c r="CX113">
        <v>1</v>
      </c>
      <c r="CY113" s="164"/>
      <c r="CZ113" s="177">
        <f t="shared" si="93"/>
        <v>9.6000000000000002E-2</v>
      </c>
      <c r="DB113" s="146"/>
      <c r="DC113" s="76">
        <f t="shared" ca="1" si="51"/>
        <v>0.84656546678334443</v>
      </c>
      <c r="DD113">
        <f t="shared" si="94"/>
        <v>6</v>
      </c>
      <c r="DE113" s="129">
        <f t="shared" si="128"/>
        <v>39714</v>
      </c>
      <c r="DF113" s="161">
        <f t="shared" si="95"/>
        <v>0</v>
      </c>
      <c r="DG113" s="161">
        <f t="shared" si="96"/>
        <v>0</v>
      </c>
      <c r="DH113" s="161">
        <f t="shared" si="97"/>
        <v>0</v>
      </c>
      <c r="DI113" s="161">
        <f t="shared" si="98"/>
        <v>0</v>
      </c>
      <c r="DJ113" s="161">
        <f t="shared" si="99"/>
        <v>0</v>
      </c>
      <c r="DK113" s="161">
        <f t="shared" si="100"/>
        <v>0</v>
      </c>
      <c r="DL113" s="161">
        <f t="shared" si="101"/>
        <v>0</v>
      </c>
      <c r="DM113" s="161">
        <f t="shared" si="102"/>
        <v>0</v>
      </c>
      <c r="DN113" s="161">
        <f t="shared" si="103"/>
        <v>0</v>
      </c>
      <c r="DO113" s="161">
        <f t="shared" si="104"/>
        <v>0</v>
      </c>
      <c r="DP113" s="161">
        <f t="shared" si="105"/>
        <v>0</v>
      </c>
      <c r="DQ113" s="161">
        <f t="shared" si="106"/>
        <v>0</v>
      </c>
      <c r="DR113" s="161">
        <f t="shared" si="107"/>
        <v>0</v>
      </c>
      <c r="DS113" s="161">
        <f t="shared" si="108"/>
        <v>0</v>
      </c>
      <c r="DT113" s="161">
        <f t="shared" si="109"/>
        <v>0</v>
      </c>
      <c r="DU113" s="161">
        <f t="shared" si="110"/>
        <v>0</v>
      </c>
      <c r="DV113" s="161">
        <f t="shared" si="111"/>
        <v>0</v>
      </c>
      <c r="DW113" s="161">
        <f t="shared" si="112"/>
        <v>0</v>
      </c>
      <c r="DX113" s="161">
        <f t="shared" si="113"/>
        <v>0</v>
      </c>
      <c r="DY113" s="161">
        <f t="shared" si="114"/>
        <v>0</v>
      </c>
      <c r="DZ113" s="161">
        <f t="shared" si="115"/>
        <v>0</v>
      </c>
      <c r="EA113" s="161">
        <f t="shared" si="116"/>
        <v>0</v>
      </c>
      <c r="EB113" s="161">
        <f t="shared" si="117"/>
        <v>0</v>
      </c>
      <c r="EC113" s="161">
        <f t="shared" si="118"/>
        <v>0</v>
      </c>
      <c r="ED113" s="161">
        <f t="shared" si="119"/>
        <v>0</v>
      </c>
      <c r="EE113" s="161">
        <f t="shared" si="120"/>
        <v>0</v>
      </c>
      <c r="EF113" s="161">
        <f t="shared" si="121"/>
        <v>0</v>
      </c>
      <c r="EG113" s="161">
        <f t="shared" si="122"/>
        <v>0</v>
      </c>
      <c r="EH113" s="161">
        <f t="shared" si="123"/>
        <v>0</v>
      </c>
      <c r="EI113" s="161">
        <f t="shared" si="124"/>
        <v>0</v>
      </c>
      <c r="EJ113" s="161">
        <f t="shared" si="125"/>
        <v>0</v>
      </c>
      <c r="EK113" s="147">
        <f t="shared" si="55"/>
        <v>0</v>
      </c>
      <c r="EL113" s="149"/>
      <c r="EN113" s="146"/>
      <c r="EO113" s="146"/>
      <c r="EP113" s="139">
        <f t="shared" si="56"/>
        <v>0</v>
      </c>
      <c r="EQ113" s="139">
        <f t="shared" si="57"/>
        <v>0</v>
      </c>
      <c r="ER113" s="139">
        <f t="shared" si="58"/>
        <v>0</v>
      </c>
      <c r="ES113" s="139">
        <f t="shared" si="59"/>
        <v>0</v>
      </c>
      <c r="ET113" s="139">
        <f t="shared" si="60"/>
        <v>0</v>
      </c>
      <c r="EU113" s="139">
        <f t="shared" si="61"/>
        <v>0</v>
      </c>
      <c r="EV113" s="139">
        <f t="shared" si="62"/>
        <v>0</v>
      </c>
      <c r="EW113" s="139">
        <f t="shared" si="63"/>
        <v>0</v>
      </c>
      <c r="EX113" s="139">
        <f t="shared" si="64"/>
        <v>0</v>
      </c>
      <c r="EY113" s="139">
        <f t="shared" si="65"/>
        <v>0</v>
      </c>
      <c r="EZ113" s="139">
        <f t="shared" si="66"/>
        <v>0</v>
      </c>
      <c r="FA113" s="139">
        <f t="shared" si="67"/>
        <v>0</v>
      </c>
      <c r="FB113" s="139">
        <f t="shared" si="68"/>
        <v>0</v>
      </c>
      <c r="FC113" s="139">
        <f t="shared" si="69"/>
        <v>0</v>
      </c>
      <c r="FD113" s="139">
        <f t="shared" si="70"/>
        <v>0</v>
      </c>
      <c r="FE113" s="139">
        <f t="shared" si="71"/>
        <v>0</v>
      </c>
      <c r="FF113" s="139">
        <f t="shared" si="72"/>
        <v>0</v>
      </c>
      <c r="FG113" s="139">
        <f t="shared" si="73"/>
        <v>0</v>
      </c>
      <c r="FH113" s="139">
        <f t="shared" si="74"/>
        <v>0</v>
      </c>
      <c r="FI113" s="139">
        <f t="shared" si="75"/>
        <v>0</v>
      </c>
      <c r="FJ113" s="139">
        <f t="shared" si="76"/>
        <v>0</v>
      </c>
      <c r="FK113" s="139">
        <f t="shared" si="77"/>
        <v>0</v>
      </c>
      <c r="FL113" s="139">
        <f t="shared" si="78"/>
        <v>0</v>
      </c>
      <c r="FM113" s="139">
        <f t="shared" si="79"/>
        <v>0</v>
      </c>
      <c r="FN113" s="139">
        <f t="shared" si="80"/>
        <v>0</v>
      </c>
      <c r="FO113" s="139">
        <f t="shared" si="81"/>
        <v>0</v>
      </c>
      <c r="FP113" s="139">
        <f t="shared" si="82"/>
        <v>0</v>
      </c>
      <c r="FQ113" s="139">
        <f t="shared" si="83"/>
        <v>0</v>
      </c>
      <c r="FR113" s="139">
        <f t="shared" si="84"/>
        <v>0</v>
      </c>
      <c r="FS113" s="139">
        <f t="shared" si="85"/>
        <v>0</v>
      </c>
      <c r="FT113" s="139">
        <f t="shared" si="86"/>
        <v>0</v>
      </c>
      <c r="FU113" s="148">
        <f t="shared" si="87"/>
        <v>0</v>
      </c>
      <c r="FV113" s="149"/>
      <c r="FY113" s="214">
        <v>108</v>
      </c>
      <c r="FZ113">
        <v>1.0631163555569572</v>
      </c>
      <c r="GA113">
        <v>4.8272510397392807</v>
      </c>
      <c r="GB113">
        <v>8.2715224650340264</v>
      </c>
      <c r="GC113">
        <v>4.1865393451658832</v>
      </c>
      <c r="GD113">
        <v>0.63476203983156121</v>
      </c>
      <c r="GE113">
        <v>4.3807078086358597</v>
      </c>
      <c r="GF113">
        <v>19.350163791433623</v>
      </c>
      <c r="GG113">
        <v>14.641705350004631</v>
      </c>
      <c r="GH113">
        <v>7.7881832069848107</v>
      </c>
      <c r="GI113">
        <v>7.6132160130955802</v>
      </c>
      <c r="GJ113"/>
      <c r="GK113"/>
      <c r="GL113"/>
      <c r="GM113"/>
    </row>
    <row r="114" spans="1:195" s="7" customFormat="1">
      <c r="A114" s="1"/>
      <c r="B114" s="76">
        <f t="shared" ca="1" si="50"/>
        <v>0.25831469952447872</v>
      </c>
      <c r="C114">
        <v>1</v>
      </c>
      <c r="D114">
        <v>39714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71.16847127694902</v>
      </c>
      <c r="AO114">
        <v>12.21459857676637</v>
      </c>
      <c r="AP114">
        <v>52.041015805062997</v>
      </c>
      <c r="AQ114">
        <v>77.423430455210365</v>
      </c>
      <c r="AR114">
        <v>11.116711876295199</v>
      </c>
      <c r="AS114">
        <v>61.116036096181297</v>
      </c>
      <c r="AT114" t="e">
        <v>#DIV/0!</v>
      </c>
      <c r="AU114" t="e">
        <v>#DIV/0!</v>
      </c>
      <c r="AV114"/>
      <c r="AW114"/>
      <c r="AX114" s="146"/>
      <c r="AY114" s="76">
        <f t="shared" ca="1" si="88"/>
        <v>0.47010044904648929</v>
      </c>
      <c r="AZ114">
        <v>7</v>
      </c>
      <c r="BA114" s="129">
        <f t="shared" si="129"/>
        <v>39714</v>
      </c>
      <c r="BB114" s="207">
        <v>0</v>
      </c>
      <c r="BC114" s="207">
        <v>0</v>
      </c>
      <c r="BD114" s="207">
        <v>0</v>
      </c>
      <c r="BE114" s="207">
        <v>0</v>
      </c>
      <c r="BF114" s="207">
        <v>0</v>
      </c>
      <c r="BG114" s="207">
        <v>0</v>
      </c>
      <c r="BH114" s="207">
        <v>0</v>
      </c>
      <c r="BI114" s="207">
        <v>0</v>
      </c>
      <c r="BJ114" s="207">
        <v>0</v>
      </c>
      <c r="BK114" s="207">
        <v>0</v>
      </c>
      <c r="BL114" s="207">
        <v>0</v>
      </c>
      <c r="BM114" s="207">
        <v>0</v>
      </c>
      <c r="BN114" s="207">
        <v>0</v>
      </c>
      <c r="BO114" s="207">
        <v>0</v>
      </c>
      <c r="BP114" s="207">
        <v>0</v>
      </c>
      <c r="BQ114" s="207">
        <v>0</v>
      </c>
      <c r="BR114" s="207">
        <v>0</v>
      </c>
      <c r="BS114" s="207">
        <v>0</v>
      </c>
      <c r="BT114" s="207">
        <v>0</v>
      </c>
      <c r="BU114" s="207">
        <v>0</v>
      </c>
      <c r="BV114" s="207">
        <v>0</v>
      </c>
      <c r="BW114" s="207">
        <v>0</v>
      </c>
      <c r="BX114" s="207">
        <v>0</v>
      </c>
      <c r="BY114" s="207">
        <v>0</v>
      </c>
      <c r="BZ114" s="207">
        <v>0</v>
      </c>
      <c r="CA114" s="207">
        <v>0</v>
      </c>
      <c r="CB114" s="207">
        <v>0</v>
      </c>
      <c r="CC114" s="207">
        <v>0</v>
      </c>
      <c r="CD114" s="207">
        <v>0</v>
      </c>
      <c r="CE114" s="207">
        <v>0</v>
      </c>
      <c r="CF114" s="207">
        <v>0</v>
      </c>
      <c r="CG114" s="147"/>
      <c r="CH114" s="176"/>
      <c r="CJ114" s="146"/>
      <c r="CK114" s="76">
        <f t="shared" ca="1" si="90"/>
        <v>0.80275143930833082</v>
      </c>
      <c r="CL114" s="179">
        <f t="shared" si="91"/>
        <v>7</v>
      </c>
      <c r="CM114" s="180">
        <f t="shared" si="92"/>
        <v>39714</v>
      </c>
      <c r="CN114" s="208">
        <v>0</v>
      </c>
      <c r="CO114" s="208">
        <v>0</v>
      </c>
      <c r="CP114" s="208">
        <v>0</v>
      </c>
      <c r="CQ114" s="208">
        <v>0</v>
      </c>
      <c r="CR114" s="208">
        <v>0</v>
      </c>
      <c r="CS114" s="208">
        <v>0</v>
      </c>
      <c r="CT114" s="208">
        <v>0</v>
      </c>
      <c r="CU114" s="208">
        <v>0</v>
      </c>
      <c r="CV114" s="160"/>
      <c r="CW114">
        <v>1</v>
      </c>
      <c r="CX114">
        <v>1</v>
      </c>
      <c r="CY114" s="164"/>
      <c r="CZ114" s="177">
        <f t="shared" si="93"/>
        <v>9.6000000000000002E-2</v>
      </c>
      <c r="DB114" s="146"/>
      <c r="DC114" s="76">
        <f t="shared" ca="1" si="51"/>
        <v>0.73557375948648485</v>
      </c>
      <c r="DD114">
        <f t="shared" si="94"/>
        <v>7</v>
      </c>
      <c r="DE114" s="129">
        <f t="shared" si="128"/>
        <v>39714</v>
      </c>
      <c r="DF114" s="161">
        <f t="shared" si="95"/>
        <v>0</v>
      </c>
      <c r="DG114" s="161">
        <f t="shared" si="96"/>
        <v>0</v>
      </c>
      <c r="DH114" s="161">
        <f t="shared" si="97"/>
        <v>0</v>
      </c>
      <c r="DI114" s="161">
        <f t="shared" si="98"/>
        <v>0</v>
      </c>
      <c r="DJ114" s="161">
        <f t="shared" si="99"/>
        <v>0</v>
      </c>
      <c r="DK114" s="161">
        <f t="shared" si="100"/>
        <v>0</v>
      </c>
      <c r="DL114" s="161">
        <f t="shared" si="101"/>
        <v>0</v>
      </c>
      <c r="DM114" s="161">
        <f t="shared" si="102"/>
        <v>0</v>
      </c>
      <c r="DN114" s="161">
        <f t="shared" si="103"/>
        <v>0</v>
      </c>
      <c r="DO114" s="161">
        <f t="shared" si="104"/>
        <v>0</v>
      </c>
      <c r="DP114" s="161">
        <f t="shared" si="105"/>
        <v>0</v>
      </c>
      <c r="DQ114" s="161">
        <f t="shared" si="106"/>
        <v>0</v>
      </c>
      <c r="DR114" s="161">
        <f t="shared" si="107"/>
        <v>0</v>
      </c>
      <c r="DS114" s="161">
        <f t="shared" si="108"/>
        <v>0</v>
      </c>
      <c r="DT114" s="161">
        <f t="shared" si="109"/>
        <v>0</v>
      </c>
      <c r="DU114" s="161">
        <f t="shared" si="110"/>
        <v>0</v>
      </c>
      <c r="DV114" s="161">
        <f t="shared" si="111"/>
        <v>0</v>
      </c>
      <c r="DW114" s="161">
        <f t="shared" si="112"/>
        <v>0</v>
      </c>
      <c r="DX114" s="161">
        <f t="shared" si="113"/>
        <v>0</v>
      </c>
      <c r="DY114" s="161">
        <f t="shared" si="114"/>
        <v>0</v>
      </c>
      <c r="DZ114" s="161">
        <f t="shared" si="115"/>
        <v>0</v>
      </c>
      <c r="EA114" s="161">
        <f t="shared" si="116"/>
        <v>0</v>
      </c>
      <c r="EB114" s="161">
        <f t="shared" si="117"/>
        <v>0</v>
      </c>
      <c r="EC114" s="161">
        <f t="shared" si="118"/>
        <v>0</v>
      </c>
      <c r="ED114" s="161">
        <f t="shared" si="119"/>
        <v>0</v>
      </c>
      <c r="EE114" s="161">
        <f t="shared" si="120"/>
        <v>0</v>
      </c>
      <c r="EF114" s="161">
        <f t="shared" si="121"/>
        <v>0</v>
      </c>
      <c r="EG114" s="161">
        <f t="shared" si="122"/>
        <v>0</v>
      </c>
      <c r="EH114" s="161">
        <f t="shared" si="123"/>
        <v>0</v>
      </c>
      <c r="EI114" s="161">
        <f t="shared" si="124"/>
        <v>0</v>
      </c>
      <c r="EJ114" s="161">
        <f t="shared" si="125"/>
        <v>0</v>
      </c>
      <c r="EK114" s="147">
        <f t="shared" si="55"/>
        <v>0</v>
      </c>
      <c r="EL114" s="149"/>
      <c r="EN114" s="146"/>
      <c r="EO114" s="146"/>
      <c r="EP114" s="139">
        <f t="shared" si="56"/>
        <v>0</v>
      </c>
      <c r="EQ114" s="139">
        <f t="shared" si="57"/>
        <v>0</v>
      </c>
      <c r="ER114" s="139">
        <f t="shared" si="58"/>
        <v>0</v>
      </c>
      <c r="ES114" s="139">
        <f t="shared" si="59"/>
        <v>0</v>
      </c>
      <c r="ET114" s="139">
        <f t="shared" si="60"/>
        <v>0</v>
      </c>
      <c r="EU114" s="139">
        <f t="shared" si="61"/>
        <v>0</v>
      </c>
      <c r="EV114" s="139">
        <f t="shared" si="62"/>
        <v>0</v>
      </c>
      <c r="EW114" s="139">
        <f t="shared" si="63"/>
        <v>0</v>
      </c>
      <c r="EX114" s="139">
        <f t="shared" si="64"/>
        <v>0</v>
      </c>
      <c r="EY114" s="139">
        <f t="shared" si="65"/>
        <v>0</v>
      </c>
      <c r="EZ114" s="139">
        <f t="shared" si="66"/>
        <v>0</v>
      </c>
      <c r="FA114" s="139">
        <f t="shared" si="67"/>
        <v>0</v>
      </c>
      <c r="FB114" s="139">
        <f t="shared" si="68"/>
        <v>0</v>
      </c>
      <c r="FC114" s="139">
        <f t="shared" si="69"/>
        <v>0</v>
      </c>
      <c r="FD114" s="139">
        <f t="shared" si="70"/>
        <v>0</v>
      </c>
      <c r="FE114" s="139">
        <f t="shared" si="71"/>
        <v>0</v>
      </c>
      <c r="FF114" s="139">
        <f t="shared" si="72"/>
        <v>0</v>
      </c>
      <c r="FG114" s="139">
        <f t="shared" si="73"/>
        <v>0</v>
      </c>
      <c r="FH114" s="139">
        <f t="shared" si="74"/>
        <v>0</v>
      </c>
      <c r="FI114" s="139">
        <f t="shared" si="75"/>
        <v>0</v>
      </c>
      <c r="FJ114" s="139">
        <f t="shared" si="76"/>
        <v>0</v>
      </c>
      <c r="FK114" s="139">
        <f t="shared" si="77"/>
        <v>0</v>
      </c>
      <c r="FL114" s="139">
        <f t="shared" si="78"/>
        <v>0</v>
      </c>
      <c r="FM114" s="139">
        <f t="shared" si="79"/>
        <v>0</v>
      </c>
      <c r="FN114" s="139">
        <f t="shared" si="80"/>
        <v>0</v>
      </c>
      <c r="FO114" s="139">
        <f t="shared" si="81"/>
        <v>0</v>
      </c>
      <c r="FP114" s="139">
        <f t="shared" si="82"/>
        <v>0</v>
      </c>
      <c r="FQ114" s="139">
        <f t="shared" si="83"/>
        <v>0</v>
      </c>
      <c r="FR114" s="139">
        <f t="shared" si="84"/>
        <v>0</v>
      </c>
      <c r="FS114" s="139">
        <f t="shared" si="85"/>
        <v>0</v>
      </c>
      <c r="FT114" s="139">
        <f t="shared" si="86"/>
        <v>0</v>
      </c>
      <c r="FU114" s="148">
        <f t="shared" si="87"/>
        <v>0</v>
      </c>
      <c r="FV114" s="149"/>
      <c r="FY114" s="214">
        <v>109</v>
      </c>
      <c r="FZ114">
        <v>1.1586853289123731</v>
      </c>
      <c r="GA114">
        <v>3.4446648795225485</v>
      </c>
      <c r="GB114">
        <v>2.875367015229684</v>
      </c>
      <c r="GC114">
        <v>1.7056964133995549</v>
      </c>
      <c r="GD114">
        <v>10.339421966974953</v>
      </c>
      <c r="GE114">
        <v>26.047414462613048</v>
      </c>
      <c r="GF114">
        <v>21.387405508592181</v>
      </c>
      <c r="GG114">
        <v>15.821373330637007</v>
      </c>
      <c r="GH114">
        <v>8.8495267521897034</v>
      </c>
      <c r="GI114">
        <v>12.819635641585602</v>
      </c>
      <c r="GJ114"/>
      <c r="GK114"/>
      <c r="GL114"/>
      <c r="GM114"/>
    </row>
    <row r="115" spans="1:195" s="7" customFormat="1">
      <c r="A115" s="1"/>
      <c r="B115" s="76">
        <f t="shared" ca="1" si="50"/>
        <v>0.29604014275424273</v>
      </c>
      <c r="C115">
        <v>5</v>
      </c>
      <c r="D115">
        <v>39714</v>
      </c>
      <c r="E115">
        <v>0</v>
      </c>
      <c r="F115">
        <v>0</v>
      </c>
      <c r="G115">
        <v>0</v>
      </c>
      <c r="H115">
        <v>20.833333333333332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128.48508127314943</v>
      </c>
      <c r="AO115">
        <v>26.085923554641653</v>
      </c>
      <c r="AP115">
        <v>141.90107683590136</v>
      </c>
      <c r="AQ115">
        <v>148.62557542260726</v>
      </c>
      <c r="AR115">
        <v>24.071561115294184</v>
      </c>
      <c r="AS115">
        <v>124.19387607358058</v>
      </c>
      <c r="AT115" t="e">
        <v>#DIV/0!</v>
      </c>
      <c r="AU115" t="e">
        <v>#DIV/0!</v>
      </c>
      <c r="AV115"/>
      <c r="AW115"/>
      <c r="AX115" s="146"/>
      <c r="AY115" s="76">
        <f t="shared" ca="1" si="88"/>
        <v>0.30698692025451013</v>
      </c>
      <c r="AZ115">
        <v>8</v>
      </c>
      <c r="BA115" s="129">
        <f t="shared" si="129"/>
        <v>39714</v>
      </c>
      <c r="BB115" s="207">
        <v>0</v>
      </c>
      <c r="BC115" s="207">
        <v>0</v>
      </c>
      <c r="BD115" s="207">
        <v>0</v>
      </c>
      <c r="BE115" s="207">
        <v>0</v>
      </c>
      <c r="BF115" s="207">
        <v>0</v>
      </c>
      <c r="BG115" s="207">
        <v>1</v>
      </c>
      <c r="BH115" s="207">
        <v>0</v>
      </c>
      <c r="BI115" s="207">
        <v>0</v>
      </c>
      <c r="BJ115" s="207">
        <v>0</v>
      </c>
      <c r="BK115" s="207">
        <v>0</v>
      </c>
      <c r="BL115" s="207">
        <v>0</v>
      </c>
      <c r="BM115" s="207">
        <v>0</v>
      </c>
      <c r="BN115" s="207">
        <v>0</v>
      </c>
      <c r="BO115" s="207">
        <v>0</v>
      </c>
      <c r="BP115" s="207">
        <v>0</v>
      </c>
      <c r="BQ115" s="207">
        <v>0</v>
      </c>
      <c r="BR115" s="207">
        <v>0</v>
      </c>
      <c r="BS115" s="207">
        <v>0</v>
      </c>
      <c r="BT115" s="207">
        <v>0</v>
      </c>
      <c r="BU115" s="207">
        <v>0</v>
      </c>
      <c r="BV115" s="207">
        <v>0</v>
      </c>
      <c r="BW115" s="207">
        <v>0</v>
      </c>
      <c r="BX115" s="207">
        <v>0</v>
      </c>
      <c r="BY115" s="207">
        <v>0</v>
      </c>
      <c r="BZ115" s="207">
        <v>0</v>
      </c>
      <c r="CA115" s="207">
        <v>0</v>
      </c>
      <c r="CB115" s="207">
        <v>0</v>
      </c>
      <c r="CC115" s="207">
        <v>0</v>
      </c>
      <c r="CD115" s="207">
        <v>0</v>
      </c>
      <c r="CE115" s="207">
        <v>0</v>
      </c>
      <c r="CF115" s="207">
        <v>0</v>
      </c>
      <c r="CG115" s="147"/>
      <c r="CH115" s="176"/>
      <c r="CJ115" s="146"/>
      <c r="CK115" s="76">
        <f t="shared" ca="1" si="90"/>
        <v>0.2015089867819353</v>
      </c>
      <c r="CL115" s="179">
        <f t="shared" si="91"/>
        <v>8</v>
      </c>
      <c r="CM115" s="180">
        <f t="shared" si="92"/>
        <v>39714</v>
      </c>
      <c r="CN115" s="208">
        <v>0</v>
      </c>
      <c r="CO115" s="208">
        <v>0</v>
      </c>
      <c r="CP115" s="208">
        <v>0</v>
      </c>
      <c r="CQ115" s="208">
        <v>0</v>
      </c>
      <c r="CR115" s="208">
        <v>0</v>
      </c>
      <c r="CS115" s="208">
        <v>0</v>
      </c>
      <c r="CT115" s="208">
        <v>0</v>
      </c>
      <c r="CU115" s="208">
        <v>0</v>
      </c>
      <c r="CV115" s="160"/>
      <c r="CW115">
        <v>1</v>
      </c>
      <c r="CX115">
        <v>1</v>
      </c>
      <c r="CY115" s="164"/>
      <c r="CZ115" s="177">
        <f t="shared" si="93"/>
        <v>9.6000000000000002E-2</v>
      </c>
      <c r="DB115" s="146"/>
      <c r="DC115" s="76">
        <f t="shared" ca="1" si="51"/>
        <v>0.58536458505609623</v>
      </c>
      <c r="DD115">
        <f t="shared" si="94"/>
        <v>8</v>
      </c>
      <c r="DE115" s="129">
        <f t="shared" si="128"/>
        <v>39714</v>
      </c>
      <c r="DF115" s="161">
        <f t="shared" si="95"/>
        <v>0</v>
      </c>
      <c r="DG115" s="161">
        <f t="shared" si="96"/>
        <v>0</v>
      </c>
      <c r="DH115" s="161">
        <f t="shared" si="97"/>
        <v>0</v>
      </c>
      <c r="DI115" s="161">
        <f t="shared" si="98"/>
        <v>0</v>
      </c>
      <c r="DJ115" s="161">
        <f t="shared" si="99"/>
        <v>0</v>
      </c>
      <c r="DK115" s="161">
        <f t="shared" si="100"/>
        <v>10.416666666666666</v>
      </c>
      <c r="DL115" s="161">
        <f t="shared" si="101"/>
        <v>0</v>
      </c>
      <c r="DM115" s="161">
        <f t="shared" si="102"/>
        <v>0</v>
      </c>
      <c r="DN115" s="161">
        <f t="shared" si="103"/>
        <v>0</v>
      </c>
      <c r="DO115" s="161">
        <f t="shared" si="104"/>
        <v>0</v>
      </c>
      <c r="DP115" s="161">
        <f t="shared" si="105"/>
        <v>0</v>
      </c>
      <c r="DQ115" s="161">
        <f t="shared" si="106"/>
        <v>0</v>
      </c>
      <c r="DR115" s="161">
        <f t="shared" si="107"/>
        <v>0</v>
      </c>
      <c r="DS115" s="161">
        <f t="shared" si="108"/>
        <v>0</v>
      </c>
      <c r="DT115" s="161">
        <f t="shared" si="109"/>
        <v>0</v>
      </c>
      <c r="DU115" s="161">
        <f t="shared" si="110"/>
        <v>0</v>
      </c>
      <c r="DV115" s="161">
        <f t="shared" si="111"/>
        <v>0</v>
      </c>
      <c r="DW115" s="161">
        <f t="shared" si="112"/>
        <v>0</v>
      </c>
      <c r="DX115" s="161">
        <f t="shared" si="113"/>
        <v>0</v>
      </c>
      <c r="DY115" s="161">
        <f t="shared" si="114"/>
        <v>0</v>
      </c>
      <c r="DZ115" s="161">
        <f t="shared" si="115"/>
        <v>0</v>
      </c>
      <c r="EA115" s="161">
        <f t="shared" si="116"/>
        <v>0</v>
      </c>
      <c r="EB115" s="161">
        <f t="shared" si="117"/>
        <v>0</v>
      </c>
      <c r="EC115" s="161">
        <f t="shared" si="118"/>
        <v>0</v>
      </c>
      <c r="ED115" s="161">
        <f t="shared" si="119"/>
        <v>0</v>
      </c>
      <c r="EE115" s="161">
        <f t="shared" si="120"/>
        <v>0</v>
      </c>
      <c r="EF115" s="161">
        <f t="shared" si="121"/>
        <v>0</v>
      </c>
      <c r="EG115" s="161">
        <f t="shared" si="122"/>
        <v>0</v>
      </c>
      <c r="EH115" s="161">
        <f t="shared" si="123"/>
        <v>0</v>
      </c>
      <c r="EI115" s="161">
        <f t="shared" si="124"/>
        <v>0</v>
      </c>
      <c r="EJ115" s="161">
        <f t="shared" si="125"/>
        <v>0</v>
      </c>
      <c r="EK115" s="147">
        <f t="shared" si="55"/>
        <v>10.416666666666666</v>
      </c>
      <c r="EL115" s="149"/>
      <c r="EN115" s="146"/>
      <c r="EO115" s="146"/>
      <c r="EP115" s="139">
        <f t="shared" si="56"/>
        <v>0</v>
      </c>
      <c r="EQ115" s="139">
        <f t="shared" si="57"/>
        <v>0</v>
      </c>
      <c r="ER115" s="139">
        <f t="shared" si="58"/>
        <v>0</v>
      </c>
      <c r="ES115" s="139">
        <f t="shared" si="59"/>
        <v>0</v>
      </c>
      <c r="ET115" s="139">
        <f t="shared" si="60"/>
        <v>0</v>
      </c>
      <c r="EU115" s="139">
        <f t="shared" si="61"/>
        <v>5.2746578835861495</v>
      </c>
      <c r="EV115" s="139">
        <f t="shared" si="62"/>
        <v>0</v>
      </c>
      <c r="EW115" s="139">
        <f t="shared" si="63"/>
        <v>0</v>
      </c>
      <c r="EX115" s="139">
        <f t="shared" si="64"/>
        <v>0</v>
      </c>
      <c r="EY115" s="139">
        <f t="shared" si="65"/>
        <v>0</v>
      </c>
      <c r="EZ115" s="139">
        <f t="shared" si="66"/>
        <v>0</v>
      </c>
      <c r="FA115" s="139">
        <f t="shared" si="67"/>
        <v>0</v>
      </c>
      <c r="FB115" s="139">
        <f t="shared" si="68"/>
        <v>0</v>
      </c>
      <c r="FC115" s="139">
        <f t="shared" si="69"/>
        <v>0</v>
      </c>
      <c r="FD115" s="139">
        <f t="shared" si="70"/>
        <v>0</v>
      </c>
      <c r="FE115" s="139">
        <f t="shared" si="71"/>
        <v>0</v>
      </c>
      <c r="FF115" s="139">
        <f t="shared" si="72"/>
        <v>0</v>
      </c>
      <c r="FG115" s="139">
        <f t="shared" si="73"/>
        <v>0</v>
      </c>
      <c r="FH115" s="139">
        <f t="shared" si="74"/>
        <v>0</v>
      </c>
      <c r="FI115" s="139">
        <f t="shared" si="75"/>
        <v>0</v>
      </c>
      <c r="FJ115" s="139">
        <f t="shared" si="76"/>
        <v>0</v>
      </c>
      <c r="FK115" s="139">
        <f t="shared" si="77"/>
        <v>0</v>
      </c>
      <c r="FL115" s="139">
        <f t="shared" si="78"/>
        <v>0</v>
      </c>
      <c r="FM115" s="139">
        <f t="shared" si="79"/>
        <v>0</v>
      </c>
      <c r="FN115" s="139">
        <f t="shared" si="80"/>
        <v>0</v>
      </c>
      <c r="FO115" s="139">
        <f t="shared" si="81"/>
        <v>0</v>
      </c>
      <c r="FP115" s="139">
        <f t="shared" si="82"/>
        <v>0</v>
      </c>
      <c r="FQ115" s="139">
        <f t="shared" si="83"/>
        <v>0</v>
      </c>
      <c r="FR115" s="139">
        <f t="shared" si="84"/>
        <v>0</v>
      </c>
      <c r="FS115" s="139">
        <f t="shared" si="85"/>
        <v>0</v>
      </c>
      <c r="FT115" s="139">
        <f t="shared" si="86"/>
        <v>0</v>
      </c>
      <c r="FU115" s="148">
        <f t="shared" si="87"/>
        <v>5.2746578835861495</v>
      </c>
      <c r="FV115" s="149"/>
      <c r="FY115" s="214">
        <v>110</v>
      </c>
      <c r="FZ115">
        <v>0.25820914567420838</v>
      </c>
      <c r="GA115">
        <v>11.421743083708904</v>
      </c>
      <c r="GB115">
        <v>6.0798853958301748</v>
      </c>
      <c r="GC115">
        <v>1.0857122993123598</v>
      </c>
      <c r="GD115">
        <v>1.2068023240763357</v>
      </c>
      <c r="GE115">
        <v>6.4464661696257179</v>
      </c>
      <c r="GF115">
        <v>15.309197188986866</v>
      </c>
      <c r="GG115">
        <v>8.730682895230645</v>
      </c>
      <c r="GH115">
        <v>7.1479208439441422</v>
      </c>
      <c r="GI115">
        <v>6.240215239248216</v>
      </c>
      <c r="GJ115"/>
      <c r="GK115"/>
      <c r="GL115"/>
      <c r="GM115"/>
    </row>
    <row r="116" spans="1:195" s="7" customFormat="1">
      <c r="A116" s="1"/>
      <c r="B116" s="76">
        <f t="shared" ca="1" si="50"/>
        <v>0.12921094293413216</v>
      </c>
      <c r="C116">
        <v>6</v>
      </c>
      <c r="D116">
        <v>39714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48.758291119699322</v>
      </c>
      <c r="AO116">
        <v>9.5377681066058795</v>
      </c>
      <c r="AP116">
        <v>30.61327762259242</v>
      </c>
      <c r="AQ116">
        <v>62.07152007119987</v>
      </c>
      <c r="AR116">
        <v>9.0525240842616892</v>
      </c>
      <c r="AS116">
        <v>47.861894726296931</v>
      </c>
      <c r="AT116">
        <v>5.9426779024274365</v>
      </c>
      <c r="AU116">
        <v>7.1551357396367647</v>
      </c>
      <c r="AV116"/>
      <c r="AW116"/>
      <c r="AX116" s="146"/>
      <c r="AY116" s="76">
        <f t="shared" ca="1" si="88"/>
        <v>0.2019137713847281</v>
      </c>
      <c r="AZ116">
        <v>9</v>
      </c>
      <c r="BA116" s="129">
        <f t="shared" si="129"/>
        <v>39714</v>
      </c>
      <c r="BB116" s="207">
        <v>0</v>
      </c>
      <c r="BC116" s="207">
        <v>0</v>
      </c>
      <c r="BD116" s="207">
        <v>0</v>
      </c>
      <c r="BE116" s="207">
        <v>16</v>
      </c>
      <c r="BF116" s="207">
        <v>16</v>
      </c>
      <c r="BG116" s="207">
        <v>2</v>
      </c>
      <c r="BH116" s="207">
        <v>0</v>
      </c>
      <c r="BI116" s="207">
        <v>0</v>
      </c>
      <c r="BJ116" s="207">
        <v>0</v>
      </c>
      <c r="BK116" s="207">
        <v>0</v>
      </c>
      <c r="BL116" s="207">
        <v>0</v>
      </c>
      <c r="BM116" s="207">
        <v>0</v>
      </c>
      <c r="BN116" s="207">
        <v>0</v>
      </c>
      <c r="BO116" s="207">
        <v>0</v>
      </c>
      <c r="BP116" s="207">
        <v>0</v>
      </c>
      <c r="BQ116" s="207">
        <v>0</v>
      </c>
      <c r="BR116" s="207">
        <v>0</v>
      </c>
      <c r="BS116" s="207">
        <v>0</v>
      </c>
      <c r="BT116" s="207">
        <v>0</v>
      </c>
      <c r="BU116" s="207">
        <v>0</v>
      </c>
      <c r="BV116" s="207">
        <v>0</v>
      </c>
      <c r="BW116" s="207">
        <v>0</v>
      </c>
      <c r="BX116" s="207">
        <v>0</v>
      </c>
      <c r="BY116" s="207">
        <v>0</v>
      </c>
      <c r="BZ116" s="207">
        <v>0</v>
      </c>
      <c r="CA116" s="207">
        <v>0</v>
      </c>
      <c r="CB116" s="207">
        <v>0</v>
      </c>
      <c r="CC116" s="207">
        <v>0</v>
      </c>
      <c r="CD116" s="207">
        <v>0</v>
      </c>
      <c r="CE116" s="207">
        <v>0</v>
      </c>
      <c r="CF116" s="207">
        <v>0</v>
      </c>
      <c r="CG116" s="147"/>
      <c r="CH116" s="176"/>
      <c r="CJ116" s="146"/>
      <c r="CK116" s="76">
        <f t="shared" ca="1" si="90"/>
        <v>0.74383850778531468</v>
      </c>
      <c r="CL116" s="179">
        <f t="shared" si="91"/>
        <v>9</v>
      </c>
      <c r="CM116" s="180">
        <f t="shared" si="92"/>
        <v>39714</v>
      </c>
      <c r="CN116" s="208">
        <v>0</v>
      </c>
      <c r="CO116" s="208">
        <v>2</v>
      </c>
      <c r="CP116" s="208">
        <v>0</v>
      </c>
      <c r="CQ116" s="208">
        <v>3</v>
      </c>
      <c r="CR116" s="208">
        <v>0</v>
      </c>
      <c r="CS116" s="208">
        <v>0</v>
      </c>
      <c r="CT116" s="208">
        <v>0</v>
      </c>
      <c r="CU116" s="208">
        <v>0</v>
      </c>
      <c r="CV116" s="160"/>
      <c r="CW116">
        <v>1</v>
      </c>
      <c r="CX116">
        <f>300/31</f>
        <v>9.67741935483871</v>
      </c>
      <c r="CY116" s="164"/>
      <c r="CZ116" s="177">
        <f t="shared" si="93"/>
        <v>9.6000000000000002E-2</v>
      </c>
      <c r="DB116" s="146"/>
      <c r="DC116" s="76">
        <f t="shared" ca="1" si="51"/>
        <v>0.88291423618027931</v>
      </c>
      <c r="DD116">
        <f t="shared" si="94"/>
        <v>9</v>
      </c>
      <c r="DE116" s="129">
        <f t="shared" si="128"/>
        <v>39714</v>
      </c>
      <c r="DF116" s="161">
        <f t="shared" si="95"/>
        <v>0</v>
      </c>
      <c r="DG116" s="161">
        <f t="shared" si="96"/>
        <v>201.61290322580646</v>
      </c>
      <c r="DH116" s="161">
        <f t="shared" si="97"/>
        <v>0</v>
      </c>
      <c r="DI116" s="161">
        <f t="shared" si="98"/>
        <v>469.08602150537632</v>
      </c>
      <c r="DJ116" s="161">
        <f t="shared" si="99"/>
        <v>166.66666666666666</v>
      </c>
      <c r="DK116" s="161">
        <f t="shared" si="100"/>
        <v>20.833333333333332</v>
      </c>
      <c r="DL116" s="161">
        <f t="shared" si="101"/>
        <v>0</v>
      </c>
      <c r="DM116" s="161">
        <f t="shared" si="102"/>
        <v>0</v>
      </c>
      <c r="DN116" s="161">
        <f t="shared" si="103"/>
        <v>0</v>
      </c>
      <c r="DO116" s="161">
        <f t="shared" si="104"/>
        <v>0</v>
      </c>
      <c r="DP116" s="161">
        <f t="shared" si="105"/>
        <v>0</v>
      </c>
      <c r="DQ116" s="161">
        <f t="shared" si="106"/>
        <v>0</v>
      </c>
      <c r="DR116" s="161">
        <f t="shared" si="107"/>
        <v>0</v>
      </c>
      <c r="DS116" s="161">
        <f t="shared" si="108"/>
        <v>0</v>
      </c>
      <c r="DT116" s="161">
        <f t="shared" si="109"/>
        <v>0</v>
      </c>
      <c r="DU116" s="161">
        <f t="shared" si="110"/>
        <v>0</v>
      </c>
      <c r="DV116" s="161">
        <f t="shared" si="111"/>
        <v>0</v>
      </c>
      <c r="DW116" s="161">
        <f t="shared" si="112"/>
        <v>0</v>
      </c>
      <c r="DX116" s="161">
        <f t="shared" si="113"/>
        <v>0</v>
      </c>
      <c r="DY116" s="161">
        <f t="shared" si="114"/>
        <v>0</v>
      </c>
      <c r="DZ116" s="161">
        <f t="shared" si="115"/>
        <v>0</v>
      </c>
      <c r="EA116" s="161">
        <f t="shared" si="116"/>
        <v>0</v>
      </c>
      <c r="EB116" s="161">
        <f t="shared" si="117"/>
        <v>0</v>
      </c>
      <c r="EC116" s="161">
        <f t="shared" si="118"/>
        <v>0</v>
      </c>
      <c r="ED116" s="161">
        <f t="shared" si="119"/>
        <v>0</v>
      </c>
      <c r="EE116" s="161">
        <f t="shared" si="120"/>
        <v>0</v>
      </c>
      <c r="EF116" s="161">
        <f t="shared" si="121"/>
        <v>0</v>
      </c>
      <c r="EG116" s="161">
        <f t="shared" si="122"/>
        <v>0</v>
      </c>
      <c r="EH116" s="161">
        <f t="shared" si="123"/>
        <v>0</v>
      </c>
      <c r="EI116" s="161">
        <f t="shared" si="124"/>
        <v>0</v>
      </c>
      <c r="EJ116" s="161">
        <f t="shared" si="125"/>
        <v>0</v>
      </c>
      <c r="EK116" s="147">
        <f t="shared" si="55"/>
        <v>858.19892473118284</v>
      </c>
      <c r="EL116" s="149"/>
      <c r="EN116" s="146"/>
      <c r="EO116" s="146"/>
      <c r="EP116" s="139">
        <f t="shared" si="56"/>
        <v>0</v>
      </c>
      <c r="EQ116" s="139">
        <f t="shared" si="57"/>
        <v>1.3713306451612903</v>
      </c>
      <c r="ER116" s="139">
        <f t="shared" si="58"/>
        <v>0</v>
      </c>
      <c r="ES116" s="139">
        <f t="shared" si="59"/>
        <v>60.479343649638302</v>
      </c>
      <c r="ET116" s="139">
        <f t="shared" si="60"/>
        <v>46.42899298392647</v>
      </c>
      <c r="EU116" s="139">
        <f t="shared" si="61"/>
        <v>10.549315767172299</v>
      </c>
      <c r="EV116" s="139">
        <f t="shared" si="62"/>
        <v>0</v>
      </c>
      <c r="EW116" s="139">
        <f t="shared" si="63"/>
        <v>0</v>
      </c>
      <c r="EX116" s="139">
        <f t="shared" si="64"/>
        <v>0</v>
      </c>
      <c r="EY116" s="139">
        <f t="shared" si="65"/>
        <v>0</v>
      </c>
      <c r="EZ116" s="139">
        <f t="shared" si="66"/>
        <v>0</v>
      </c>
      <c r="FA116" s="139">
        <f t="shared" si="67"/>
        <v>0</v>
      </c>
      <c r="FB116" s="139">
        <f t="shared" si="68"/>
        <v>0</v>
      </c>
      <c r="FC116" s="139">
        <f t="shared" si="69"/>
        <v>0</v>
      </c>
      <c r="FD116" s="139">
        <f t="shared" si="70"/>
        <v>0</v>
      </c>
      <c r="FE116" s="139">
        <f t="shared" si="71"/>
        <v>0</v>
      </c>
      <c r="FF116" s="139">
        <f t="shared" si="72"/>
        <v>0</v>
      </c>
      <c r="FG116" s="139">
        <f t="shared" si="73"/>
        <v>0</v>
      </c>
      <c r="FH116" s="139">
        <f t="shared" si="74"/>
        <v>0</v>
      </c>
      <c r="FI116" s="139">
        <f t="shared" si="75"/>
        <v>0</v>
      </c>
      <c r="FJ116" s="139">
        <f t="shared" si="76"/>
        <v>0</v>
      </c>
      <c r="FK116" s="139">
        <f t="shared" si="77"/>
        <v>0</v>
      </c>
      <c r="FL116" s="139">
        <f t="shared" si="78"/>
        <v>0</v>
      </c>
      <c r="FM116" s="139">
        <f t="shared" si="79"/>
        <v>0</v>
      </c>
      <c r="FN116" s="139">
        <f t="shared" si="80"/>
        <v>0</v>
      </c>
      <c r="FO116" s="139">
        <f t="shared" si="81"/>
        <v>0</v>
      </c>
      <c r="FP116" s="139">
        <f t="shared" si="82"/>
        <v>0</v>
      </c>
      <c r="FQ116" s="139">
        <f t="shared" si="83"/>
        <v>0</v>
      </c>
      <c r="FR116" s="139">
        <f t="shared" si="84"/>
        <v>0</v>
      </c>
      <c r="FS116" s="139">
        <f t="shared" si="85"/>
        <v>0</v>
      </c>
      <c r="FT116" s="139">
        <f t="shared" si="86"/>
        <v>0</v>
      </c>
      <c r="FU116" s="148">
        <f t="shared" si="87"/>
        <v>118.82898304589837</v>
      </c>
      <c r="FV116" s="149"/>
      <c r="FY116" s="214">
        <v>111</v>
      </c>
      <c r="FZ116">
        <v>0.56274310233038016</v>
      </c>
      <c r="GA116">
        <v>5.451815815704772</v>
      </c>
      <c r="GB116">
        <v>6.6052056167482309</v>
      </c>
      <c r="GC116">
        <v>2.8763002288111128</v>
      </c>
      <c r="GD116">
        <v>3.9500269111096049</v>
      </c>
      <c r="GE116">
        <v>13.231844625236901</v>
      </c>
      <c r="GF116">
        <v>18.660614678659037</v>
      </c>
      <c r="GG116">
        <v>14.267904148339802</v>
      </c>
      <c r="GH116">
        <v>9.3222924626638104</v>
      </c>
      <c r="GI116">
        <v>9.5009899878874915</v>
      </c>
      <c r="GJ116"/>
      <c r="GK116"/>
      <c r="GL116"/>
      <c r="GM116"/>
    </row>
    <row r="117" spans="1:195" s="7" customFormat="1">
      <c r="A117" s="1"/>
      <c r="B117" s="76">
        <f t="shared" ca="1" si="50"/>
        <v>0.86950155548190988</v>
      </c>
      <c r="C117">
        <v>10</v>
      </c>
      <c r="D117">
        <v>39714</v>
      </c>
      <c r="E117">
        <v>0</v>
      </c>
      <c r="F117">
        <v>0</v>
      </c>
      <c r="G117">
        <v>31.25</v>
      </c>
      <c r="H117">
        <v>0</v>
      </c>
      <c r="I117">
        <v>20.833333333333332</v>
      </c>
      <c r="J117">
        <v>10.416666666666666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76.050730699747461</v>
      </c>
      <c r="AO117">
        <v>16.564974890512882</v>
      </c>
      <c r="AP117">
        <v>83.865687504623935</v>
      </c>
      <c r="AQ117">
        <v>96.732049131893788</v>
      </c>
      <c r="AR117">
        <v>15.249819957586855</v>
      </c>
      <c r="AS117">
        <v>76.304398788061675</v>
      </c>
      <c r="AT117">
        <v>8.440149603304901</v>
      </c>
      <c r="AU117">
        <v>18.762157192634604</v>
      </c>
      <c r="AV117"/>
      <c r="AW117"/>
      <c r="AX117" s="146"/>
      <c r="AY117" s="76">
        <f t="shared" ca="1" si="88"/>
        <v>0.42960345182924176</v>
      </c>
      <c r="AZ117">
        <v>10</v>
      </c>
      <c r="BA117" s="129">
        <f t="shared" si="129"/>
        <v>39714</v>
      </c>
      <c r="BB117" s="207">
        <v>0</v>
      </c>
      <c r="BC117" s="207">
        <v>0</v>
      </c>
      <c r="BD117" s="207">
        <v>3</v>
      </c>
      <c r="BE117" s="207">
        <v>0</v>
      </c>
      <c r="BF117" s="207">
        <v>2</v>
      </c>
      <c r="BG117" s="207">
        <v>1</v>
      </c>
      <c r="BH117" s="207">
        <v>0</v>
      </c>
      <c r="BI117" s="207">
        <v>0</v>
      </c>
      <c r="BJ117" s="207">
        <v>0</v>
      </c>
      <c r="BK117" s="207">
        <v>0</v>
      </c>
      <c r="BL117" s="207">
        <v>0</v>
      </c>
      <c r="BM117" s="207">
        <v>0</v>
      </c>
      <c r="BN117" s="207">
        <v>0</v>
      </c>
      <c r="BO117" s="207">
        <v>0</v>
      </c>
      <c r="BP117" s="207">
        <v>0</v>
      </c>
      <c r="BQ117" s="207">
        <v>0</v>
      </c>
      <c r="BR117" s="207">
        <v>0</v>
      </c>
      <c r="BS117" s="207">
        <v>0</v>
      </c>
      <c r="BT117" s="207">
        <v>0</v>
      </c>
      <c r="BU117" s="207">
        <v>0</v>
      </c>
      <c r="BV117" s="207">
        <v>0</v>
      </c>
      <c r="BW117" s="207">
        <v>0</v>
      </c>
      <c r="BX117" s="207">
        <v>0</v>
      </c>
      <c r="BY117" s="207">
        <v>0</v>
      </c>
      <c r="BZ117" s="207">
        <v>0</v>
      </c>
      <c r="CA117" s="207">
        <v>0</v>
      </c>
      <c r="CB117" s="207">
        <v>0</v>
      </c>
      <c r="CC117" s="207">
        <v>0</v>
      </c>
      <c r="CD117" s="207">
        <v>0</v>
      </c>
      <c r="CE117" s="207">
        <v>0</v>
      </c>
      <c r="CF117" s="207">
        <v>0</v>
      </c>
      <c r="CG117" s="147"/>
      <c r="CH117" s="176"/>
      <c r="CJ117" s="146"/>
      <c r="CK117" s="76">
        <f t="shared" ca="1" si="90"/>
        <v>0.57954939188511645</v>
      </c>
      <c r="CL117" s="179">
        <f t="shared" si="91"/>
        <v>10</v>
      </c>
      <c r="CM117" s="180">
        <f t="shared" si="92"/>
        <v>39714</v>
      </c>
      <c r="CN117" s="208">
        <v>0</v>
      </c>
      <c r="CO117" s="208">
        <v>0</v>
      </c>
      <c r="CP117" s="208">
        <v>0</v>
      </c>
      <c r="CQ117" s="208">
        <v>0</v>
      </c>
      <c r="CR117" s="208">
        <v>0</v>
      </c>
      <c r="CS117" s="208">
        <v>0</v>
      </c>
      <c r="CT117" s="208">
        <v>0</v>
      </c>
      <c r="CU117" s="208">
        <v>0</v>
      </c>
      <c r="CV117" s="160"/>
      <c r="CW117">
        <v>1</v>
      </c>
      <c r="CX117">
        <f>300/35</f>
        <v>8.5714285714285712</v>
      </c>
      <c r="CY117" s="164"/>
      <c r="CZ117" s="177">
        <f t="shared" si="93"/>
        <v>9.6000000000000002E-2</v>
      </c>
      <c r="DB117" s="146"/>
      <c r="DC117" s="76">
        <f t="shared" ca="1" si="51"/>
        <v>0.31737532609762464</v>
      </c>
      <c r="DD117">
        <f t="shared" si="94"/>
        <v>10</v>
      </c>
      <c r="DE117" s="129">
        <f t="shared" si="128"/>
        <v>39714</v>
      </c>
      <c r="DF117" s="161">
        <f t="shared" si="95"/>
        <v>0</v>
      </c>
      <c r="DG117" s="161">
        <f t="shared" si="96"/>
        <v>0</v>
      </c>
      <c r="DH117" s="161">
        <f t="shared" si="97"/>
        <v>31.25</v>
      </c>
      <c r="DI117" s="161">
        <f t="shared" si="98"/>
        <v>0</v>
      </c>
      <c r="DJ117" s="161">
        <f t="shared" si="99"/>
        <v>20.833333333333332</v>
      </c>
      <c r="DK117" s="161">
        <f t="shared" si="100"/>
        <v>10.416666666666666</v>
      </c>
      <c r="DL117" s="161">
        <f t="shared" si="101"/>
        <v>0</v>
      </c>
      <c r="DM117" s="161">
        <f t="shared" si="102"/>
        <v>0</v>
      </c>
      <c r="DN117" s="161">
        <f t="shared" si="103"/>
        <v>0</v>
      </c>
      <c r="DO117" s="161">
        <f t="shared" si="104"/>
        <v>0</v>
      </c>
      <c r="DP117" s="161">
        <f t="shared" si="105"/>
        <v>0</v>
      </c>
      <c r="DQ117" s="161">
        <f t="shared" si="106"/>
        <v>0</v>
      </c>
      <c r="DR117" s="161">
        <f t="shared" si="107"/>
        <v>0</v>
      </c>
      <c r="DS117" s="161">
        <f t="shared" si="108"/>
        <v>0</v>
      </c>
      <c r="DT117" s="161">
        <f t="shared" si="109"/>
        <v>0</v>
      </c>
      <c r="DU117" s="161">
        <f t="shared" si="110"/>
        <v>0</v>
      </c>
      <c r="DV117" s="161">
        <f t="shared" si="111"/>
        <v>0</v>
      </c>
      <c r="DW117" s="161">
        <f t="shared" si="112"/>
        <v>0</v>
      </c>
      <c r="DX117" s="161">
        <f t="shared" si="113"/>
        <v>0</v>
      </c>
      <c r="DY117" s="161">
        <f t="shared" si="114"/>
        <v>0</v>
      </c>
      <c r="DZ117" s="161">
        <f t="shared" si="115"/>
        <v>0</v>
      </c>
      <c r="EA117" s="161">
        <f t="shared" si="116"/>
        <v>0</v>
      </c>
      <c r="EB117" s="161">
        <f t="shared" si="117"/>
        <v>0</v>
      </c>
      <c r="EC117" s="161">
        <f t="shared" si="118"/>
        <v>0</v>
      </c>
      <c r="ED117" s="161">
        <f t="shared" si="119"/>
        <v>0</v>
      </c>
      <c r="EE117" s="161">
        <f t="shared" si="120"/>
        <v>0</v>
      </c>
      <c r="EF117" s="161">
        <f t="shared" si="121"/>
        <v>0</v>
      </c>
      <c r="EG117" s="161">
        <f t="shared" si="122"/>
        <v>0</v>
      </c>
      <c r="EH117" s="161">
        <f t="shared" si="123"/>
        <v>0</v>
      </c>
      <c r="EI117" s="161">
        <f t="shared" si="124"/>
        <v>0</v>
      </c>
      <c r="EJ117" s="161">
        <f t="shared" si="125"/>
        <v>0</v>
      </c>
      <c r="EK117" s="147">
        <f t="shared" si="55"/>
        <v>62.499999999999993</v>
      </c>
      <c r="EL117" s="149"/>
      <c r="EN117" s="146"/>
      <c r="EO117" s="146"/>
      <c r="EP117" s="139">
        <f t="shared" si="56"/>
        <v>0</v>
      </c>
      <c r="EQ117" s="139">
        <f t="shared" si="57"/>
        <v>0</v>
      </c>
      <c r="ER117" s="139">
        <f t="shared" si="58"/>
        <v>1.3602922002234292</v>
      </c>
      <c r="ES117" s="139">
        <f t="shared" si="59"/>
        <v>0</v>
      </c>
      <c r="ET117" s="139">
        <f t="shared" si="60"/>
        <v>5.8036241229908088</v>
      </c>
      <c r="EU117" s="139">
        <f t="shared" si="61"/>
        <v>5.2746578835861495</v>
      </c>
      <c r="EV117" s="139">
        <f t="shared" si="62"/>
        <v>0</v>
      </c>
      <c r="EW117" s="139">
        <f t="shared" si="63"/>
        <v>0</v>
      </c>
      <c r="EX117" s="139">
        <f t="shared" si="64"/>
        <v>0</v>
      </c>
      <c r="EY117" s="139">
        <f t="shared" si="65"/>
        <v>0</v>
      </c>
      <c r="EZ117" s="139">
        <f t="shared" si="66"/>
        <v>0</v>
      </c>
      <c r="FA117" s="139">
        <f t="shared" si="67"/>
        <v>0</v>
      </c>
      <c r="FB117" s="139">
        <f t="shared" si="68"/>
        <v>0</v>
      </c>
      <c r="FC117" s="139">
        <f t="shared" si="69"/>
        <v>0</v>
      </c>
      <c r="FD117" s="139">
        <f t="shared" si="70"/>
        <v>0</v>
      </c>
      <c r="FE117" s="139">
        <f t="shared" si="71"/>
        <v>0</v>
      </c>
      <c r="FF117" s="139">
        <f t="shared" si="72"/>
        <v>0</v>
      </c>
      <c r="FG117" s="139">
        <f t="shared" si="73"/>
        <v>0</v>
      </c>
      <c r="FH117" s="139">
        <f t="shared" si="74"/>
        <v>0</v>
      </c>
      <c r="FI117" s="139">
        <f t="shared" si="75"/>
        <v>0</v>
      </c>
      <c r="FJ117" s="139">
        <f t="shared" si="76"/>
        <v>0</v>
      </c>
      <c r="FK117" s="139">
        <f t="shared" si="77"/>
        <v>0</v>
      </c>
      <c r="FL117" s="139">
        <f t="shared" si="78"/>
        <v>0</v>
      </c>
      <c r="FM117" s="139">
        <f t="shared" si="79"/>
        <v>0</v>
      </c>
      <c r="FN117" s="139">
        <f t="shared" si="80"/>
        <v>0</v>
      </c>
      <c r="FO117" s="139">
        <f t="shared" si="81"/>
        <v>0</v>
      </c>
      <c r="FP117" s="139">
        <f t="shared" si="82"/>
        <v>0</v>
      </c>
      <c r="FQ117" s="139">
        <f t="shared" si="83"/>
        <v>0</v>
      </c>
      <c r="FR117" s="139">
        <f t="shared" si="84"/>
        <v>0</v>
      </c>
      <c r="FS117" s="139">
        <f t="shared" si="85"/>
        <v>0</v>
      </c>
      <c r="FT117" s="139">
        <f t="shared" si="86"/>
        <v>0</v>
      </c>
      <c r="FU117" s="148">
        <f t="shared" si="87"/>
        <v>12.438574206800388</v>
      </c>
      <c r="FV117" s="149"/>
      <c r="FY117" s="214">
        <v>112</v>
      </c>
      <c r="FZ117">
        <v>0.21789265405345423</v>
      </c>
      <c r="GA117">
        <v>17.262088036654585</v>
      </c>
      <c r="GB117">
        <v>12.781775546198904</v>
      </c>
      <c r="GC117">
        <v>2.8452624699893336</v>
      </c>
      <c r="GD117">
        <v>3.6569326788235781</v>
      </c>
      <c r="GE117">
        <v>9.7655011026629079</v>
      </c>
      <c r="GF117">
        <v>10.856651923953159</v>
      </c>
      <c r="GG117">
        <v>10.213978749228872</v>
      </c>
      <c r="GH117">
        <v>12.340822832183289</v>
      </c>
      <c r="GI117">
        <v>9.4450455350116265</v>
      </c>
      <c r="GJ117"/>
      <c r="GK117"/>
      <c r="GL117"/>
      <c r="GM117"/>
    </row>
    <row r="118" spans="1:195" s="7" customFormat="1">
      <c r="A118" s="128"/>
      <c r="B118" s="76">
        <f t="shared" ca="1" si="50"/>
        <v>0.65864780081964014</v>
      </c>
      <c r="C118">
        <v>3</v>
      </c>
      <c r="D118">
        <v>39747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77.528280835870888</v>
      </c>
      <c r="AO118">
        <v>14.528072467240218</v>
      </c>
      <c r="AP118">
        <v>75.344743404901436</v>
      </c>
      <c r="AQ118">
        <v>82.945922546403764</v>
      </c>
      <c r="AR118">
        <v>13.219869958544152</v>
      </c>
      <c r="AS118">
        <v>67.050594923658537</v>
      </c>
      <c r="AT118" t="e">
        <v>#DIV/0!</v>
      </c>
      <c r="AU118" t="e">
        <v>#DIV/0!</v>
      </c>
      <c r="AV118"/>
      <c r="AW118"/>
      <c r="AX118" s="128"/>
      <c r="AY118" s="76">
        <f t="shared" ca="1" si="88"/>
        <v>6.5717223024472027E-2</v>
      </c>
      <c r="AZ118">
        <v>1</v>
      </c>
      <c r="BA118" s="129">
        <f>IF(AZ118="", "",$C$7)</f>
        <v>39747</v>
      </c>
      <c r="BB118" s="207">
        <v>0</v>
      </c>
      <c r="BC118" s="207">
        <v>0</v>
      </c>
      <c r="BD118" s="207">
        <v>0</v>
      </c>
      <c r="BE118" s="207">
        <v>0</v>
      </c>
      <c r="BF118" s="207">
        <v>0</v>
      </c>
      <c r="BG118" s="207">
        <v>0</v>
      </c>
      <c r="BH118" s="207">
        <v>0</v>
      </c>
      <c r="BI118" s="207">
        <v>0</v>
      </c>
      <c r="BJ118" s="207">
        <v>0</v>
      </c>
      <c r="BK118" s="207">
        <v>0</v>
      </c>
      <c r="BL118" s="207">
        <v>0</v>
      </c>
      <c r="BM118" s="207">
        <v>0</v>
      </c>
      <c r="BN118" s="207">
        <v>0</v>
      </c>
      <c r="BO118" s="207">
        <v>0</v>
      </c>
      <c r="BP118" s="207">
        <v>0</v>
      </c>
      <c r="BQ118" s="207">
        <v>0</v>
      </c>
      <c r="BR118" s="207">
        <v>0</v>
      </c>
      <c r="BS118" s="207">
        <v>0</v>
      </c>
      <c r="BT118" s="207">
        <v>0</v>
      </c>
      <c r="BU118" s="207">
        <v>0</v>
      </c>
      <c r="BV118" s="207">
        <v>0</v>
      </c>
      <c r="BW118" s="207">
        <v>0</v>
      </c>
      <c r="BX118" s="207">
        <v>0</v>
      </c>
      <c r="BY118" s="207">
        <v>0</v>
      </c>
      <c r="BZ118" s="207">
        <v>0</v>
      </c>
      <c r="CA118" s="207">
        <v>0</v>
      </c>
      <c r="CB118" s="207">
        <v>0</v>
      </c>
      <c r="CC118" s="207">
        <v>0</v>
      </c>
      <c r="CD118" s="207">
        <v>0</v>
      </c>
      <c r="CE118" s="207">
        <v>0</v>
      </c>
      <c r="CF118" s="207">
        <v>0</v>
      </c>
      <c r="CG118" s="147"/>
      <c r="CH118" s="176"/>
      <c r="CJ118" s="128"/>
      <c r="CK118" s="76">
        <f t="shared" ca="1" si="90"/>
        <v>0.13073516791587392</v>
      </c>
      <c r="CL118" s="179">
        <f t="shared" si="91"/>
        <v>1</v>
      </c>
      <c r="CM118" s="180">
        <f t="shared" si="92"/>
        <v>39747</v>
      </c>
      <c r="CN118" s="208">
        <v>0</v>
      </c>
      <c r="CO118" s="208">
        <v>0</v>
      </c>
      <c r="CP118" s="208">
        <v>2</v>
      </c>
      <c r="CQ118" s="208">
        <v>0</v>
      </c>
      <c r="CR118" s="208">
        <v>0</v>
      </c>
      <c r="CS118" s="208">
        <v>0</v>
      </c>
      <c r="CT118" s="208">
        <v>1</v>
      </c>
      <c r="CU118" s="208">
        <v>0</v>
      </c>
      <c r="CV118" s="160"/>
      <c r="CW118">
        <v>1</v>
      </c>
      <c r="CX118">
        <f>350/42</f>
        <v>8.3333333333333339</v>
      </c>
      <c r="CY118" s="160"/>
      <c r="CZ118" s="177">
        <f t="shared" si="93"/>
        <v>9.6000000000000002E-2</v>
      </c>
      <c r="DB118" s="128"/>
      <c r="DC118" s="76">
        <f t="shared" ca="1" si="51"/>
        <v>0.24416647526434376</v>
      </c>
      <c r="DD118">
        <f t="shared" si="94"/>
        <v>1</v>
      </c>
      <c r="DE118" s="129">
        <f t="shared" ref="DE118:DE127" si="130">IF((DD118)="", "", $C$7)</f>
        <v>39747</v>
      </c>
      <c r="DF118" s="161">
        <f t="shared" si="95"/>
        <v>0</v>
      </c>
      <c r="DG118" s="161">
        <f t="shared" si="96"/>
        <v>0</v>
      </c>
      <c r="DH118" s="161">
        <f t="shared" si="97"/>
        <v>173.61111111111111</v>
      </c>
      <c r="DI118" s="161">
        <f t="shared" si="98"/>
        <v>0</v>
      </c>
      <c r="DJ118" s="161">
        <f t="shared" si="99"/>
        <v>0</v>
      </c>
      <c r="DK118" s="161">
        <f t="shared" si="100"/>
        <v>0</v>
      </c>
      <c r="DL118" s="161">
        <f t="shared" si="101"/>
        <v>86.805555555555557</v>
      </c>
      <c r="DM118" s="161">
        <f t="shared" si="102"/>
        <v>0</v>
      </c>
      <c r="DN118" s="161">
        <f t="shared" si="103"/>
        <v>0</v>
      </c>
      <c r="DO118" s="161">
        <f t="shared" si="104"/>
        <v>0</v>
      </c>
      <c r="DP118" s="161">
        <f t="shared" si="105"/>
        <v>0</v>
      </c>
      <c r="DQ118" s="161">
        <f t="shared" si="106"/>
        <v>0</v>
      </c>
      <c r="DR118" s="161">
        <f t="shared" si="107"/>
        <v>0</v>
      </c>
      <c r="DS118" s="161">
        <f t="shared" si="108"/>
        <v>0</v>
      </c>
      <c r="DT118" s="161">
        <f t="shared" si="109"/>
        <v>0</v>
      </c>
      <c r="DU118" s="161">
        <f t="shared" si="110"/>
        <v>0</v>
      </c>
      <c r="DV118" s="161">
        <f t="shared" si="111"/>
        <v>0</v>
      </c>
      <c r="DW118" s="161">
        <f t="shared" si="112"/>
        <v>0</v>
      </c>
      <c r="DX118" s="161">
        <f t="shared" si="113"/>
        <v>0</v>
      </c>
      <c r="DY118" s="161">
        <f t="shared" si="114"/>
        <v>0</v>
      </c>
      <c r="DZ118" s="161">
        <f t="shared" si="115"/>
        <v>0</v>
      </c>
      <c r="EA118" s="161">
        <f t="shared" si="116"/>
        <v>0</v>
      </c>
      <c r="EB118" s="161">
        <f t="shared" si="117"/>
        <v>0</v>
      </c>
      <c r="EC118" s="161">
        <f t="shared" si="118"/>
        <v>0</v>
      </c>
      <c r="ED118" s="161">
        <f t="shared" si="119"/>
        <v>0</v>
      </c>
      <c r="EE118" s="161">
        <f t="shared" si="120"/>
        <v>0</v>
      </c>
      <c r="EF118" s="161">
        <f t="shared" si="121"/>
        <v>0</v>
      </c>
      <c r="EG118" s="161">
        <f t="shared" si="122"/>
        <v>0</v>
      </c>
      <c r="EH118" s="161">
        <f t="shared" si="123"/>
        <v>0</v>
      </c>
      <c r="EI118" s="161">
        <f t="shared" si="124"/>
        <v>0</v>
      </c>
      <c r="EJ118" s="161">
        <f t="shared" si="125"/>
        <v>0</v>
      </c>
      <c r="EK118" s="147">
        <f t="shared" si="55"/>
        <v>260.41666666666669</v>
      </c>
      <c r="EL118" s="149"/>
      <c r="EN118" s="146"/>
      <c r="EO118" s="146"/>
      <c r="EP118" s="139">
        <f t="shared" si="56"/>
        <v>0</v>
      </c>
      <c r="EQ118" s="139">
        <f t="shared" si="57"/>
        <v>0</v>
      </c>
      <c r="ER118" s="139">
        <f t="shared" si="58"/>
        <v>7.557178890130162</v>
      </c>
      <c r="ES118" s="139">
        <f t="shared" si="59"/>
        <v>0</v>
      </c>
      <c r="ET118" s="139">
        <f t="shared" si="60"/>
        <v>0</v>
      </c>
      <c r="EU118" s="139">
        <f t="shared" si="61"/>
        <v>0</v>
      </c>
      <c r="EV118" s="139">
        <f t="shared" si="62"/>
        <v>71.624306052091896</v>
      </c>
      <c r="EW118" s="139">
        <f t="shared" si="63"/>
        <v>0</v>
      </c>
      <c r="EX118" s="139">
        <f t="shared" si="64"/>
        <v>0</v>
      </c>
      <c r="EY118" s="139">
        <f t="shared" si="65"/>
        <v>0</v>
      </c>
      <c r="EZ118" s="139">
        <f t="shared" si="66"/>
        <v>0</v>
      </c>
      <c r="FA118" s="139">
        <f t="shared" si="67"/>
        <v>0</v>
      </c>
      <c r="FB118" s="139">
        <f t="shared" si="68"/>
        <v>0</v>
      </c>
      <c r="FC118" s="139">
        <f t="shared" si="69"/>
        <v>0</v>
      </c>
      <c r="FD118" s="139">
        <f t="shared" si="70"/>
        <v>0</v>
      </c>
      <c r="FE118" s="139">
        <f t="shared" si="71"/>
        <v>0</v>
      </c>
      <c r="FF118" s="139">
        <f t="shared" si="72"/>
        <v>0</v>
      </c>
      <c r="FG118" s="139">
        <f t="shared" si="73"/>
        <v>0</v>
      </c>
      <c r="FH118" s="139">
        <f t="shared" si="74"/>
        <v>0</v>
      </c>
      <c r="FI118" s="139">
        <f t="shared" si="75"/>
        <v>0</v>
      </c>
      <c r="FJ118" s="139">
        <f t="shared" si="76"/>
        <v>0</v>
      </c>
      <c r="FK118" s="139">
        <f t="shared" si="77"/>
        <v>0</v>
      </c>
      <c r="FL118" s="139">
        <f t="shared" si="78"/>
        <v>0</v>
      </c>
      <c r="FM118" s="139">
        <f t="shared" si="79"/>
        <v>0</v>
      </c>
      <c r="FN118" s="139">
        <f t="shared" si="80"/>
        <v>0</v>
      </c>
      <c r="FO118" s="139">
        <f t="shared" si="81"/>
        <v>0</v>
      </c>
      <c r="FP118" s="139">
        <f t="shared" si="82"/>
        <v>0</v>
      </c>
      <c r="FQ118" s="139">
        <f t="shared" si="83"/>
        <v>0</v>
      </c>
      <c r="FR118" s="139">
        <f t="shared" si="84"/>
        <v>0</v>
      </c>
      <c r="FS118" s="139">
        <f t="shared" si="85"/>
        <v>0</v>
      </c>
      <c r="FT118" s="139">
        <f t="shared" si="86"/>
        <v>0</v>
      </c>
      <c r="FU118" s="148">
        <f t="shared" si="87"/>
        <v>79.181484942222056</v>
      </c>
      <c r="FV118" s="149"/>
      <c r="FY118" s="214">
        <v>113</v>
      </c>
      <c r="FZ118">
        <v>1.3376491725686315</v>
      </c>
      <c r="GA118">
        <v>11.230502740394339</v>
      </c>
      <c r="GB118">
        <v>11.480723349251349</v>
      </c>
      <c r="GC118">
        <v>4.4033729185275021</v>
      </c>
      <c r="GD118">
        <v>7.1532927513225033</v>
      </c>
      <c r="GE118">
        <v>19.850243383198414</v>
      </c>
      <c r="GF118">
        <v>23.160985040914358</v>
      </c>
      <c r="GG118">
        <v>12.060737041960376</v>
      </c>
      <c r="GH118">
        <v>0.64026236304066864</v>
      </c>
      <c r="GI118">
        <v>12.227378539502311</v>
      </c>
      <c r="GJ118"/>
      <c r="GK118"/>
      <c r="GL118"/>
      <c r="GM118"/>
    </row>
    <row r="119" spans="1:195" s="7" customFormat="1">
      <c r="A119" s="1"/>
      <c r="B119" s="76">
        <f t="shared" ca="1" si="50"/>
        <v>0.73573239934782908</v>
      </c>
      <c r="C119">
        <v>1</v>
      </c>
      <c r="D119">
        <v>39747</v>
      </c>
      <c r="E119">
        <v>0</v>
      </c>
      <c r="F119">
        <v>0</v>
      </c>
      <c r="G119">
        <v>173.61111111111111</v>
      </c>
      <c r="H119">
        <v>0</v>
      </c>
      <c r="I119">
        <v>0</v>
      </c>
      <c r="J119">
        <v>0</v>
      </c>
      <c r="K119">
        <v>86.805555555555557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72.108865499370907</v>
      </c>
      <c r="AO119">
        <v>12.10513183991532</v>
      </c>
      <c r="AP119">
        <v>70.254272452580594</v>
      </c>
      <c r="AQ119">
        <v>70.70454575321105</v>
      </c>
      <c r="AR119">
        <v>11.208270591202718</v>
      </c>
      <c r="AS119">
        <v>63.155811580759753</v>
      </c>
      <c r="AT119">
        <v>6.2426866320354009</v>
      </c>
      <c r="AU119">
        <v>66.538447578393075</v>
      </c>
      <c r="AV119"/>
      <c r="AW119"/>
      <c r="AX119" s="146"/>
      <c r="AY119" s="76">
        <f t="shared" ca="1" si="88"/>
        <v>0.67540789453409467</v>
      </c>
      <c r="AZ119">
        <v>2</v>
      </c>
      <c r="BA119" s="129">
        <f t="shared" ref="BA119:BA127" si="131">IF(AZ119="", "",$C$7)</f>
        <v>39747</v>
      </c>
      <c r="BB119" s="207">
        <v>0</v>
      </c>
      <c r="BC119" s="207">
        <v>0</v>
      </c>
      <c r="BD119" s="207">
        <v>0</v>
      </c>
      <c r="BE119" s="207">
        <v>0</v>
      </c>
      <c r="BF119" s="207">
        <v>0</v>
      </c>
      <c r="BG119" s="207">
        <v>0</v>
      </c>
      <c r="BH119" s="207">
        <v>0</v>
      </c>
      <c r="BI119" s="207">
        <v>0</v>
      </c>
      <c r="BJ119" s="207">
        <v>0</v>
      </c>
      <c r="BK119" s="207">
        <v>0</v>
      </c>
      <c r="BL119" s="207">
        <v>0</v>
      </c>
      <c r="BM119" s="207">
        <v>0</v>
      </c>
      <c r="BN119" s="207">
        <v>0</v>
      </c>
      <c r="BO119" s="207">
        <v>0</v>
      </c>
      <c r="BP119" s="207">
        <v>0</v>
      </c>
      <c r="BQ119" s="207">
        <v>0</v>
      </c>
      <c r="BR119" s="207">
        <v>0</v>
      </c>
      <c r="BS119" s="207">
        <v>0</v>
      </c>
      <c r="BT119" s="207">
        <v>0</v>
      </c>
      <c r="BU119" s="207">
        <v>0</v>
      </c>
      <c r="BV119" s="207">
        <v>0</v>
      </c>
      <c r="BW119" s="207">
        <v>0</v>
      </c>
      <c r="BX119" s="207">
        <v>0</v>
      </c>
      <c r="BY119" s="207">
        <v>0</v>
      </c>
      <c r="BZ119" s="207">
        <v>0</v>
      </c>
      <c r="CA119" s="207">
        <v>0</v>
      </c>
      <c r="CB119" s="207">
        <v>0</v>
      </c>
      <c r="CC119" s="207">
        <v>0</v>
      </c>
      <c r="CD119" s="207">
        <v>0</v>
      </c>
      <c r="CE119" s="207">
        <v>0</v>
      </c>
      <c r="CF119" s="207">
        <v>0</v>
      </c>
      <c r="CG119" s="147"/>
      <c r="CH119" s="176"/>
      <c r="CJ119" s="146"/>
      <c r="CK119" s="76">
        <f t="shared" ca="1" si="90"/>
        <v>0.47843810448613522</v>
      </c>
      <c r="CL119" s="179">
        <f t="shared" si="91"/>
        <v>2</v>
      </c>
      <c r="CM119" s="180">
        <f t="shared" si="92"/>
        <v>39747</v>
      </c>
      <c r="CN119" s="208">
        <v>0</v>
      </c>
      <c r="CO119" s="208">
        <v>0</v>
      </c>
      <c r="CP119" s="208">
        <v>1</v>
      </c>
      <c r="CQ119" s="208">
        <v>0</v>
      </c>
      <c r="CR119" s="208">
        <v>0</v>
      </c>
      <c r="CS119" s="208">
        <v>0</v>
      </c>
      <c r="CT119" s="208">
        <v>0</v>
      </c>
      <c r="CU119" s="208">
        <v>0</v>
      </c>
      <c r="CV119" s="160"/>
      <c r="CW119">
        <f>20/8</f>
        <v>2.5</v>
      </c>
      <c r="CX119">
        <f>350/40</f>
        <v>8.75</v>
      </c>
      <c r="CY119" s="160"/>
      <c r="CZ119" s="177">
        <f t="shared" si="93"/>
        <v>9.6000000000000002E-2</v>
      </c>
      <c r="DB119" s="146"/>
      <c r="DC119" s="76">
        <f t="shared" ca="1" si="51"/>
        <v>0.65798494078121372</v>
      </c>
      <c r="DD119">
        <f t="shared" si="94"/>
        <v>2</v>
      </c>
      <c r="DE119" s="129">
        <f t="shared" si="130"/>
        <v>39747</v>
      </c>
      <c r="DF119" s="161">
        <f t="shared" si="95"/>
        <v>0</v>
      </c>
      <c r="DG119" s="161">
        <f t="shared" si="96"/>
        <v>0</v>
      </c>
      <c r="DH119" s="161">
        <f t="shared" si="97"/>
        <v>91.145833333333329</v>
      </c>
      <c r="DI119" s="161">
        <f t="shared" si="98"/>
        <v>0</v>
      </c>
      <c r="DJ119" s="161">
        <f t="shared" si="99"/>
        <v>0</v>
      </c>
      <c r="DK119" s="161">
        <f t="shared" si="100"/>
        <v>0</v>
      </c>
      <c r="DL119" s="161">
        <f t="shared" si="101"/>
        <v>0</v>
      </c>
      <c r="DM119" s="161">
        <f t="shared" si="102"/>
        <v>0</v>
      </c>
      <c r="DN119" s="161">
        <f t="shared" si="103"/>
        <v>0</v>
      </c>
      <c r="DO119" s="161">
        <f t="shared" si="104"/>
        <v>0</v>
      </c>
      <c r="DP119" s="161">
        <f t="shared" si="105"/>
        <v>0</v>
      </c>
      <c r="DQ119" s="161">
        <f t="shared" si="106"/>
        <v>0</v>
      </c>
      <c r="DR119" s="161">
        <f t="shared" si="107"/>
        <v>0</v>
      </c>
      <c r="DS119" s="161">
        <f t="shared" si="108"/>
        <v>0</v>
      </c>
      <c r="DT119" s="161">
        <f t="shared" si="109"/>
        <v>0</v>
      </c>
      <c r="DU119" s="161">
        <f t="shared" si="110"/>
        <v>0</v>
      </c>
      <c r="DV119" s="161">
        <f t="shared" si="111"/>
        <v>0</v>
      </c>
      <c r="DW119" s="161">
        <f t="shared" si="112"/>
        <v>0</v>
      </c>
      <c r="DX119" s="161">
        <f t="shared" si="113"/>
        <v>0</v>
      </c>
      <c r="DY119" s="161">
        <f t="shared" si="114"/>
        <v>0</v>
      </c>
      <c r="DZ119" s="161">
        <f t="shared" si="115"/>
        <v>0</v>
      </c>
      <c r="EA119" s="161">
        <f t="shared" si="116"/>
        <v>0</v>
      </c>
      <c r="EB119" s="161">
        <f t="shared" si="117"/>
        <v>0</v>
      </c>
      <c r="EC119" s="161">
        <f t="shared" si="118"/>
        <v>0</v>
      </c>
      <c r="ED119" s="161">
        <f t="shared" si="119"/>
        <v>0</v>
      </c>
      <c r="EE119" s="161">
        <f t="shared" si="120"/>
        <v>0</v>
      </c>
      <c r="EF119" s="161">
        <f t="shared" si="121"/>
        <v>0</v>
      </c>
      <c r="EG119" s="161">
        <f t="shared" si="122"/>
        <v>0</v>
      </c>
      <c r="EH119" s="161">
        <f t="shared" si="123"/>
        <v>0</v>
      </c>
      <c r="EI119" s="161">
        <f t="shared" si="124"/>
        <v>0</v>
      </c>
      <c r="EJ119" s="161">
        <f t="shared" si="125"/>
        <v>0</v>
      </c>
      <c r="EK119" s="147">
        <f t="shared" si="55"/>
        <v>91.145833333333329</v>
      </c>
      <c r="EL119" s="149"/>
      <c r="EN119" s="146"/>
      <c r="EO119" s="146"/>
      <c r="EP119" s="139">
        <f t="shared" si="56"/>
        <v>0</v>
      </c>
      <c r="EQ119" s="139">
        <f t="shared" si="57"/>
        <v>0</v>
      </c>
      <c r="ER119" s="139">
        <f t="shared" si="58"/>
        <v>3.9675189173183347</v>
      </c>
      <c r="ES119" s="139">
        <f t="shared" si="59"/>
        <v>0</v>
      </c>
      <c r="ET119" s="139">
        <f t="shared" si="60"/>
        <v>0</v>
      </c>
      <c r="EU119" s="139">
        <f t="shared" si="61"/>
        <v>0</v>
      </c>
      <c r="EV119" s="139">
        <f t="shared" si="62"/>
        <v>0</v>
      </c>
      <c r="EW119" s="139">
        <f t="shared" si="63"/>
        <v>0</v>
      </c>
      <c r="EX119" s="139">
        <f t="shared" si="64"/>
        <v>0</v>
      </c>
      <c r="EY119" s="139">
        <f t="shared" si="65"/>
        <v>0</v>
      </c>
      <c r="EZ119" s="139">
        <f t="shared" si="66"/>
        <v>0</v>
      </c>
      <c r="FA119" s="139">
        <f t="shared" si="67"/>
        <v>0</v>
      </c>
      <c r="FB119" s="139">
        <f t="shared" si="68"/>
        <v>0</v>
      </c>
      <c r="FC119" s="139">
        <f t="shared" si="69"/>
        <v>0</v>
      </c>
      <c r="FD119" s="139">
        <f t="shared" si="70"/>
        <v>0</v>
      </c>
      <c r="FE119" s="139">
        <f t="shared" si="71"/>
        <v>0</v>
      </c>
      <c r="FF119" s="139">
        <f t="shared" si="72"/>
        <v>0</v>
      </c>
      <c r="FG119" s="139">
        <f t="shared" si="73"/>
        <v>0</v>
      </c>
      <c r="FH119" s="139">
        <f t="shared" si="74"/>
        <v>0</v>
      </c>
      <c r="FI119" s="139">
        <f t="shared" si="75"/>
        <v>0</v>
      </c>
      <c r="FJ119" s="139">
        <f t="shared" si="76"/>
        <v>0</v>
      </c>
      <c r="FK119" s="139">
        <f t="shared" si="77"/>
        <v>0</v>
      </c>
      <c r="FL119" s="139">
        <f t="shared" si="78"/>
        <v>0</v>
      </c>
      <c r="FM119" s="139">
        <f t="shared" si="79"/>
        <v>0</v>
      </c>
      <c r="FN119" s="139">
        <f t="shared" si="80"/>
        <v>0</v>
      </c>
      <c r="FO119" s="139">
        <f t="shared" si="81"/>
        <v>0</v>
      </c>
      <c r="FP119" s="139">
        <f t="shared" si="82"/>
        <v>0</v>
      </c>
      <c r="FQ119" s="139">
        <f t="shared" si="83"/>
        <v>0</v>
      </c>
      <c r="FR119" s="139">
        <f t="shared" si="84"/>
        <v>0</v>
      </c>
      <c r="FS119" s="139">
        <f t="shared" si="85"/>
        <v>0</v>
      </c>
      <c r="FT119" s="139">
        <f t="shared" si="86"/>
        <v>0</v>
      </c>
      <c r="FU119" s="148">
        <f t="shared" si="87"/>
        <v>3.9675189173183347</v>
      </c>
      <c r="FV119" s="149"/>
      <c r="FY119" s="214">
        <v>114</v>
      </c>
      <c r="FZ119">
        <v>0.46288057174769937</v>
      </c>
      <c r="GA119">
        <v>3.778877361358187</v>
      </c>
      <c r="GB119">
        <v>5.6035251993517585</v>
      </c>
      <c r="GC119">
        <v>2.9013098110774536</v>
      </c>
      <c r="GD119">
        <v>7.4395185158069763</v>
      </c>
      <c r="GE119">
        <v>21.478204912303664</v>
      </c>
      <c r="GF119">
        <v>17.991488238422782</v>
      </c>
      <c r="GG119">
        <v>9.1505252350338022</v>
      </c>
      <c r="GH119">
        <v>8.817462954216305</v>
      </c>
      <c r="GI119">
        <v>10.868402425919024</v>
      </c>
      <c r="GJ119"/>
      <c r="GK119"/>
      <c r="GL119"/>
      <c r="GM119"/>
    </row>
    <row r="120" spans="1:195" s="7" customFormat="1">
      <c r="A120" s="1"/>
      <c r="B120" s="76">
        <f t="shared" ref="B120:B151" ca="1" si="132">IF(C120="", "", RAND())</f>
        <v>0.21143178891061853</v>
      </c>
      <c r="C120">
        <v>10</v>
      </c>
      <c r="D120">
        <v>39747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66.38489020710071</v>
      </c>
      <c r="AO120">
        <v>15.003744555060402</v>
      </c>
      <c r="AP120">
        <v>65.27426835748895</v>
      </c>
      <c r="AQ120">
        <v>87.594927362109644</v>
      </c>
      <c r="AR120">
        <v>13.652621184214015</v>
      </c>
      <c r="AS120">
        <v>66.425449304154597</v>
      </c>
      <c r="AT120" t="e">
        <v>#DIV/0!</v>
      </c>
      <c r="AU120" t="e">
        <v>#DIV/0!</v>
      </c>
      <c r="AV120"/>
      <c r="AW120"/>
      <c r="AX120" s="146"/>
      <c r="AY120" s="76">
        <f t="shared" ca="1" si="88"/>
        <v>0.58845734229069802</v>
      </c>
      <c r="AZ120">
        <v>3</v>
      </c>
      <c r="BA120" s="129">
        <f t="shared" si="131"/>
        <v>39747</v>
      </c>
      <c r="BB120" s="207">
        <v>0</v>
      </c>
      <c r="BC120" s="207">
        <v>0</v>
      </c>
      <c r="BD120" s="207">
        <v>0</v>
      </c>
      <c r="BE120" s="207">
        <v>0</v>
      </c>
      <c r="BF120" s="207">
        <v>0</v>
      </c>
      <c r="BG120" s="207">
        <v>0</v>
      </c>
      <c r="BH120" s="207">
        <v>0</v>
      </c>
      <c r="BI120" s="207">
        <v>0</v>
      </c>
      <c r="BJ120" s="207">
        <v>0</v>
      </c>
      <c r="BK120" s="207">
        <v>0</v>
      </c>
      <c r="BL120" s="207">
        <v>0</v>
      </c>
      <c r="BM120" s="207">
        <v>0</v>
      </c>
      <c r="BN120" s="207">
        <v>0</v>
      </c>
      <c r="BO120" s="207">
        <v>0</v>
      </c>
      <c r="BP120" s="207">
        <v>0</v>
      </c>
      <c r="BQ120" s="207">
        <v>0</v>
      </c>
      <c r="BR120" s="207">
        <v>0</v>
      </c>
      <c r="BS120" s="207">
        <v>0</v>
      </c>
      <c r="BT120" s="207">
        <v>0</v>
      </c>
      <c r="BU120" s="207">
        <v>0</v>
      </c>
      <c r="BV120" s="207">
        <v>0</v>
      </c>
      <c r="BW120" s="207">
        <v>0</v>
      </c>
      <c r="BX120" s="207">
        <v>0</v>
      </c>
      <c r="BY120" s="207">
        <v>0</v>
      </c>
      <c r="BZ120" s="207">
        <v>0</v>
      </c>
      <c r="CA120" s="207">
        <v>0</v>
      </c>
      <c r="CB120" s="207">
        <v>0</v>
      </c>
      <c r="CC120" s="207">
        <v>0</v>
      </c>
      <c r="CD120" s="207">
        <v>0</v>
      </c>
      <c r="CE120" s="207">
        <v>0</v>
      </c>
      <c r="CF120" s="207">
        <v>0</v>
      </c>
      <c r="CG120" s="147"/>
      <c r="CH120" s="176"/>
      <c r="CJ120" s="146"/>
      <c r="CK120" s="76">
        <f t="shared" ca="1" si="90"/>
        <v>0.14481743436416239</v>
      </c>
      <c r="CL120" s="179">
        <f t="shared" si="91"/>
        <v>3</v>
      </c>
      <c r="CM120" s="180">
        <f t="shared" si="92"/>
        <v>39747</v>
      </c>
      <c r="CN120" s="208">
        <v>0</v>
      </c>
      <c r="CO120" s="208">
        <v>0</v>
      </c>
      <c r="CP120" s="208">
        <v>0</v>
      </c>
      <c r="CQ120" s="208">
        <v>0</v>
      </c>
      <c r="CR120" s="208">
        <v>0</v>
      </c>
      <c r="CS120" s="208">
        <v>0</v>
      </c>
      <c r="CT120" s="208">
        <v>0</v>
      </c>
      <c r="CU120" s="208">
        <v>0</v>
      </c>
      <c r="CV120" s="160"/>
      <c r="CW120">
        <v>1</v>
      </c>
      <c r="CX120">
        <v>1</v>
      </c>
      <c r="CY120" s="160"/>
      <c r="CZ120" s="177">
        <f t="shared" si="93"/>
        <v>9.6000000000000002E-2</v>
      </c>
      <c r="DB120" s="146"/>
      <c r="DC120" s="76">
        <f t="shared" ca="1" si="51"/>
        <v>0.45854410025796488</v>
      </c>
      <c r="DD120">
        <f t="shared" si="94"/>
        <v>3</v>
      </c>
      <c r="DE120" s="129">
        <f t="shared" si="130"/>
        <v>39747</v>
      </c>
      <c r="DF120" s="161">
        <f t="shared" si="95"/>
        <v>0</v>
      </c>
      <c r="DG120" s="161">
        <f t="shared" si="96"/>
        <v>0</v>
      </c>
      <c r="DH120" s="161">
        <f t="shared" si="97"/>
        <v>0</v>
      </c>
      <c r="DI120" s="161">
        <f t="shared" si="98"/>
        <v>0</v>
      </c>
      <c r="DJ120" s="161">
        <f t="shared" si="99"/>
        <v>0</v>
      </c>
      <c r="DK120" s="161">
        <f t="shared" si="100"/>
        <v>0</v>
      </c>
      <c r="DL120" s="161">
        <f t="shared" si="101"/>
        <v>0</v>
      </c>
      <c r="DM120" s="161">
        <f t="shared" si="102"/>
        <v>0</v>
      </c>
      <c r="DN120" s="161">
        <f t="shared" si="103"/>
        <v>0</v>
      </c>
      <c r="DO120" s="161">
        <f t="shared" si="104"/>
        <v>0</v>
      </c>
      <c r="DP120" s="161">
        <f t="shared" si="105"/>
        <v>0</v>
      </c>
      <c r="DQ120" s="161">
        <f t="shared" si="106"/>
        <v>0</v>
      </c>
      <c r="DR120" s="161">
        <f t="shared" si="107"/>
        <v>0</v>
      </c>
      <c r="DS120" s="161">
        <f t="shared" si="108"/>
        <v>0</v>
      </c>
      <c r="DT120" s="161">
        <f t="shared" si="109"/>
        <v>0</v>
      </c>
      <c r="DU120" s="161">
        <f t="shared" si="110"/>
        <v>0</v>
      </c>
      <c r="DV120" s="161">
        <f t="shared" si="111"/>
        <v>0</v>
      </c>
      <c r="DW120" s="161">
        <f t="shared" si="112"/>
        <v>0</v>
      </c>
      <c r="DX120" s="161">
        <f t="shared" si="113"/>
        <v>0</v>
      </c>
      <c r="DY120" s="161">
        <f t="shared" si="114"/>
        <v>0</v>
      </c>
      <c r="DZ120" s="161">
        <f t="shared" si="115"/>
        <v>0</v>
      </c>
      <c r="EA120" s="161">
        <f t="shared" si="116"/>
        <v>0</v>
      </c>
      <c r="EB120" s="161">
        <f t="shared" si="117"/>
        <v>0</v>
      </c>
      <c r="EC120" s="161">
        <f t="shared" si="118"/>
        <v>0</v>
      </c>
      <c r="ED120" s="161">
        <f t="shared" si="119"/>
        <v>0</v>
      </c>
      <c r="EE120" s="161">
        <f t="shared" si="120"/>
        <v>0</v>
      </c>
      <c r="EF120" s="161">
        <f t="shared" si="121"/>
        <v>0</v>
      </c>
      <c r="EG120" s="161">
        <f t="shared" si="122"/>
        <v>0</v>
      </c>
      <c r="EH120" s="161">
        <f t="shared" si="123"/>
        <v>0</v>
      </c>
      <c r="EI120" s="161">
        <f t="shared" si="124"/>
        <v>0</v>
      </c>
      <c r="EJ120" s="161">
        <f t="shared" si="125"/>
        <v>0</v>
      </c>
      <c r="EK120" s="147">
        <f t="shared" ref="EK120:EK151" si="133">IF(DF120="", "", SUM(DF120:EJ120))</f>
        <v>0</v>
      </c>
      <c r="EL120" s="149"/>
      <c r="EN120" s="146"/>
      <c r="EO120" s="146"/>
      <c r="EP120" s="139">
        <f t="shared" ref="EP120:EP151" si="134">IF(DF120="", "", DF120*G$36)</f>
        <v>0</v>
      </c>
      <c r="EQ120" s="139">
        <f t="shared" ref="EQ120:EQ151" si="135">IF(DG120="", "", DG120*H$36)</f>
        <v>0</v>
      </c>
      <c r="ER120" s="139">
        <f t="shared" ref="ER120:ER151" si="136">IF(DH120="", "", DH120*I$36)</f>
        <v>0</v>
      </c>
      <c r="ES120" s="139">
        <f t="shared" ref="ES120:ES151" si="137">IF(DI120="", "", DI120*J$36)</f>
        <v>0</v>
      </c>
      <c r="ET120" s="139">
        <f t="shared" ref="ET120:ET151" si="138">IF(DJ120="", "", DJ120*K$36)</f>
        <v>0</v>
      </c>
      <c r="EU120" s="139">
        <f t="shared" ref="EU120:EU151" si="139">IF(DK120="", "", DK120*L$36)</f>
        <v>0</v>
      </c>
      <c r="EV120" s="139">
        <f t="shared" ref="EV120:EV151" si="140">IF(DL120="", "", DL120*M$36)</f>
        <v>0</v>
      </c>
      <c r="EW120" s="139">
        <f t="shared" ref="EW120:EW151" si="141">IF(DM120="", "", DM120*N$36)</f>
        <v>0</v>
      </c>
      <c r="EX120" s="139">
        <f t="shared" ref="EX120:EX151" si="142">IF(DN120="", "", DN120*O$36)</f>
        <v>0</v>
      </c>
      <c r="EY120" s="139">
        <f t="shared" ref="EY120:EY151" si="143">IF(DO120="", "", DO120*P$36)</f>
        <v>0</v>
      </c>
      <c r="EZ120" s="139">
        <f t="shared" ref="EZ120:EZ151" si="144">IF(DP120="", "", DP120*Q$36)</f>
        <v>0</v>
      </c>
      <c r="FA120" s="139">
        <f t="shared" ref="FA120:FA151" si="145">IF(DQ120="", "", DQ120*R$36)</f>
        <v>0</v>
      </c>
      <c r="FB120" s="139">
        <f t="shared" ref="FB120:FB151" si="146">IF(DR120="", "", DR120*S$36)</f>
        <v>0</v>
      </c>
      <c r="FC120" s="139">
        <f t="shared" ref="FC120:FC151" si="147">IF(DS120="", "", DS120*T$36)</f>
        <v>0</v>
      </c>
      <c r="FD120" s="139">
        <f t="shared" ref="FD120:FD151" si="148">IF(DT120="", "", DT120*U$36)</f>
        <v>0</v>
      </c>
      <c r="FE120" s="139">
        <f t="shared" ref="FE120:FE151" si="149">IF(DU120="", "", DU120*V$36)</f>
        <v>0</v>
      </c>
      <c r="FF120" s="139">
        <f t="shared" ref="FF120:FF151" si="150">IF(DV120="", "", DV120*W$36)</f>
        <v>0</v>
      </c>
      <c r="FG120" s="139">
        <f t="shared" ref="FG120:FG151" si="151">IF(DW120="", "", DW120*X$36)</f>
        <v>0</v>
      </c>
      <c r="FH120" s="139">
        <f t="shared" ref="FH120:FH151" si="152">IF(DX120="", "", DX120*Y$36)</f>
        <v>0</v>
      </c>
      <c r="FI120" s="139">
        <f t="shared" ref="FI120:FI151" si="153">IF(DY120="", "", DY120*Z$36)</f>
        <v>0</v>
      </c>
      <c r="FJ120" s="139">
        <f t="shared" ref="FJ120:FJ151" si="154">IF(DZ120="", "", DZ120*AA$36)</f>
        <v>0</v>
      </c>
      <c r="FK120" s="139">
        <f t="shared" ref="FK120:FK151" si="155">IF(EA120="", "", EA120*AB$36)</f>
        <v>0</v>
      </c>
      <c r="FL120" s="139">
        <f t="shared" ref="FL120:FL151" si="156">IF(EB120="", "", EB120*AC$36)</f>
        <v>0</v>
      </c>
      <c r="FM120" s="139">
        <f t="shared" ref="FM120:FM151" si="157">IF(EC120="", "", EC120*AD$36)</f>
        <v>0</v>
      </c>
      <c r="FN120" s="139">
        <f t="shared" ref="FN120:FN151" si="158">IF(ED120="", "", ED120*AE$36)</f>
        <v>0</v>
      </c>
      <c r="FO120" s="139">
        <f t="shared" ref="FO120:FO151" si="159">IF(EE120="", "", EE120*AF$36)</f>
        <v>0</v>
      </c>
      <c r="FP120" s="139">
        <f t="shared" ref="FP120:FP151" si="160">IF(EF120="", "", EF120*AG$36)</f>
        <v>0</v>
      </c>
      <c r="FQ120" s="139">
        <f t="shared" ref="FQ120:FQ151" si="161">IF(EG120="", "", EG120*AH$36)</f>
        <v>0</v>
      </c>
      <c r="FR120" s="139">
        <f t="shared" ref="FR120:FR151" si="162">IF(EH120="", "", EH120*AI$36)</f>
        <v>0</v>
      </c>
      <c r="FS120" s="139">
        <f t="shared" ref="FS120:FS151" si="163">IF(EI120="", "", EI120*AJ$36)</f>
        <v>0</v>
      </c>
      <c r="FT120" s="139">
        <f t="shared" ref="FT120:FT151" si="164">IF(EJ120="", "", EJ120*AK$36)</f>
        <v>0</v>
      </c>
      <c r="FU120" s="148">
        <f t="shared" ref="FU120:FU151" si="165">IF(EP120="","",SUM(EP120:FT120))</f>
        <v>0</v>
      </c>
      <c r="FV120" s="149"/>
      <c r="FY120" s="214">
        <v>115</v>
      </c>
      <c r="FZ120">
        <v>1.2302951001515705</v>
      </c>
      <c r="GA120">
        <v>2.6545322561468891</v>
      </c>
      <c r="GB120">
        <v>3.5110625482242019</v>
      </c>
      <c r="GC120">
        <v>2.101014117943687</v>
      </c>
      <c r="GD120">
        <v>7.2258988985954309</v>
      </c>
      <c r="GE120">
        <v>22.410528233333533</v>
      </c>
      <c r="GF120">
        <v>21.50453028175852</v>
      </c>
      <c r="GG120">
        <v>10.283648837066185</v>
      </c>
      <c r="GH120">
        <v>5.833164351279815</v>
      </c>
      <c r="GI120">
        <v>10.634604523334835</v>
      </c>
      <c r="GJ120"/>
      <c r="GK120"/>
      <c r="GL120"/>
      <c r="GM120"/>
    </row>
    <row r="121" spans="1:195" s="7" customFormat="1">
      <c r="A121" s="1"/>
      <c r="B121" s="76">
        <f t="shared" ca="1" si="132"/>
        <v>0.59298843743826346</v>
      </c>
      <c r="C121">
        <v>7</v>
      </c>
      <c r="D121">
        <v>39747</v>
      </c>
      <c r="E121">
        <v>0</v>
      </c>
      <c r="F121">
        <v>0</v>
      </c>
      <c r="G121">
        <v>74.404761904761912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78.253256738340056</v>
      </c>
      <c r="AO121">
        <v>15.016803560722707</v>
      </c>
      <c r="AP121">
        <v>71.224120659982802</v>
      </c>
      <c r="AQ121">
        <v>88.299117792646314</v>
      </c>
      <c r="AR121">
        <v>13.854600772997312</v>
      </c>
      <c r="AS121">
        <v>73.754017749554038</v>
      </c>
      <c r="AT121">
        <v>7.7899247014889283</v>
      </c>
      <c r="AU121">
        <v>17.35905982926808</v>
      </c>
      <c r="AV121"/>
      <c r="AW121"/>
      <c r="AX121" s="146"/>
      <c r="AY121" s="76">
        <f t="shared" ca="1" si="88"/>
        <v>0.18669051471588927</v>
      </c>
      <c r="AZ121">
        <v>4</v>
      </c>
      <c r="BA121" s="129">
        <f t="shared" si="131"/>
        <v>39747</v>
      </c>
      <c r="BB121" s="207">
        <v>0</v>
      </c>
      <c r="BC121" s="207">
        <v>0</v>
      </c>
      <c r="BD121" s="207">
        <v>0</v>
      </c>
      <c r="BE121" s="207">
        <v>0</v>
      </c>
      <c r="BF121" s="207">
        <v>0</v>
      </c>
      <c r="BG121" s="207">
        <v>0</v>
      </c>
      <c r="BH121" s="207">
        <v>0</v>
      </c>
      <c r="BI121" s="207">
        <v>0</v>
      </c>
      <c r="BJ121" s="207">
        <v>0</v>
      </c>
      <c r="BK121" s="207">
        <v>0</v>
      </c>
      <c r="BL121" s="207">
        <v>0</v>
      </c>
      <c r="BM121" s="207">
        <v>0</v>
      </c>
      <c r="BN121" s="207">
        <v>0</v>
      </c>
      <c r="BO121" s="207">
        <v>0</v>
      </c>
      <c r="BP121" s="207">
        <v>0</v>
      </c>
      <c r="BQ121" s="207">
        <v>0</v>
      </c>
      <c r="BR121" s="207">
        <v>0</v>
      </c>
      <c r="BS121" s="207">
        <v>0</v>
      </c>
      <c r="BT121" s="207">
        <v>0</v>
      </c>
      <c r="BU121" s="207">
        <v>0</v>
      </c>
      <c r="BV121" s="207">
        <v>0</v>
      </c>
      <c r="BW121" s="207">
        <v>0</v>
      </c>
      <c r="BX121" s="207">
        <v>0</v>
      </c>
      <c r="BY121" s="207">
        <v>0</v>
      </c>
      <c r="BZ121" s="207">
        <v>0</v>
      </c>
      <c r="CA121" s="207">
        <v>0</v>
      </c>
      <c r="CB121" s="207">
        <v>0</v>
      </c>
      <c r="CC121" s="207">
        <v>0</v>
      </c>
      <c r="CD121" s="207">
        <v>0</v>
      </c>
      <c r="CE121" s="207">
        <v>0</v>
      </c>
      <c r="CF121" s="207">
        <v>0</v>
      </c>
      <c r="CG121" s="147"/>
      <c r="CH121" s="176"/>
      <c r="CJ121" s="146"/>
      <c r="CK121" s="76">
        <f t="shared" ca="1" si="90"/>
        <v>0.16569166811365577</v>
      </c>
      <c r="CL121" s="179">
        <f t="shared" si="91"/>
        <v>4</v>
      </c>
      <c r="CM121" s="180">
        <f t="shared" si="92"/>
        <v>39747</v>
      </c>
      <c r="CN121" s="208">
        <v>0</v>
      </c>
      <c r="CO121" s="208">
        <v>2</v>
      </c>
      <c r="CP121" s="208">
        <v>0</v>
      </c>
      <c r="CQ121" s="208">
        <v>0</v>
      </c>
      <c r="CR121" s="208">
        <v>1</v>
      </c>
      <c r="CS121" s="208">
        <v>1</v>
      </c>
      <c r="CT121" s="208">
        <v>0</v>
      </c>
      <c r="CU121" s="208">
        <v>0</v>
      </c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3"/>
        <v>9.6000000000000002E-2</v>
      </c>
      <c r="DB121" s="146"/>
      <c r="DC121" s="76">
        <f t="shared" ca="1" si="51"/>
        <v>0.58234917079267778</v>
      </c>
      <c r="DD121">
        <f t="shared" si="94"/>
        <v>4</v>
      </c>
      <c r="DE121" s="129">
        <f t="shared" si="130"/>
        <v>39747</v>
      </c>
      <c r="DF121" s="161">
        <f t="shared" si="95"/>
        <v>0</v>
      </c>
      <c r="DG121" s="161">
        <f t="shared" si="96"/>
        <v>125.71839080459769</v>
      </c>
      <c r="DH121" s="161">
        <f t="shared" si="97"/>
        <v>0</v>
      </c>
      <c r="DI121" s="161">
        <f t="shared" si="98"/>
        <v>0</v>
      </c>
      <c r="DJ121" s="161">
        <f t="shared" si="99"/>
        <v>62.859195402298845</v>
      </c>
      <c r="DK121" s="161">
        <f t="shared" si="100"/>
        <v>62.859195402298845</v>
      </c>
      <c r="DL121" s="161">
        <f t="shared" si="101"/>
        <v>0</v>
      </c>
      <c r="DM121" s="161">
        <f t="shared" si="102"/>
        <v>0</v>
      </c>
      <c r="DN121" s="161">
        <f t="shared" si="103"/>
        <v>0</v>
      </c>
      <c r="DO121" s="161">
        <f t="shared" si="104"/>
        <v>0</v>
      </c>
      <c r="DP121" s="161">
        <f t="shared" si="105"/>
        <v>0</v>
      </c>
      <c r="DQ121" s="161">
        <f t="shared" si="106"/>
        <v>0</v>
      </c>
      <c r="DR121" s="161">
        <f t="shared" si="107"/>
        <v>0</v>
      </c>
      <c r="DS121" s="161">
        <f t="shared" si="108"/>
        <v>0</v>
      </c>
      <c r="DT121" s="161">
        <f t="shared" si="109"/>
        <v>0</v>
      </c>
      <c r="DU121" s="161">
        <f t="shared" si="110"/>
        <v>0</v>
      </c>
      <c r="DV121" s="161">
        <f t="shared" si="111"/>
        <v>0</v>
      </c>
      <c r="DW121" s="161">
        <f t="shared" si="112"/>
        <v>0</v>
      </c>
      <c r="DX121" s="161">
        <f t="shared" si="113"/>
        <v>0</v>
      </c>
      <c r="DY121" s="161">
        <f t="shared" si="114"/>
        <v>0</v>
      </c>
      <c r="DZ121" s="161">
        <f t="shared" si="115"/>
        <v>0</v>
      </c>
      <c r="EA121" s="161">
        <f t="shared" si="116"/>
        <v>0</v>
      </c>
      <c r="EB121" s="161">
        <f t="shared" si="117"/>
        <v>0</v>
      </c>
      <c r="EC121" s="161">
        <f t="shared" si="118"/>
        <v>0</v>
      </c>
      <c r="ED121" s="161">
        <f t="shared" si="119"/>
        <v>0</v>
      </c>
      <c r="EE121" s="161">
        <f t="shared" si="120"/>
        <v>0</v>
      </c>
      <c r="EF121" s="161">
        <f t="shared" si="121"/>
        <v>0</v>
      </c>
      <c r="EG121" s="161">
        <f t="shared" si="122"/>
        <v>0</v>
      </c>
      <c r="EH121" s="161">
        <f t="shared" si="123"/>
        <v>0</v>
      </c>
      <c r="EI121" s="161">
        <f t="shared" si="124"/>
        <v>0</v>
      </c>
      <c r="EJ121" s="161">
        <f t="shared" si="125"/>
        <v>0</v>
      </c>
      <c r="EK121" s="147">
        <f t="shared" si="133"/>
        <v>251.43678160919538</v>
      </c>
      <c r="EL121" s="149"/>
      <c r="EN121" s="146"/>
      <c r="EO121" s="146"/>
      <c r="EP121" s="139">
        <f t="shared" si="134"/>
        <v>0</v>
      </c>
      <c r="EQ121" s="139">
        <f t="shared" si="135"/>
        <v>0.85511135057471255</v>
      </c>
      <c r="ER121" s="139">
        <f t="shared" si="136"/>
        <v>0</v>
      </c>
      <c r="ES121" s="139">
        <f t="shared" si="137"/>
        <v>0</v>
      </c>
      <c r="ET121" s="139">
        <f t="shared" si="138"/>
        <v>17.510934853851577</v>
      </c>
      <c r="EU121" s="139">
        <f t="shared" si="139"/>
        <v>31.829832056123312</v>
      </c>
      <c r="EV121" s="139">
        <f t="shared" si="140"/>
        <v>0</v>
      </c>
      <c r="EW121" s="139">
        <f t="shared" si="141"/>
        <v>0</v>
      </c>
      <c r="EX121" s="139">
        <f t="shared" si="142"/>
        <v>0</v>
      </c>
      <c r="EY121" s="139">
        <f t="shared" si="143"/>
        <v>0</v>
      </c>
      <c r="EZ121" s="139">
        <f t="shared" si="144"/>
        <v>0</v>
      </c>
      <c r="FA121" s="139">
        <f t="shared" si="145"/>
        <v>0</v>
      </c>
      <c r="FB121" s="139">
        <f t="shared" si="146"/>
        <v>0</v>
      </c>
      <c r="FC121" s="139">
        <f t="shared" si="147"/>
        <v>0</v>
      </c>
      <c r="FD121" s="139">
        <f t="shared" si="148"/>
        <v>0</v>
      </c>
      <c r="FE121" s="139">
        <f t="shared" si="149"/>
        <v>0</v>
      </c>
      <c r="FF121" s="139">
        <f t="shared" si="150"/>
        <v>0</v>
      </c>
      <c r="FG121" s="139">
        <f t="shared" si="151"/>
        <v>0</v>
      </c>
      <c r="FH121" s="139">
        <f t="shared" si="152"/>
        <v>0</v>
      </c>
      <c r="FI121" s="139">
        <f t="shared" si="153"/>
        <v>0</v>
      </c>
      <c r="FJ121" s="139">
        <f t="shared" si="154"/>
        <v>0</v>
      </c>
      <c r="FK121" s="139">
        <f t="shared" si="155"/>
        <v>0</v>
      </c>
      <c r="FL121" s="139">
        <f t="shared" si="156"/>
        <v>0</v>
      </c>
      <c r="FM121" s="139">
        <f t="shared" si="157"/>
        <v>0</v>
      </c>
      <c r="FN121" s="139">
        <f t="shared" si="158"/>
        <v>0</v>
      </c>
      <c r="FO121" s="139">
        <f t="shared" si="159"/>
        <v>0</v>
      </c>
      <c r="FP121" s="139">
        <f t="shared" si="160"/>
        <v>0</v>
      </c>
      <c r="FQ121" s="139">
        <f t="shared" si="161"/>
        <v>0</v>
      </c>
      <c r="FR121" s="139">
        <f t="shared" si="162"/>
        <v>0</v>
      </c>
      <c r="FS121" s="139">
        <f t="shared" si="163"/>
        <v>0</v>
      </c>
      <c r="FT121" s="139">
        <f t="shared" si="164"/>
        <v>0</v>
      </c>
      <c r="FU121" s="148">
        <f t="shared" si="165"/>
        <v>50.195878260549605</v>
      </c>
      <c r="FV121" s="149"/>
      <c r="FY121" s="214">
        <v>116</v>
      </c>
      <c r="FZ121">
        <v>0.94208481483286499</v>
      </c>
      <c r="GA121">
        <v>11.380133366986426</v>
      </c>
      <c r="GB121">
        <v>8.2029103815013631</v>
      </c>
      <c r="GC121">
        <v>2.6791696749713321</v>
      </c>
      <c r="GD121">
        <v>5.2853646610872111</v>
      </c>
      <c r="GE121">
        <v>9.6846603406425853</v>
      </c>
      <c r="GF121">
        <v>11.298388425054839</v>
      </c>
      <c r="GG121">
        <v>12.587045012123987</v>
      </c>
      <c r="GH121">
        <v>7.1479208439441422</v>
      </c>
      <c r="GI121">
        <v>8.9837324105552678</v>
      </c>
      <c r="GJ121"/>
      <c r="GK121"/>
      <c r="GL121"/>
      <c r="GM121"/>
    </row>
    <row r="122" spans="1:195" s="7" customFormat="1">
      <c r="A122" s="1"/>
      <c r="B122" s="76">
        <f t="shared" ca="1" si="132"/>
        <v>0.6284639489976156</v>
      </c>
      <c r="C122">
        <v>4</v>
      </c>
      <c r="D122">
        <v>39747</v>
      </c>
      <c r="E122">
        <v>0</v>
      </c>
      <c r="F122">
        <v>125.71839080459769</v>
      </c>
      <c r="G122">
        <v>0</v>
      </c>
      <c r="H122">
        <v>0</v>
      </c>
      <c r="I122">
        <v>62.859195402298845</v>
      </c>
      <c r="J122">
        <v>62.859195402298845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95.63010951224274</v>
      </c>
      <c r="AO122">
        <v>14.32001192729356</v>
      </c>
      <c r="AP122">
        <v>62.516481404213621</v>
      </c>
      <c r="AQ122">
        <v>81.281468971854821</v>
      </c>
      <c r="AR122">
        <v>13.030724013138098</v>
      </c>
      <c r="AS122">
        <v>79.47113938549434</v>
      </c>
      <c r="AT122" t="e">
        <v>#DIV/0!</v>
      </c>
      <c r="AU122" t="e">
        <v>#DIV/0!</v>
      </c>
      <c r="AV122"/>
      <c r="AW122"/>
      <c r="AX122" s="146"/>
      <c r="AY122" s="76">
        <f t="shared" ca="1" si="88"/>
        <v>7.7693147042378286E-2</v>
      </c>
      <c r="AZ122">
        <v>5</v>
      </c>
      <c r="BA122" s="129">
        <f t="shared" si="131"/>
        <v>39747</v>
      </c>
      <c r="BB122" s="207">
        <v>0</v>
      </c>
      <c r="BC122" s="207">
        <v>0</v>
      </c>
      <c r="BD122" s="207">
        <v>0</v>
      </c>
      <c r="BE122" s="207">
        <v>0</v>
      </c>
      <c r="BF122" s="207">
        <v>0</v>
      </c>
      <c r="BG122" s="207">
        <v>0</v>
      </c>
      <c r="BH122" s="207">
        <v>0</v>
      </c>
      <c r="BI122" s="207">
        <v>0</v>
      </c>
      <c r="BJ122" s="207">
        <v>0</v>
      </c>
      <c r="BK122" s="207">
        <v>0</v>
      </c>
      <c r="BL122" s="207">
        <v>0</v>
      </c>
      <c r="BM122" s="207">
        <v>0</v>
      </c>
      <c r="BN122" s="207">
        <v>0</v>
      </c>
      <c r="BO122" s="207">
        <v>0</v>
      </c>
      <c r="BP122" s="207">
        <v>0</v>
      </c>
      <c r="BQ122" s="207">
        <v>0</v>
      </c>
      <c r="BR122" s="207">
        <v>0</v>
      </c>
      <c r="BS122" s="207">
        <v>0</v>
      </c>
      <c r="BT122" s="207">
        <v>0</v>
      </c>
      <c r="BU122" s="207">
        <v>0</v>
      </c>
      <c r="BV122" s="207">
        <v>0</v>
      </c>
      <c r="BW122" s="207">
        <v>0</v>
      </c>
      <c r="BX122" s="207">
        <v>0</v>
      </c>
      <c r="BY122" s="207">
        <v>0</v>
      </c>
      <c r="BZ122" s="207">
        <v>0</v>
      </c>
      <c r="CA122" s="207">
        <v>0</v>
      </c>
      <c r="CB122" s="207">
        <v>0</v>
      </c>
      <c r="CC122" s="207">
        <v>0</v>
      </c>
      <c r="CD122" s="207">
        <v>0</v>
      </c>
      <c r="CE122" s="207">
        <v>0</v>
      </c>
      <c r="CF122" s="207">
        <v>0</v>
      </c>
      <c r="CG122" s="147"/>
      <c r="CH122" s="176"/>
      <c r="CJ122" s="146"/>
      <c r="CK122" s="76">
        <f t="shared" ca="1" si="90"/>
        <v>0.56632709340346343</v>
      </c>
      <c r="CL122" s="179">
        <f t="shared" si="91"/>
        <v>5</v>
      </c>
      <c r="CM122" s="180">
        <f t="shared" si="92"/>
        <v>39747</v>
      </c>
      <c r="CN122" s="208">
        <v>0</v>
      </c>
      <c r="CO122" s="208">
        <v>1</v>
      </c>
      <c r="CP122" s="208">
        <v>0</v>
      </c>
      <c r="CQ122" s="208">
        <v>0</v>
      </c>
      <c r="CR122" s="208">
        <v>0</v>
      </c>
      <c r="CS122" s="208">
        <v>0</v>
      </c>
      <c r="CT122" s="208">
        <v>0</v>
      </c>
      <c r="CU122" s="208">
        <v>0</v>
      </c>
      <c r="CV122" s="160"/>
      <c r="CW122" s="178">
        <v>1</v>
      </c>
      <c r="CX122">
        <f>350/33</f>
        <v>10.606060606060606</v>
      </c>
      <c r="CY122" s="160"/>
      <c r="CZ122" s="177">
        <f t="shared" si="93"/>
        <v>9.6000000000000002E-2</v>
      </c>
      <c r="DB122" s="146"/>
      <c r="DC122" s="76">
        <f t="shared" ca="1" si="51"/>
        <v>0.7714426090147124</v>
      </c>
      <c r="DD122">
        <f t="shared" si="94"/>
        <v>5</v>
      </c>
      <c r="DE122" s="129">
        <f t="shared" si="130"/>
        <v>39747</v>
      </c>
      <c r="DF122" s="161">
        <f t="shared" si="95"/>
        <v>0</v>
      </c>
      <c r="DG122" s="161">
        <f t="shared" si="96"/>
        <v>110.47979797979797</v>
      </c>
      <c r="DH122" s="161">
        <f t="shared" si="97"/>
        <v>0</v>
      </c>
      <c r="DI122" s="161">
        <f t="shared" si="98"/>
        <v>0</v>
      </c>
      <c r="DJ122" s="161">
        <f t="shared" si="99"/>
        <v>0</v>
      </c>
      <c r="DK122" s="161">
        <f t="shared" si="100"/>
        <v>0</v>
      </c>
      <c r="DL122" s="161">
        <f t="shared" si="101"/>
        <v>0</v>
      </c>
      <c r="DM122" s="161">
        <f t="shared" si="102"/>
        <v>0</v>
      </c>
      <c r="DN122" s="161">
        <f t="shared" si="103"/>
        <v>0</v>
      </c>
      <c r="DO122" s="161">
        <f t="shared" si="104"/>
        <v>0</v>
      </c>
      <c r="DP122" s="161">
        <f t="shared" si="105"/>
        <v>0</v>
      </c>
      <c r="DQ122" s="161">
        <f t="shared" si="106"/>
        <v>0</v>
      </c>
      <c r="DR122" s="161">
        <f t="shared" si="107"/>
        <v>0</v>
      </c>
      <c r="DS122" s="161">
        <f t="shared" si="108"/>
        <v>0</v>
      </c>
      <c r="DT122" s="161">
        <f t="shared" si="109"/>
        <v>0</v>
      </c>
      <c r="DU122" s="161">
        <f t="shared" si="110"/>
        <v>0</v>
      </c>
      <c r="DV122" s="161">
        <f t="shared" si="111"/>
        <v>0</v>
      </c>
      <c r="DW122" s="161">
        <f t="shared" si="112"/>
        <v>0</v>
      </c>
      <c r="DX122" s="161">
        <f t="shared" si="113"/>
        <v>0</v>
      </c>
      <c r="DY122" s="161">
        <f t="shared" si="114"/>
        <v>0</v>
      </c>
      <c r="DZ122" s="161">
        <f t="shared" si="115"/>
        <v>0</v>
      </c>
      <c r="EA122" s="161">
        <f t="shared" si="116"/>
        <v>0</v>
      </c>
      <c r="EB122" s="161">
        <f t="shared" si="117"/>
        <v>0</v>
      </c>
      <c r="EC122" s="161">
        <f t="shared" si="118"/>
        <v>0</v>
      </c>
      <c r="ED122" s="161">
        <f t="shared" si="119"/>
        <v>0</v>
      </c>
      <c r="EE122" s="161">
        <f t="shared" si="120"/>
        <v>0</v>
      </c>
      <c r="EF122" s="161">
        <f t="shared" si="121"/>
        <v>0</v>
      </c>
      <c r="EG122" s="161">
        <f t="shared" si="122"/>
        <v>0</v>
      </c>
      <c r="EH122" s="161">
        <f t="shared" si="123"/>
        <v>0</v>
      </c>
      <c r="EI122" s="161">
        <f t="shared" si="124"/>
        <v>0</v>
      </c>
      <c r="EJ122" s="161">
        <f t="shared" si="125"/>
        <v>0</v>
      </c>
      <c r="EK122" s="147">
        <f t="shared" si="133"/>
        <v>110.47979797979797</v>
      </c>
      <c r="EL122" s="149"/>
      <c r="EN122" s="146"/>
      <c r="EO122" s="146"/>
      <c r="EP122" s="139">
        <f t="shared" si="134"/>
        <v>0</v>
      </c>
      <c r="EQ122" s="139">
        <f t="shared" si="135"/>
        <v>0.75146148989898987</v>
      </c>
      <c r="ER122" s="139">
        <f t="shared" si="136"/>
        <v>0</v>
      </c>
      <c r="ES122" s="139">
        <f t="shared" si="137"/>
        <v>0</v>
      </c>
      <c r="ET122" s="139">
        <f t="shared" si="138"/>
        <v>0</v>
      </c>
      <c r="EU122" s="139">
        <f t="shared" si="139"/>
        <v>0</v>
      </c>
      <c r="EV122" s="139">
        <f t="shared" si="140"/>
        <v>0</v>
      </c>
      <c r="EW122" s="139">
        <f t="shared" si="141"/>
        <v>0</v>
      </c>
      <c r="EX122" s="139">
        <f t="shared" si="142"/>
        <v>0</v>
      </c>
      <c r="EY122" s="139">
        <f t="shared" si="143"/>
        <v>0</v>
      </c>
      <c r="EZ122" s="139">
        <f t="shared" si="144"/>
        <v>0</v>
      </c>
      <c r="FA122" s="139">
        <f t="shared" si="145"/>
        <v>0</v>
      </c>
      <c r="FB122" s="139">
        <f t="shared" si="146"/>
        <v>0</v>
      </c>
      <c r="FC122" s="139">
        <f t="shared" si="147"/>
        <v>0</v>
      </c>
      <c r="FD122" s="139">
        <f t="shared" si="148"/>
        <v>0</v>
      </c>
      <c r="FE122" s="139">
        <f t="shared" si="149"/>
        <v>0</v>
      </c>
      <c r="FF122" s="139">
        <f t="shared" si="150"/>
        <v>0</v>
      </c>
      <c r="FG122" s="139">
        <f t="shared" si="151"/>
        <v>0</v>
      </c>
      <c r="FH122" s="139">
        <f t="shared" si="152"/>
        <v>0</v>
      </c>
      <c r="FI122" s="139">
        <f t="shared" si="153"/>
        <v>0</v>
      </c>
      <c r="FJ122" s="139">
        <f t="shared" si="154"/>
        <v>0</v>
      </c>
      <c r="FK122" s="139">
        <f t="shared" si="155"/>
        <v>0</v>
      </c>
      <c r="FL122" s="139">
        <f t="shared" si="156"/>
        <v>0</v>
      </c>
      <c r="FM122" s="139">
        <f t="shared" si="157"/>
        <v>0</v>
      </c>
      <c r="FN122" s="139">
        <f t="shared" si="158"/>
        <v>0</v>
      </c>
      <c r="FO122" s="139">
        <f t="shared" si="159"/>
        <v>0</v>
      </c>
      <c r="FP122" s="139">
        <f t="shared" si="160"/>
        <v>0</v>
      </c>
      <c r="FQ122" s="139">
        <f t="shared" si="161"/>
        <v>0</v>
      </c>
      <c r="FR122" s="139">
        <f t="shared" si="162"/>
        <v>0</v>
      </c>
      <c r="FS122" s="139">
        <f t="shared" si="163"/>
        <v>0</v>
      </c>
      <c r="FT122" s="139">
        <f t="shared" si="164"/>
        <v>0</v>
      </c>
      <c r="FU122" s="148">
        <f t="shared" si="165"/>
        <v>0.75146148989898987</v>
      </c>
      <c r="FV122" s="149"/>
      <c r="FY122" s="214">
        <v>117</v>
      </c>
      <c r="FZ122">
        <v>0.93186500410622031</v>
      </c>
      <c r="GA122">
        <v>17.697737543815663</v>
      </c>
      <c r="GB122">
        <v>10.477423421226296</v>
      </c>
      <c r="GC122">
        <v>1.6426988590880358</v>
      </c>
      <c r="GD122">
        <v>6.8278114011224575</v>
      </c>
      <c r="GE122">
        <v>13.924305928836425</v>
      </c>
      <c r="GF122">
        <v>15.774309489785812</v>
      </c>
      <c r="GG122">
        <v>21.300379325878939</v>
      </c>
      <c r="GH122">
        <v>11.191395023475936</v>
      </c>
      <c r="GI122">
        <v>11.813127336788758</v>
      </c>
      <c r="GJ122"/>
      <c r="GK122"/>
      <c r="GL122"/>
      <c r="GM122"/>
    </row>
    <row r="123" spans="1:195" s="7" customFormat="1">
      <c r="A123" s="1"/>
      <c r="B123" s="76">
        <f t="shared" ca="1" si="132"/>
        <v>0.25544173801358694</v>
      </c>
      <c r="C123">
        <v>5</v>
      </c>
      <c r="D123">
        <v>39747</v>
      </c>
      <c r="E123">
        <v>0</v>
      </c>
      <c r="F123">
        <v>110.47979797979797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98.449985124672892</v>
      </c>
      <c r="AO123">
        <v>19.043282578441879</v>
      </c>
      <c r="AP123">
        <v>95.15172864908341</v>
      </c>
      <c r="AQ123">
        <v>106.22079236559902</v>
      </c>
      <c r="AR123">
        <v>17.337459830159311</v>
      </c>
      <c r="AS123">
        <v>90.75363215897373</v>
      </c>
      <c r="AT123" t="e">
        <v>#DIV/0!</v>
      </c>
      <c r="AU123" t="e">
        <v>#DIV/0!</v>
      </c>
      <c r="AV123"/>
      <c r="AW123"/>
      <c r="AX123" s="146"/>
      <c r="AY123" s="76">
        <f t="shared" ca="1" si="88"/>
        <v>0.9456821334705785</v>
      </c>
      <c r="AZ123">
        <v>6</v>
      </c>
      <c r="BA123" s="129">
        <f t="shared" si="131"/>
        <v>39747</v>
      </c>
      <c r="BB123" s="207">
        <v>0</v>
      </c>
      <c r="BC123" s="207">
        <v>0</v>
      </c>
      <c r="BD123" s="207">
        <v>0</v>
      </c>
      <c r="BE123" s="207">
        <v>0</v>
      </c>
      <c r="BF123" s="207">
        <v>0</v>
      </c>
      <c r="BG123" s="207">
        <v>0</v>
      </c>
      <c r="BH123" s="207">
        <v>0</v>
      </c>
      <c r="BI123" s="207">
        <v>0</v>
      </c>
      <c r="BJ123" s="207">
        <v>0</v>
      </c>
      <c r="BK123" s="207">
        <v>0</v>
      </c>
      <c r="BL123" s="207">
        <v>0</v>
      </c>
      <c r="BM123" s="207">
        <v>0</v>
      </c>
      <c r="BN123" s="207">
        <v>0</v>
      </c>
      <c r="BO123" s="207">
        <v>0</v>
      </c>
      <c r="BP123" s="207">
        <v>0</v>
      </c>
      <c r="BQ123" s="207">
        <v>0</v>
      </c>
      <c r="BR123" s="207">
        <v>0</v>
      </c>
      <c r="BS123" s="207">
        <v>0</v>
      </c>
      <c r="BT123" s="207">
        <v>0</v>
      </c>
      <c r="BU123" s="207">
        <v>0</v>
      </c>
      <c r="BV123" s="207">
        <v>0</v>
      </c>
      <c r="BW123" s="207">
        <v>0</v>
      </c>
      <c r="BX123" s="207">
        <v>0</v>
      </c>
      <c r="BY123" s="207">
        <v>0</v>
      </c>
      <c r="BZ123" s="207">
        <v>0</v>
      </c>
      <c r="CA123" s="207">
        <v>0</v>
      </c>
      <c r="CB123" s="207">
        <v>0</v>
      </c>
      <c r="CC123" s="207">
        <v>0</v>
      </c>
      <c r="CD123" s="207">
        <v>0</v>
      </c>
      <c r="CE123" s="207">
        <v>0</v>
      </c>
      <c r="CF123" s="207">
        <v>0</v>
      </c>
      <c r="CG123" s="147"/>
      <c r="CH123" s="176"/>
      <c r="CJ123" s="146"/>
      <c r="CK123" s="76">
        <f t="shared" ca="1" si="90"/>
        <v>0.86616490912395649</v>
      </c>
      <c r="CL123" s="179">
        <f t="shared" si="91"/>
        <v>6</v>
      </c>
      <c r="CM123" s="180">
        <f t="shared" si="92"/>
        <v>39747</v>
      </c>
      <c r="CN123" s="208">
        <v>0</v>
      </c>
      <c r="CO123" s="208">
        <v>2</v>
      </c>
      <c r="CP123" s="208">
        <v>0</v>
      </c>
      <c r="CQ123" s="208">
        <v>0</v>
      </c>
      <c r="CR123" s="208">
        <v>0</v>
      </c>
      <c r="CS123" s="208">
        <v>0</v>
      </c>
      <c r="CT123" s="208">
        <v>0</v>
      </c>
      <c r="CU123" s="208">
        <v>0</v>
      </c>
      <c r="CV123" s="160"/>
      <c r="CW123" s="178">
        <v>1</v>
      </c>
      <c r="CX123">
        <f>375/60</f>
        <v>6.25</v>
      </c>
      <c r="CY123" s="160"/>
      <c r="CZ123" s="177">
        <f t="shared" si="93"/>
        <v>9.6000000000000002E-2</v>
      </c>
      <c r="DB123" s="146"/>
      <c r="DC123" s="76">
        <f t="shared" ca="1" si="51"/>
        <v>0.59403199749579283</v>
      </c>
      <c r="DD123">
        <f t="shared" si="94"/>
        <v>6</v>
      </c>
      <c r="DE123" s="129">
        <f t="shared" si="130"/>
        <v>39747</v>
      </c>
      <c r="DF123" s="161">
        <f t="shared" si="95"/>
        <v>0</v>
      </c>
      <c r="DG123" s="161">
        <f t="shared" si="96"/>
        <v>130.20833333333334</v>
      </c>
      <c r="DH123" s="161">
        <f t="shared" si="97"/>
        <v>0</v>
      </c>
      <c r="DI123" s="161">
        <f t="shared" si="98"/>
        <v>0</v>
      </c>
      <c r="DJ123" s="161">
        <f t="shared" si="99"/>
        <v>0</v>
      </c>
      <c r="DK123" s="161">
        <f t="shared" si="100"/>
        <v>0</v>
      </c>
      <c r="DL123" s="161">
        <f t="shared" si="101"/>
        <v>0</v>
      </c>
      <c r="DM123" s="161">
        <f t="shared" si="102"/>
        <v>0</v>
      </c>
      <c r="DN123" s="161">
        <f t="shared" si="103"/>
        <v>0</v>
      </c>
      <c r="DO123" s="161">
        <f t="shared" si="104"/>
        <v>0</v>
      </c>
      <c r="DP123" s="161">
        <f t="shared" si="105"/>
        <v>0</v>
      </c>
      <c r="DQ123" s="161">
        <f t="shared" si="106"/>
        <v>0</v>
      </c>
      <c r="DR123" s="161">
        <f t="shared" si="107"/>
        <v>0</v>
      </c>
      <c r="DS123" s="161">
        <f t="shared" si="108"/>
        <v>0</v>
      </c>
      <c r="DT123" s="161">
        <f t="shared" si="109"/>
        <v>0</v>
      </c>
      <c r="DU123" s="161">
        <f t="shared" si="110"/>
        <v>0</v>
      </c>
      <c r="DV123" s="161">
        <f t="shared" si="111"/>
        <v>0</v>
      </c>
      <c r="DW123" s="161">
        <f t="shared" si="112"/>
        <v>0</v>
      </c>
      <c r="DX123" s="161">
        <f t="shared" si="113"/>
        <v>0</v>
      </c>
      <c r="DY123" s="161">
        <f t="shared" si="114"/>
        <v>0</v>
      </c>
      <c r="DZ123" s="161">
        <f t="shared" si="115"/>
        <v>0</v>
      </c>
      <c r="EA123" s="161">
        <f t="shared" si="116"/>
        <v>0</v>
      </c>
      <c r="EB123" s="161">
        <f t="shared" si="117"/>
        <v>0</v>
      </c>
      <c r="EC123" s="161">
        <f t="shared" si="118"/>
        <v>0</v>
      </c>
      <c r="ED123" s="161">
        <f t="shared" si="119"/>
        <v>0</v>
      </c>
      <c r="EE123" s="161">
        <f t="shared" si="120"/>
        <v>0</v>
      </c>
      <c r="EF123" s="161">
        <f t="shared" si="121"/>
        <v>0</v>
      </c>
      <c r="EG123" s="161">
        <f t="shared" si="122"/>
        <v>0</v>
      </c>
      <c r="EH123" s="161">
        <f t="shared" si="123"/>
        <v>0</v>
      </c>
      <c r="EI123" s="161">
        <f t="shared" si="124"/>
        <v>0</v>
      </c>
      <c r="EJ123" s="161">
        <f t="shared" si="125"/>
        <v>0</v>
      </c>
      <c r="EK123" s="147">
        <f t="shared" si="133"/>
        <v>130.20833333333334</v>
      </c>
      <c r="EL123" s="149"/>
      <c r="EN123" s="146"/>
      <c r="EO123" s="146"/>
      <c r="EP123" s="139">
        <f t="shared" si="134"/>
        <v>0</v>
      </c>
      <c r="EQ123" s="139">
        <f t="shared" si="135"/>
        <v>0.88565104166666675</v>
      </c>
      <c r="ER123" s="139">
        <f t="shared" si="136"/>
        <v>0</v>
      </c>
      <c r="ES123" s="139">
        <f t="shared" si="137"/>
        <v>0</v>
      </c>
      <c r="ET123" s="139">
        <f t="shared" si="138"/>
        <v>0</v>
      </c>
      <c r="EU123" s="139">
        <f t="shared" si="139"/>
        <v>0</v>
      </c>
      <c r="EV123" s="139">
        <f t="shared" si="140"/>
        <v>0</v>
      </c>
      <c r="EW123" s="139">
        <f t="shared" si="141"/>
        <v>0</v>
      </c>
      <c r="EX123" s="139">
        <f t="shared" si="142"/>
        <v>0</v>
      </c>
      <c r="EY123" s="139">
        <f t="shared" si="143"/>
        <v>0</v>
      </c>
      <c r="EZ123" s="139">
        <f t="shared" si="144"/>
        <v>0</v>
      </c>
      <c r="FA123" s="139">
        <f t="shared" si="145"/>
        <v>0</v>
      </c>
      <c r="FB123" s="139">
        <f t="shared" si="146"/>
        <v>0</v>
      </c>
      <c r="FC123" s="139">
        <f t="shared" si="147"/>
        <v>0</v>
      </c>
      <c r="FD123" s="139">
        <f t="shared" si="148"/>
        <v>0</v>
      </c>
      <c r="FE123" s="139">
        <f t="shared" si="149"/>
        <v>0</v>
      </c>
      <c r="FF123" s="139">
        <f t="shared" si="150"/>
        <v>0</v>
      </c>
      <c r="FG123" s="139">
        <f t="shared" si="151"/>
        <v>0</v>
      </c>
      <c r="FH123" s="139">
        <f t="shared" si="152"/>
        <v>0</v>
      </c>
      <c r="FI123" s="139">
        <f t="shared" si="153"/>
        <v>0</v>
      </c>
      <c r="FJ123" s="139">
        <f t="shared" si="154"/>
        <v>0</v>
      </c>
      <c r="FK123" s="139">
        <f t="shared" si="155"/>
        <v>0</v>
      </c>
      <c r="FL123" s="139">
        <f t="shared" si="156"/>
        <v>0</v>
      </c>
      <c r="FM123" s="139">
        <f t="shared" si="157"/>
        <v>0</v>
      </c>
      <c r="FN123" s="139">
        <f t="shared" si="158"/>
        <v>0</v>
      </c>
      <c r="FO123" s="139">
        <f t="shared" si="159"/>
        <v>0</v>
      </c>
      <c r="FP123" s="139">
        <f t="shared" si="160"/>
        <v>0</v>
      </c>
      <c r="FQ123" s="139">
        <f t="shared" si="161"/>
        <v>0</v>
      </c>
      <c r="FR123" s="139">
        <f t="shared" si="162"/>
        <v>0</v>
      </c>
      <c r="FS123" s="139">
        <f t="shared" si="163"/>
        <v>0</v>
      </c>
      <c r="FT123" s="139">
        <f t="shared" si="164"/>
        <v>0</v>
      </c>
      <c r="FU123" s="148">
        <f t="shared" si="165"/>
        <v>0.88565104166666675</v>
      </c>
      <c r="FV123" s="149"/>
      <c r="FY123" s="214">
        <v>118</v>
      </c>
      <c r="FZ123">
        <v>1.3045455895666311</v>
      </c>
      <c r="GA123">
        <v>12.96317969364511</v>
      </c>
      <c r="GB123">
        <v>8.5187298462775729</v>
      </c>
      <c r="GC123">
        <v>2.2425601589336122</v>
      </c>
      <c r="GD123">
        <v>0.99415995798066858</v>
      </c>
      <c r="GE123">
        <v>4.3682760056121417</v>
      </c>
      <c r="GF123">
        <v>6.7712930887615981</v>
      </c>
      <c r="GG123">
        <v>0.99675581947240022</v>
      </c>
      <c r="GH123">
        <v>3.5750444062768651</v>
      </c>
      <c r="GI123">
        <v>4.7059896525824074</v>
      </c>
      <c r="GJ123"/>
      <c r="GK123"/>
      <c r="GL123"/>
      <c r="GM123"/>
    </row>
    <row r="124" spans="1:195" s="7" customFormat="1">
      <c r="A124" s="1"/>
      <c r="B124" s="76">
        <f t="shared" ca="1" si="132"/>
        <v>0.1342994014827612</v>
      </c>
      <c r="C124">
        <v>8</v>
      </c>
      <c r="D124">
        <v>39747</v>
      </c>
      <c r="E124">
        <v>0</v>
      </c>
      <c r="F124">
        <v>0</v>
      </c>
      <c r="G124">
        <v>70.112179487179489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54.370695676520697</v>
      </c>
      <c r="AO124">
        <v>11.361572638114858</v>
      </c>
      <c r="AP124">
        <v>47.042015144238817</v>
      </c>
      <c r="AQ124">
        <v>72.757167415482215</v>
      </c>
      <c r="AR124">
        <v>10.698963016625896</v>
      </c>
      <c r="AS124">
        <v>56.278455908546796</v>
      </c>
      <c r="AT124">
        <v>6.5361090190603663</v>
      </c>
      <c r="AU124">
        <v>12.927243368463493</v>
      </c>
      <c r="AV124"/>
      <c r="AW124"/>
      <c r="AX124" s="146"/>
      <c r="AY124" s="76">
        <f t="shared" ca="1" si="88"/>
        <v>0.83994851667242365</v>
      </c>
      <c r="AZ124">
        <v>7</v>
      </c>
      <c r="BA124" s="129">
        <f t="shared" si="131"/>
        <v>39747</v>
      </c>
      <c r="BB124" s="207">
        <v>0</v>
      </c>
      <c r="BC124" s="207">
        <v>0</v>
      </c>
      <c r="BD124" s="207">
        <v>0</v>
      </c>
      <c r="BE124" s="207">
        <v>0</v>
      </c>
      <c r="BF124" s="207">
        <v>0</v>
      </c>
      <c r="BG124" s="207">
        <v>0</v>
      </c>
      <c r="BH124" s="207">
        <v>0</v>
      </c>
      <c r="BI124" s="207">
        <v>0</v>
      </c>
      <c r="BJ124" s="207">
        <v>0</v>
      </c>
      <c r="BK124" s="207">
        <v>0</v>
      </c>
      <c r="BL124" s="207">
        <v>0</v>
      </c>
      <c r="BM124" s="207">
        <v>0</v>
      </c>
      <c r="BN124" s="207">
        <v>0</v>
      </c>
      <c r="BO124" s="207">
        <v>0</v>
      </c>
      <c r="BP124" s="207">
        <v>0</v>
      </c>
      <c r="BQ124" s="207">
        <v>0</v>
      </c>
      <c r="BR124" s="207">
        <v>0</v>
      </c>
      <c r="BS124" s="207">
        <v>0</v>
      </c>
      <c r="BT124" s="207">
        <v>0</v>
      </c>
      <c r="BU124" s="207">
        <v>0</v>
      </c>
      <c r="BV124" s="207">
        <v>0</v>
      </c>
      <c r="BW124" s="207">
        <v>0</v>
      </c>
      <c r="BX124" s="207">
        <v>0</v>
      </c>
      <c r="BY124" s="207">
        <v>0</v>
      </c>
      <c r="BZ124" s="207">
        <v>0</v>
      </c>
      <c r="CA124" s="207">
        <v>0</v>
      </c>
      <c r="CB124" s="207">
        <v>0</v>
      </c>
      <c r="CC124" s="207">
        <v>0</v>
      </c>
      <c r="CD124" s="207">
        <v>0</v>
      </c>
      <c r="CE124" s="207">
        <v>0</v>
      </c>
      <c r="CF124" s="207">
        <v>0</v>
      </c>
      <c r="CG124" s="147"/>
      <c r="CH124" s="176"/>
      <c r="CJ124" s="146"/>
      <c r="CK124" s="76">
        <f t="shared" ca="1" si="90"/>
        <v>0.120637133707723</v>
      </c>
      <c r="CL124" s="179">
        <f t="shared" si="91"/>
        <v>7</v>
      </c>
      <c r="CM124" s="180">
        <f t="shared" si="92"/>
        <v>39747</v>
      </c>
      <c r="CN124" s="208">
        <v>0</v>
      </c>
      <c r="CO124" s="208">
        <v>0</v>
      </c>
      <c r="CP124" s="208">
        <v>1</v>
      </c>
      <c r="CQ124" s="208">
        <v>0</v>
      </c>
      <c r="CR124" s="208">
        <v>0</v>
      </c>
      <c r="CS124" s="208">
        <v>0</v>
      </c>
      <c r="CT124" s="208">
        <v>0</v>
      </c>
      <c r="CU124" s="208">
        <v>0</v>
      </c>
      <c r="CV124" s="160"/>
      <c r="CW124" s="178">
        <v>1</v>
      </c>
      <c r="CX124">
        <f>350/49</f>
        <v>7.1428571428571432</v>
      </c>
      <c r="CY124" s="164"/>
      <c r="CZ124" s="177">
        <f t="shared" si="93"/>
        <v>9.6000000000000002E-2</v>
      </c>
      <c r="DB124" s="146"/>
      <c r="DC124" s="76">
        <f t="shared" ca="1" si="51"/>
        <v>0.78264010790396932</v>
      </c>
      <c r="DD124">
        <f t="shared" si="94"/>
        <v>7</v>
      </c>
      <c r="DE124" s="129">
        <f t="shared" si="130"/>
        <v>39747</v>
      </c>
      <c r="DF124" s="161">
        <f t="shared" si="95"/>
        <v>0</v>
      </c>
      <c r="DG124" s="161">
        <f t="shared" si="96"/>
        <v>0</v>
      </c>
      <c r="DH124" s="161">
        <f t="shared" si="97"/>
        <v>74.404761904761912</v>
      </c>
      <c r="DI124" s="161">
        <f t="shared" si="98"/>
        <v>0</v>
      </c>
      <c r="DJ124" s="161">
        <f t="shared" si="99"/>
        <v>0</v>
      </c>
      <c r="DK124" s="161">
        <f t="shared" si="100"/>
        <v>0</v>
      </c>
      <c r="DL124" s="161">
        <f t="shared" si="101"/>
        <v>0</v>
      </c>
      <c r="DM124" s="161">
        <f t="shared" si="102"/>
        <v>0</v>
      </c>
      <c r="DN124" s="161">
        <f t="shared" si="103"/>
        <v>0</v>
      </c>
      <c r="DO124" s="161">
        <f t="shared" si="104"/>
        <v>0</v>
      </c>
      <c r="DP124" s="161">
        <f t="shared" si="105"/>
        <v>0</v>
      </c>
      <c r="DQ124" s="161">
        <f t="shared" si="106"/>
        <v>0</v>
      </c>
      <c r="DR124" s="161">
        <f t="shared" si="107"/>
        <v>0</v>
      </c>
      <c r="DS124" s="161">
        <f t="shared" si="108"/>
        <v>0</v>
      </c>
      <c r="DT124" s="161">
        <f t="shared" si="109"/>
        <v>0</v>
      </c>
      <c r="DU124" s="161">
        <f t="shared" si="110"/>
        <v>0</v>
      </c>
      <c r="DV124" s="161">
        <f t="shared" si="111"/>
        <v>0</v>
      </c>
      <c r="DW124" s="161">
        <f t="shared" si="112"/>
        <v>0</v>
      </c>
      <c r="DX124" s="161">
        <f t="shared" si="113"/>
        <v>0</v>
      </c>
      <c r="DY124" s="161">
        <f t="shared" si="114"/>
        <v>0</v>
      </c>
      <c r="DZ124" s="161">
        <f t="shared" si="115"/>
        <v>0</v>
      </c>
      <c r="EA124" s="161">
        <f t="shared" si="116"/>
        <v>0</v>
      </c>
      <c r="EB124" s="161">
        <f t="shared" si="117"/>
        <v>0</v>
      </c>
      <c r="EC124" s="161">
        <f t="shared" si="118"/>
        <v>0</v>
      </c>
      <c r="ED124" s="161">
        <f t="shared" si="119"/>
        <v>0</v>
      </c>
      <c r="EE124" s="161">
        <f t="shared" si="120"/>
        <v>0</v>
      </c>
      <c r="EF124" s="161">
        <f t="shared" si="121"/>
        <v>0</v>
      </c>
      <c r="EG124" s="161">
        <f t="shared" si="122"/>
        <v>0</v>
      </c>
      <c r="EH124" s="161">
        <f t="shared" si="123"/>
        <v>0</v>
      </c>
      <c r="EI124" s="161">
        <f t="shared" si="124"/>
        <v>0</v>
      </c>
      <c r="EJ124" s="161">
        <f t="shared" si="125"/>
        <v>0</v>
      </c>
      <c r="EK124" s="147">
        <f t="shared" si="133"/>
        <v>74.404761904761912</v>
      </c>
      <c r="EL124" s="149"/>
      <c r="EN124" s="146"/>
      <c r="EO124" s="146"/>
      <c r="EP124" s="139">
        <f t="shared" si="134"/>
        <v>0</v>
      </c>
      <c r="EQ124" s="139">
        <f t="shared" si="135"/>
        <v>0</v>
      </c>
      <c r="ER124" s="139">
        <f t="shared" si="136"/>
        <v>3.2387909529129266</v>
      </c>
      <c r="ES124" s="139">
        <f t="shared" si="137"/>
        <v>0</v>
      </c>
      <c r="ET124" s="139">
        <f t="shared" si="138"/>
        <v>0</v>
      </c>
      <c r="EU124" s="139">
        <f t="shared" si="139"/>
        <v>0</v>
      </c>
      <c r="EV124" s="139">
        <f t="shared" si="140"/>
        <v>0</v>
      </c>
      <c r="EW124" s="139">
        <f t="shared" si="141"/>
        <v>0</v>
      </c>
      <c r="EX124" s="139">
        <f t="shared" si="142"/>
        <v>0</v>
      </c>
      <c r="EY124" s="139">
        <f t="shared" si="143"/>
        <v>0</v>
      </c>
      <c r="EZ124" s="139">
        <f t="shared" si="144"/>
        <v>0</v>
      </c>
      <c r="FA124" s="139">
        <f t="shared" si="145"/>
        <v>0</v>
      </c>
      <c r="FB124" s="139">
        <f t="shared" si="146"/>
        <v>0</v>
      </c>
      <c r="FC124" s="139">
        <f t="shared" si="147"/>
        <v>0</v>
      </c>
      <c r="FD124" s="139">
        <f t="shared" si="148"/>
        <v>0</v>
      </c>
      <c r="FE124" s="139">
        <f t="shared" si="149"/>
        <v>0</v>
      </c>
      <c r="FF124" s="139">
        <f t="shared" si="150"/>
        <v>0</v>
      </c>
      <c r="FG124" s="139">
        <f t="shared" si="151"/>
        <v>0</v>
      </c>
      <c r="FH124" s="139">
        <f t="shared" si="152"/>
        <v>0</v>
      </c>
      <c r="FI124" s="139">
        <f t="shared" si="153"/>
        <v>0</v>
      </c>
      <c r="FJ124" s="139">
        <f t="shared" si="154"/>
        <v>0</v>
      </c>
      <c r="FK124" s="139">
        <f t="shared" si="155"/>
        <v>0</v>
      </c>
      <c r="FL124" s="139">
        <f t="shared" si="156"/>
        <v>0</v>
      </c>
      <c r="FM124" s="139">
        <f t="shared" si="157"/>
        <v>0</v>
      </c>
      <c r="FN124" s="139">
        <f t="shared" si="158"/>
        <v>0</v>
      </c>
      <c r="FO124" s="139">
        <f t="shared" si="159"/>
        <v>0</v>
      </c>
      <c r="FP124" s="139">
        <f t="shared" si="160"/>
        <v>0</v>
      </c>
      <c r="FQ124" s="139">
        <f t="shared" si="161"/>
        <v>0</v>
      </c>
      <c r="FR124" s="139">
        <f t="shared" si="162"/>
        <v>0</v>
      </c>
      <c r="FS124" s="139">
        <f t="shared" si="163"/>
        <v>0</v>
      </c>
      <c r="FT124" s="139">
        <f t="shared" si="164"/>
        <v>0</v>
      </c>
      <c r="FU124" s="148">
        <f t="shared" si="165"/>
        <v>3.2387909529129266</v>
      </c>
      <c r="FV124" s="149"/>
      <c r="FY124" s="214">
        <v>119</v>
      </c>
      <c r="FZ124">
        <v>0.6993634408492444</v>
      </c>
      <c r="GA124">
        <v>11.312482599931007</v>
      </c>
      <c r="GB124">
        <v>11.033675850739744</v>
      </c>
      <c r="GC124">
        <v>3.8361975954435072</v>
      </c>
      <c r="GD124">
        <v>0.85091899529074888</v>
      </c>
      <c r="GE124">
        <v>8.13423541493448</v>
      </c>
      <c r="GF124">
        <v>20.661962352866936</v>
      </c>
      <c r="GG124">
        <v>14.164626200037116</v>
      </c>
      <c r="GH124">
        <v>11.750077028842911</v>
      </c>
      <c r="GI124">
        <v>9.2483425863634938</v>
      </c>
      <c r="GJ124"/>
      <c r="GK124"/>
      <c r="GL124"/>
      <c r="GM124"/>
    </row>
    <row r="125" spans="1:195" s="7" customFormat="1">
      <c r="A125" s="1"/>
      <c r="B125" s="76">
        <f t="shared" ca="1" si="132"/>
        <v>0.50755359139141398</v>
      </c>
      <c r="C125">
        <v>6</v>
      </c>
      <c r="D125">
        <v>39747</v>
      </c>
      <c r="E125">
        <v>0</v>
      </c>
      <c r="F125">
        <v>130.20833333333334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90.209452094920834</v>
      </c>
      <c r="AO125">
        <v>19.58699095872565</v>
      </c>
      <c r="AP125">
        <v>120.35224817583239</v>
      </c>
      <c r="AQ125">
        <v>104.44919129965665</v>
      </c>
      <c r="AR125">
        <v>17.997107292325733</v>
      </c>
      <c r="AS125">
        <v>91.680950083400589</v>
      </c>
      <c r="AT125">
        <v>9.8313479811166768</v>
      </c>
      <c r="AU125">
        <v>35.256273382652644</v>
      </c>
      <c r="AV125"/>
      <c r="AW125"/>
      <c r="AX125" s="146"/>
      <c r="AY125" s="76">
        <f t="shared" ca="1" si="88"/>
        <v>0.550100990230175</v>
      </c>
      <c r="AZ125">
        <v>8</v>
      </c>
      <c r="BA125" s="129">
        <f t="shared" si="131"/>
        <v>39747</v>
      </c>
      <c r="BB125" s="207">
        <v>0</v>
      </c>
      <c r="BC125" s="207">
        <v>0</v>
      </c>
      <c r="BD125" s="207">
        <v>0</v>
      </c>
      <c r="BE125" s="207">
        <v>0</v>
      </c>
      <c r="BF125" s="207">
        <v>0</v>
      </c>
      <c r="BG125" s="207">
        <v>0</v>
      </c>
      <c r="BH125" s="207">
        <v>0</v>
      </c>
      <c r="BI125" s="207">
        <v>0</v>
      </c>
      <c r="BJ125" s="207">
        <v>0</v>
      </c>
      <c r="BK125" s="207">
        <v>0</v>
      </c>
      <c r="BL125" s="207">
        <v>0</v>
      </c>
      <c r="BM125" s="207">
        <v>0</v>
      </c>
      <c r="BN125" s="207">
        <v>0</v>
      </c>
      <c r="BO125" s="207">
        <v>0</v>
      </c>
      <c r="BP125" s="207">
        <v>0</v>
      </c>
      <c r="BQ125" s="207">
        <v>0</v>
      </c>
      <c r="BR125" s="207">
        <v>0</v>
      </c>
      <c r="BS125" s="207">
        <v>0</v>
      </c>
      <c r="BT125" s="207">
        <v>0</v>
      </c>
      <c r="BU125" s="207">
        <v>0</v>
      </c>
      <c r="BV125" s="207">
        <v>0</v>
      </c>
      <c r="BW125" s="207">
        <v>0</v>
      </c>
      <c r="BX125" s="207">
        <v>0</v>
      </c>
      <c r="BY125" s="207">
        <v>0</v>
      </c>
      <c r="BZ125" s="207">
        <v>0</v>
      </c>
      <c r="CA125" s="207">
        <v>0</v>
      </c>
      <c r="CB125" s="207">
        <v>0</v>
      </c>
      <c r="CC125" s="207">
        <v>0</v>
      </c>
      <c r="CD125" s="207">
        <v>0</v>
      </c>
      <c r="CE125" s="207">
        <v>0</v>
      </c>
      <c r="CF125" s="207">
        <v>0</v>
      </c>
      <c r="CG125" s="147"/>
      <c r="CH125" s="176"/>
      <c r="CJ125" s="146"/>
      <c r="CK125" s="76">
        <f t="shared" ca="1" si="90"/>
        <v>0.25902233957921883</v>
      </c>
      <c r="CL125" s="179">
        <f t="shared" si="91"/>
        <v>8</v>
      </c>
      <c r="CM125" s="180">
        <f t="shared" si="92"/>
        <v>39747</v>
      </c>
      <c r="CN125" s="208">
        <v>0</v>
      </c>
      <c r="CO125" s="208">
        <v>0</v>
      </c>
      <c r="CP125" s="208">
        <v>1</v>
      </c>
      <c r="CQ125" s="208">
        <v>0</v>
      </c>
      <c r="CR125" s="208">
        <v>0</v>
      </c>
      <c r="CS125" s="208">
        <v>0</v>
      </c>
      <c r="CT125" s="208">
        <v>0</v>
      </c>
      <c r="CU125" s="208">
        <v>0</v>
      </c>
      <c r="CV125" s="160"/>
      <c r="CW125" s="178">
        <v>1</v>
      </c>
      <c r="CX125">
        <f>350/52</f>
        <v>6.7307692307692308</v>
      </c>
      <c r="CY125" s="164"/>
      <c r="CZ125" s="177">
        <f t="shared" si="93"/>
        <v>9.6000000000000002E-2</v>
      </c>
      <c r="DB125" s="146"/>
      <c r="DC125" s="76">
        <f t="shared" ca="1" si="51"/>
        <v>0.5387368481844188</v>
      </c>
      <c r="DD125">
        <f t="shared" si="94"/>
        <v>8</v>
      </c>
      <c r="DE125" s="129">
        <f t="shared" si="130"/>
        <v>39747</v>
      </c>
      <c r="DF125" s="161">
        <f t="shared" si="95"/>
        <v>0</v>
      </c>
      <c r="DG125" s="161">
        <f t="shared" si="96"/>
        <v>0</v>
      </c>
      <c r="DH125" s="161">
        <f t="shared" si="97"/>
        <v>70.112179487179489</v>
      </c>
      <c r="DI125" s="161">
        <f t="shared" si="98"/>
        <v>0</v>
      </c>
      <c r="DJ125" s="161">
        <f t="shared" si="99"/>
        <v>0</v>
      </c>
      <c r="DK125" s="161">
        <f t="shared" si="100"/>
        <v>0</v>
      </c>
      <c r="DL125" s="161">
        <f t="shared" si="101"/>
        <v>0</v>
      </c>
      <c r="DM125" s="161">
        <f t="shared" si="102"/>
        <v>0</v>
      </c>
      <c r="DN125" s="161">
        <f t="shared" si="103"/>
        <v>0</v>
      </c>
      <c r="DO125" s="161">
        <f t="shared" si="104"/>
        <v>0</v>
      </c>
      <c r="DP125" s="161">
        <f t="shared" si="105"/>
        <v>0</v>
      </c>
      <c r="DQ125" s="161">
        <f t="shared" si="106"/>
        <v>0</v>
      </c>
      <c r="DR125" s="161">
        <f t="shared" si="107"/>
        <v>0</v>
      </c>
      <c r="DS125" s="161">
        <f t="shared" si="108"/>
        <v>0</v>
      </c>
      <c r="DT125" s="161">
        <f t="shared" si="109"/>
        <v>0</v>
      </c>
      <c r="DU125" s="161">
        <f t="shared" si="110"/>
        <v>0</v>
      </c>
      <c r="DV125" s="161">
        <f t="shared" si="111"/>
        <v>0</v>
      </c>
      <c r="DW125" s="161">
        <f t="shared" si="112"/>
        <v>0</v>
      </c>
      <c r="DX125" s="161">
        <f t="shared" si="113"/>
        <v>0</v>
      </c>
      <c r="DY125" s="161">
        <f t="shared" si="114"/>
        <v>0</v>
      </c>
      <c r="DZ125" s="161">
        <f t="shared" si="115"/>
        <v>0</v>
      </c>
      <c r="EA125" s="161">
        <f t="shared" si="116"/>
        <v>0</v>
      </c>
      <c r="EB125" s="161">
        <f t="shared" si="117"/>
        <v>0</v>
      </c>
      <c r="EC125" s="161">
        <f t="shared" si="118"/>
        <v>0</v>
      </c>
      <c r="ED125" s="161">
        <f t="shared" si="119"/>
        <v>0</v>
      </c>
      <c r="EE125" s="161">
        <f t="shared" si="120"/>
        <v>0</v>
      </c>
      <c r="EF125" s="161">
        <f t="shared" si="121"/>
        <v>0</v>
      </c>
      <c r="EG125" s="161">
        <f t="shared" si="122"/>
        <v>0</v>
      </c>
      <c r="EH125" s="161">
        <f t="shared" si="123"/>
        <v>0</v>
      </c>
      <c r="EI125" s="161">
        <f t="shared" si="124"/>
        <v>0</v>
      </c>
      <c r="EJ125" s="161">
        <f t="shared" si="125"/>
        <v>0</v>
      </c>
      <c r="EK125" s="147">
        <f t="shared" si="133"/>
        <v>70.112179487179489</v>
      </c>
      <c r="EL125" s="149"/>
      <c r="EN125" s="146"/>
      <c r="EO125" s="146"/>
      <c r="EP125" s="139">
        <f t="shared" si="134"/>
        <v>0</v>
      </c>
      <c r="EQ125" s="139">
        <f t="shared" si="135"/>
        <v>0</v>
      </c>
      <c r="ER125" s="139">
        <f t="shared" si="136"/>
        <v>3.0519376287064115</v>
      </c>
      <c r="ES125" s="139">
        <f t="shared" si="137"/>
        <v>0</v>
      </c>
      <c r="ET125" s="139">
        <f t="shared" si="138"/>
        <v>0</v>
      </c>
      <c r="EU125" s="139">
        <f t="shared" si="139"/>
        <v>0</v>
      </c>
      <c r="EV125" s="139">
        <f t="shared" si="140"/>
        <v>0</v>
      </c>
      <c r="EW125" s="139">
        <f t="shared" si="141"/>
        <v>0</v>
      </c>
      <c r="EX125" s="139">
        <f t="shared" si="142"/>
        <v>0</v>
      </c>
      <c r="EY125" s="139">
        <f t="shared" si="143"/>
        <v>0</v>
      </c>
      <c r="EZ125" s="139">
        <f t="shared" si="144"/>
        <v>0</v>
      </c>
      <c r="FA125" s="139">
        <f t="shared" si="145"/>
        <v>0</v>
      </c>
      <c r="FB125" s="139">
        <f t="shared" si="146"/>
        <v>0</v>
      </c>
      <c r="FC125" s="139">
        <f t="shared" si="147"/>
        <v>0</v>
      </c>
      <c r="FD125" s="139">
        <f t="shared" si="148"/>
        <v>0</v>
      </c>
      <c r="FE125" s="139">
        <f t="shared" si="149"/>
        <v>0</v>
      </c>
      <c r="FF125" s="139">
        <f t="shared" si="150"/>
        <v>0</v>
      </c>
      <c r="FG125" s="139">
        <f t="shared" si="151"/>
        <v>0</v>
      </c>
      <c r="FH125" s="139">
        <f t="shared" si="152"/>
        <v>0</v>
      </c>
      <c r="FI125" s="139">
        <f t="shared" si="153"/>
        <v>0</v>
      </c>
      <c r="FJ125" s="139">
        <f t="shared" si="154"/>
        <v>0</v>
      </c>
      <c r="FK125" s="139">
        <f t="shared" si="155"/>
        <v>0</v>
      </c>
      <c r="FL125" s="139">
        <f t="shared" si="156"/>
        <v>0</v>
      </c>
      <c r="FM125" s="139">
        <f t="shared" si="157"/>
        <v>0</v>
      </c>
      <c r="FN125" s="139">
        <f t="shared" si="158"/>
        <v>0</v>
      </c>
      <c r="FO125" s="139">
        <f t="shared" si="159"/>
        <v>0</v>
      </c>
      <c r="FP125" s="139">
        <f t="shared" si="160"/>
        <v>0</v>
      </c>
      <c r="FQ125" s="139">
        <f t="shared" si="161"/>
        <v>0</v>
      </c>
      <c r="FR125" s="139">
        <f t="shared" si="162"/>
        <v>0</v>
      </c>
      <c r="FS125" s="139">
        <f t="shared" si="163"/>
        <v>0</v>
      </c>
      <c r="FT125" s="139">
        <f t="shared" si="164"/>
        <v>0</v>
      </c>
      <c r="FU125" s="148">
        <f t="shared" si="165"/>
        <v>3.0519376287064115</v>
      </c>
      <c r="FV125" s="149"/>
      <c r="FY125" s="214">
        <v>120</v>
      </c>
      <c r="FZ125">
        <v>0.75419330042390809</v>
      </c>
      <c r="GA125">
        <v>18.789565864744322</v>
      </c>
      <c r="GB125">
        <v>16.869620749480678</v>
      </c>
      <c r="GC125">
        <v>5.1932596095392256</v>
      </c>
      <c r="GD125">
        <v>9.3588107695529317</v>
      </c>
      <c r="GE125">
        <v>26.554081779445585</v>
      </c>
      <c r="GF125">
        <v>21.168021093766921</v>
      </c>
      <c r="GG125">
        <v>6.0690030636775969</v>
      </c>
      <c r="GH125">
        <v>0.16749665256656238</v>
      </c>
      <c r="GI125">
        <v>14.103609225660845</v>
      </c>
      <c r="GJ125"/>
      <c r="GK125"/>
      <c r="GL125"/>
      <c r="GM125"/>
    </row>
    <row r="126" spans="1:195" s="7" customFormat="1">
      <c r="A126" s="1"/>
      <c r="B126" s="76">
        <f t="shared" ca="1" si="132"/>
        <v>8.7502316425657867E-2</v>
      </c>
      <c r="C126">
        <v>2</v>
      </c>
      <c r="D126">
        <v>39747</v>
      </c>
      <c r="E126">
        <v>0</v>
      </c>
      <c r="F126">
        <v>0</v>
      </c>
      <c r="G126">
        <v>91.145833333333329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59.376577501225498</v>
      </c>
      <c r="AO126">
        <v>9.0585027485477756</v>
      </c>
      <c r="AP126">
        <v>30.313367225430696</v>
      </c>
      <c r="AQ126">
        <v>63.926834585637565</v>
      </c>
      <c r="AR126">
        <v>8.5920876552088394</v>
      </c>
      <c r="AS126">
        <v>53.130049203792467</v>
      </c>
      <c r="AT126" t="e">
        <v>#DIV/0!</v>
      </c>
      <c r="AU126" t="e">
        <v>#DIV/0!</v>
      </c>
      <c r="AV126"/>
      <c r="AW126"/>
      <c r="AX126" s="146"/>
      <c r="AY126" s="76">
        <f t="shared" ca="1" si="88"/>
        <v>1.8407147142891489E-2</v>
      </c>
      <c r="AZ126">
        <v>9</v>
      </c>
      <c r="BA126" s="129">
        <f t="shared" si="131"/>
        <v>39747</v>
      </c>
      <c r="BB126" s="207">
        <v>0</v>
      </c>
      <c r="BC126" s="207">
        <v>0</v>
      </c>
      <c r="BD126" s="207">
        <v>0</v>
      </c>
      <c r="BE126" s="207">
        <v>0</v>
      </c>
      <c r="BF126" s="207">
        <v>0</v>
      </c>
      <c r="BG126" s="207">
        <v>0</v>
      </c>
      <c r="BH126" s="207">
        <v>0</v>
      </c>
      <c r="BI126" s="207">
        <v>0</v>
      </c>
      <c r="BJ126" s="207">
        <v>0</v>
      </c>
      <c r="BK126" s="207">
        <v>0</v>
      </c>
      <c r="BL126" s="207">
        <v>0</v>
      </c>
      <c r="BM126" s="207">
        <v>0</v>
      </c>
      <c r="BN126" s="207">
        <v>0</v>
      </c>
      <c r="BO126" s="207">
        <v>0</v>
      </c>
      <c r="BP126" s="207">
        <v>0</v>
      </c>
      <c r="BQ126" s="207">
        <v>0</v>
      </c>
      <c r="BR126" s="207">
        <v>0</v>
      </c>
      <c r="BS126" s="207">
        <v>0</v>
      </c>
      <c r="BT126" s="207">
        <v>0</v>
      </c>
      <c r="BU126" s="207">
        <v>0</v>
      </c>
      <c r="BV126" s="207">
        <v>0</v>
      </c>
      <c r="BW126" s="207">
        <v>0</v>
      </c>
      <c r="BX126" s="207">
        <v>0</v>
      </c>
      <c r="BY126" s="207">
        <v>0</v>
      </c>
      <c r="BZ126" s="207">
        <v>0</v>
      </c>
      <c r="CA126" s="207">
        <v>0</v>
      </c>
      <c r="CB126" s="207">
        <v>0</v>
      </c>
      <c r="CC126" s="207">
        <v>0</v>
      </c>
      <c r="CD126" s="207">
        <v>0</v>
      </c>
      <c r="CE126" s="207">
        <v>0</v>
      </c>
      <c r="CF126" s="207">
        <v>0</v>
      </c>
      <c r="CG126" s="147"/>
      <c r="CH126" s="176"/>
      <c r="CJ126" s="146"/>
      <c r="CK126" s="76">
        <f t="shared" ca="1" si="90"/>
        <v>0.86243984932829232</v>
      </c>
      <c r="CL126" s="179">
        <f t="shared" si="91"/>
        <v>9</v>
      </c>
      <c r="CM126" s="180">
        <f t="shared" si="92"/>
        <v>39747</v>
      </c>
      <c r="CN126" s="208">
        <v>0</v>
      </c>
      <c r="CO126" s="208">
        <v>0</v>
      </c>
      <c r="CP126" s="208">
        <v>1</v>
      </c>
      <c r="CQ126" s="208">
        <v>0</v>
      </c>
      <c r="CR126" s="208">
        <v>0</v>
      </c>
      <c r="CS126" s="208">
        <v>0</v>
      </c>
      <c r="CT126" s="208">
        <v>0</v>
      </c>
      <c r="CU126" s="208">
        <v>0</v>
      </c>
      <c r="CV126" s="160"/>
      <c r="CW126" s="178">
        <v>1</v>
      </c>
      <c r="CX126">
        <f>350/41</f>
        <v>8.536585365853659</v>
      </c>
      <c r="CY126" s="164"/>
      <c r="CZ126" s="177">
        <f t="shared" si="93"/>
        <v>9.6000000000000002E-2</v>
      </c>
      <c r="DB126" s="146"/>
      <c r="DC126" s="76">
        <f t="shared" ca="1" si="51"/>
        <v>0.12072172404832315</v>
      </c>
      <c r="DD126">
        <f t="shared" si="94"/>
        <v>9</v>
      </c>
      <c r="DE126" s="129">
        <f t="shared" si="130"/>
        <v>39747</v>
      </c>
      <c r="DF126" s="161">
        <f t="shared" si="95"/>
        <v>0</v>
      </c>
      <c r="DG126" s="161">
        <f t="shared" si="96"/>
        <v>0</v>
      </c>
      <c r="DH126" s="161">
        <f t="shared" si="97"/>
        <v>88.922764227642276</v>
      </c>
      <c r="DI126" s="161">
        <f t="shared" si="98"/>
        <v>0</v>
      </c>
      <c r="DJ126" s="161">
        <f t="shared" si="99"/>
        <v>0</v>
      </c>
      <c r="DK126" s="161">
        <f t="shared" si="100"/>
        <v>0</v>
      </c>
      <c r="DL126" s="161">
        <f t="shared" si="101"/>
        <v>0</v>
      </c>
      <c r="DM126" s="161">
        <f t="shared" si="102"/>
        <v>0</v>
      </c>
      <c r="DN126" s="161">
        <f t="shared" si="103"/>
        <v>0</v>
      </c>
      <c r="DO126" s="161">
        <f t="shared" si="104"/>
        <v>0</v>
      </c>
      <c r="DP126" s="161">
        <f t="shared" si="105"/>
        <v>0</v>
      </c>
      <c r="DQ126" s="161">
        <f t="shared" si="106"/>
        <v>0</v>
      </c>
      <c r="DR126" s="161">
        <f t="shared" si="107"/>
        <v>0</v>
      </c>
      <c r="DS126" s="161">
        <f t="shared" si="108"/>
        <v>0</v>
      </c>
      <c r="DT126" s="161">
        <f t="shared" si="109"/>
        <v>0</v>
      </c>
      <c r="DU126" s="161">
        <f t="shared" si="110"/>
        <v>0</v>
      </c>
      <c r="DV126" s="161">
        <f t="shared" si="111"/>
        <v>0</v>
      </c>
      <c r="DW126" s="161">
        <f t="shared" si="112"/>
        <v>0</v>
      </c>
      <c r="DX126" s="161">
        <f t="shared" si="113"/>
        <v>0</v>
      </c>
      <c r="DY126" s="161">
        <f t="shared" si="114"/>
        <v>0</v>
      </c>
      <c r="DZ126" s="161">
        <f t="shared" si="115"/>
        <v>0</v>
      </c>
      <c r="EA126" s="161">
        <f t="shared" si="116"/>
        <v>0</v>
      </c>
      <c r="EB126" s="161">
        <f t="shared" si="117"/>
        <v>0</v>
      </c>
      <c r="EC126" s="161">
        <f t="shared" si="118"/>
        <v>0</v>
      </c>
      <c r="ED126" s="161">
        <f t="shared" si="119"/>
        <v>0</v>
      </c>
      <c r="EE126" s="161">
        <f t="shared" si="120"/>
        <v>0</v>
      </c>
      <c r="EF126" s="161">
        <f t="shared" si="121"/>
        <v>0</v>
      </c>
      <c r="EG126" s="161">
        <f t="shared" si="122"/>
        <v>0</v>
      </c>
      <c r="EH126" s="161">
        <f t="shared" si="123"/>
        <v>0</v>
      </c>
      <c r="EI126" s="161">
        <f t="shared" si="124"/>
        <v>0</v>
      </c>
      <c r="EJ126" s="161">
        <f t="shared" si="125"/>
        <v>0</v>
      </c>
      <c r="EK126" s="147">
        <f t="shared" si="133"/>
        <v>88.922764227642276</v>
      </c>
      <c r="EL126" s="149"/>
      <c r="EN126" s="146"/>
      <c r="EO126" s="146"/>
      <c r="EP126" s="139">
        <f t="shared" si="134"/>
        <v>0</v>
      </c>
      <c r="EQ126" s="139">
        <f t="shared" si="135"/>
        <v>0</v>
      </c>
      <c r="ER126" s="139">
        <f t="shared" si="136"/>
        <v>3.8707501632373997</v>
      </c>
      <c r="ES126" s="139">
        <f t="shared" si="137"/>
        <v>0</v>
      </c>
      <c r="ET126" s="139">
        <f t="shared" si="138"/>
        <v>0</v>
      </c>
      <c r="EU126" s="139">
        <f t="shared" si="139"/>
        <v>0</v>
      </c>
      <c r="EV126" s="139">
        <f t="shared" si="140"/>
        <v>0</v>
      </c>
      <c r="EW126" s="139">
        <f t="shared" si="141"/>
        <v>0</v>
      </c>
      <c r="EX126" s="139">
        <f t="shared" si="142"/>
        <v>0</v>
      </c>
      <c r="EY126" s="139">
        <f t="shared" si="143"/>
        <v>0</v>
      </c>
      <c r="EZ126" s="139">
        <f t="shared" si="144"/>
        <v>0</v>
      </c>
      <c r="FA126" s="139">
        <f t="shared" si="145"/>
        <v>0</v>
      </c>
      <c r="FB126" s="139">
        <f t="shared" si="146"/>
        <v>0</v>
      </c>
      <c r="FC126" s="139">
        <f t="shared" si="147"/>
        <v>0</v>
      </c>
      <c r="FD126" s="139">
        <f t="shared" si="148"/>
        <v>0</v>
      </c>
      <c r="FE126" s="139">
        <f t="shared" si="149"/>
        <v>0</v>
      </c>
      <c r="FF126" s="139">
        <f t="shared" si="150"/>
        <v>0</v>
      </c>
      <c r="FG126" s="139">
        <f t="shared" si="151"/>
        <v>0</v>
      </c>
      <c r="FH126" s="139">
        <f t="shared" si="152"/>
        <v>0</v>
      </c>
      <c r="FI126" s="139">
        <f t="shared" si="153"/>
        <v>0</v>
      </c>
      <c r="FJ126" s="139">
        <f t="shared" si="154"/>
        <v>0</v>
      </c>
      <c r="FK126" s="139">
        <f t="shared" si="155"/>
        <v>0</v>
      </c>
      <c r="FL126" s="139">
        <f t="shared" si="156"/>
        <v>0</v>
      </c>
      <c r="FM126" s="139">
        <f t="shared" si="157"/>
        <v>0</v>
      </c>
      <c r="FN126" s="139">
        <f t="shared" si="158"/>
        <v>0</v>
      </c>
      <c r="FO126" s="139">
        <f t="shared" si="159"/>
        <v>0</v>
      </c>
      <c r="FP126" s="139">
        <f t="shared" si="160"/>
        <v>0</v>
      </c>
      <c r="FQ126" s="139">
        <f t="shared" si="161"/>
        <v>0</v>
      </c>
      <c r="FR126" s="139">
        <f t="shared" si="162"/>
        <v>0</v>
      </c>
      <c r="FS126" s="139">
        <f t="shared" si="163"/>
        <v>0</v>
      </c>
      <c r="FT126" s="139">
        <f t="shared" si="164"/>
        <v>0</v>
      </c>
      <c r="FU126" s="148">
        <f t="shared" si="165"/>
        <v>3.8707501632373997</v>
      </c>
      <c r="FV126" s="149"/>
      <c r="FY126" s="214">
        <v>121</v>
      </c>
      <c r="FZ126">
        <v>1.2734354019142018</v>
      </c>
      <c r="GA126">
        <v>24.701852250785365</v>
      </c>
      <c r="GB126">
        <v>19.031601006121264</v>
      </c>
      <c r="GC126">
        <v>4.7094127622900075</v>
      </c>
      <c r="GD126">
        <v>4.961645989595187</v>
      </c>
      <c r="GE126">
        <v>9.6051074398908671</v>
      </c>
      <c r="GF126">
        <v>24.463500813270127</v>
      </c>
      <c r="GG126">
        <v>22.838174262165484</v>
      </c>
      <c r="GH126">
        <v>1.1967763997980561</v>
      </c>
      <c r="GI126">
        <v>13.362160221576726</v>
      </c>
      <c r="GJ126"/>
      <c r="GK126"/>
      <c r="GL126"/>
      <c r="GM126"/>
    </row>
    <row r="127" spans="1:195" s="7" customFormat="1">
      <c r="A127" s="1"/>
      <c r="B127" s="76">
        <f t="shared" ca="1" si="132"/>
        <v>0.10505203579334843</v>
      </c>
      <c r="C127">
        <v>9</v>
      </c>
      <c r="D127">
        <v>39747</v>
      </c>
      <c r="E127">
        <v>0</v>
      </c>
      <c r="F127">
        <v>0</v>
      </c>
      <c r="G127">
        <v>88.922764227642276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64.819717874151152</v>
      </c>
      <c r="AO127">
        <v>14.7063870827246</v>
      </c>
      <c r="AP127">
        <v>87.440433535929458</v>
      </c>
      <c r="AQ127">
        <v>84.429737577491139</v>
      </c>
      <c r="AR127">
        <v>13.548629490589917</v>
      </c>
      <c r="AS127">
        <v>67.786166337775072</v>
      </c>
      <c r="AT127">
        <v>7.2576193463623291</v>
      </c>
      <c r="AU127">
        <v>38.567309560042439</v>
      </c>
      <c r="AV127"/>
      <c r="AW127"/>
      <c r="AX127" s="146"/>
      <c r="AY127" s="76">
        <f t="shared" ca="1" si="88"/>
        <v>0.21678006198361022</v>
      </c>
      <c r="AZ127">
        <v>10</v>
      </c>
      <c r="BA127" s="129">
        <f t="shared" si="131"/>
        <v>39747</v>
      </c>
      <c r="BB127" s="207">
        <v>0</v>
      </c>
      <c r="BC127" s="207">
        <v>0</v>
      </c>
      <c r="BD127" s="207">
        <v>0</v>
      </c>
      <c r="BE127" s="207">
        <v>0</v>
      </c>
      <c r="BF127" s="207">
        <v>0</v>
      </c>
      <c r="BG127" s="207">
        <v>0</v>
      </c>
      <c r="BH127" s="207">
        <v>0</v>
      </c>
      <c r="BI127" s="207">
        <v>0</v>
      </c>
      <c r="BJ127" s="207">
        <v>0</v>
      </c>
      <c r="BK127" s="207">
        <v>0</v>
      </c>
      <c r="BL127" s="207">
        <v>0</v>
      </c>
      <c r="BM127" s="207">
        <v>0</v>
      </c>
      <c r="BN127" s="207">
        <v>0</v>
      </c>
      <c r="BO127" s="207">
        <v>0</v>
      </c>
      <c r="BP127" s="207">
        <v>0</v>
      </c>
      <c r="BQ127" s="207">
        <v>0</v>
      </c>
      <c r="BR127" s="207">
        <v>0</v>
      </c>
      <c r="BS127" s="207">
        <v>0</v>
      </c>
      <c r="BT127" s="207">
        <v>0</v>
      </c>
      <c r="BU127" s="207">
        <v>0</v>
      </c>
      <c r="BV127" s="207">
        <v>0</v>
      </c>
      <c r="BW127" s="207">
        <v>0</v>
      </c>
      <c r="BX127" s="207">
        <v>0</v>
      </c>
      <c r="BY127" s="207">
        <v>0</v>
      </c>
      <c r="BZ127" s="207">
        <v>0</v>
      </c>
      <c r="CA127" s="207">
        <v>0</v>
      </c>
      <c r="CB127" s="207">
        <v>0</v>
      </c>
      <c r="CC127" s="207">
        <v>0</v>
      </c>
      <c r="CD127" s="207">
        <v>0</v>
      </c>
      <c r="CE127" s="207">
        <v>0</v>
      </c>
      <c r="CF127" s="207">
        <v>0</v>
      </c>
      <c r="CG127" s="147"/>
      <c r="CH127" s="176"/>
      <c r="CJ127" s="146"/>
      <c r="CK127" s="76">
        <f t="shared" ca="1" si="90"/>
        <v>0.37402938251657236</v>
      </c>
      <c r="CL127" s="179">
        <f t="shared" si="91"/>
        <v>10</v>
      </c>
      <c r="CM127" s="180">
        <f t="shared" si="92"/>
        <v>39747</v>
      </c>
      <c r="CN127" s="208">
        <v>0</v>
      </c>
      <c r="CO127" s="208">
        <v>0</v>
      </c>
      <c r="CP127" s="208">
        <v>0</v>
      </c>
      <c r="CQ127" s="208">
        <v>0</v>
      </c>
      <c r="CR127" s="208">
        <v>0</v>
      </c>
      <c r="CS127" s="208">
        <v>0</v>
      </c>
      <c r="CT127" s="208">
        <v>0</v>
      </c>
      <c r="CU127" s="208">
        <v>0</v>
      </c>
      <c r="CV127" s="160"/>
      <c r="CW127" s="178">
        <v>1</v>
      </c>
      <c r="CX127">
        <f>350/56</f>
        <v>6.25</v>
      </c>
      <c r="CY127" s="164"/>
      <c r="CZ127" s="177">
        <f t="shared" si="93"/>
        <v>9.6000000000000002E-2</v>
      </c>
      <c r="DB127" s="146"/>
      <c r="DC127" s="76">
        <f t="shared" ca="1" si="51"/>
        <v>0.57622292138458597</v>
      </c>
      <c r="DD127">
        <f t="shared" si="94"/>
        <v>10</v>
      </c>
      <c r="DE127" s="129">
        <f t="shared" si="130"/>
        <v>39747</v>
      </c>
      <c r="DF127" s="161">
        <f t="shared" si="95"/>
        <v>0</v>
      </c>
      <c r="DG127" s="161">
        <f t="shared" si="96"/>
        <v>0</v>
      </c>
      <c r="DH127" s="161">
        <f t="shared" si="97"/>
        <v>0</v>
      </c>
      <c r="DI127" s="161">
        <f t="shared" si="98"/>
        <v>0</v>
      </c>
      <c r="DJ127" s="161">
        <f t="shared" si="99"/>
        <v>0</v>
      </c>
      <c r="DK127" s="161">
        <f t="shared" si="100"/>
        <v>0</v>
      </c>
      <c r="DL127" s="161">
        <f t="shared" si="101"/>
        <v>0</v>
      </c>
      <c r="DM127" s="161">
        <f t="shared" si="102"/>
        <v>0</v>
      </c>
      <c r="DN127" s="161">
        <f t="shared" si="103"/>
        <v>0</v>
      </c>
      <c r="DO127" s="161">
        <f t="shared" si="104"/>
        <v>0</v>
      </c>
      <c r="DP127" s="161">
        <f t="shared" si="105"/>
        <v>0</v>
      </c>
      <c r="DQ127" s="161">
        <f t="shared" si="106"/>
        <v>0</v>
      </c>
      <c r="DR127" s="161">
        <f t="shared" si="107"/>
        <v>0</v>
      </c>
      <c r="DS127" s="161">
        <f t="shared" si="108"/>
        <v>0</v>
      </c>
      <c r="DT127" s="161">
        <f t="shared" si="109"/>
        <v>0</v>
      </c>
      <c r="DU127" s="161">
        <f t="shared" si="110"/>
        <v>0</v>
      </c>
      <c r="DV127" s="161">
        <f t="shared" si="111"/>
        <v>0</v>
      </c>
      <c r="DW127" s="161">
        <f t="shared" si="112"/>
        <v>0</v>
      </c>
      <c r="DX127" s="161">
        <f t="shared" si="113"/>
        <v>0</v>
      </c>
      <c r="DY127" s="161">
        <f t="shared" si="114"/>
        <v>0</v>
      </c>
      <c r="DZ127" s="161">
        <f t="shared" si="115"/>
        <v>0</v>
      </c>
      <c r="EA127" s="161">
        <f t="shared" si="116"/>
        <v>0</v>
      </c>
      <c r="EB127" s="161">
        <f t="shared" si="117"/>
        <v>0</v>
      </c>
      <c r="EC127" s="161">
        <f t="shared" si="118"/>
        <v>0</v>
      </c>
      <c r="ED127" s="161">
        <f t="shared" si="119"/>
        <v>0</v>
      </c>
      <c r="EE127" s="161">
        <f t="shared" si="120"/>
        <v>0</v>
      </c>
      <c r="EF127" s="161">
        <f t="shared" si="121"/>
        <v>0</v>
      </c>
      <c r="EG127" s="161">
        <f t="shared" si="122"/>
        <v>0</v>
      </c>
      <c r="EH127" s="161">
        <f t="shared" si="123"/>
        <v>0</v>
      </c>
      <c r="EI127" s="161">
        <f t="shared" si="124"/>
        <v>0</v>
      </c>
      <c r="EJ127" s="161">
        <f t="shared" si="125"/>
        <v>0</v>
      </c>
      <c r="EK127" s="147">
        <f t="shared" si="133"/>
        <v>0</v>
      </c>
      <c r="EL127" s="149"/>
      <c r="EN127" s="146"/>
      <c r="EO127" s="146"/>
      <c r="EP127" s="139">
        <f t="shared" si="134"/>
        <v>0</v>
      </c>
      <c r="EQ127" s="139">
        <f t="shared" si="135"/>
        <v>0</v>
      </c>
      <c r="ER127" s="139">
        <f t="shared" si="136"/>
        <v>0</v>
      </c>
      <c r="ES127" s="139">
        <f t="shared" si="137"/>
        <v>0</v>
      </c>
      <c r="ET127" s="139">
        <f t="shared" si="138"/>
        <v>0</v>
      </c>
      <c r="EU127" s="139">
        <f t="shared" si="139"/>
        <v>0</v>
      </c>
      <c r="EV127" s="139">
        <f t="shared" si="140"/>
        <v>0</v>
      </c>
      <c r="EW127" s="139">
        <f t="shared" si="141"/>
        <v>0</v>
      </c>
      <c r="EX127" s="139">
        <f t="shared" si="142"/>
        <v>0</v>
      </c>
      <c r="EY127" s="139">
        <f t="shared" si="143"/>
        <v>0</v>
      </c>
      <c r="EZ127" s="139">
        <f t="shared" si="144"/>
        <v>0</v>
      </c>
      <c r="FA127" s="139">
        <f t="shared" si="145"/>
        <v>0</v>
      </c>
      <c r="FB127" s="139">
        <f t="shared" si="146"/>
        <v>0</v>
      </c>
      <c r="FC127" s="139">
        <f t="shared" si="147"/>
        <v>0</v>
      </c>
      <c r="FD127" s="139">
        <f t="shared" si="148"/>
        <v>0</v>
      </c>
      <c r="FE127" s="139">
        <f t="shared" si="149"/>
        <v>0</v>
      </c>
      <c r="FF127" s="139">
        <f t="shared" si="150"/>
        <v>0</v>
      </c>
      <c r="FG127" s="139">
        <f t="shared" si="151"/>
        <v>0</v>
      </c>
      <c r="FH127" s="139">
        <f t="shared" si="152"/>
        <v>0</v>
      </c>
      <c r="FI127" s="139">
        <f t="shared" si="153"/>
        <v>0</v>
      </c>
      <c r="FJ127" s="139">
        <f t="shared" si="154"/>
        <v>0</v>
      </c>
      <c r="FK127" s="139">
        <f t="shared" si="155"/>
        <v>0</v>
      </c>
      <c r="FL127" s="139">
        <f t="shared" si="156"/>
        <v>0</v>
      </c>
      <c r="FM127" s="139">
        <f t="shared" si="157"/>
        <v>0</v>
      </c>
      <c r="FN127" s="139">
        <f t="shared" si="158"/>
        <v>0</v>
      </c>
      <c r="FO127" s="139">
        <f t="shared" si="159"/>
        <v>0</v>
      </c>
      <c r="FP127" s="139">
        <f t="shared" si="160"/>
        <v>0</v>
      </c>
      <c r="FQ127" s="139">
        <f t="shared" si="161"/>
        <v>0</v>
      </c>
      <c r="FR127" s="139">
        <f t="shared" si="162"/>
        <v>0</v>
      </c>
      <c r="FS127" s="139">
        <f t="shared" si="163"/>
        <v>0</v>
      </c>
      <c r="FT127" s="139">
        <f t="shared" si="164"/>
        <v>0</v>
      </c>
      <c r="FU127" s="148">
        <f t="shared" si="165"/>
        <v>0</v>
      </c>
      <c r="FV127" s="149"/>
      <c r="FY127" s="214">
        <v>122</v>
      </c>
      <c r="FZ127">
        <v>1.0662187989144598</v>
      </c>
      <c r="GA127">
        <v>4.4782534600251784</v>
      </c>
      <c r="GB127">
        <v>3.4949665983534635</v>
      </c>
      <c r="GC127">
        <v>1.8784050378385597</v>
      </c>
      <c r="GD127">
        <v>1.8628523187008743</v>
      </c>
      <c r="GE127">
        <v>5.949325814001134</v>
      </c>
      <c r="GF127">
        <v>22.478476152293418</v>
      </c>
      <c r="GG127">
        <v>15.462112412224009</v>
      </c>
      <c r="GH127">
        <v>0.25124497884984359</v>
      </c>
      <c r="GI127">
        <v>6.5394477225464112</v>
      </c>
      <c r="GJ127"/>
      <c r="GK127"/>
      <c r="GL127"/>
      <c r="GM127"/>
    </row>
    <row r="128" spans="1:195" s="7" customFormat="1">
      <c r="A128" s="128"/>
      <c r="B128" s="76">
        <f t="shared" ca="1" si="132"/>
        <v>0.3708622870526741</v>
      </c>
      <c r="C128">
        <v>2</v>
      </c>
      <c r="D128">
        <v>39775</v>
      </c>
      <c r="E128">
        <v>0</v>
      </c>
      <c r="F128">
        <v>0</v>
      </c>
      <c r="G128">
        <v>37.878787878787875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79.308112442363026</v>
      </c>
      <c r="AO128">
        <v>13.798023184832299</v>
      </c>
      <c r="AP128">
        <v>54.491052380595434</v>
      </c>
      <c r="AQ128">
        <v>89.385951528759719</v>
      </c>
      <c r="AR128">
        <v>13.079929285398686</v>
      </c>
      <c r="AS128">
        <v>73.306909589506375</v>
      </c>
      <c r="AT128">
        <v>7.8724404001531276</v>
      </c>
      <c r="AU128">
        <v>1.5011864160023383</v>
      </c>
      <c r="AV128"/>
      <c r="AW128"/>
      <c r="AX128" s="128"/>
      <c r="AY128" s="76">
        <f t="shared" ca="1" si="88"/>
        <v>0.99069685658095286</v>
      </c>
      <c r="AZ128">
        <v>1</v>
      </c>
      <c r="BA128" s="129">
        <f>IF(AZ128="", "",$C$8)</f>
        <v>39775</v>
      </c>
      <c r="BB128" s="207">
        <v>0</v>
      </c>
      <c r="BC128" s="207">
        <v>0</v>
      </c>
      <c r="BD128" s="207">
        <v>0</v>
      </c>
      <c r="BE128" s="207">
        <v>0</v>
      </c>
      <c r="BF128" s="207">
        <v>0</v>
      </c>
      <c r="BG128" s="207">
        <v>0</v>
      </c>
      <c r="BH128" s="207">
        <v>0</v>
      </c>
      <c r="BI128" s="207">
        <v>0</v>
      </c>
      <c r="BJ128" s="207">
        <v>0</v>
      </c>
      <c r="BK128" s="207">
        <v>0</v>
      </c>
      <c r="BL128" s="207">
        <v>0</v>
      </c>
      <c r="BM128" s="207">
        <v>0</v>
      </c>
      <c r="BN128" s="207">
        <v>0</v>
      </c>
      <c r="BO128" s="207">
        <v>0</v>
      </c>
      <c r="BP128" s="207">
        <v>0</v>
      </c>
      <c r="BQ128" s="207">
        <v>0</v>
      </c>
      <c r="BR128" s="207">
        <v>0</v>
      </c>
      <c r="BS128" s="207">
        <v>0</v>
      </c>
      <c r="BT128" s="207">
        <v>0</v>
      </c>
      <c r="BU128" s="207">
        <v>0</v>
      </c>
      <c r="BV128" s="207">
        <v>0</v>
      </c>
      <c r="BW128" s="207">
        <v>0</v>
      </c>
      <c r="BX128" s="207">
        <v>0</v>
      </c>
      <c r="BY128" s="207">
        <v>0</v>
      </c>
      <c r="BZ128" s="207">
        <v>0</v>
      </c>
      <c r="CA128" s="207">
        <v>0</v>
      </c>
      <c r="CB128" s="207">
        <v>0</v>
      </c>
      <c r="CC128" s="207">
        <v>0</v>
      </c>
      <c r="CD128" s="207">
        <v>0</v>
      </c>
      <c r="CE128" s="207">
        <v>0</v>
      </c>
      <c r="CF128" s="207">
        <v>0</v>
      </c>
      <c r="CG128" s="147"/>
      <c r="CH128" s="176"/>
      <c r="CJ128" s="128"/>
      <c r="CK128" s="76">
        <f t="shared" ca="1" si="90"/>
        <v>9.7694091989332321E-2</v>
      </c>
      <c r="CL128" s="179">
        <f t="shared" si="91"/>
        <v>1</v>
      </c>
      <c r="CM128" s="180">
        <f t="shared" si="92"/>
        <v>39775</v>
      </c>
      <c r="CN128" s="208">
        <v>0</v>
      </c>
      <c r="CO128" s="208">
        <v>0</v>
      </c>
      <c r="CP128" s="208">
        <v>1</v>
      </c>
      <c r="CQ128" s="208">
        <v>0</v>
      </c>
      <c r="CR128" s="208">
        <v>0</v>
      </c>
      <c r="CS128" s="208">
        <v>1</v>
      </c>
      <c r="CT128" s="208">
        <v>0</v>
      </c>
      <c r="CU128" s="208">
        <v>0</v>
      </c>
      <c r="CV128" s="160"/>
      <c r="CW128">
        <f>40/13</f>
        <v>3.0769230769230771</v>
      </c>
      <c r="CX128">
        <f>21/10</f>
        <v>2.1</v>
      </c>
      <c r="CY128" s="160"/>
      <c r="CZ128" s="177">
        <f t="shared" si="93"/>
        <v>9.6000000000000002E-2</v>
      </c>
      <c r="DB128" s="128"/>
      <c r="DC128" s="76">
        <f t="shared" ca="1" si="51"/>
        <v>0.53230223551621303</v>
      </c>
      <c r="DD128">
        <f t="shared" si="94"/>
        <v>1</v>
      </c>
      <c r="DE128" s="129">
        <f t="shared" ref="DE128:DE137" si="166">IF((DD128)="", "", $C$8)</f>
        <v>39775</v>
      </c>
      <c r="DF128" s="161">
        <f t="shared" si="95"/>
        <v>0</v>
      </c>
      <c r="DG128" s="161">
        <f t="shared" si="96"/>
        <v>0</v>
      </c>
      <c r="DH128" s="161">
        <f t="shared" si="97"/>
        <v>21.875</v>
      </c>
      <c r="DI128" s="161">
        <f t="shared" si="98"/>
        <v>0</v>
      </c>
      <c r="DJ128" s="161">
        <f t="shared" si="99"/>
        <v>0</v>
      </c>
      <c r="DK128" s="161">
        <f t="shared" si="100"/>
        <v>21.875</v>
      </c>
      <c r="DL128" s="161">
        <f t="shared" si="101"/>
        <v>0</v>
      </c>
      <c r="DM128" s="161">
        <f t="shared" si="102"/>
        <v>0</v>
      </c>
      <c r="DN128" s="161">
        <f t="shared" si="103"/>
        <v>0</v>
      </c>
      <c r="DO128" s="161">
        <f t="shared" si="104"/>
        <v>0</v>
      </c>
      <c r="DP128" s="161">
        <f t="shared" si="105"/>
        <v>0</v>
      </c>
      <c r="DQ128" s="161">
        <f t="shared" si="106"/>
        <v>0</v>
      </c>
      <c r="DR128" s="161">
        <f t="shared" si="107"/>
        <v>0</v>
      </c>
      <c r="DS128" s="161">
        <f t="shared" si="108"/>
        <v>0</v>
      </c>
      <c r="DT128" s="161">
        <f t="shared" si="109"/>
        <v>0</v>
      </c>
      <c r="DU128" s="161">
        <f t="shared" si="110"/>
        <v>0</v>
      </c>
      <c r="DV128" s="161">
        <f t="shared" si="111"/>
        <v>0</v>
      </c>
      <c r="DW128" s="161">
        <f t="shared" si="112"/>
        <v>0</v>
      </c>
      <c r="DX128" s="161">
        <f t="shared" si="113"/>
        <v>0</v>
      </c>
      <c r="DY128" s="161">
        <f t="shared" si="114"/>
        <v>0</v>
      </c>
      <c r="DZ128" s="161">
        <f t="shared" si="115"/>
        <v>0</v>
      </c>
      <c r="EA128" s="161">
        <f t="shared" si="116"/>
        <v>0</v>
      </c>
      <c r="EB128" s="161">
        <f t="shared" si="117"/>
        <v>0</v>
      </c>
      <c r="EC128" s="161">
        <f t="shared" si="118"/>
        <v>0</v>
      </c>
      <c r="ED128" s="161">
        <f t="shared" si="119"/>
        <v>0</v>
      </c>
      <c r="EE128" s="161">
        <f t="shared" si="120"/>
        <v>0</v>
      </c>
      <c r="EF128" s="161">
        <f t="shared" si="121"/>
        <v>0</v>
      </c>
      <c r="EG128" s="161">
        <f t="shared" si="122"/>
        <v>0</v>
      </c>
      <c r="EH128" s="161">
        <f t="shared" si="123"/>
        <v>0</v>
      </c>
      <c r="EI128" s="161">
        <f t="shared" si="124"/>
        <v>0</v>
      </c>
      <c r="EJ128" s="161">
        <f t="shared" si="125"/>
        <v>0</v>
      </c>
      <c r="EK128" s="147">
        <f t="shared" si="133"/>
        <v>43.75</v>
      </c>
      <c r="EL128" s="149"/>
      <c r="EN128" s="146"/>
      <c r="EO128" s="146"/>
      <c r="EP128" s="139">
        <f t="shared" si="134"/>
        <v>0</v>
      </c>
      <c r="EQ128" s="139">
        <f t="shared" si="135"/>
        <v>0</v>
      </c>
      <c r="ER128" s="139">
        <f t="shared" si="136"/>
        <v>0.95220454015640044</v>
      </c>
      <c r="ES128" s="139">
        <f t="shared" si="137"/>
        <v>0</v>
      </c>
      <c r="ET128" s="139">
        <f t="shared" si="138"/>
        <v>0</v>
      </c>
      <c r="EU128" s="139">
        <f t="shared" si="139"/>
        <v>11.076781555530914</v>
      </c>
      <c r="EV128" s="139">
        <f t="shared" si="140"/>
        <v>0</v>
      </c>
      <c r="EW128" s="139">
        <f t="shared" si="141"/>
        <v>0</v>
      </c>
      <c r="EX128" s="139">
        <f t="shared" si="142"/>
        <v>0</v>
      </c>
      <c r="EY128" s="139">
        <f t="shared" si="143"/>
        <v>0</v>
      </c>
      <c r="EZ128" s="139">
        <f t="shared" si="144"/>
        <v>0</v>
      </c>
      <c r="FA128" s="139">
        <f t="shared" si="145"/>
        <v>0</v>
      </c>
      <c r="FB128" s="139">
        <f t="shared" si="146"/>
        <v>0</v>
      </c>
      <c r="FC128" s="139">
        <f t="shared" si="147"/>
        <v>0</v>
      </c>
      <c r="FD128" s="139">
        <f t="shared" si="148"/>
        <v>0</v>
      </c>
      <c r="FE128" s="139">
        <f t="shared" si="149"/>
        <v>0</v>
      </c>
      <c r="FF128" s="139">
        <f t="shared" si="150"/>
        <v>0</v>
      </c>
      <c r="FG128" s="139">
        <f t="shared" si="151"/>
        <v>0</v>
      </c>
      <c r="FH128" s="139">
        <f t="shared" si="152"/>
        <v>0</v>
      </c>
      <c r="FI128" s="139">
        <f t="shared" si="153"/>
        <v>0</v>
      </c>
      <c r="FJ128" s="139">
        <f t="shared" si="154"/>
        <v>0</v>
      </c>
      <c r="FK128" s="139">
        <f t="shared" si="155"/>
        <v>0</v>
      </c>
      <c r="FL128" s="139">
        <f t="shared" si="156"/>
        <v>0</v>
      </c>
      <c r="FM128" s="139">
        <f t="shared" si="157"/>
        <v>0</v>
      </c>
      <c r="FN128" s="139">
        <f t="shared" si="158"/>
        <v>0</v>
      </c>
      <c r="FO128" s="139">
        <f t="shared" si="159"/>
        <v>0</v>
      </c>
      <c r="FP128" s="139">
        <f t="shared" si="160"/>
        <v>0</v>
      </c>
      <c r="FQ128" s="139">
        <f t="shared" si="161"/>
        <v>0</v>
      </c>
      <c r="FR128" s="139">
        <f t="shared" si="162"/>
        <v>0</v>
      </c>
      <c r="FS128" s="139">
        <f t="shared" si="163"/>
        <v>0</v>
      </c>
      <c r="FT128" s="139">
        <f t="shared" si="164"/>
        <v>0</v>
      </c>
      <c r="FU128" s="148">
        <f t="shared" si="165"/>
        <v>12.028986095687314</v>
      </c>
      <c r="FV128" s="149"/>
      <c r="FY128" s="214">
        <v>123</v>
      </c>
      <c r="FZ128">
        <v>0.67393449164763786</v>
      </c>
      <c r="GA128">
        <v>10.296875082291621</v>
      </c>
      <c r="GB128">
        <v>7.7091832851077839</v>
      </c>
      <c r="GC128">
        <v>2.0093611285967761</v>
      </c>
      <c r="GD128">
        <v>3.791287031923142</v>
      </c>
      <c r="GE128">
        <v>17.153698017397634</v>
      </c>
      <c r="GF128">
        <v>25.491339238803491</v>
      </c>
      <c r="GG128">
        <v>11.596058014640258</v>
      </c>
      <c r="GH128">
        <v>4.1293904744246639</v>
      </c>
      <c r="GI128">
        <v>9.9518700552668857</v>
      </c>
      <c r="GJ128"/>
      <c r="GK128"/>
      <c r="GL128"/>
      <c r="GM128"/>
    </row>
    <row r="129" spans="1:195" s="7" customFormat="1">
      <c r="A129" s="1"/>
      <c r="B129" s="76">
        <f t="shared" ca="1" si="132"/>
        <v>0.31090702426445915</v>
      </c>
      <c r="C129">
        <v>7</v>
      </c>
      <c r="D129">
        <v>39775</v>
      </c>
      <c r="E129">
        <v>0</v>
      </c>
      <c r="F129">
        <v>0</v>
      </c>
      <c r="G129">
        <v>69.444444444444443</v>
      </c>
      <c r="H129">
        <v>23.148148148148149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90.159580173803036</v>
      </c>
      <c r="AO129">
        <v>18.995158272442474</v>
      </c>
      <c r="AP129">
        <v>101.71281099351701</v>
      </c>
      <c r="AQ129">
        <v>103.54514730068045</v>
      </c>
      <c r="AR129">
        <v>17.305597703182592</v>
      </c>
      <c r="AS129">
        <v>86.488072470695499</v>
      </c>
      <c r="AT129" t="e">
        <v>#DIV/0!</v>
      </c>
      <c r="AU129" t="e">
        <v>#DIV/0!</v>
      </c>
      <c r="AV129"/>
      <c r="AW129"/>
      <c r="AX129" s="146"/>
      <c r="AY129" s="76">
        <f t="shared" ca="1" si="88"/>
        <v>0.83019805230325616</v>
      </c>
      <c r="AZ129">
        <v>2</v>
      </c>
      <c r="BA129" s="129">
        <f t="shared" ref="BA129:BA137" si="167">IF(AZ129="", "",$C$8)</f>
        <v>39775</v>
      </c>
      <c r="BB129" s="207">
        <v>0</v>
      </c>
      <c r="BC129" s="207">
        <v>0</v>
      </c>
      <c r="BD129" s="207">
        <v>0</v>
      </c>
      <c r="BE129" s="207">
        <v>0</v>
      </c>
      <c r="BF129" s="207">
        <v>0</v>
      </c>
      <c r="BG129" s="207">
        <v>0</v>
      </c>
      <c r="BH129" s="207">
        <v>0</v>
      </c>
      <c r="BI129" s="207">
        <v>0</v>
      </c>
      <c r="BJ129" s="207">
        <v>0</v>
      </c>
      <c r="BK129" s="207">
        <v>0</v>
      </c>
      <c r="BL129" s="207">
        <v>0</v>
      </c>
      <c r="BM129" s="207">
        <v>0</v>
      </c>
      <c r="BN129" s="207">
        <v>0</v>
      </c>
      <c r="BO129" s="207">
        <v>0</v>
      </c>
      <c r="BP129" s="207">
        <v>0</v>
      </c>
      <c r="BQ129" s="207">
        <v>0</v>
      </c>
      <c r="BR129" s="207">
        <v>0</v>
      </c>
      <c r="BS129" s="207">
        <v>0</v>
      </c>
      <c r="BT129" s="207">
        <v>0</v>
      </c>
      <c r="BU129" s="207">
        <v>0</v>
      </c>
      <c r="BV129" s="207">
        <v>0</v>
      </c>
      <c r="BW129" s="207">
        <v>0</v>
      </c>
      <c r="BX129" s="207">
        <v>0</v>
      </c>
      <c r="BY129" s="207">
        <v>0</v>
      </c>
      <c r="BZ129" s="207">
        <v>0</v>
      </c>
      <c r="CA129" s="207">
        <v>0</v>
      </c>
      <c r="CB129" s="207">
        <v>0</v>
      </c>
      <c r="CC129" s="207">
        <v>0</v>
      </c>
      <c r="CD129" s="207">
        <v>0</v>
      </c>
      <c r="CE129" s="207">
        <v>0</v>
      </c>
      <c r="CF129" s="207">
        <v>0</v>
      </c>
      <c r="CG129" s="147"/>
      <c r="CH129" s="176"/>
      <c r="CJ129" s="146"/>
      <c r="CK129" s="76">
        <f t="shared" ca="1" si="90"/>
        <v>0.93696130337811767</v>
      </c>
      <c r="CL129" s="179">
        <f t="shared" si="91"/>
        <v>2</v>
      </c>
      <c r="CM129" s="180">
        <f t="shared" si="92"/>
        <v>39775</v>
      </c>
      <c r="CN129" s="208">
        <v>0</v>
      </c>
      <c r="CO129" s="208">
        <v>0</v>
      </c>
      <c r="CP129" s="208">
        <v>2</v>
      </c>
      <c r="CQ129" s="208">
        <v>0</v>
      </c>
      <c r="CR129" s="208">
        <v>0</v>
      </c>
      <c r="CS129" s="208">
        <v>0</v>
      </c>
      <c r="CT129" s="208">
        <v>0</v>
      </c>
      <c r="CU129" s="208">
        <v>0</v>
      </c>
      <c r="CV129" s="160"/>
      <c r="CW129">
        <v>1</v>
      </c>
      <c r="CX129">
        <f>20/11</f>
        <v>1.8181818181818181</v>
      </c>
      <c r="CY129" s="160"/>
      <c r="CZ129" s="177">
        <f t="shared" si="93"/>
        <v>9.6000000000000002E-2</v>
      </c>
      <c r="DB129" s="146"/>
      <c r="DC129" s="76">
        <f t="shared" ca="1" si="51"/>
        <v>0.90374953932554392</v>
      </c>
      <c r="DD129">
        <f t="shared" si="94"/>
        <v>2</v>
      </c>
      <c r="DE129" s="129">
        <f t="shared" si="166"/>
        <v>39775</v>
      </c>
      <c r="DF129" s="161">
        <f t="shared" si="95"/>
        <v>0</v>
      </c>
      <c r="DG129" s="161">
        <f t="shared" si="96"/>
        <v>0</v>
      </c>
      <c r="DH129" s="161">
        <f t="shared" si="97"/>
        <v>37.878787878787875</v>
      </c>
      <c r="DI129" s="161">
        <f t="shared" si="98"/>
        <v>0</v>
      </c>
      <c r="DJ129" s="161">
        <f t="shared" si="99"/>
        <v>0</v>
      </c>
      <c r="DK129" s="161">
        <f t="shared" si="100"/>
        <v>0</v>
      </c>
      <c r="DL129" s="161">
        <f t="shared" si="101"/>
        <v>0</v>
      </c>
      <c r="DM129" s="161">
        <f t="shared" si="102"/>
        <v>0</v>
      </c>
      <c r="DN129" s="161">
        <f t="shared" si="103"/>
        <v>0</v>
      </c>
      <c r="DO129" s="161">
        <f t="shared" si="104"/>
        <v>0</v>
      </c>
      <c r="DP129" s="161">
        <f t="shared" si="105"/>
        <v>0</v>
      </c>
      <c r="DQ129" s="161">
        <f t="shared" si="106"/>
        <v>0</v>
      </c>
      <c r="DR129" s="161">
        <f t="shared" si="107"/>
        <v>0</v>
      </c>
      <c r="DS129" s="161">
        <f t="shared" si="108"/>
        <v>0</v>
      </c>
      <c r="DT129" s="161">
        <f t="shared" si="109"/>
        <v>0</v>
      </c>
      <c r="DU129" s="161">
        <f t="shared" si="110"/>
        <v>0</v>
      </c>
      <c r="DV129" s="161">
        <f t="shared" si="111"/>
        <v>0</v>
      </c>
      <c r="DW129" s="161">
        <f t="shared" si="112"/>
        <v>0</v>
      </c>
      <c r="DX129" s="161">
        <f t="shared" si="113"/>
        <v>0</v>
      </c>
      <c r="DY129" s="161">
        <f t="shared" si="114"/>
        <v>0</v>
      </c>
      <c r="DZ129" s="161">
        <f t="shared" si="115"/>
        <v>0</v>
      </c>
      <c r="EA129" s="161">
        <f t="shared" si="116"/>
        <v>0</v>
      </c>
      <c r="EB129" s="161">
        <f t="shared" si="117"/>
        <v>0</v>
      </c>
      <c r="EC129" s="161">
        <f t="shared" si="118"/>
        <v>0</v>
      </c>
      <c r="ED129" s="161">
        <f t="shared" si="119"/>
        <v>0</v>
      </c>
      <c r="EE129" s="161">
        <f t="shared" si="120"/>
        <v>0</v>
      </c>
      <c r="EF129" s="161">
        <f t="shared" si="121"/>
        <v>0</v>
      </c>
      <c r="EG129" s="161">
        <f t="shared" si="122"/>
        <v>0</v>
      </c>
      <c r="EH129" s="161">
        <f t="shared" si="123"/>
        <v>0</v>
      </c>
      <c r="EI129" s="161">
        <f t="shared" si="124"/>
        <v>0</v>
      </c>
      <c r="EJ129" s="161">
        <f t="shared" si="125"/>
        <v>0</v>
      </c>
      <c r="EK129" s="147">
        <f t="shared" si="133"/>
        <v>37.878787878787875</v>
      </c>
      <c r="EL129" s="149"/>
      <c r="EN129" s="146"/>
      <c r="EO129" s="146"/>
      <c r="EP129" s="139">
        <f t="shared" si="134"/>
        <v>0</v>
      </c>
      <c r="EQ129" s="139">
        <f t="shared" si="135"/>
        <v>0</v>
      </c>
      <c r="ER129" s="139">
        <f t="shared" si="136"/>
        <v>1.6488390305738534</v>
      </c>
      <c r="ES129" s="139">
        <f t="shared" si="137"/>
        <v>0</v>
      </c>
      <c r="ET129" s="139">
        <f t="shared" si="138"/>
        <v>0</v>
      </c>
      <c r="EU129" s="139">
        <f t="shared" si="139"/>
        <v>0</v>
      </c>
      <c r="EV129" s="139">
        <f t="shared" si="140"/>
        <v>0</v>
      </c>
      <c r="EW129" s="139">
        <f t="shared" si="141"/>
        <v>0</v>
      </c>
      <c r="EX129" s="139">
        <f t="shared" si="142"/>
        <v>0</v>
      </c>
      <c r="EY129" s="139">
        <f t="shared" si="143"/>
        <v>0</v>
      </c>
      <c r="EZ129" s="139">
        <f t="shared" si="144"/>
        <v>0</v>
      </c>
      <c r="FA129" s="139">
        <f t="shared" si="145"/>
        <v>0</v>
      </c>
      <c r="FB129" s="139">
        <f t="shared" si="146"/>
        <v>0</v>
      </c>
      <c r="FC129" s="139">
        <f t="shared" si="147"/>
        <v>0</v>
      </c>
      <c r="FD129" s="139">
        <f t="shared" si="148"/>
        <v>0</v>
      </c>
      <c r="FE129" s="139">
        <f t="shared" si="149"/>
        <v>0</v>
      </c>
      <c r="FF129" s="139">
        <f t="shared" si="150"/>
        <v>0</v>
      </c>
      <c r="FG129" s="139">
        <f t="shared" si="151"/>
        <v>0</v>
      </c>
      <c r="FH129" s="139">
        <f t="shared" si="152"/>
        <v>0</v>
      </c>
      <c r="FI129" s="139">
        <f t="shared" si="153"/>
        <v>0</v>
      </c>
      <c r="FJ129" s="139">
        <f t="shared" si="154"/>
        <v>0</v>
      </c>
      <c r="FK129" s="139">
        <f t="shared" si="155"/>
        <v>0</v>
      </c>
      <c r="FL129" s="139">
        <f t="shared" si="156"/>
        <v>0</v>
      </c>
      <c r="FM129" s="139">
        <f t="shared" si="157"/>
        <v>0</v>
      </c>
      <c r="FN129" s="139">
        <f t="shared" si="158"/>
        <v>0</v>
      </c>
      <c r="FO129" s="139">
        <f t="shared" si="159"/>
        <v>0</v>
      </c>
      <c r="FP129" s="139">
        <f t="shared" si="160"/>
        <v>0</v>
      </c>
      <c r="FQ129" s="139">
        <f t="shared" si="161"/>
        <v>0</v>
      </c>
      <c r="FR129" s="139">
        <f t="shared" si="162"/>
        <v>0</v>
      </c>
      <c r="FS129" s="139">
        <f t="shared" si="163"/>
        <v>0</v>
      </c>
      <c r="FT129" s="139">
        <f t="shared" si="164"/>
        <v>0</v>
      </c>
      <c r="FU129" s="148">
        <f t="shared" si="165"/>
        <v>1.6488390305738534</v>
      </c>
      <c r="FV129" s="149"/>
      <c r="FY129" s="214">
        <v>124</v>
      </c>
      <c r="FZ129">
        <v>1.0819852038206739</v>
      </c>
      <c r="GA129">
        <v>17.633606721730938</v>
      </c>
      <c r="GB129">
        <v>9.0340886748996638</v>
      </c>
      <c r="GC129">
        <v>0.84324005107627453</v>
      </c>
      <c r="GD129">
        <v>4.9319795962446014</v>
      </c>
      <c r="GE129">
        <v>12.719181922929353</v>
      </c>
      <c r="GF129">
        <v>16.819148728270974</v>
      </c>
      <c r="GG129">
        <v>10.372944344683875</v>
      </c>
      <c r="GH129">
        <v>8.3748326283281188E-2</v>
      </c>
      <c r="GI129">
        <v>8.748062987256553</v>
      </c>
      <c r="GJ129"/>
      <c r="GK129"/>
      <c r="GL129"/>
      <c r="GM129"/>
    </row>
    <row r="130" spans="1:195" s="7" customFormat="1">
      <c r="A130" s="1"/>
      <c r="B130" s="76">
        <f t="shared" ca="1" si="132"/>
        <v>0.61949366417206608</v>
      </c>
      <c r="C130">
        <v>10</v>
      </c>
      <c r="D130">
        <v>39775</v>
      </c>
      <c r="E130">
        <v>0</v>
      </c>
      <c r="F130">
        <v>10.416666666666666</v>
      </c>
      <c r="G130">
        <v>20.833333333333332</v>
      </c>
      <c r="H130">
        <v>10.416666666666666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78.637264418755606</v>
      </c>
      <c r="AO130">
        <v>16.315464550347521</v>
      </c>
      <c r="AP130">
        <v>82.312215156686548</v>
      </c>
      <c r="AQ130">
        <v>88.492195225237666</v>
      </c>
      <c r="AR130">
        <v>15.189647711769211</v>
      </c>
      <c r="AS130">
        <v>77.312625143962748</v>
      </c>
      <c r="AT130">
        <v>8.3117211858342586</v>
      </c>
      <c r="AU130">
        <v>16.761554452332131</v>
      </c>
      <c r="AV130"/>
      <c r="AW130"/>
      <c r="AX130" s="146"/>
      <c r="AY130" s="76">
        <f t="shared" ca="1" si="88"/>
        <v>0.5018091443655377</v>
      </c>
      <c r="AZ130">
        <v>3</v>
      </c>
      <c r="BA130" s="129">
        <f t="shared" si="167"/>
        <v>39775</v>
      </c>
      <c r="BB130" s="207">
        <v>0</v>
      </c>
      <c r="BC130" s="207">
        <v>0</v>
      </c>
      <c r="BD130" s="207">
        <v>0</v>
      </c>
      <c r="BE130" s="207">
        <v>0</v>
      </c>
      <c r="BF130" s="207">
        <v>0</v>
      </c>
      <c r="BG130" s="207">
        <v>0</v>
      </c>
      <c r="BH130" s="207">
        <v>0</v>
      </c>
      <c r="BI130" s="207">
        <v>0</v>
      </c>
      <c r="BJ130" s="207">
        <v>0</v>
      </c>
      <c r="BK130" s="207">
        <v>0</v>
      </c>
      <c r="BL130" s="207">
        <v>0</v>
      </c>
      <c r="BM130" s="207">
        <v>0</v>
      </c>
      <c r="BN130" s="207">
        <v>0</v>
      </c>
      <c r="BO130" s="207">
        <v>0</v>
      </c>
      <c r="BP130" s="207">
        <v>0</v>
      </c>
      <c r="BQ130" s="207">
        <v>0</v>
      </c>
      <c r="BR130" s="207">
        <v>0</v>
      </c>
      <c r="BS130" s="207">
        <v>0</v>
      </c>
      <c r="BT130" s="207">
        <v>0</v>
      </c>
      <c r="BU130" s="207">
        <v>0</v>
      </c>
      <c r="BV130" s="207">
        <v>0</v>
      </c>
      <c r="BW130" s="207">
        <v>0</v>
      </c>
      <c r="BX130" s="207">
        <v>0</v>
      </c>
      <c r="BY130" s="207">
        <v>0</v>
      </c>
      <c r="BZ130" s="207">
        <v>0</v>
      </c>
      <c r="CA130" s="207">
        <v>0</v>
      </c>
      <c r="CB130" s="207">
        <v>0</v>
      </c>
      <c r="CC130" s="207">
        <v>0</v>
      </c>
      <c r="CD130" s="207">
        <v>0</v>
      </c>
      <c r="CE130" s="207">
        <v>0</v>
      </c>
      <c r="CF130" s="207">
        <v>0</v>
      </c>
      <c r="CG130" s="147"/>
      <c r="CH130" s="176"/>
      <c r="CJ130" s="146"/>
      <c r="CK130" s="76">
        <f t="shared" ca="1" si="90"/>
        <v>0.68300353692333626</v>
      </c>
      <c r="CL130" s="179">
        <f t="shared" si="91"/>
        <v>3</v>
      </c>
      <c r="CM130" s="180">
        <f t="shared" si="92"/>
        <v>39775</v>
      </c>
      <c r="CN130" s="208">
        <v>0</v>
      </c>
      <c r="CO130" s="208">
        <v>0</v>
      </c>
      <c r="CP130" s="208">
        <v>3</v>
      </c>
      <c r="CQ130" s="208">
        <v>0</v>
      </c>
      <c r="CR130" s="208">
        <v>0</v>
      </c>
      <c r="CS130" s="208">
        <v>0</v>
      </c>
      <c r="CT130" s="208">
        <v>0</v>
      </c>
      <c r="CU130" s="208">
        <v>0</v>
      </c>
      <c r="CV130" s="160"/>
      <c r="CW130">
        <v>1</v>
      </c>
      <c r="CX130">
        <f>50/10</f>
        <v>5</v>
      </c>
      <c r="CY130" s="160"/>
      <c r="CZ130" s="177">
        <f t="shared" si="93"/>
        <v>9.6000000000000002E-2</v>
      </c>
      <c r="DB130" s="146"/>
      <c r="DC130" s="76">
        <f t="shared" ca="1" si="51"/>
        <v>0.36227965961635467</v>
      </c>
      <c r="DD130">
        <f t="shared" si="94"/>
        <v>3</v>
      </c>
      <c r="DE130" s="129">
        <f t="shared" si="166"/>
        <v>39775</v>
      </c>
      <c r="DF130" s="161">
        <f t="shared" si="95"/>
        <v>0</v>
      </c>
      <c r="DG130" s="161">
        <f t="shared" si="96"/>
        <v>0</v>
      </c>
      <c r="DH130" s="161">
        <f t="shared" si="97"/>
        <v>156.25</v>
      </c>
      <c r="DI130" s="161">
        <f t="shared" si="98"/>
        <v>0</v>
      </c>
      <c r="DJ130" s="161">
        <f t="shared" si="99"/>
        <v>0</v>
      </c>
      <c r="DK130" s="161">
        <f t="shared" si="100"/>
        <v>0</v>
      </c>
      <c r="DL130" s="161">
        <f t="shared" si="101"/>
        <v>0</v>
      </c>
      <c r="DM130" s="161">
        <f t="shared" si="102"/>
        <v>0</v>
      </c>
      <c r="DN130" s="161">
        <f t="shared" si="103"/>
        <v>0</v>
      </c>
      <c r="DO130" s="161">
        <f t="shared" si="104"/>
        <v>0</v>
      </c>
      <c r="DP130" s="161">
        <f t="shared" si="105"/>
        <v>0</v>
      </c>
      <c r="DQ130" s="161">
        <f t="shared" si="106"/>
        <v>0</v>
      </c>
      <c r="DR130" s="161">
        <f t="shared" si="107"/>
        <v>0</v>
      </c>
      <c r="DS130" s="161">
        <f t="shared" si="108"/>
        <v>0</v>
      </c>
      <c r="DT130" s="161">
        <f t="shared" si="109"/>
        <v>0</v>
      </c>
      <c r="DU130" s="161">
        <f t="shared" si="110"/>
        <v>0</v>
      </c>
      <c r="DV130" s="161">
        <f t="shared" si="111"/>
        <v>0</v>
      </c>
      <c r="DW130" s="161">
        <f t="shared" si="112"/>
        <v>0</v>
      </c>
      <c r="DX130" s="161">
        <f t="shared" si="113"/>
        <v>0</v>
      </c>
      <c r="DY130" s="161">
        <f t="shared" si="114"/>
        <v>0</v>
      </c>
      <c r="DZ130" s="161">
        <f t="shared" si="115"/>
        <v>0</v>
      </c>
      <c r="EA130" s="161">
        <f t="shared" si="116"/>
        <v>0</v>
      </c>
      <c r="EB130" s="161">
        <f t="shared" si="117"/>
        <v>0</v>
      </c>
      <c r="EC130" s="161">
        <f t="shared" si="118"/>
        <v>0</v>
      </c>
      <c r="ED130" s="161">
        <f t="shared" si="119"/>
        <v>0</v>
      </c>
      <c r="EE130" s="161">
        <f t="shared" si="120"/>
        <v>0</v>
      </c>
      <c r="EF130" s="161">
        <f t="shared" si="121"/>
        <v>0</v>
      </c>
      <c r="EG130" s="161">
        <f t="shared" si="122"/>
        <v>0</v>
      </c>
      <c r="EH130" s="161">
        <f t="shared" si="123"/>
        <v>0</v>
      </c>
      <c r="EI130" s="161">
        <f t="shared" si="124"/>
        <v>0</v>
      </c>
      <c r="EJ130" s="161">
        <f t="shared" si="125"/>
        <v>0</v>
      </c>
      <c r="EK130" s="147">
        <f t="shared" si="133"/>
        <v>156.25</v>
      </c>
      <c r="EL130" s="149"/>
      <c r="EN130" s="146"/>
      <c r="EO130" s="146"/>
      <c r="EP130" s="139">
        <f t="shared" si="134"/>
        <v>0</v>
      </c>
      <c r="EQ130" s="139">
        <f t="shared" si="135"/>
        <v>0</v>
      </c>
      <c r="ER130" s="139">
        <f t="shared" si="136"/>
        <v>6.8014610011171452</v>
      </c>
      <c r="ES130" s="139">
        <f t="shared" si="137"/>
        <v>0</v>
      </c>
      <c r="ET130" s="139">
        <f t="shared" si="138"/>
        <v>0</v>
      </c>
      <c r="EU130" s="139">
        <f t="shared" si="139"/>
        <v>0</v>
      </c>
      <c r="EV130" s="139">
        <f t="shared" si="140"/>
        <v>0</v>
      </c>
      <c r="EW130" s="139">
        <f t="shared" si="141"/>
        <v>0</v>
      </c>
      <c r="EX130" s="139">
        <f t="shared" si="142"/>
        <v>0</v>
      </c>
      <c r="EY130" s="139">
        <f t="shared" si="143"/>
        <v>0</v>
      </c>
      <c r="EZ130" s="139">
        <f t="shared" si="144"/>
        <v>0</v>
      </c>
      <c r="FA130" s="139">
        <f t="shared" si="145"/>
        <v>0</v>
      </c>
      <c r="FB130" s="139">
        <f t="shared" si="146"/>
        <v>0</v>
      </c>
      <c r="FC130" s="139">
        <f t="shared" si="147"/>
        <v>0</v>
      </c>
      <c r="FD130" s="139">
        <f t="shared" si="148"/>
        <v>0</v>
      </c>
      <c r="FE130" s="139">
        <f t="shared" si="149"/>
        <v>0</v>
      </c>
      <c r="FF130" s="139">
        <f t="shared" si="150"/>
        <v>0</v>
      </c>
      <c r="FG130" s="139">
        <f t="shared" si="151"/>
        <v>0</v>
      </c>
      <c r="FH130" s="139">
        <f t="shared" si="152"/>
        <v>0</v>
      </c>
      <c r="FI130" s="139">
        <f t="shared" si="153"/>
        <v>0</v>
      </c>
      <c r="FJ130" s="139">
        <f t="shared" si="154"/>
        <v>0</v>
      </c>
      <c r="FK130" s="139">
        <f t="shared" si="155"/>
        <v>0</v>
      </c>
      <c r="FL130" s="139">
        <f t="shared" si="156"/>
        <v>0</v>
      </c>
      <c r="FM130" s="139">
        <f t="shared" si="157"/>
        <v>0</v>
      </c>
      <c r="FN130" s="139">
        <f t="shared" si="158"/>
        <v>0</v>
      </c>
      <c r="FO130" s="139">
        <f t="shared" si="159"/>
        <v>0</v>
      </c>
      <c r="FP130" s="139">
        <f t="shared" si="160"/>
        <v>0</v>
      </c>
      <c r="FQ130" s="139">
        <f t="shared" si="161"/>
        <v>0</v>
      </c>
      <c r="FR130" s="139">
        <f t="shared" si="162"/>
        <v>0</v>
      </c>
      <c r="FS130" s="139">
        <f t="shared" si="163"/>
        <v>0</v>
      </c>
      <c r="FT130" s="139">
        <f t="shared" si="164"/>
        <v>0</v>
      </c>
      <c r="FU130" s="148">
        <f t="shared" si="165"/>
        <v>6.8014610011171452</v>
      </c>
      <c r="FV130" s="149"/>
      <c r="FY130" s="214">
        <v>125</v>
      </c>
      <c r="FZ130">
        <v>1.0527189377188706</v>
      </c>
      <c r="GA130">
        <v>3.4526360572934669</v>
      </c>
      <c r="GB130">
        <v>7.428056058513322</v>
      </c>
      <c r="GC130">
        <v>4.0028851459261636</v>
      </c>
      <c r="GD130">
        <v>8.0305443788431674</v>
      </c>
      <c r="GE130">
        <v>16.527886525127052</v>
      </c>
      <c r="GF130">
        <v>7.7096587948955184</v>
      </c>
      <c r="GG130">
        <v>5.1432181676754549</v>
      </c>
      <c r="GH130">
        <v>8.3748326283281188E-2</v>
      </c>
      <c r="GI130">
        <v>8.4176766922726642</v>
      </c>
      <c r="GJ130"/>
      <c r="GK130"/>
      <c r="GL130"/>
      <c r="GM130"/>
    </row>
    <row r="131" spans="1:195" s="7" customFormat="1">
      <c r="A131" s="1"/>
      <c r="B131" s="76">
        <f t="shared" ca="1" si="132"/>
        <v>7.9853485484479236E-2</v>
      </c>
      <c r="C131">
        <v>8</v>
      </c>
      <c r="D131">
        <v>39775</v>
      </c>
      <c r="E131">
        <v>0</v>
      </c>
      <c r="F131">
        <v>52.083333333333336</v>
      </c>
      <c r="G131">
        <v>156.25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84.63342249351382</v>
      </c>
      <c r="AO131">
        <v>16.248355775283631</v>
      </c>
      <c r="AP131">
        <v>103.56931672483555</v>
      </c>
      <c r="AQ131">
        <v>87.389279147834671</v>
      </c>
      <c r="AR131">
        <v>14.963272617984504</v>
      </c>
      <c r="AS131">
        <v>81.279762571192663</v>
      </c>
      <c r="AT131">
        <v>8.2669075479970129</v>
      </c>
      <c r="AU131">
        <v>43.715633610294276</v>
      </c>
      <c r="AV131"/>
      <c r="AW131"/>
      <c r="AX131" s="146"/>
      <c r="AY131" s="76">
        <f t="shared" ca="1" si="88"/>
        <v>0.87715571538335846</v>
      </c>
      <c r="AZ131">
        <v>4</v>
      </c>
      <c r="BA131" s="129">
        <f t="shared" si="167"/>
        <v>39775</v>
      </c>
      <c r="BB131" s="207">
        <v>0</v>
      </c>
      <c r="BC131" s="207">
        <v>0</v>
      </c>
      <c r="BD131" s="207">
        <v>0</v>
      </c>
      <c r="BE131" s="207">
        <v>0</v>
      </c>
      <c r="BF131" s="207">
        <v>0</v>
      </c>
      <c r="BG131" s="207">
        <v>0</v>
      </c>
      <c r="BH131" s="207">
        <v>0</v>
      </c>
      <c r="BI131" s="207">
        <v>0</v>
      </c>
      <c r="BJ131" s="207">
        <v>0</v>
      </c>
      <c r="BK131" s="207">
        <v>0</v>
      </c>
      <c r="BL131" s="207">
        <v>0</v>
      </c>
      <c r="BM131" s="207">
        <v>0</v>
      </c>
      <c r="BN131" s="207">
        <v>0</v>
      </c>
      <c r="BO131" s="207">
        <v>0</v>
      </c>
      <c r="BP131" s="207">
        <v>0</v>
      </c>
      <c r="BQ131" s="207">
        <v>0</v>
      </c>
      <c r="BR131" s="207">
        <v>0</v>
      </c>
      <c r="BS131" s="207">
        <v>0</v>
      </c>
      <c r="BT131" s="207">
        <v>0</v>
      </c>
      <c r="BU131" s="207">
        <v>0</v>
      </c>
      <c r="BV131" s="207">
        <v>0</v>
      </c>
      <c r="BW131" s="207">
        <v>0</v>
      </c>
      <c r="BX131" s="207">
        <v>0</v>
      </c>
      <c r="BY131" s="207">
        <v>0</v>
      </c>
      <c r="BZ131" s="207">
        <v>0</v>
      </c>
      <c r="CA131" s="207">
        <v>0</v>
      </c>
      <c r="CB131" s="207">
        <v>0</v>
      </c>
      <c r="CC131" s="207">
        <v>0</v>
      </c>
      <c r="CD131" s="207">
        <v>0</v>
      </c>
      <c r="CE131" s="207">
        <v>0</v>
      </c>
      <c r="CF131" s="207">
        <v>0</v>
      </c>
      <c r="CG131" s="147"/>
      <c r="CH131" s="176"/>
      <c r="CJ131" s="146"/>
      <c r="CK131" s="76">
        <f t="shared" ca="1" si="90"/>
        <v>0.89608198950040019</v>
      </c>
      <c r="CL131" s="179">
        <f t="shared" si="91"/>
        <v>4</v>
      </c>
      <c r="CM131" s="180">
        <f t="shared" si="92"/>
        <v>39775</v>
      </c>
      <c r="CN131" s="208">
        <v>0</v>
      </c>
      <c r="CO131" s="208">
        <v>0</v>
      </c>
      <c r="CP131" s="208">
        <v>3</v>
      </c>
      <c r="CQ131" s="208">
        <v>0</v>
      </c>
      <c r="CR131" s="208">
        <v>0</v>
      </c>
      <c r="CS131" s="208">
        <v>0</v>
      </c>
      <c r="CT131" s="208">
        <v>0</v>
      </c>
      <c r="CU131" s="208">
        <v>0</v>
      </c>
      <c r="CV131" s="160"/>
      <c r="CW131">
        <v>1</v>
      </c>
      <c r="CX131">
        <v>1</v>
      </c>
      <c r="CY131" s="160"/>
      <c r="CZ131" s="177">
        <f t="shared" si="93"/>
        <v>9.6000000000000002E-2</v>
      </c>
      <c r="DB131" s="146"/>
      <c r="DC131" s="76">
        <f t="shared" ca="1" si="51"/>
        <v>0.8618363304596639</v>
      </c>
      <c r="DD131">
        <f t="shared" si="94"/>
        <v>4</v>
      </c>
      <c r="DE131" s="129">
        <f t="shared" si="166"/>
        <v>39775</v>
      </c>
      <c r="DF131" s="161">
        <f t="shared" si="95"/>
        <v>0</v>
      </c>
      <c r="DG131" s="161">
        <f t="shared" si="96"/>
        <v>0</v>
      </c>
      <c r="DH131" s="161">
        <f t="shared" si="97"/>
        <v>31.25</v>
      </c>
      <c r="DI131" s="161">
        <f t="shared" si="98"/>
        <v>0</v>
      </c>
      <c r="DJ131" s="161">
        <f t="shared" si="99"/>
        <v>0</v>
      </c>
      <c r="DK131" s="161">
        <f t="shared" si="100"/>
        <v>0</v>
      </c>
      <c r="DL131" s="161">
        <f t="shared" si="101"/>
        <v>0</v>
      </c>
      <c r="DM131" s="161">
        <f t="shared" si="102"/>
        <v>0</v>
      </c>
      <c r="DN131" s="161">
        <f t="shared" si="103"/>
        <v>0</v>
      </c>
      <c r="DO131" s="161">
        <f t="shared" si="104"/>
        <v>0</v>
      </c>
      <c r="DP131" s="161">
        <f t="shared" si="105"/>
        <v>0</v>
      </c>
      <c r="DQ131" s="161">
        <f t="shared" si="106"/>
        <v>0</v>
      </c>
      <c r="DR131" s="161">
        <f t="shared" si="107"/>
        <v>0</v>
      </c>
      <c r="DS131" s="161">
        <f t="shared" si="108"/>
        <v>0</v>
      </c>
      <c r="DT131" s="161">
        <f t="shared" si="109"/>
        <v>0</v>
      </c>
      <c r="DU131" s="161">
        <f t="shared" si="110"/>
        <v>0</v>
      </c>
      <c r="DV131" s="161">
        <f t="shared" si="111"/>
        <v>0</v>
      </c>
      <c r="DW131" s="161">
        <f t="shared" si="112"/>
        <v>0</v>
      </c>
      <c r="DX131" s="161">
        <f t="shared" si="113"/>
        <v>0</v>
      </c>
      <c r="DY131" s="161">
        <f t="shared" si="114"/>
        <v>0</v>
      </c>
      <c r="DZ131" s="161">
        <f t="shared" si="115"/>
        <v>0</v>
      </c>
      <c r="EA131" s="161">
        <f t="shared" si="116"/>
        <v>0</v>
      </c>
      <c r="EB131" s="161">
        <f t="shared" si="117"/>
        <v>0</v>
      </c>
      <c r="EC131" s="161">
        <f t="shared" si="118"/>
        <v>0</v>
      </c>
      <c r="ED131" s="161">
        <f t="shared" si="119"/>
        <v>0</v>
      </c>
      <c r="EE131" s="161">
        <f t="shared" si="120"/>
        <v>0</v>
      </c>
      <c r="EF131" s="161">
        <f t="shared" si="121"/>
        <v>0</v>
      </c>
      <c r="EG131" s="161">
        <f t="shared" si="122"/>
        <v>0</v>
      </c>
      <c r="EH131" s="161">
        <f t="shared" si="123"/>
        <v>0</v>
      </c>
      <c r="EI131" s="161">
        <f t="shared" si="124"/>
        <v>0</v>
      </c>
      <c r="EJ131" s="161">
        <f t="shared" si="125"/>
        <v>0</v>
      </c>
      <c r="EK131" s="147">
        <f t="shared" si="133"/>
        <v>31.25</v>
      </c>
      <c r="EL131" s="149"/>
      <c r="EN131" s="146"/>
      <c r="EO131" s="146"/>
      <c r="EP131" s="139">
        <f t="shared" si="134"/>
        <v>0</v>
      </c>
      <c r="EQ131" s="139">
        <f t="shared" si="135"/>
        <v>0</v>
      </c>
      <c r="ER131" s="139">
        <f t="shared" si="136"/>
        <v>1.3602922002234292</v>
      </c>
      <c r="ES131" s="139">
        <f t="shared" si="137"/>
        <v>0</v>
      </c>
      <c r="ET131" s="139">
        <f t="shared" si="138"/>
        <v>0</v>
      </c>
      <c r="EU131" s="139">
        <f t="shared" si="139"/>
        <v>0</v>
      </c>
      <c r="EV131" s="139">
        <f t="shared" si="140"/>
        <v>0</v>
      </c>
      <c r="EW131" s="139">
        <f t="shared" si="141"/>
        <v>0</v>
      </c>
      <c r="EX131" s="139">
        <f t="shared" si="142"/>
        <v>0</v>
      </c>
      <c r="EY131" s="139">
        <f t="shared" si="143"/>
        <v>0</v>
      </c>
      <c r="EZ131" s="139">
        <f t="shared" si="144"/>
        <v>0</v>
      </c>
      <c r="FA131" s="139">
        <f t="shared" si="145"/>
        <v>0</v>
      </c>
      <c r="FB131" s="139">
        <f t="shared" si="146"/>
        <v>0</v>
      </c>
      <c r="FC131" s="139">
        <f t="shared" si="147"/>
        <v>0</v>
      </c>
      <c r="FD131" s="139">
        <f t="shared" si="148"/>
        <v>0</v>
      </c>
      <c r="FE131" s="139">
        <f t="shared" si="149"/>
        <v>0</v>
      </c>
      <c r="FF131" s="139">
        <f t="shared" si="150"/>
        <v>0</v>
      </c>
      <c r="FG131" s="139">
        <f t="shared" si="151"/>
        <v>0</v>
      </c>
      <c r="FH131" s="139">
        <f t="shared" si="152"/>
        <v>0</v>
      </c>
      <c r="FI131" s="139">
        <f t="shared" si="153"/>
        <v>0</v>
      </c>
      <c r="FJ131" s="139">
        <f t="shared" si="154"/>
        <v>0</v>
      </c>
      <c r="FK131" s="139">
        <f t="shared" si="155"/>
        <v>0</v>
      </c>
      <c r="FL131" s="139">
        <f t="shared" si="156"/>
        <v>0</v>
      </c>
      <c r="FM131" s="139">
        <f t="shared" si="157"/>
        <v>0</v>
      </c>
      <c r="FN131" s="139">
        <f t="shared" si="158"/>
        <v>0</v>
      </c>
      <c r="FO131" s="139">
        <f t="shared" si="159"/>
        <v>0</v>
      </c>
      <c r="FP131" s="139">
        <f t="shared" si="160"/>
        <v>0</v>
      </c>
      <c r="FQ131" s="139">
        <f t="shared" si="161"/>
        <v>0</v>
      </c>
      <c r="FR131" s="139">
        <f t="shared" si="162"/>
        <v>0</v>
      </c>
      <c r="FS131" s="139">
        <f t="shared" si="163"/>
        <v>0</v>
      </c>
      <c r="FT131" s="139">
        <f t="shared" si="164"/>
        <v>0</v>
      </c>
      <c r="FU131" s="148">
        <f t="shared" si="165"/>
        <v>1.3602922002234292</v>
      </c>
      <c r="FV131" s="149"/>
      <c r="FY131" s="214">
        <v>126</v>
      </c>
      <c r="FZ131">
        <v>1.2061191879022688</v>
      </c>
      <c r="GA131">
        <v>10.678638822747432</v>
      </c>
      <c r="GB131">
        <v>7.425562410448447</v>
      </c>
      <c r="GC131">
        <v>2.204445450757019</v>
      </c>
      <c r="GD131">
        <v>9.2598797244955691</v>
      </c>
      <c r="GE131">
        <v>25.004937481131115</v>
      </c>
      <c r="GF131">
        <v>21.662897996038318</v>
      </c>
      <c r="GG131">
        <v>9.669876386566612</v>
      </c>
      <c r="GH131">
        <v>2.4277845661791013</v>
      </c>
      <c r="GI131">
        <v>12.355453454185424</v>
      </c>
      <c r="GJ131"/>
      <c r="GK131"/>
      <c r="GL131"/>
      <c r="GM131"/>
    </row>
    <row r="132" spans="1:195" s="7" customFormat="1">
      <c r="A132" s="1"/>
      <c r="B132" s="76">
        <f t="shared" ca="1" si="132"/>
        <v>0.83111041684497167</v>
      </c>
      <c r="C132">
        <v>4</v>
      </c>
      <c r="D132">
        <v>39775</v>
      </c>
      <c r="E132">
        <v>0</v>
      </c>
      <c r="F132">
        <v>0</v>
      </c>
      <c r="G132">
        <v>31.25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61.405702381790455</v>
      </c>
      <c r="AO132">
        <v>13.645704017427633</v>
      </c>
      <c r="AP132">
        <v>89.505582332377173</v>
      </c>
      <c r="AQ132">
        <v>78.191409931700008</v>
      </c>
      <c r="AR132">
        <v>12.76259268184204</v>
      </c>
      <c r="AS132">
        <v>63.232379009693283</v>
      </c>
      <c r="AT132">
        <v>7.318022752364377</v>
      </c>
      <c r="AU132">
        <v>7.2167245349329994</v>
      </c>
      <c r="AV132"/>
      <c r="AW132"/>
      <c r="AX132" s="146"/>
      <c r="AY132" s="76">
        <f t="shared" ca="1" si="88"/>
        <v>0.37829025179440334</v>
      </c>
      <c r="AZ132">
        <v>5</v>
      </c>
      <c r="BA132" s="129">
        <f t="shared" si="167"/>
        <v>39775</v>
      </c>
      <c r="BB132" s="207">
        <v>0</v>
      </c>
      <c r="BC132" s="207">
        <v>0</v>
      </c>
      <c r="BD132" s="207">
        <v>0</v>
      </c>
      <c r="BE132" s="207">
        <v>0</v>
      </c>
      <c r="BF132" s="207">
        <v>0</v>
      </c>
      <c r="BG132" s="207">
        <v>0</v>
      </c>
      <c r="BH132" s="207">
        <v>0</v>
      </c>
      <c r="BI132" s="207">
        <v>0</v>
      </c>
      <c r="BJ132" s="207">
        <v>0</v>
      </c>
      <c r="BK132" s="207">
        <v>0</v>
      </c>
      <c r="BL132" s="207">
        <v>0</v>
      </c>
      <c r="BM132" s="207">
        <v>0</v>
      </c>
      <c r="BN132" s="207">
        <v>0</v>
      </c>
      <c r="BO132" s="207">
        <v>0</v>
      </c>
      <c r="BP132" s="207">
        <v>0</v>
      </c>
      <c r="BQ132" s="207">
        <v>0</v>
      </c>
      <c r="BR132" s="207">
        <v>0</v>
      </c>
      <c r="BS132" s="207">
        <v>0</v>
      </c>
      <c r="BT132" s="207">
        <v>0</v>
      </c>
      <c r="BU132" s="207">
        <v>0</v>
      </c>
      <c r="BV132" s="207">
        <v>0</v>
      </c>
      <c r="BW132" s="207">
        <v>0</v>
      </c>
      <c r="BX132" s="207">
        <v>0</v>
      </c>
      <c r="BY132" s="207">
        <v>0</v>
      </c>
      <c r="BZ132" s="207">
        <v>0</v>
      </c>
      <c r="CA132" s="207">
        <v>0</v>
      </c>
      <c r="CB132" s="207">
        <v>0</v>
      </c>
      <c r="CC132" s="207">
        <v>0</v>
      </c>
      <c r="CD132" s="207">
        <v>0</v>
      </c>
      <c r="CE132" s="207">
        <v>0</v>
      </c>
      <c r="CF132" s="207">
        <v>0</v>
      </c>
      <c r="CG132" s="147"/>
      <c r="CH132" s="176"/>
      <c r="CJ132" s="146"/>
      <c r="CK132" s="76">
        <f t="shared" ca="1" si="90"/>
        <v>0.44992927058442511</v>
      </c>
      <c r="CL132" s="179">
        <f t="shared" si="91"/>
        <v>5</v>
      </c>
      <c r="CM132" s="180">
        <f t="shared" si="92"/>
        <v>39775</v>
      </c>
      <c r="CN132" s="208">
        <v>0</v>
      </c>
      <c r="CO132" s="208">
        <v>0</v>
      </c>
      <c r="CP132" s="208">
        <v>0</v>
      </c>
      <c r="CQ132" s="208">
        <v>0</v>
      </c>
      <c r="CR132" s="208">
        <v>0</v>
      </c>
      <c r="CS132" s="208">
        <v>0</v>
      </c>
      <c r="CT132" s="208">
        <v>0</v>
      </c>
      <c r="CU132" s="208">
        <v>0</v>
      </c>
      <c r="CV132" s="160"/>
      <c r="CW132">
        <v>1</v>
      </c>
      <c r="CX132">
        <f>20/7</f>
        <v>2.8571428571428572</v>
      </c>
      <c r="CY132" s="160"/>
      <c r="CZ132" s="177">
        <f t="shared" si="93"/>
        <v>9.6000000000000002E-2</v>
      </c>
      <c r="DB132" s="146"/>
      <c r="DC132" s="76">
        <f t="shared" ca="1" si="51"/>
        <v>0.18216554465926382</v>
      </c>
      <c r="DD132">
        <f t="shared" si="94"/>
        <v>5</v>
      </c>
      <c r="DE132" s="129">
        <f t="shared" si="166"/>
        <v>39775</v>
      </c>
      <c r="DF132" s="161">
        <f t="shared" si="95"/>
        <v>0</v>
      </c>
      <c r="DG132" s="161">
        <f t="shared" si="96"/>
        <v>0</v>
      </c>
      <c r="DH132" s="161">
        <f t="shared" si="97"/>
        <v>0</v>
      </c>
      <c r="DI132" s="161">
        <f t="shared" si="98"/>
        <v>0</v>
      </c>
      <c r="DJ132" s="161">
        <f t="shared" si="99"/>
        <v>0</v>
      </c>
      <c r="DK132" s="161">
        <f t="shared" si="100"/>
        <v>0</v>
      </c>
      <c r="DL132" s="161">
        <f t="shared" si="101"/>
        <v>0</v>
      </c>
      <c r="DM132" s="161">
        <f t="shared" si="102"/>
        <v>0</v>
      </c>
      <c r="DN132" s="161">
        <f t="shared" si="103"/>
        <v>0</v>
      </c>
      <c r="DO132" s="161">
        <f t="shared" si="104"/>
        <v>0</v>
      </c>
      <c r="DP132" s="161">
        <f t="shared" si="105"/>
        <v>0</v>
      </c>
      <c r="DQ132" s="161">
        <f t="shared" si="106"/>
        <v>0</v>
      </c>
      <c r="DR132" s="161">
        <f t="shared" si="107"/>
        <v>0</v>
      </c>
      <c r="DS132" s="161">
        <f t="shared" si="108"/>
        <v>0</v>
      </c>
      <c r="DT132" s="161">
        <f t="shared" si="109"/>
        <v>0</v>
      </c>
      <c r="DU132" s="161">
        <f t="shared" si="110"/>
        <v>0</v>
      </c>
      <c r="DV132" s="161">
        <f t="shared" si="111"/>
        <v>0</v>
      </c>
      <c r="DW132" s="161">
        <f t="shared" si="112"/>
        <v>0</v>
      </c>
      <c r="DX132" s="161">
        <f t="shared" si="113"/>
        <v>0</v>
      </c>
      <c r="DY132" s="161">
        <f t="shared" si="114"/>
        <v>0</v>
      </c>
      <c r="DZ132" s="161">
        <f t="shared" si="115"/>
        <v>0</v>
      </c>
      <c r="EA132" s="161">
        <f t="shared" si="116"/>
        <v>0</v>
      </c>
      <c r="EB132" s="161">
        <f t="shared" si="117"/>
        <v>0</v>
      </c>
      <c r="EC132" s="161">
        <f t="shared" si="118"/>
        <v>0</v>
      </c>
      <c r="ED132" s="161">
        <f t="shared" si="119"/>
        <v>0</v>
      </c>
      <c r="EE132" s="161">
        <f t="shared" si="120"/>
        <v>0</v>
      </c>
      <c r="EF132" s="161">
        <f t="shared" si="121"/>
        <v>0</v>
      </c>
      <c r="EG132" s="161">
        <f t="shared" si="122"/>
        <v>0</v>
      </c>
      <c r="EH132" s="161">
        <f t="shared" si="123"/>
        <v>0</v>
      </c>
      <c r="EI132" s="161">
        <f t="shared" si="124"/>
        <v>0</v>
      </c>
      <c r="EJ132" s="161">
        <f t="shared" si="125"/>
        <v>0</v>
      </c>
      <c r="EK132" s="147">
        <f t="shared" si="133"/>
        <v>0</v>
      </c>
      <c r="EL132" s="149"/>
      <c r="EN132" s="146"/>
      <c r="EO132" s="146"/>
      <c r="EP132" s="139">
        <f t="shared" si="134"/>
        <v>0</v>
      </c>
      <c r="EQ132" s="139">
        <f t="shared" si="135"/>
        <v>0</v>
      </c>
      <c r="ER132" s="139">
        <f t="shared" si="136"/>
        <v>0</v>
      </c>
      <c r="ES132" s="139">
        <f t="shared" si="137"/>
        <v>0</v>
      </c>
      <c r="ET132" s="139">
        <f t="shared" si="138"/>
        <v>0</v>
      </c>
      <c r="EU132" s="139">
        <f t="shared" si="139"/>
        <v>0</v>
      </c>
      <c r="EV132" s="139">
        <f t="shared" si="140"/>
        <v>0</v>
      </c>
      <c r="EW132" s="139">
        <f t="shared" si="141"/>
        <v>0</v>
      </c>
      <c r="EX132" s="139">
        <f t="shared" si="142"/>
        <v>0</v>
      </c>
      <c r="EY132" s="139">
        <f t="shared" si="143"/>
        <v>0</v>
      </c>
      <c r="EZ132" s="139">
        <f t="shared" si="144"/>
        <v>0</v>
      </c>
      <c r="FA132" s="139">
        <f t="shared" si="145"/>
        <v>0</v>
      </c>
      <c r="FB132" s="139">
        <f t="shared" si="146"/>
        <v>0</v>
      </c>
      <c r="FC132" s="139">
        <f t="shared" si="147"/>
        <v>0</v>
      </c>
      <c r="FD132" s="139">
        <f t="shared" si="148"/>
        <v>0</v>
      </c>
      <c r="FE132" s="139">
        <f t="shared" si="149"/>
        <v>0</v>
      </c>
      <c r="FF132" s="139">
        <f t="shared" si="150"/>
        <v>0</v>
      </c>
      <c r="FG132" s="139">
        <f t="shared" si="151"/>
        <v>0</v>
      </c>
      <c r="FH132" s="139">
        <f t="shared" si="152"/>
        <v>0</v>
      </c>
      <c r="FI132" s="139">
        <f t="shared" si="153"/>
        <v>0</v>
      </c>
      <c r="FJ132" s="139">
        <f t="shared" si="154"/>
        <v>0</v>
      </c>
      <c r="FK132" s="139">
        <f t="shared" si="155"/>
        <v>0</v>
      </c>
      <c r="FL132" s="139">
        <f t="shared" si="156"/>
        <v>0</v>
      </c>
      <c r="FM132" s="139">
        <f t="shared" si="157"/>
        <v>0</v>
      </c>
      <c r="FN132" s="139">
        <f t="shared" si="158"/>
        <v>0</v>
      </c>
      <c r="FO132" s="139">
        <f t="shared" si="159"/>
        <v>0</v>
      </c>
      <c r="FP132" s="139">
        <f t="shared" si="160"/>
        <v>0</v>
      </c>
      <c r="FQ132" s="139">
        <f t="shared" si="161"/>
        <v>0</v>
      </c>
      <c r="FR132" s="139">
        <f t="shared" si="162"/>
        <v>0</v>
      </c>
      <c r="FS132" s="139">
        <f t="shared" si="163"/>
        <v>0</v>
      </c>
      <c r="FT132" s="139">
        <f t="shared" si="164"/>
        <v>0</v>
      </c>
      <c r="FU132" s="148">
        <f t="shared" si="165"/>
        <v>0</v>
      </c>
      <c r="FV132" s="149"/>
      <c r="FY132" s="214">
        <v>127</v>
      </c>
      <c r="FZ132">
        <v>1.675382253476416</v>
      </c>
      <c r="GA132">
        <v>6.2273110605204298</v>
      </c>
      <c r="GB132">
        <v>6.4649021042214017</v>
      </c>
      <c r="GC132">
        <v>3.3712168632976232</v>
      </c>
      <c r="GD132">
        <v>2.3781912568137069</v>
      </c>
      <c r="GE132">
        <v>5.719403210938383</v>
      </c>
      <c r="GF132">
        <v>12.239364052019255</v>
      </c>
      <c r="GG132">
        <v>10.658525556456325</v>
      </c>
      <c r="GH132">
        <v>8.344697243742198</v>
      </c>
      <c r="GI132">
        <v>6.8963224345500427</v>
      </c>
      <c r="GJ132"/>
      <c r="GK132"/>
      <c r="GL132"/>
      <c r="GM132"/>
    </row>
    <row r="133" spans="1:195" s="7" customFormat="1">
      <c r="A133" s="1"/>
      <c r="B133" s="76">
        <f t="shared" ca="1" si="132"/>
        <v>0.1793694191118167</v>
      </c>
      <c r="C133">
        <v>5</v>
      </c>
      <c r="D133">
        <v>39775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87.79297507578562</v>
      </c>
      <c r="AO133">
        <v>18.165183524633708</v>
      </c>
      <c r="AP133">
        <v>113.30294256146985</v>
      </c>
      <c r="AQ133">
        <v>111.58105333412453</v>
      </c>
      <c r="AR133">
        <v>16.5263345561746</v>
      </c>
      <c r="AS133">
        <v>85.667784323802834</v>
      </c>
      <c r="AT133" t="e">
        <v>#DIV/0!</v>
      </c>
      <c r="AU133" t="e">
        <v>#DIV/0!</v>
      </c>
      <c r="AV133"/>
      <c r="AW133"/>
      <c r="AX133" s="146"/>
      <c r="AY133" s="76">
        <f t="shared" ca="1" si="88"/>
        <v>0.52660104669726526</v>
      </c>
      <c r="AZ133">
        <v>6</v>
      </c>
      <c r="BA133" s="129">
        <f t="shared" si="167"/>
        <v>39775</v>
      </c>
      <c r="BB133" s="207">
        <v>0</v>
      </c>
      <c r="BC133" s="207">
        <v>0</v>
      </c>
      <c r="BD133" s="207">
        <v>0</v>
      </c>
      <c r="BE133" s="207">
        <v>0</v>
      </c>
      <c r="BF133" s="207">
        <v>0</v>
      </c>
      <c r="BG133" s="207">
        <v>0</v>
      </c>
      <c r="BH133" s="207">
        <v>0</v>
      </c>
      <c r="BI133" s="207">
        <v>0</v>
      </c>
      <c r="BJ133" s="207">
        <v>0</v>
      </c>
      <c r="BK133" s="207">
        <v>0</v>
      </c>
      <c r="BL133" s="207">
        <v>0</v>
      </c>
      <c r="BM133" s="207">
        <v>0</v>
      </c>
      <c r="BN133" s="207">
        <v>0</v>
      </c>
      <c r="BO133" s="207">
        <v>0</v>
      </c>
      <c r="BP133" s="207">
        <v>0</v>
      </c>
      <c r="BQ133" s="207">
        <v>0</v>
      </c>
      <c r="BR133" s="207">
        <v>0</v>
      </c>
      <c r="BS133" s="207">
        <v>0</v>
      </c>
      <c r="BT133" s="207">
        <v>0</v>
      </c>
      <c r="BU133" s="207">
        <v>0</v>
      </c>
      <c r="BV133" s="207">
        <v>0</v>
      </c>
      <c r="BW133" s="207">
        <v>0</v>
      </c>
      <c r="BX133" s="207">
        <v>0</v>
      </c>
      <c r="BY133" s="207">
        <v>0</v>
      </c>
      <c r="BZ133" s="207">
        <v>0</v>
      </c>
      <c r="CA133" s="207">
        <v>0</v>
      </c>
      <c r="CB133" s="207">
        <v>0</v>
      </c>
      <c r="CC133" s="207">
        <v>0</v>
      </c>
      <c r="CD133" s="207">
        <v>0</v>
      </c>
      <c r="CE133" s="207">
        <v>0</v>
      </c>
      <c r="CF133" s="207">
        <v>0</v>
      </c>
      <c r="CG133" s="147"/>
      <c r="CH133" s="176"/>
      <c r="CJ133" s="146"/>
      <c r="CK133" s="76">
        <f t="shared" ca="1" si="90"/>
        <v>8.4606047304858656E-2</v>
      </c>
      <c r="CL133" s="179">
        <f t="shared" si="91"/>
        <v>6</v>
      </c>
      <c r="CM133" s="180">
        <f t="shared" si="92"/>
        <v>39775</v>
      </c>
      <c r="CN133" s="208">
        <v>0</v>
      </c>
      <c r="CO133" s="208">
        <v>2</v>
      </c>
      <c r="CP133" s="208">
        <v>6</v>
      </c>
      <c r="CQ133" s="208">
        <v>2</v>
      </c>
      <c r="CR133" s="208">
        <v>0</v>
      </c>
      <c r="CS133" s="208">
        <v>0</v>
      </c>
      <c r="CT133" s="208">
        <v>0</v>
      </c>
      <c r="CU133" s="208">
        <v>0</v>
      </c>
      <c r="CV133" s="160"/>
      <c r="CW133">
        <v>1</v>
      </c>
      <c r="CX133">
        <v>1</v>
      </c>
      <c r="CY133" s="164"/>
      <c r="CZ133" s="177">
        <f t="shared" si="93"/>
        <v>9.6000000000000002E-2</v>
      </c>
      <c r="DB133" s="146"/>
      <c r="DC133" s="76">
        <f t="shared" ca="1" si="51"/>
        <v>0.46986056400600873</v>
      </c>
      <c r="DD133">
        <f t="shared" si="94"/>
        <v>6</v>
      </c>
      <c r="DE133" s="129">
        <f t="shared" si="166"/>
        <v>39775</v>
      </c>
      <c r="DF133" s="161">
        <f t="shared" si="95"/>
        <v>0</v>
      </c>
      <c r="DG133" s="161">
        <f t="shared" si="96"/>
        <v>20.833333333333332</v>
      </c>
      <c r="DH133" s="161">
        <f t="shared" si="97"/>
        <v>62.5</v>
      </c>
      <c r="DI133" s="161">
        <f t="shared" si="98"/>
        <v>20.833333333333332</v>
      </c>
      <c r="DJ133" s="161">
        <f t="shared" si="99"/>
        <v>0</v>
      </c>
      <c r="DK133" s="161">
        <f t="shared" si="100"/>
        <v>0</v>
      </c>
      <c r="DL133" s="161">
        <f t="shared" si="101"/>
        <v>0</v>
      </c>
      <c r="DM133" s="161">
        <f t="shared" si="102"/>
        <v>0</v>
      </c>
      <c r="DN133" s="161">
        <f t="shared" si="103"/>
        <v>0</v>
      </c>
      <c r="DO133" s="161">
        <f t="shared" si="104"/>
        <v>0</v>
      </c>
      <c r="DP133" s="161">
        <f t="shared" si="105"/>
        <v>0</v>
      </c>
      <c r="DQ133" s="161">
        <f t="shared" si="106"/>
        <v>0</v>
      </c>
      <c r="DR133" s="161">
        <f t="shared" si="107"/>
        <v>0</v>
      </c>
      <c r="DS133" s="161">
        <f t="shared" si="108"/>
        <v>0</v>
      </c>
      <c r="DT133" s="161">
        <f t="shared" si="109"/>
        <v>0</v>
      </c>
      <c r="DU133" s="161">
        <f t="shared" si="110"/>
        <v>0</v>
      </c>
      <c r="DV133" s="161">
        <f t="shared" si="111"/>
        <v>0</v>
      </c>
      <c r="DW133" s="161">
        <f t="shared" si="112"/>
        <v>0</v>
      </c>
      <c r="DX133" s="161">
        <f t="shared" si="113"/>
        <v>0</v>
      </c>
      <c r="DY133" s="161">
        <f t="shared" si="114"/>
        <v>0</v>
      </c>
      <c r="DZ133" s="161">
        <f t="shared" si="115"/>
        <v>0</v>
      </c>
      <c r="EA133" s="161">
        <f t="shared" si="116"/>
        <v>0</v>
      </c>
      <c r="EB133" s="161">
        <f t="shared" si="117"/>
        <v>0</v>
      </c>
      <c r="EC133" s="161">
        <f t="shared" si="118"/>
        <v>0</v>
      </c>
      <c r="ED133" s="161">
        <f t="shared" si="119"/>
        <v>0</v>
      </c>
      <c r="EE133" s="161">
        <f t="shared" si="120"/>
        <v>0</v>
      </c>
      <c r="EF133" s="161">
        <f t="shared" si="121"/>
        <v>0</v>
      </c>
      <c r="EG133" s="161">
        <f t="shared" si="122"/>
        <v>0</v>
      </c>
      <c r="EH133" s="161">
        <f t="shared" si="123"/>
        <v>0</v>
      </c>
      <c r="EI133" s="161">
        <f t="shared" si="124"/>
        <v>0</v>
      </c>
      <c r="EJ133" s="161">
        <f t="shared" si="125"/>
        <v>0</v>
      </c>
      <c r="EK133" s="147">
        <f t="shared" si="133"/>
        <v>104.16666666666666</v>
      </c>
      <c r="EL133" s="149"/>
      <c r="EN133" s="146"/>
      <c r="EO133" s="146"/>
      <c r="EP133" s="139">
        <f t="shared" si="134"/>
        <v>0</v>
      </c>
      <c r="EQ133" s="139">
        <f t="shared" si="135"/>
        <v>0.14170416666666666</v>
      </c>
      <c r="ER133" s="139">
        <f t="shared" si="136"/>
        <v>2.7205844004468585</v>
      </c>
      <c r="ES133" s="139">
        <f t="shared" si="137"/>
        <v>2.6860453483363713</v>
      </c>
      <c r="ET133" s="139">
        <f t="shared" si="138"/>
        <v>0</v>
      </c>
      <c r="EU133" s="139">
        <f t="shared" si="139"/>
        <v>0</v>
      </c>
      <c r="EV133" s="139">
        <f t="shared" si="140"/>
        <v>0</v>
      </c>
      <c r="EW133" s="139">
        <f t="shared" si="141"/>
        <v>0</v>
      </c>
      <c r="EX133" s="139">
        <f t="shared" si="142"/>
        <v>0</v>
      </c>
      <c r="EY133" s="139">
        <f t="shared" si="143"/>
        <v>0</v>
      </c>
      <c r="EZ133" s="139">
        <f t="shared" si="144"/>
        <v>0</v>
      </c>
      <c r="FA133" s="139">
        <f t="shared" si="145"/>
        <v>0</v>
      </c>
      <c r="FB133" s="139">
        <f t="shared" si="146"/>
        <v>0</v>
      </c>
      <c r="FC133" s="139">
        <f t="shared" si="147"/>
        <v>0</v>
      </c>
      <c r="FD133" s="139">
        <f t="shared" si="148"/>
        <v>0</v>
      </c>
      <c r="FE133" s="139">
        <f t="shared" si="149"/>
        <v>0</v>
      </c>
      <c r="FF133" s="139">
        <f t="shared" si="150"/>
        <v>0</v>
      </c>
      <c r="FG133" s="139">
        <f t="shared" si="151"/>
        <v>0</v>
      </c>
      <c r="FH133" s="139">
        <f t="shared" si="152"/>
        <v>0</v>
      </c>
      <c r="FI133" s="139">
        <f t="shared" si="153"/>
        <v>0</v>
      </c>
      <c r="FJ133" s="139">
        <f t="shared" si="154"/>
        <v>0</v>
      </c>
      <c r="FK133" s="139">
        <f t="shared" si="155"/>
        <v>0</v>
      </c>
      <c r="FL133" s="139">
        <f t="shared" si="156"/>
        <v>0</v>
      </c>
      <c r="FM133" s="139">
        <f t="shared" si="157"/>
        <v>0</v>
      </c>
      <c r="FN133" s="139">
        <f t="shared" si="158"/>
        <v>0</v>
      </c>
      <c r="FO133" s="139">
        <f t="shared" si="159"/>
        <v>0</v>
      </c>
      <c r="FP133" s="139">
        <f t="shared" si="160"/>
        <v>0</v>
      </c>
      <c r="FQ133" s="139">
        <f t="shared" si="161"/>
        <v>0</v>
      </c>
      <c r="FR133" s="139">
        <f t="shared" si="162"/>
        <v>0</v>
      </c>
      <c r="FS133" s="139">
        <f t="shared" si="163"/>
        <v>0</v>
      </c>
      <c r="FT133" s="139">
        <f t="shared" si="164"/>
        <v>0</v>
      </c>
      <c r="FU133" s="148">
        <f t="shared" si="165"/>
        <v>5.5483339154498967</v>
      </c>
      <c r="FV133" s="149"/>
      <c r="FY133" s="214">
        <v>128</v>
      </c>
      <c r="FZ133">
        <v>0.36163035994146009</v>
      </c>
      <c r="GA133">
        <v>3.2505674940436688</v>
      </c>
      <c r="GB133">
        <v>6.4368016456347181</v>
      </c>
      <c r="GC133">
        <v>3.4167899211575437</v>
      </c>
      <c r="GD133">
        <v>6.0827058108608263</v>
      </c>
      <c r="GE133">
        <v>20.501580011049349</v>
      </c>
      <c r="GF133">
        <v>28.033320947565056</v>
      </c>
      <c r="GG133">
        <v>15.513375014074605</v>
      </c>
      <c r="GH133">
        <v>5.833164351279815</v>
      </c>
      <c r="GI133">
        <v>11.912612546924059</v>
      </c>
      <c r="GJ133"/>
      <c r="GK133"/>
      <c r="GL133"/>
      <c r="GM133"/>
    </row>
    <row r="134" spans="1:195" s="7" customFormat="1">
      <c r="A134" s="1"/>
      <c r="B134" s="76">
        <f t="shared" ca="1" si="132"/>
        <v>0.5045297114003553</v>
      </c>
      <c r="C134">
        <v>6</v>
      </c>
      <c r="D134">
        <v>39775</v>
      </c>
      <c r="E134">
        <v>0</v>
      </c>
      <c r="F134">
        <v>20.833333333333332</v>
      </c>
      <c r="G134">
        <v>62.5</v>
      </c>
      <c r="H134">
        <v>20.833333333333332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50.919453450996137</v>
      </c>
      <c r="AO134">
        <v>6.7222085790398847</v>
      </c>
      <c r="AP134">
        <v>66.712436325906424</v>
      </c>
      <c r="AQ134">
        <v>46.440534219109004</v>
      </c>
      <c r="AR134">
        <v>6.4685059196713626</v>
      </c>
      <c r="AS134">
        <v>40.263492019210339</v>
      </c>
      <c r="AT134" t="e">
        <v>#DIV/0!</v>
      </c>
      <c r="AU134" t="e">
        <v>#DIV/0!</v>
      </c>
      <c r="AV134"/>
      <c r="AW134"/>
      <c r="AX134" s="146"/>
      <c r="AY134" s="76">
        <f t="shared" ca="1" si="88"/>
        <v>0.38140434222874475</v>
      </c>
      <c r="AZ134">
        <v>7</v>
      </c>
      <c r="BA134" s="129">
        <f t="shared" si="167"/>
        <v>39775</v>
      </c>
      <c r="BB134" s="207">
        <v>0</v>
      </c>
      <c r="BC134" s="207">
        <v>0</v>
      </c>
      <c r="BD134" s="207">
        <v>0</v>
      </c>
      <c r="BE134" s="207">
        <v>0</v>
      </c>
      <c r="BF134" s="207">
        <v>0</v>
      </c>
      <c r="BG134" s="207">
        <v>0</v>
      </c>
      <c r="BH134" s="207">
        <v>0</v>
      </c>
      <c r="BI134" s="207">
        <v>0</v>
      </c>
      <c r="BJ134" s="207">
        <v>0</v>
      </c>
      <c r="BK134" s="207">
        <v>0</v>
      </c>
      <c r="BL134" s="207">
        <v>0</v>
      </c>
      <c r="BM134" s="207">
        <v>0</v>
      </c>
      <c r="BN134" s="207">
        <v>0</v>
      </c>
      <c r="BO134" s="207">
        <v>0</v>
      </c>
      <c r="BP134" s="207">
        <v>0</v>
      </c>
      <c r="BQ134" s="207">
        <v>0</v>
      </c>
      <c r="BR134" s="207">
        <v>0</v>
      </c>
      <c r="BS134" s="207">
        <v>0</v>
      </c>
      <c r="BT134" s="207">
        <v>0</v>
      </c>
      <c r="BU134" s="207">
        <v>0</v>
      </c>
      <c r="BV134" s="207">
        <v>0</v>
      </c>
      <c r="BW134" s="207">
        <v>0</v>
      </c>
      <c r="BX134" s="207">
        <v>0</v>
      </c>
      <c r="BY134" s="207">
        <v>0</v>
      </c>
      <c r="BZ134" s="207">
        <v>0</v>
      </c>
      <c r="CA134" s="207">
        <v>0</v>
      </c>
      <c r="CB134" s="207">
        <v>0</v>
      </c>
      <c r="CC134" s="207">
        <v>0</v>
      </c>
      <c r="CD134" s="207">
        <v>0</v>
      </c>
      <c r="CE134" s="207">
        <v>0</v>
      </c>
      <c r="CF134" s="207">
        <v>0</v>
      </c>
      <c r="CG134" s="147"/>
      <c r="CH134" s="176"/>
      <c r="CJ134" s="146"/>
      <c r="CK134" s="76">
        <f t="shared" ca="1" si="90"/>
        <v>0.43885549428142867</v>
      </c>
      <c r="CL134" s="179">
        <f t="shared" si="91"/>
        <v>7</v>
      </c>
      <c r="CM134" s="180">
        <f t="shared" si="92"/>
        <v>39775</v>
      </c>
      <c r="CN134" s="208">
        <v>0</v>
      </c>
      <c r="CO134" s="208">
        <v>0</v>
      </c>
      <c r="CP134" s="208">
        <v>3</v>
      </c>
      <c r="CQ134" s="208">
        <v>1</v>
      </c>
      <c r="CR134" s="208">
        <v>0</v>
      </c>
      <c r="CS134" s="208">
        <v>0</v>
      </c>
      <c r="CT134" s="208">
        <v>0</v>
      </c>
      <c r="CU134" s="208">
        <v>0</v>
      </c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3"/>
        <v>9.6000000000000002E-2</v>
      </c>
      <c r="DB134" s="146"/>
      <c r="DC134" s="76">
        <f t="shared" ca="1" si="51"/>
        <v>0.20577077197935534</v>
      </c>
      <c r="DD134">
        <f t="shared" si="94"/>
        <v>7</v>
      </c>
      <c r="DE134" s="129">
        <f t="shared" si="166"/>
        <v>39775</v>
      </c>
      <c r="DF134" s="161">
        <f t="shared" si="95"/>
        <v>0</v>
      </c>
      <c r="DG134" s="161">
        <f t="shared" si="96"/>
        <v>0</v>
      </c>
      <c r="DH134" s="161">
        <f t="shared" si="97"/>
        <v>69.444444444444443</v>
      </c>
      <c r="DI134" s="161">
        <f t="shared" si="98"/>
        <v>23.148148148148149</v>
      </c>
      <c r="DJ134" s="161">
        <f t="shared" si="99"/>
        <v>0</v>
      </c>
      <c r="DK134" s="161">
        <f t="shared" si="100"/>
        <v>0</v>
      </c>
      <c r="DL134" s="161">
        <f t="shared" si="101"/>
        <v>0</v>
      </c>
      <c r="DM134" s="161">
        <f t="shared" si="102"/>
        <v>0</v>
      </c>
      <c r="DN134" s="161">
        <f t="shared" si="103"/>
        <v>0</v>
      </c>
      <c r="DO134" s="161">
        <f t="shared" si="104"/>
        <v>0</v>
      </c>
      <c r="DP134" s="161">
        <f t="shared" si="105"/>
        <v>0</v>
      </c>
      <c r="DQ134" s="161">
        <f t="shared" si="106"/>
        <v>0</v>
      </c>
      <c r="DR134" s="161">
        <f t="shared" si="107"/>
        <v>0</v>
      </c>
      <c r="DS134" s="161">
        <f t="shared" si="108"/>
        <v>0</v>
      </c>
      <c r="DT134" s="161">
        <f t="shared" si="109"/>
        <v>0</v>
      </c>
      <c r="DU134" s="161">
        <f t="shared" si="110"/>
        <v>0</v>
      </c>
      <c r="DV134" s="161">
        <f t="shared" si="111"/>
        <v>0</v>
      </c>
      <c r="DW134" s="161">
        <f t="shared" si="112"/>
        <v>0</v>
      </c>
      <c r="DX134" s="161">
        <f t="shared" si="113"/>
        <v>0</v>
      </c>
      <c r="DY134" s="161">
        <f t="shared" si="114"/>
        <v>0</v>
      </c>
      <c r="DZ134" s="161">
        <f t="shared" si="115"/>
        <v>0</v>
      </c>
      <c r="EA134" s="161">
        <f t="shared" si="116"/>
        <v>0</v>
      </c>
      <c r="EB134" s="161">
        <f t="shared" si="117"/>
        <v>0</v>
      </c>
      <c r="EC134" s="161">
        <f t="shared" si="118"/>
        <v>0</v>
      </c>
      <c r="ED134" s="161">
        <f t="shared" si="119"/>
        <v>0</v>
      </c>
      <c r="EE134" s="161">
        <f t="shared" si="120"/>
        <v>0</v>
      </c>
      <c r="EF134" s="161">
        <f t="shared" si="121"/>
        <v>0</v>
      </c>
      <c r="EG134" s="161">
        <f t="shared" si="122"/>
        <v>0</v>
      </c>
      <c r="EH134" s="161">
        <f t="shared" si="123"/>
        <v>0</v>
      </c>
      <c r="EI134" s="161">
        <f t="shared" si="124"/>
        <v>0</v>
      </c>
      <c r="EJ134" s="161">
        <f t="shared" si="125"/>
        <v>0</v>
      </c>
      <c r="EK134" s="147">
        <f t="shared" si="133"/>
        <v>92.592592592592595</v>
      </c>
      <c r="EL134" s="149"/>
      <c r="EN134" s="146"/>
      <c r="EO134" s="146"/>
      <c r="EP134" s="139">
        <f t="shared" si="134"/>
        <v>0</v>
      </c>
      <c r="EQ134" s="139">
        <f t="shared" si="135"/>
        <v>0</v>
      </c>
      <c r="ER134" s="139">
        <f t="shared" si="136"/>
        <v>3.0228715560520647</v>
      </c>
      <c r="ES134" s="139">
        <f t="shared" si="137"/>
        <v>2.9844948314848576</v>
      </c>
      <c r="ET134" s="139">
        <f t="shared" si="138"/>
        <v>0</v>
      </c>
      <c r="EU134" s="139">
        <f t="shared" si="139"/>
        <v>0</v>
      </c>
      <c r="EV134" s="139">
        <f t="shared" si="140"/>
        <v>0</v>
      </c>
      <c r="EW134" s="139">
        <f t="shared" si="141"/>
        <v>0</v>
      </c>
      <c r="EX134" s="139">
        <f t="shared" si="142"/>
        <v>0</v>
      </c>
      <c r="EY134" s="139">
        <f t="shared" si="143"/>
        <v>0</v>
      </c>
      <c r="EZ134" s="139">
        <f t="shared" si="144"/>
        <v>0</v>
      </c>
      <c r="FA134" s="139">
        <f t="shared" si="145"/>
        <v>0</v>
      </c>
      <c r="FB134" s="139">
        <f t="shared" si="146"/>
        <v>0</v>
      </c>
      <c r="FC134" s="139">
        <f t="shared" si="147"/>
        <v>0</v>
      </c>
      <c r="FD134" s="139">
        <f t="shared" si="148"/>
        <v>0</v>
      </c>
      <c r="FE134" s="139">
        <f t="shared" si="149"/>
        <v>0</v>
      </c>
      <c r="FF134" s="139">
        <f t="shared" si="150"/>
        <v>0</v>
      </c>
      <c r="FG134" s="139">
        <f t="shared" si="151"/>
        <v>0</v>
      </c>
      <c r="FH134" s="139">
        <f t="shared" si="152"/>
        <v>0</v>
      </c>
      <c r="FI134" s="139">
        <f t="shared" si="153"/>
        <v>0</v>
      </c>
      <c r="FJ134" s="139">
        <f t="shared" si="154"/>
        <v>0</v>
      </c>
      <c r="FK134" s="139">
        <f t="shared" si="155"/>
        <v>0</v>
      </c>
      <c r="FL134" s="139">
        <f t="shared" si="156"/>
        <v>0</v>
      </c>
      <c r="FM134" s="139">
        <f t="shared" si="157"/>
        <v>0</v>
      </c>
      <c r="FN134" s="139">
        <f t="shared" si="158"/>
        <v>0</v>
      </c>
      <c r="FO134" s="139">
        <f t="shared" si="159"/>
        <v>0</v>
      </c>
      <c r="FP134" s="139">
        <f t="shared" si="160"/>
        <v>0</v>
      </c>
      <c r="FQ134" s="139">
        <f t="shared" si="161"/>
        <v>0</v>
      </c>
      <c r="FR134" s="139">
        <f t="shared" si="162"/>
        <v>0</v>
      </c>
      <c r="FS134" s="139">
        <f t="shared" si="163"/>
        <v>0</v>
      </c>
      <c r="FT134" s="139">
        <f t="shared" si="164"/>
        <v>0</v>
      </c>
      <c r="FU134" s="148">
        <f t="shared" si="165"/>
        <v>6.0073663875369228</v>
      </c>
      <c r="FV134" s="149"/>
      <c r="FY134" s="214">
        <v>129</v>
      </c>
      <c r="FZ134">
        <v>0.6797597190428335</v>
      </c>
      <c r="GA134">
        <v>22.974082535732034</v>
      </c>
      <c r="GB134">
        <v>13.046873772253736</v>
      </c>
      <c r="GC134">
        <v>1.6897824393631649</v>
      </c>
      <c r="GD134">
        <v>5.1585155245924446</v>
      </c>
      <c r="GE134">
        <v>14.793667963074469</v>
      </c>
      <c r="GF134">
        <v>15.821927584650888</v>
      </c>
      <c r="GG134">
        <v>9.104220373539448</v>
      </c>
      <c r="GH134">
        <v>5.6116436196555526</v>
      </c>
      <c r="GI134">
        <v>10.335060278318732</v>
      </c>
      <c r="GJ134"/>
      <c r="GK134"/>
      <c r="GL134"/>
      <c r="GM134"/>
    </row>
    <row r="135" spans="1:195" s="7" customFormat="1">
      <c r="A135" s="1"/>
      <c r="B135" s="76">
        <f t="shared" ca="1" si="132"/>
        <v>0.30983436937870668</v>
      </c>
      <c r="C135">
        <v>1</v>
      </c>
      <c r="D135">
        <v>39775</v>
      </c>
      <c r="E135">
        <v>0</v>
      </c>
      <c r="F135">
        <v>0</v>
      </c>
      <c r="G135">
        <v>21.875</v>
      </c>
      <c r="H135">
        <v>0</v>
      </c>
      <c r="I135">
        <v>0</v>
      </c>
      <c r="J135">
        <v>21.875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72.498079742925285</v>
      </c>
      <c r="AO135">
        <v>13.848612388060397</v>
      </c>
      <c r="AP135">
        <v>56.010868781383316</v>
      </c>
      <c r="AQ135">
        <v>91.691882065299183</v>
      </c>
      <c r="AR135">
        <v>12.946732782038497</v>
      </c>
      <c r="AS135">
        <v>69.619134994332555</v>
      </c>
      <c r="AT135" t="e">
        <v>#DIV/0!</v>
      </c>
      <c r="AU135" t="e">
        <v>#DIV/0!</v>
      </c>
      <c r="AV135"/>
      <c r="AW135"/>
      <c r="AX135" s="146"/>
      <c r="AY135" s="76">
        <f t="shared" ca="1" si="88"/>
        <v>0.24430785682544531</v>
      </c>
      <c r="AZ135">
        <v>8</v>
      </c>
      <c r="BA135" s="129">
        <f t="shared" si="167"/>
        <v>39775</v>
      </c>
      <c r="BB135" s="207">
        <v>0</v>
      </c>
      <c r="BC135" s="207">
        <v>0</v>
      </c>
      <c r="BD135" s="207">
        <v>0</v>
      </c>
      <c r="BE135" s="207">
        <v>0</v>
      </c>
      <c r="BF135" s="207">
        <v>0</v>
      </c>
      <c r="BG135" s="207">
        <v>0</v>
      </c>
      <c r="BH135" s="207">
        <v>0</v>
      </c>
      <c r="BI135" s="207">
        <v>0</v>
      </c>
      <c r="BJ135" s="207">
        <v>0</v>
      </c>
      <c r="BK135" s="207">
        <v>0</v>
      </c>
      <c r="BL135" s="207">
        <v>0</v>
      </c>
      <c r="BM135" s="207">
        <v>0</v>
      </c>
      <c r="BN135" s="207">
        <v>0</v>
      </c>
      <c r="BO135" s="207">
        <v>0</v>
      </c>
      <c r="BP135" s="207">
        <v>0</v>
      </c>
      <c r="BQ135" s="207">
        <v>0</v>
      </c>
      <c r="BR135" s="207">
        <v>0</v>
      </c>
      <c r="BS135" s="207">
        <v>0</v>
      </c>
      <c r="BT135" s="207">
        <v>0</v>
      </c>
      <c r="BU135" s="207">
        <v>0</v>
      </c>
      <c r="BV135" s="207">
        <v>0</v>
      </c>
      <c r="BW135" s="207">
        <v>0</v>
      </c>
      <c r="BX135" s="207">
        <v>0</v>
      </c>
      <c r="BY135" s="207">
        <v>0</v>
      </c>
      <c r="BZ135" s="207">
        <v>0</v>
      </c>
      <c r="CA135" s="207">
        <v>0</v>
      </c>
      <c r="CB135" s="207">
        <v>0</v>
      </c>
      <c r="CC135" s="207">
        <v>0</v>
      </c>
      <c r="CD135" s="207">
        <v>0</v>
      </c>
      <c r="CE135" s="207">
        <v>0</v>
      </c>
      <c r="CF135" s="207">
        <v>0</v>
      </c>
      <c r="CG135" s="147"/>
      <c r="CH135" s="176"/>
      <c r="CJ135" s="146"/>
      <c r="CK135" s="76">
        <f t="shared" ca="1" si="90"/>
        <v>0.93485799150765736</v>
      </c>
      <c r="CL135" s="179">
        <f t="shared" si="91"/>
        <v>8</v>
      </c>
      <c r="CM135" s="180">
        <f t="shared" si="92"/>
        <v>39775</v>
      </c>
      <c r="CN135" s="208">
        <v>0</v>
      </c>
      <c r="CO135" s="208">
        <v>1</v>
      </c>
      <c r="CP135" s="208">
        <v>3</v>
      </c>
      <c r="CQ135" s="208">
        <v>0</v>
      </c>
      <c r="CR135" s="208">
        <v>0</v>
      </c>
      <c r="CS135" s="208">
        <v>0</v>
      </c>
      <c r="CT135" s="208">
        <v>0</v>
      </c>
      <c r="CU135" s="208">
        <v>0</v>
      </c>
      <c r="CV135" s="160"/>
      <c r="CW135">
        <f>30/9</f>
        <v>3.3333333333333335</v>
      </c>
      <c r="CX135">
        <f>40/8</f>
        <v>5</v>
      </c>
      <c r="CY135" s="164"/>
      <c r="CZ135" s="177">
        <f t="shared" si="93"/>
        <v>9.6000000000000002E-2</v>
      </c>
      <c r="DB135" s="146"/>
      <c r="DC135" s="76">
        <f t="shared" ca="1" si="51"/>
        <v>0.90413226507358058</v>
      </c>
      <c r="DD135">
        <f t="shared" si="94"/>
        <v>8</v>
      </c>
      <c r="DE135" s="129">
        <f t="shared" si="166"/>
        <v>39775</v>
      </c>
      <c r="DF135" s="161">
        <f t="shared" si="95"/>
        <v>0</v>
      </c>
      <c r="DG135" s="161">
        <f t="shared" si="96"/>
        <v>52.083333333333336</v>
      </c>
      <c r="DH135" s="161">
        <f t="shared" si="97"/>
        <v>156.25</v>
      </c>
      <c r="DI135" s="161">
        <f t="shared" si="98"/>
        <v>0</v>
      </c>
      <c r="DJ135" s="161">
        <f t="shared" si="99"/>
        <v>0</v>
      </c>
      <c r="DK135" s="161">
        <f t="shared" si="100"/>
        <v>0</v>
      </c>
      <c r="DL135" s="161">
        <f t="shared" si="101"/>
        <v>0</v>
      </c>
      <c r="DM135" s="161">
        <f t="shared" si="102"/>
        <v>0</v>
      </c>
      <c r="DN135" s="161">
        <f t="shared" si="103"/>
        <v>0</v>
      </c>
      <c r="DO135" s="161">
        <f t="shared" si="104"/>
        <v>0</v>
      </c>
      <c r="DP135" s="161">
        <f t="shared" si="105"/>
        <v>0</v>
      </c>
      <c r="DQ135" s="161">
        <f t="shared" si="106"/>
        <v>0</v>
      </c>
      <c r="DR135" s="161">
        <f t="shared" si="107"/>
        <v>0</v>
      </c>
      <c r="DS135" s="161">
        <f t="shared" si="108"/>
        <v>0</v>
      </c>
      <c r="DT135" s="161">
        <f t="shared" si="109"/>
        <v>0</v>
      </c>
      <c r="DU135" s="161">
        <f t="shared" si="110"/>
        <v>0</v>
      </c>
      <c r="DV135" s="161">
        <f t="shared" si="111"/>
        <v>0</v>
      </c>
      <c r="DW135" s="161">
        <f t="shared" si="112"/>
        <v>0</v>
      </c>
      <c r="DX135" s="161">
        <f t="shared" si="113"/>
        <v>0</v>
      </c>
      <c r="DY135" s="161">
        <f t="shared" si="114"/>
        <v>0</v>
      </c>
      <c r="DZ135" s="161">
        <f t="shared" si="115"/>
        <v>0</v>
      </c>
      <c r="EA135" s="161">
        <f t="shared" si="116"/>
        <v>0</v>
      </c>
      <c r="EB135" s="161">
        <f t="shared" si="117"/>
        <v>0</v>
      </c>
      <c r="EC135" s="161">
        <f t="shared" si="118"/>
        <v>0</v>
      </c>
      <c r="ED135" s="161">
        <f t="shared" si="119"/>
        <v>0</v>
      </c>
      <c r="EE135" s="161">
        <f t="shared" si="120"/>
        <v>0</v>
      </c>
      <c r="EF135" s="161">
        <f t="shared" si="121"/>
        <v>0</v>
      </c>
      <c r="EG135" s="161">
        <f t="shared" si="122"/>
        <v>0</v>
      </c>
      <c r="EH135" s="161">
        <f t="shared" si="123"/>
        <v>0</v>
      </c>
      <c r="EI135" s="161">
        <f t="shared" si="124"/>
        <v>0</v>
      </c>
      <c r="EJ135" s="161">
        <f t="shared" si="125"/>
        <v>0</v>
      </c>
      <c r="EK135" s="147">
        <f t="shared" si="133"/>
        <v>208.33333333333334</v>
      </c>
      <c r="EL135" s="149"/>
      <c r="EN135" s="146"/>
      <c r="EO135" s="146"/>
      <c r="EP135" s="139">
        <f t="shared" si="134"/>
        <v>0</v>
      </c>
      <c r="EQ135" s="139">
        <f t="shared" si="135"/>
        <v>0.35426041666666669</v>
      </c>
      <c r="ER135" s="139">
        <f t="shared" si="136"/>
        <v>6.8014610011171452</v>
      </c>
      <c r="ES135" s="139">
        <f t="shared" si="137"/>
        <v>0</v>
      </c>
      <c r="ET135" s="139">
        <f t="shared" si="138"/>
        <v>0</v>
      </c>
      <c r="EU135" s="139">
        <f t="shared" si="139"/>
        <v>0</v>
      </c>
      <c r="EV135" s="139">
        <f t="shared" si="140"/>
        <v>0</v>
      </c>
      <c r="EW135" s="139">
        <f t="shared" si="141"/>
        <v>0</v>
      </c>
      <c r="EX135" s="139">
        <f t="shared" si="142"/>
        <v>0</v>
      </c>
      <c r="EY135" s="139">
        <f t="shared" si="143"/>
        <v>0</v>
      </c>
      <c r="EZ135" s="139">
        <f t="shared" si="144"/>
        <v>0</v>
      </c>
      <c r="FA135" s="139">
        <f t="shared" si="145"/>
        <v>0</v>
      </c>
      <c r="FB135" s="139">
        <f t="shared" si="146"/>
        <v>0</v>
      </c>
      <c r="FC135" s="139">
        <f t="shared" si="147"/>
        <v>0</v>
      </c>
      <c r="FD135" s="139">
        <f t="shared" si="148"/>
        <v>0</v>
      </c>
      <c r="FE135" s="139">
        <f t="shared" si="149"/>
        <v>0</v>
      </c>
      <c r="FF135" s="139">
        <f t="shared" si="150"/>
        <v>0</v>
      </c>
      <c r="FG135" s="139">
        <f t="shared" si="151"/>
        <v>0</v>
      </c>
      <c r="FH135" s="139">
        <f t="shared" si="152"/>
        <v>0</v>
      </c>
      <c r="FI135" s="139">
        <f t="shared" si="153"/>
        <v>0</v>
      </c>
      <c r="FJ135" s="139">
        <f t="shared" si="154"/>
        <v>0</v>
      </c>
      <c r="FK135" s="139">
        <f t="shared" si="155"/>
        <v>0</v>
      </c>
      <c r="FL135" s="139">
        <f t="shared" si="156"/>
        <v>0</v>
      </c>
      <c r="FM135" s="139">
        <f t="shared" si="157"/>
        <v>0</v>
      </c>
      <c r="FN135" s="139">
        <f t="shared" si="158"/>
        <v>0</v>
      </c>
      <c r="FO135" s="139">
        <f t="shared" si="159"/>
        <v>0</v>
      </c>
      <c r="FP135" s="139">
        <f t="shared" si="160"/>
        <v>0</v>
      </c>
      <c r="FQ135" s="139">
        <f t="shared" si="161"/>
        <v>0</v>
      </c>
      <c r="FR135" s="139">
        <f t="shared" si="162"/>
        <v>0</v>
      </c>
      <c r="FS135" s="139">
        <f t="shared" si="163"/>
        <v>0</v>
      </c>
      <c r="FT135" s="139">
        <f t="shared" si="164"/>
        <v>0</v>
      </c>
      <c r="FU135" s="148">
        <f t="shared" si="165"/>
        <v>7.1557214177838118</v>
      </c>
      <c r="FV135" s="149"/>
      <c r="FY135" s="214">
        <v>130</v>
      </c>
      <c r="FZ135">
        <v>0.46926306557414704</v>
      </c>
      <c r="GA135">
        <v>10.343473134192248</v>
      </c>
      <c r="GB135">
        <v>7.9121383470115259</v>
      </c>
      <c r="GC135">
        <v>2.257547558315407</v>
      </c>
      <c r="GD135">
        <v>4.1802393443610617</v>
      </c>
      <c r="GE135">
        <v>7.7143043107133007</v>
      </c>
      <c r="GF135">
        <v>13.109483515112034</v>
      </c>
      <c r="GG135">
        <v>17.139874772405875</v>
      </c>
      <c r="GH135">
        <v>9.4060407889470916</v>
      </c>
      <c r="GI135">
        <v>8.6793069294700498</v>
      </c>
      <c r="GJ135"/>
      <c r="GK135"/>
      <c r="GL135"/>
      <c r="GM135"/>
    </row>
    <row r="136" spans="1:195" s="7" customFormat="1">
      <c r="A136" s="1"/>
      <c r="B136" s="76">
        <f t="shared" ca="1" si="132"/>
        <v>0.90463549726598291</v>
      </c>
      <c r="C136">
        <v>3</v>
      </c>
      <c r="D136">
        <v>39775</v>
      </c>
      <c r="E136">
        <v>0</v>
      </c>
      <c r="F136">
        <v>0</v>
      </c>
      <c r="G136">
        <v>156.25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117.55475510797214</v>
      </c>
      <c r="AO136">
        <v>21.587207859514798</v>
      </c>
      <c r="AP136">
        <v>86.463123777691948</v>
      </c>
      <c r="AQ136">
        <v>119.02766210885858</v>
      </c>
      <c r="AR136">
        <v>19.625378527589206</v>
      </c>
      <c r="AS136">
        <v>108.96117822481617</v>
      </c>
      <c r="AT136" t="e">
        <v>#DIV/0!</v>
      </c>
      <c r="AU136" t="e">
        <v>#DIV/0!</v>
      </c>
      <c r="AV136"/>
      <c r="AW136"/>
      <c r="AX136" s="146"/>
      <c r="AY136" s="76">
        <f t="shared" ca="1" si="88"/>
        <v>0.19397305136983523</v>
      </c>
      <c r="AZ136">
        <v>9</v>
      </c>
      <c r="BA136" s="129">
        <f t="shared" si="167"/>
        <v>39775</v>
      </c>
      <c r="BB136" s="207">
        <v>0</v>
      </c>
      <c r="BC136" s="207">
        <v>0</v>
      </c>
      <c r="BD136" s="207">
        <v>0</v>
      </c>
      <c r="BE136" s="207">
        <v>0</v>
      </c>
      <c r="BF136" s="207">
        <v>0</v>
      </c>
      <c r="BG136" s="207">
        <v>0</v>
      </c>
      <c r="BH136" s="207">
        <v>0</v>
      </c>
      <c r="BI136" s="207">
        <v>0</v>
      </c>
      <c r="BJ136" s="207">
        <v>0</v>
      </c>
      <c r="BK136" s="207">
        <v>0</v>
      </c>
      <c r="BL136" s="207">
        <v>0</v>
      </c>
      <c r="BM136" s="207">
        <v>0</v>
      </c>
      <c r="BN136" s="207">
        <v>0</v>
      </c>
      <c r="BO136" s="207">
        <v>0</v>
      </c>
      <c r="BP136" s="207">
        <v>0</v>
      </c>
      <c r="BQ136" s="207">
        <v>0</v>
      </c>
      <c r="BR136" s="207">
        <v>0</v>
      </c>
      <c r="BS136" s="207">
        <v>0</v>
      </c>
      <c r="BT136" s="207">
        <v>0</v>
      </c>
      <c r="BU136" s="207">
        <v>0</v>
      </c>
      <c r="BV136" s="207">
        <v>0</v>
      </c>
      <c r="BW136" s="207">
        <v>0</v>
      </c>
      <c r="BX136" s="207">
        <v>0</v>
      </c>
      <c r="BY136" s="207">
        <v>0</v>
      </c>
      <c r="BZ136" s="207">
        <v>0</v>
      </c>
      <c r="CA136" s="207">
        <v>0</v>
      </c>
      <c r="CB136" s="207">
        <v>0</v>
      </c>
      <c r="CC136" s="207">
        <v>0</v>
      </c>
      <c r="CD136" s="207">
        <v>0</v>
      </c>
      <c r="CE136" s="207">
        <v>0</v>
      </c>
      <c r="CF136" s="207">
        <v>0</v>
      </c>
      <c r="CG136" s="147"/>
      <c r="CH136" s="176"/>
      <c r="CJ136" s="146"/>
      <c r="CK136" s="76">
        <f t="shared" ca="1" si="90"/>
        <v>0.70526090262545971</v>
      </c>
      <c r="CL136" s="179">
        <f t="shared" si="91"/>
        <v>9</v>
      </c>
      <c r="CM136" s="180">
        <f t="shared" si="92"/>
        <v>39775</v>
      </c>
      <c r="CN136" s="208">
        <v>0</v>
      </c>
      <c r="CO136" s="208">
        <v>0</v>
      </c>
      <c r="CP136" s="208">
        <v>1</v>
      </c>
      <c r="CQ136" s="208">
        <v>0</v>
      </c>
      <c r="CR136" s="208">
        <v>0</v>
      </c>
      <c r="CS136" s="208">
        <v>0</v>
      </c>
      <c r="CT136" s="208">
        <v>0</v>
      </c>
      <c r="CU136" s="208">
        <v>0</v>
      </c>
      <c r="CV136" s="160"/>
      <c r="CW136">
        <v>1</v>
      </c>
      <c r="CX136">
        <v>1</v>
      </c>
      <c r="CY136" s="164"/>
      <c r="CZ136" s="177">
        <f t="shared" si="93"/>
        <v>9.6000000000000002E-2</v>
      </c>
      <c r="DB136" s="146"/>
      <c r="DC136" s="76">
        <f t="shared" ca="1" si="51"/>
        <v>0.23022744625175573</v>
      </c>
      <c r="DD136">
        <f t="shared" si="94"/>
        <v>9</v>
      </c>
      <c r="DE136" s="129">
        <f t="shared" si="166"/>
        <v>39775</v>
      </c>
      <c r="DF136" s="161">
        <f t="shared" si="95"/>
        <v>0</v>
      </c>
      <c r="DG136" s="161">
        <f t="shared" si="96"/>
        <v>0</v>
      </c>
      <c r="DH136" s="161">
        <f t="shared" si="97"/>
        <v>10.416666666666666</v>
      </c>
      <c r="DI136" s="161">
        <f t="shared" si="98"/>
        <v>0</v>
      </c>
      <c r="DJ136" s="161">
        <f t="shared" si="99"/>
        <v>0</v>
      </c>
      <c r="DK136" s="161">
        <f t="shared" si="100"/>
        <v>0</v>
      </c>
      <c r="DL136" s="161">
        <f t="shared" si="101"/>
        <v>0</v>
      </c>
      <c r="DM136" s="161">
        <f t="shared" si="102"/>
        <v>0</v>
      </c>
      <c r="DN136" s="161">
        <f t="shared" si="103"/>
        <v>0</v>
      </c>
      <c r="DO136" s="161">
        <f t="shared" si="104"/>
        <v>0</v>
      </c>
      <c r="DP136" s="161">
        <f t="shared" si="105"/>
        <v>0</v>
      </c>
      <c r="DQ136" s="161">
        <f t="shared" si="106"/>
        <v>0</v>
      </c>
      <c r="DR136" s="161">
        <f t="shared" si="107"/>
        <v>0</v>
      </c>
      <c r="DS136" s="161">
        <f t="shared" si="108"/>
        <v>0</v>
      </c>
      <c r="DT136" s="161">
        <f t="shared" si="109"/>
        <v>0</v>
      </c>
      <c r="DU136" s="161">
        <f t="shared" si="110"/>
        <v>0</v>
      </c>
      <c r="DV136" s="161">
        <f t="shared" si="111"/>
        <v>0</v>
      </c>
      <c r="DW136" s="161">
        <f t="shared" si="112"/>
        <v>0</v>
      </c>
      <c r="DX136" s="161">
        <f t="shared" si="113"/>
        <v>0</v>
      </c>
      <c r="DY136" s="161">
        <f t="shared" si="114"/>
        <v>0</v>
      </c>
      <c r="DZ136" s="161">
        <f t="shared" si="115"/>
        <v>0</v>
      </c>
      <c r="EA136" s="161">
        <f t="shared" si="116"/>
        <v>0</v>
      </c>
      <c r="EB136" s="161">
        <f t="shared" si="117"/>
        <v>0</v>
      </c>
      <c r="EC136" s="161">
        <f t="shared" si="118"/>
        <v>0</v>
      </c>
      <c r="ED136" s="161">
        <f t="shared" si="119"/>
        <v>0</v>
      </c>
      <c r="EE136" s="161">
        <f t="shared" si="120"/>
        <v>0</v>
      </c>
      <c r="EF136" s="161">
        <f t="shared" si="121"/>
        <v>0</v>
      </c>
      <c r="EG136" s="161">
        <f t="shared" si="122"/>
        <v>0</v>
      </c>
      <c r="EH136" s="161">
        <f t="shared" si="123"/>
        <v>0</v>
      </c>
      <c r="EI136" s="161">
        <f t="shared" si="124"/>
        <v>0</v>
      </c>
      <c r="EJ136" s="161">
        <f t="shared" si="125"/>
        <v>0</v>
      </c>
      <c r="EK136" s="147">
        <f t="shared" si="133"/>
        <v>10.416666666666666</v>
      </c>
      <c r="EL136" s="149"/>
      <c r="EN136" s="146"/>
      <c r="EO136" s="146"/>
      <c r="EP136" s="139">
        <f t="shared" si="134"/>
        <v>0</v>
      </c>
      <c r="EQ136" s="139">
        <f t="shared" si="135"/>
        <v>0</v>
      </c>
      <c r="ER136" s="139">
        <f t="shared" si="136"/>
        <v>0.45343073340780971</v>
      </c>
      <c r="ES136" s="139">
        <f t="shared" si="137"/>
        <v>0</v>
      </c>
      <c r="ET136" s="139">
        <f t="shared" si="138"/>
        <v>0</v>
      </c>
      <c r="EU136" s="139">
        <f t="shared" si="139"/>
        <v>0</v>
      </c>
      <c r="EV136" s="139">
        <f t="shared" si="140"/>
        <v>0</v>
      </c>
      <c r="EW136" s="139">
        <f t="shared" si="141"/>
        <v>0</v>
      </c>
      <c r="EX136" s="139">
        <f t="shared" si="142"/>
        <v>0</v>
      </c>
      <c r="EY136" s="139">
        <f t="shared" si="143"/>
        <v>0</v>
      </c>
      <c r="EZ136" s="139">
        <f t="shared" si="144"/>
        <v>0</v>
      </c>
      <c r="FA136" s="139">
        <f t="shared" si="145"/>
        <v>0</v>
      </c>
      <c r="FB136" s="139">
        <f t="shared" si="146"/>
        <v>0</v>
      </c>
      <c r="FC136" s="139">
        <f t="shared" si="147"/>
        <v>0</v>
      </c>
      <c r="FD136" s="139">
        <f t="shared" si="148"/>
        <v>0</v>
      </c>
      <c r="FE136" s="139">
        <f t="shared" si="149"/>
        <v>0</v>
      </c>
      <c r="FF136" s="139">
        <f t="shared" si="150"/>
        <v>0</v>
      </c>
      <c r="FG136" s="139">
        <f t="shared" si="151"/>
        <v>0</v>
      </c>
      <c r="FH136" s="139">
        <f t="shared" si="152"/>
        <v>0</v>
      </c>
      <c r="FI136" s="139">
        <f t="shared" si="153"/>
        <v>0</v>
      </c>
      <c r="FJ136" s="139">
        <f t="shared" si="154"/>
        <v>0</v>
      </c>
      <c r="FK136" s="139">
        <f t="shared" si="155"/>
        <v>0</v>
      </c>
      <c r="FL136" s="139">
        <f t="shared" si="156"/>
        <v>0</v>
      </c>
      <c r="FM136" s="139">
        <f t="shared" si="157"/>
        <v>0</v>
      </c>
      <c r="FN136" s="139">
        <f t="shared" si="158"/>
        <v>0</v>
      </c>
      <c r="FO136" s="139">
        <f t="shared" si="159"/>
        <v>0</v>
      </c>
      <c r="FP136" s="139">
        <f t="shared" si="160"/>
        <v>0</v>
      </c>
      <c r="FQ136" s="139">
        <f t="shared" si="161"/>
        <v>0</v>
      </c>
      <c r="FR136" s="139">
        <f t="shared" si="162"/>
        <v>0</v>
      </c>
      <c r="FS136" s="139">
        <f t="shared" si="163"/>
        <v>0</v>
      </c>
      <c r="FT136" s="139">
        <f t="shared" si="164"/>
        <v>0</v>
      </c>
      <c r="FU136" s="148">
        <f t="shared" si="165"/>
        <v>0.45343073340780971</v>
      </c>
      <c r="FV136" s="149"/>
      <c r="FY136" s="214">
        <v>131</v>
      </c>
      <c r="FZ136">
        <v>1.1967352768225026</v>
      </c>
      <c r="GA136">
        <v>17.454059263843391</v>
      </c>
      <c r="GB136">
        <v>11.574462716502897</v>
      </c>
      <c r="GC136">
        <v>2.7182192748917595</v>
      </c>
      <c r="GD136">
        <v>1.5597590709660243</v>
      </c>
      <c r="GE136">
        <v>12.543487708526801</v>
      </c>
      <c r="GF136">
        <v>22.758420537481427</v>
      </c>
      <c r="GG136">
        <v>5.5282182571824681</v>
      </c>
      <c r="GH136">
        <v>2.4277845661791013</v>
      </c>
      <c r="GI136">
        <v>8.674436874840433</v>
      </c>
      <c r="GJ136"/>
      <c r="GK136"/>
      <c r="GL136"/>
      <c r="GM136"/>
    </row>
    <row r="137" spans="1:195" s="7" customFormat="1">
      <c r="A137" s="1"/>
      <c r="B137" s="76">
        <f t="shared" ca="1" si="132"/>
        <v>0.53610394005738393</v>
      </c>
      <c r="C137">
        <v>9</v>
      </c>
      <c r="D137">
        <v>39775</v>
      </c>
      <c r="E137">
        <v>0</v>
      </c>
      <c r="F137">
        <v>0</v>
      </c>
      <c r="G137">
        <v>10.416666666666666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81.976244787111028</v>
      </c>
      <c r="AO137">
        <v>20.969718541339539</v>
      </c>
      <c r="AP137">
        <v>83.54716964740318</v>
      </c>
      <c r="AQ137">
        <v>126.14366654740729</v>
      </c>
      <c r="AR137">
        <v>19.08779908620264</v>
      </c>
      <c r="AS137">
        <v>87.033998975627583</v>
      </c>
      <c r="AT137" t="e">
        <v>#DIV/0!</v>
      </c>
      <c r="AU137" t="e">
        <v>#DIV/0!</v>
      </c>
      <c r="AV137"/>
      <c r="AW137"/>
      <c r="AX137" s="146"/>
      <c r="AY137" s="76">
        <f t="shared" ca="1" si="88"/>
        <v>0.64228909175864057</v>
      </c>
      <c r="AZ137">
        <v>10</v>
      </c>
      <c r="BA137" s="129">
        <f t="shared" si="167"/>
        <v>39775</v>
      </c>
      <c r="BB137" s="207">
        <v>0</v>
      </c>
      <c r="BC137" s="207">
        <v>0</v>
      </c>
      <c r="BD137" s="207">
        <v>0</v>
      </c>
      <c r="BE137" s="207">
        <v>0</v>
      </c>
      <c r="BF137" s="207">
        <v>0</v>
      </c>
      <c r="BG137" s="207">
        <v>0</v>
      </c>
      <c r="BH137" s="207">
        <v>0</v>
      </c>
      <c r="BI137" s="207">
        <v>0</v>
      </c>
      <c r="BJ137" s="207">
        <v>0</v>
      </c>
      <c r="BK137" s="207">
        <v>0</v>
      </c>
      <c r="BL137" s="207">
        <v>0</v>
      </c>
      <c r="BM137" s="207">
        <v>0</v>
      </c>
      <c r="BN137" s="207">
        <v>0</v>
      </c>
      <c r="BO137" s="207">
        <v>0</v>
      </c>
      <c r="BP137" s="207">
        <v>0</v>
      </c>
      <c r="BQ137" s="207">
        <v>0</v>
      </c>
      <c r="BR137" s="207">
        <v>0</v>
      </c>
      <c r="BS137" s="207">
        <v>0</v>
      </c>
      <c r="BT137" s="207">
        <v>0</v>
      </c>
      <c r="BU137" s="207">
        <v>0</v>
      </c>
      <c r="BV137" s="207">
        <v>0</v>
      </c>
      <c r="BW137" s="207">
        <v>0</v>
      </c>
      <c r="BX137" s="207">
        <v>0</v>
      </c>
      <c r="BY137" s="207">
        <v>0</v>
      </c>
      <c r="BZ137" s="207">
        <v>0</v>
      </c>
      <c r="CA137" s="207">
        <v>0</v>
      </c>
      <c r="CB137" s="207">
        <v>0</v>
      </c>
      <c r="CC137" s="207">
        <v>0</v>
      </c>
      <c r="CD137" s="207">
        <v>0</v>
      </c>
      <c r="CE137" s="207">
        <v>0</v>
      </c>
      <c r="CF137" s="207">
        <v>0</v>
      </c>
      <c r="CG137" s="147"/>
      <c r="CH137" s="176"/>
      <c r="CJ137" s="146"/>
      <c r="CK137" s="76">
        <f t="shared" ca="1" si="90"/>
        <v>0.96750621855476981</v>
      </c>
      <c r="CL137" s="179">
        <f t="shared" si="91"/>
        <v>10</v>
      </c>
      <c r="CM137" s="180">
        <f t="shared" si="92"/>
        <v>39775</v>
      </c>
      <c r="CN137" s="208">
        <v>0</v>
      </c>
      <c r="CO137" s="208">
        <v>1</v>
      </c>
      <c r="CP137" s="208">
        <v>2</v>
      </c>
      <c r="CQ137" s="208">
        <v>1</v>
      </c>
      <c r="CR137" s="208">
        <v>0</v>
      </c>
      <c r="CS137" s="208">
        <v>0</v>
      </c>
      <c r="CT137" s="208">
        <v>0</v>
      </c>
      <c r="CU137" s="208">
        <v>0</v>
      </c>
      <c r="CV137" s="160"/>
      <c r="CW137">
        <v>1</v>
      </c>
      <c r="CX137">
        <v>1</v>
      </c>
      <c r="CY137" s="164"/>
      <c r="CZ137" s="177">
        <f t="shared" si="93"/>
        <v>9.6000000000000002E-2</v>
      </c>
      <c r="DB137" s="146"/>
      <c r="DC137" s="76">
        <f t="shared" ca="1" si="51"/>
        <v>0.98192209585775103</v>
      </c>
      <c r="DD137">
        <f t="shared" si="94"/>
        <v>10</v>
      </c>
      <c r="DE137" s="129">
        <f t="shared" si="166"/>
        <v>39775</v>
      </c>
      <c r="DF137" s="161">
        <f t="shared" si="95"/>
        <v>0</v>
      </c>
      <c r="DG137" s="161">
        <f t="shared" si="96"/>
        <v>10.416666666666666</v>
      </c>
      <c r="DH137" s="161">
        <f t="shared" si="97"/>
        <v>20.833333333333332</v>
      </c>
      <c r="DI137" s="161">
        <f t="shared" si="98"/>
        <v>10.416666666666666</v>
      </c>
      <c r="DJ137" s="161">
        <f t="shared" si="99"/>
        <v>0</v>
      </c>
      <c r="DK137" s="161">
        <f t="shared" si="100"/>
        <v>0</v>
      </c>
      <c r="DL137" s="161">
        <f t="shared" si="101"/>
        <v>0</v>
      </c>
      <c r="DM137" s="161">
        <f t="shared" si="102"/>
        <v>0</v>
      </c>
      <c r="DN137" s="161">
        <f t="shared" si="103"/>
        <v>0</v>
      </c>
      <c r="DO137" s="161">
        <f t="shared" si="104"/>
        <v>0</v>
      </c>
      <c r="DP137" s="161">
        <f t="shared" si="105"/>
        <v>0</v>
      </c>
      <c r="DQ137" s="161">
        <f t="shared" si="106"/>
        <v>0</v>
      </c>
      <c r="DR137" s="161">
        <f t="shared" si="107"/>
        <v>0</v>
      </c>
      <c r="DS137" s="161">
        <f t="shared" si="108"/>
        <v>0</v>
      </c>
      <c r="DT137" s="161">
        <f t="shared" si="109"/>
        <v>0</v>
      </c>
      <c r="DU137" s="161">
        <f t="shared" si="110"/>
        <v>0</v>
      </c>
      <c r="DV137" s="161">
        <f t="shared" si="111"/>
        <v>0</v>
      </c>
      <c r="DW137" s="161">
        <f t="shared" si="112"/>
        <v>0</v>
      </c>
      <c r="DX137" s="161">
        <f t="shared" si="113"/>
        <v>0</v>
      </c>
      <c r="DY137" s="161">
        <f t="shared" si="114"/>
        <v>0</v>
      </c>
      <c r="DZ137" s="161">
        <f t="shared" si="115"/>
        <v>0</v>
      </c>
      <c r="EA137" s="161">
        <f t="shared" si="116"/>
        <v>0</v>
      </c>
      <c r="EB137" s="161">
        <f t="shared" si="117"/>
        <v>0</v>
      </c>
      <c r="EC137" s="161">
        <f t="shared" si="118"/>
        <v>0</v>
      </c>
      <c r="ED137" s="161">
        <f t="shared" si="119"/>
        <v>0</v>
      </c>
      <c r="EE137" s="161">
        <f t="shared" si="120"/>
        <v>0</v>
      </c>
      <c r="EF137" s="161">
        <f t="shared" si="121"/>
        <v>0</v>
      </c>
      <c r="EG137" s="161">
        <f t="shared" si="122"/>
        <v>0</v>
      </c>
      <c r="EH137" s="161">
        <f t="shared" si="123"/>
        <v>0</v>
      </c>
      <c r="EI137" s="161">
        <f t="shared" si="124"/>
        <v>0</v>
      </c>
      <c r="EJ137" s="161">
        <f t="shared" si="125"/>
        <v>0</v>
      </c>
      <c r="EK137" s="147">
        <f t="shared" si="133"/>
        <v>41.666666666666664</v>
      </c>
      <c r="EL137" s="149"/>
      <c r="EN137" s="146"/>
      <c r="EO137" s="146"/>
      <c r="EP137" s="139">
        <f t="shared" si="134"/>
        <v>0</v>
      </c>
      <c r="EQ137" s="139">
        <f t="shared" si="135"/>
        <v>7.0852083333333329E-2</v>
      </c>
      <c r="ER137" s="139">
        <f t="shared" si="136"/>
        <v>0.90686146681561941</v>
      </c>
      <c r="ES137" s="139">
        <f t="shared" si="137"/>
        <v>1.3430226741681857</v>
      </c>
      <c r="ET137" s="139">
        <f t="shared" si="138"/>
        <v>0</v>
      </c>
      <c r="EU137" s="139">
        <f t="shared" si="139"/>
        <v>0</v>
      </c>
      <c r="EV137" s="139">
        <f t="shared" si="140"/>
        <v>0</v>
      </c>
      <c r="EW137" s="139">
        <f t="shared" si="141"/>
        <v>0</v>
      </c>
      <c r="EX137" s="139">
        <f t="shared" si="142"/>
        <v>0</v>
      </c>
      <c r="EY137" s="139">
        <f t="shared" si="143"/>
        <v>0</v>
      </c>
      <c r="EZ137" s="139">
        <f t="shared" si="144"/>
        <v>0</v>
      </c>
      <c r="FA137" s="139">
        <f t="shared" si="145"/>
        <v>0</v>
      </c>
      <c r="FB137" s="139">
        <f t="shared" si="146"/>
        <v>0</v>
      </c>
      <c r="FC137" s="139">
        <f t="shared" si="147"/>
        <v>0</v>
      </c>
      <c r="FD137" s="139">
        <f t="shared" si="148"/>
        <v>0</v>
      </c>
      <c r="FE137" s="139">
        <f t="shared" si="149"/>
        <v>0</v>
      </c>
      <c r="FF137" s="139">
        <f t="shared" si="150"/>
        <v>0</v>
      </c>
      <c r="FG137" s="139">
        <f t="shared" si="151"/>
        <v>0</v>
      </c>
      <c r="FH137" s="139">
        <f t="shared" si="152"/>
        <v>0</v>
      </c>
      <c r="FI137" s="139">
        <f t="shared" si="153"/>
        <v>0</v>
      </c>
      <c r="FJ137" s="139">
        <f t="shared" si="154"/>
        <v>0</v>
      </c>
      <c r="FK137" s="139">
        <f t="shared" si="155"/>
        <v>0</v>
      </c>
      <c r="FL137" s="139">
        <f t="shared" si="156"/>
        <v>0</v>
      </c>
      <c r="FM137" s="139">
        <f t="shared" si="157"/>
        <v>0</v>
      </c>
      <c r="FN137" s="139">
        <f t="shared" si="158"/>
        <v>0</v>
      </c>
      <c r="FO137" s="139">
        <f t="shared" si="159"/>
        <v>0</v>
      </c>
      <c r="FP137" s="139">
        <f t="shared" si="160"/>
        <v>0</v>
      </c>
      <c r="FQ137" s="139">
        <f t="shared" si="161"/>
        <v>0</v>
      </c>
      <c r="FR137" s="139">
        <f t="shared" si="162"/>
        <v>0</v>
      </c>
      <c r="FS137" s="139">
        <f t="shared" si="163"/>
        <v>0</v>
      </c>
      <c r="FT137" s="139">
        <f t="shared" si="164"/>
        <v>0</v>
      </c>
      <c r="FU137" s="148">
        <f t="shared" si="165"/>
        <v>2.3207362243171383</v>
      </c>
      <c r="FV137" s="149"/>
      <c r="FY137" s="214">
        <v>132</v>
      </c>
      <c r="FZ137">
        <v>1.1197565185151772</v>
      </c>
      <c r="GA137">
        <v>19.742992457921609</v>
      </c>
      <c r="GB137">
        <v>18.014980006497069</v>
      </c>
      <c r="GC137">
        <v>5.1533657235747272</v>
      </c>
      <c r="GD137">
        <v>1.9173785265267274</v>
      </c>
      <c r="GE137">
        <v>4.0435486365735223</v>
      </c>
      <c r="GF137">
        <v>13.32434472218433</v>
      </c>
      <c r="GG137">
        <v>16.72411635672816</v>
      </c>
      <c r="GH137">
        <v>9.8788064994211968</v>
      </c>
      <c r="GI137">
        <v>10.007665750462602</v>
      </c>
      <c r="GJ137"/>
      <c r="GK137"/>
      <c r="GL137"/>
      <c r="GM137"/>
    </row>
    <row r="138" spans="1:195" s="7" customFormat="1">
      <c r="A138" s="128"/>
      <c r="B138" s="76">
        <f t="shared" ca="1" si="132"/>
        <v>0.69778019260326851</v>
      </c>
      <c r="C138">
        <v>2</v>
      </c>
      <c r="D138">
        <v>39799</v>
      </c>
      <c r="E138">
        <v>0</v>
      </c>
      <c r="F138">
        <v>0</v>
      </c>
      <c r="G138">
        <v>20.833333333333332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51.972567506708984</v>
      </c>
      <c r="AO138">
        <v>10.078971397255035</v>
      </c>
      <c r="AP138">
        <v>50.68590742615168</v>
      </c>
      <c r="AQ138">
        <v>63.461303293747349</v>
      </c>
      <c r="AR138">
        <v>9.1752326221939882</v>
      </c>
      <c r="AS138">
        <v>49.392902696249656</v>
      </c>
      <c r="AT138" t="e">
        <v>#DIV/0!</v>
      </c>
      <c r="AU138" t="e">
        <v>#DIV/0!</v>
      </c>
      <c r="AV138"/>
      <c r="AW138"/>
      <c r="AX138" s="128"/>
      <c r="AY138" s="76">
        <f t="shared" ca="1" si="88"/>
        <v>0.47042426233658774</v>
      </c>
      <c r="AZ138">
        <v>1</v>
      </c>
      <c r="BA138" s="129">
        <f>IF(AZ138="", "",$C$9)</f>
        <v>39799</v>
      </c>
      <c r="BB138" s="207">
        <v>0</v>
      </c>
      <c r="BC138" s="207">
        <v>0</v>
      </c>
      <c r="BD138" s="207">
        <v>0</v>
      </c>
      <c r="BE138" s="207">
        <v>0</v>
      </c>
      <c r="BF138" s="207">
        <v>0</v>
      </c>
      <c r="BG138" s="207">
        <v>0</v>
      </c>
      <c r="BH138" s="207">
        <v>0</v>
      </c>
      <c r="BI138" s="207">
        <v>0</v>
      </c>
      <c r="BJ138" s="207">
        <v>0</v>
      </c>
      <c r="BK138" s="207">
        <v>0</v>
      </c>
      <c r="BL138" s="207">
        <v>0</v>
      </c>
      <c r="BM138" s="207">
        <v>0</v>
      </c>
      <c r="BN138" s="207">
        <v>0</v>
      </c>
      <c r="BO138" s="207">
        <v>0</v>
      </c>
      <c r="BP138" s="207">
        <v>0</v>
      </c>
      <c r="BQ138" s="207">
        <v>0</v>
      </c>
      <c r="BR138" s="207">
        <v>0</v>
      </c>
      <c r="BS138" s="207">
        <v>0</v>
      </c>
      <c r="BT138" s="207">
        <v>0</v>
      </c>
      <c r="BU138" s="207">
        <v>0</v>
      </c>
      <c r="BV138" s="207">
        <v>0</v>
      </c>
      <c r="BW138" s="207">
        <v>0</v>
      </c>
      <c r="BX138" s="207">
        <v>0</v>
      </c>
      <c r="BY138" s="207">
        <v>0</v>
      </c>
      <c r="BZ138" s="207">
        <v>0</v>
      </c>
      <c r="CA138" s="207">
        <v>0</v>
      </c>
      <c r="CB138" s="207">
        <v>0</v>
      </c>
      <c r="CC138" s="207">
        <v>0</v>
      </c>
      <c r="CD138" s="207">
        <v>0</v>
      </c>
      <c r="CE138" s="207">
        <v>0</v>
      </c>
      <c r="CF138" s="207">
        <v>0</v>
      </c>
      <c r="CG138" s="147"/>
      <c r="CH138" s="176"/>
      <c r="CJ138" s="128"/>
      <c r="CK138" s="76">
        <f t="shared" ca="1" si="90"/>
        <v>0.38579131703711544</v>
      </c>
      <c r="CL138" s="179">
        <f t="shared" si="91"/>
        <v>1</v>
      </c>
      <c r="CM138" s="180">
        <f t="shared" si="92"/>
        <v>39799</v>
      </c>
      <c r="CN138" s="208">
        <v>0</v>
      </c>
      <c r="CO138" s="208">
        <v>0</v>
      </c>
      <c r="CP138" s="208">
        <v>0</v>
      </c>
      <c r="CQ138" s="208">
        <v>0</v>
      </c>
      <c r="CR138" s="208">
        <v>0</v>
      </c>
      <c r="CS138" s="208">
        <v>0</v>
      </c>
      <c r="CT138" s="208">
        <v>0</v>
      </c>
      <c r="CU138" s="208">
        <v>0</v>
      </c>
      <c r="CV138" s="160"/>
      <c r="CW138">
        <v>1</v>
      </c>
      <c r="CX138">
        <v>8</v>
      </c>
      <c r="CY138" s="160"/>
      <c r="CZ138" s="177">
        <f t="shared" si="93"/>
        <v>9.6000000000000002E-2</v>
      </c>
      <c r="DB138" s="128"/>
      <c r="DC138" s="76">
        <f t="shared" ca="1" si="51"/>
        <v>0.4947565890220913</v>
      </c>
      <c r="DD138">
        <f t="shared" si="94"/>
        <v>1</v>
      </c>
      <c r="DE138" s="129">
        <f t="shared" ref="DE138:DE147" si="168">IF((DD138)="","",$C$9)</f>
        <v>39799</v>
      </c>
      <c r="DF138" s="161">
        <f t="shared" si="95"/>
        <v>0</v>
      </c>
      <c r="DG138" s="161">
        <f t="shared" si="96"/>
        <v>0</v>
      </c>
      <c r="DH138" s="161">
        <f t="shared" si="97"/>
        <v>0</v>
      </c>
      <c r="DI138" s="161">
        <f t="shared" si="98"/>
        <v>0</v>
      </c>
      <c r="DJ138" s="161">
        <f t="shared" si="99"/>
        <v>0</v>
      </c>
      <c r="DK138" s="161">
        <f t="shared" si="100"/>
        <v>0</v>
      </c>
      <c r="DL138" s="161">
        <f t="shared" si="101"/>
        <v>0</v>
      </c>
      <c r="DM138" s="161">
        <f t="shared" si="102"/>
        <v>0</v>
      </c>
      <c r="DN138" s="161">
        <f t="shared" si="103"/>
        <v>0</v>
      </c>
      <c r="DO138" s="161">
        <f t="shared" si="104"/>
        <v>0</v>
      </c>
      <c r="DP138" s="161">
        <f t="shared" si="105"/>
        <v>0</v>
      </c>
      <c r="DQ138" s="161">
        <f t="shared" si="106"/>
        <v>0</v>
      </c>
      <c r="DR138" s="161">
        <f t="shared" si="107"/>
        <v>0</v>
      </c>
      <c r="DS138" s="161">
        <f t="shared" si="108"/>
        <v>0</v>
      </c>
      <c r="DT138" s="161">
        <f t="shared" si="109"/>
        <v>0</v>
      </c>
      <c r="DU138" s="161">
        <f t="shared" si="110"/>
        <v>0</v>
      </c>
      <c r="DV138" s="161">
        <f t="shared" si="111"/>
        <v>0</v>
      </c>
      <c r="DW138" s="161">
        <f t="shared" si="112"/>
        <v>0</v>
      </c>
      <c r="DX138" s="161">
        <f t="shared" si="113"/>
        <v>0</v>
      </c>
      <c r="DY138" s="161">
        <f t="shared" si="114"/>
        <v>0</v>
      </c>
      <c r="DZ138" s="161">
        <f t="shared" si="115"/>
        <v>0</v>
      </c>
      <c r="EA138" s="161">
        <f t="shared" si="116"/>
        <v>0</v>
      </c>
      <c r="EB138" s="161">
        <f t="shared" si="117"/>
        <v>0</v>
      </c>
      <c r="EC138" s="161">
        <f t="shared" si="118"/>
        <v>0</v>
      </c>
      <c r="ED138" s="161">
        <f t="shared" si="119"/>
        <v>0</v>
      </c>
      <c r="EE138" s="161">
        <f t="shared" si="120"/>
        <v>0</v>
      </c>
      <c r="EF138" s="161">
        <f t="shared" si="121"/>
        <v>0</v>
      </c>
      <c r="EG138" s="161">
        <f t="shared" si="122"/>
        <v>0</v>
      </c>
      <c r="EH138" s="161">
        <f t="shared" si="123"/>
        <v>0</v>
      </c>
      <c r="EI138" s="161">
        <f t="shared" si="124"/>
        <v>0</v>
      </c>
      <c r="EJ138" s="161">
        <f t="shared" si="125"/>
        <v>0</v>
      </c>
      <c r="EK138" s="147">
        <f t="shared" si="133"/>
        <v>0</v>
      </c>
      <c r="EL138" s="149"/>
      <c r="EN138" s="146"/>
      <c r="EO138" s="146"/>
      <c r="EP138" s="139">
        <f t="shared" si="134"/>
        <v>0</v>
      </c>
      <c r="EQ138" s="139">
        <f t="shared" si="135"/>
        <v>0</v>
      </c>
      <c r="ER138" s="139">
        <f t="shared" si="136"/>
        <v>0</v>
      </c>
      <c r="ES138" s="139">
        <f t="shared" si="137"/>
        <v>0</v>
      </c>
      <c r="ET138" s="139">
        <f t="shared" si="138"/>
        <v>0</v>
      </c>
      <c r="EU138" s="139">
        <f t="shared" si="139"/>
        <v>0</v>
      </c>
      <c r="EV138" s="139">
        <f t="shared" si="140"/>
        <v>0</v>
      </c>
      <c r="EW138" s="139">
        <f t="shared" si="141"/>
        <v>0</v>
      </c>
      <c r="EX138" s="139">
        <f t="shared" si="142"/>
        <v>0</v>
      </c>
      <c r="EY138" s="139">
        <f t="shared" si="143"/>
        <v>0</v>
      </c>
      <c r="EZ138" s="139">
        <f t="shared" si="144"/>
        <v>0</v>
      </c>
      <c r="FA138" s="139">
        <f t="shared" si="145"/>
        <v>0</v>
      </c>
      <c r="FB138" s="139">
        <f t="shared" si="146"/>
        <v>0</v>
      </c>
      <c r="FC138" s="139">
        <f t="shared" si="147"/>
        <v>0</v>
      </c>
      <c r="FD138" s="139">
        <f t="shared" si="148"/>
        <v>0</v>
      </c>
      <c r="FE138" s="139">
        <f t="shared" si="149"/>
        <v>0</v>
      </c>
      <c r="FF138" s="139">
        <f t="shared" si="150"/>
        <v>0</v>
      </c>
      <c r="FG138" s="139">
        <f t="shared" si="151"/>
        <v>0</v>
      </c>
      <c r="FH138" s="139">
        <f t="shared" si="152"/>
        <v>0</v>
      </c>
      <c r="FI138" s="139">
        <f t="shared" si="153"/>
        <v>0</v>
      </c>
      <c r="FJ138" s="139">
        <f t="shared" si="154"/>
        <v>0</v>
      </c>
      <c r="FK138" s="139">
        <f t="shared" si="155"/>
        <v>0</v>
      </c>
      <c r="FL138" s="139">
        <f t="shared" si="156"/>
        <v>0</v>
      </c>
      <c r="FM138" s="139">
        <f t="shared" si="157"/>
        <v>0</v>
      </c>
      <c r="FN138" s="139">
        <f t="shared" si="158"/>
        <v>0</v>
      </c>
      <c r="FO138" s="139">
        <f t="shared" si="159"/>
        <v>0</v>
      </c>
      <c r="FP138" s="139">
        <f t="shared" si="160"/>
        <v>0</v>
      </c>
      <c r="FQ138" s="139">
        <f t="shared" si="161"/>
        <v>0</v>
      </c>
      <c r="FR138" s="139">
        <f t="shared" si="162"/>
        <v>0</v>
      </c>
      <c r="FS138" s="139">
        <f t="shared" si="163"/>
        <v>0</v>
      </c>
      <c r="FT138" s="139">
        <f t="shared" si="164"/>
        <v>0</v>
      </c>
      <c r="FU138" s="148">
        <f t="shared" si="165"/>
        <v>0</v>
      </c>
      <c r="FV138" s="149"/>
      <c r="FY138" s="214">
        <v>133</v>
      </c>
      <c r="FZ138">
        <v>1.2160603654132873</v>
      </c>
      <c r="GA138">
        <v>3.7685051468201669</v>
      </c>
      <c r="GB138">
        <v>2.0393629815474386</v>
      </c>
      <c r="GC138">
        <v>1.1397256311935955</v>
      </c>
      <c r="GD138">
        <v>6.337724324415154</v>
      </c>
      <c r="GE138">
        <v>18.940637627502873</v>
      </c>
      <c r="GF138">
        <v>22.811737050107446</v>
      </c>
      <c r="GG138">
        <v>13.021920143052137</v>
      </c>
      <c r="GH138">
        <v>5.4441469670889902</v>
      </c>
      <c r="GI138">
        <v>9.8905886293050251</v>
      </c>
      <c r="GJ138"/>
      <c r="GK138"/>
      <c r="GL138"/>
      <c r="GM138"/>
    </row>
    <row r="139" spans="1:195" s="7" customFormat="1">
      <c r="A139" s="1"/>
      <c r="B139" s="76">
        <f t="shared" ca="1" si="132"/>
        <v>0.64505109922236414</v>
      </c>
      <c r="C139">
        <v>10</v>
      </c>
      <c r="D139">
        <v>39799</v>
      </c>
      <c r="E139">
        <v>0</v>
      </c>
      <c r="F139">
        <v>0</v>
      </c>
      <c r="G139">
        <v>62.5</v>
      </c>
      <c r="H139">
        <v>10.416666666666666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80.265631312142503</v>
      </c>
      <c r="AO139">
        <v>15.357039414924611</v>
      </c>
      <c r="AP139">
        <v>69.140933929823689</v>
      </c>
      <c r="AQ139">
        <v>92.802996820099892</v>
      </c>
      <c r="AR139">
        <v>13.973476274620872</v>
      </c>
      <c r="AS139">
        <v>75.214874626836206</v>
      </c>
      <c r="AT139" t="e">
        <v>#DIV/0!</v>
      </c>
      <c r="AU139" t="e">
        <v>#DIV/0!</v>
      </c>
      <c r="AV139"/>
      <c r="AW139"/>
      <c r="AX139" s="146"/>
      <c r="AY139" s="76">
        <f t="shared" ca="1" si="88"/>
        <v>0.27923756157133472</v>
      </c>
      <c r="AZ139">
        <v>2</v>
      </c>
      <c r="BA139" s="129">
        <f t="shared" ref="BA139:BA147" si="169">IF(AZ139="", "",$C$9)</f>
        <v>39799</v>
      </c>
      <c r="BB139" s="207">
        <v>0</v>
      </c>
      <c r="BC139" s="207">
        <v>0</v>
      </c>
      <c r="BD139" s="207">
        <v>0</v>
      </c>
      <c r="BE139" s="207">
        <v>0</v>
      </c>
      <c r="BF139" s="207">
        <v>0</v>
      </c>
      <c r="BG139" s="207">
        <v>0</v>
      </c>
      <c r="BH139" s="207">
        <v>0</v>
      </c>
      <c r="BI139" s="207">
        <v>0</v>
      </c>
      <c r="BJ139" s="207">
        <v>0</v>
      </c>
      <c r="BK139" s="207">
        <v>0</v>
      </c>
      <c r="BL139" s="207">
        <v>0</v>
      </c>
      <c r="BM139" s="207">
        <v>0</v>
      </c>
      <c r="BN139" s="207">
        <v>0</v>
      </c>
      <c r="BO139" s="207">
        <v>0</v>
      </c>
      <c r="BP139" s="207">
        <v>0</v>
      </c>
      <c r="BQ139" s="207">
        <v>0</v>
      </c>
      <c r="BR139" s="207">
        <v>0</v>
      </c>
      <c r="BS139" s="207">
        <v>0</v>
      </c>
      <c r="BT139" s="207">
        <v>0</v>
      </c>
      <c r="BU139" s="207">
        <v>0</v>
      </c>
      <c r="BV139" s="207">
        <v>0</v>
      </c>
      <c r="BW139" s="207">
        <v>0</v>
      </c>
      <c r="BX139" s="207">
        <v>0</v>
      </c>
      <c r="BY139" s="207">
        <v>0</v>
      </c>
      <c r="BZ139" s="207">
        <v>0</v>
      </c>
      <c r="CA139" s="207">
        <v>0</v>
      </c>
      <c r="CB139" s="207">
        <v>0</v>
      </c>
      <c r="CC139" s="207">
        <v>0</v>
      </c>
      <c r="CD139" s="207">
        <v>0</v>
      </c>
      <c r="CE139" s="207">
        <v>0</v>
      </c>
      <c r="CF139" s="207">
        <v>0</v>
      </c>
      <c r="CG139" s="147"/>
      <c r="CH139" s="176"/>
      <c r="CJ139" s="146"/>
      <c r="CK139" s="76">
        <f t="shared" ca="1" si="90"/>
        <v>0.43362226765905199</v>
      </c>
      <c r="CL139" s="179">
        <f t="shared" si="91"/>
        <v>2</v>
      </c>
      <c r="CM139" s="180">
        <f t="shared" si="92"/>
        <v>39799</v>
      </c>
      <c r="CN139" s="208">
        <v>0</v>
      </c>
      <c r="CO139" s="208">
        <v>0</v>
      </c>
      <c r="CP139" s="208">
        <v>2</v>
      </c>
      <c r="CQ139" s="208">
        <v>0</v>
      </c>
      <c r="CR139" s="208">
        <v>0</v>
      </c>
      <c r="CS139" s="208">
        <v>0</v>
      </c>
      <c r="CT139" s="208">
        <v>0</v>
      </c>
      <c r="CU139" s="208">
        <v>0</v>
      </c>
      <c r="CV139" s="160"/>
      <c r="CW139">
        <v>1</v>
      </c>
      <c r="CX139">
        <v>1</v>
      </c>
      <c r="CY139" s="160"/>
      <c r="CZ139" s="177">
        <f t="shared" si="93"/>
        <v>9.6000000000000002E-2</v>
      </c>
      <c r="DB139" s="146"/>
      <c r="DC139" s="76">
        <f t="shared" ca="1" si="51"/>
        <v>0.26130937000992471</v>
      </c>
      <c r="DD139">
        <f t="shared" si="94"/>
        <v>2</v>
      </c>
      <c r="DE139" s="129">
        <f t="shared" si="168"/>
        <v>39799</v>
      </c>
      <c r="DF139" s="161">
        <f t="shared" si="95"/>
        <v>0</v>
      </c>
      <c r="DG139" s="161">
        <f t="shared" si="96"/>
        <v>0</v>
      </c>
      <c r="DH139" s="161">
        <f t="shared" si="97"/>
        <v>20.833333333333332</v>
      </c>
      <c r="DI139" s="161">
        <f t="shared" si="98"/>
        <v>0</v>
      </c>
      <c r="DJ139" s="161">
        <f t="shared" si="99"/>
        <v>0</v>
      </c>
      <c r="DK139" s="161">
        <f t="shared" si="100"/>
        <v>0</v>
      </c>
      <c r="DL139" s="161">
        <f t="shared" si="101"/>
        <v>0</v>
      </c>
      <c r="DM139" s="161">
        <f t="shared" si="102"/>
        <v>0</v>
      </c>
      <c r="DN139" s="161">
        <f t="shared" si="103"/>
        <v>0</v>
      </c>
      <c r="DO139" s="161">
        <f t="shared" si="104"/>
        <v>0</v>
      </c>
      <c r="DP139" s="161">
        <f t="shared" si="105"/>
        <v>0</v>
      </c>
      <c r="DQ139" s="161">
        <f t="shared" si="106"/>
        <v>0</v>
      </c>
      <c r="DR139" s="161">
        <f t="shared" si="107"/>
        <v>0</v>
      </c>
      <c r="DS139" s="161">
        <f t="shared" si="108"/>
        <v>0</v>
      </c>
      <c r="DT139" s="161">
        <f t="shared" si="109"/>
        <v>0</v>
      </c>
      <c r="DU139" s="161">
        <f t="shared" si="110"/>
        <v>0</v>
      </c>
      <c r="DV139" s="161">
        <f t="shared" si="111"/>
        <v>0</v>
      </c>
      <c r="DW139" s="161">
        <f t="shared" si="112"/>
        <v>0</v>
      </c>
      <c r="DX139" s="161">
        <f t="shared" si="113"/>
        <v>0</v>
      </c>
      <c r="DY139" s="161">
        <f t="shared" si="114"/>
        <v>0</v>
      </c>
      <c r="DZ139" s="161">
        <f t="shared" si="115"/>
        <v>0</v>
      </c>
      <c r="EA139" s="161">
        <f t="shared" si="116"/>
        <v>0</v>
      </c>
      <c r="EB139" s="161">
        <f t="shared" si="117"/>
        <v>0</v>
      </c>
      <c r="EC139" s="161">
        <f t="shared" si="118"/>
        <v>0</v>
      </c>
      <c r="ED139" s="161">
        <f t="shared" si="119"/>
        <v>0</v>
      </c>
      <c r="EE139" s="161">
        <f t="shared" si="120"/>
        <v>0</v>
      </c>
      <c r="EF139" s="161">
        <f t="shared" si="121"/>
        <v>0</v>
      </c>
      <c r="EG139" s="161">
        <f t="shared" si="122"/>
        <v>0</v>
      </c>
      <c r="EH139" s="161">
        <f t="shared" si="123"/>
        <v>0</v>
      </c>
      <c r="EI139" s="161">
        <f t="shared" si="124"/>
        <v>0</v>
      </c>
      <c r="EJ139" s="161">
        <f t="shared" si="125"/>
        <v>0</v>
      </c>
      <c r="EK139" s="147">
        <f t="shared" si="133"/>
        <v>20.833333333333332</v>
      </c>
      <c r="EL139" s="149"/>
      <c r="EN139" s="146"/>
      <c r="EO139" s="146"/>
      <c r="EP139" s="139">
        <f t="shared" si="134"/>
        <v>0</v>
      </c>
      <c r="EQ139" s="139">
        <f t="shared" si="135"/>
        <v>0</v>
      </c>
      <c r="ER139" s="139">
        <f t="shared" si="136"/>
        <v>0.90686146681561941</v>
      </c>
      <c r="ES139" s="139">
        <f t="shared" si="137"/>
        <v>0</v>
      </c>
      <c r="ET139" s="139">
        <f t="shared" si="138"/>
        <v>0</v>
      </c>
      <c r="EU139" s="139">
        <f t="shared" si="139"/>
        <v>0</v>
      </c>
      <c r="EV139" s="139">
        <f t="shared" si="140"/>
        <v>0</v>
      </c>
      <c r="EW139" s="139">
        <f t="shared" si="141"/>
        <v>0</v>
      </c>
      <c r="EX139" s="139">
        <f t="shared" si="142"/>
        <v>0</v>
      </c>
      <c r="EY139" s="139">
        <f t="shared" si="143"/>
        <v>0</v>
      </c>
      <c r="EZ139" s="139">
        <f t="shared" si="144"/>
        <v>0</v>
      </c>
      <c r="FA139" s="139">
        <f t="shared" si="145"/>
        <v>0</v>
      </c>
      <c r="FB139" s="139">
        <f t="shared" si="146"/>
        <v>0</v>
      </c>
      <c r="FC139" s="139">
        <f t="shared" si="147"/>
        <v>0</v>
      </c>
      <c r="FD139" s="139">
        <f t="shared" si="148"/>
        <v>0</v>
      </c>
      <c r="FE139" s="139">
        <f t="shared" si="149"/>
        <v>0</v>
      </c>
      <c r="FF139" s="139">
        <f t="shared" si="150"/>
        <v>0</v>
      </c>
      <c r="FG139" s="139">
        <f t="shared" si="151"/>
        <v>0</v>
      </c>
      <c r="FH139" s="139">
        <f t="shared" si="152"/>
        <v>0</v>
      </c>
      <c r="FI139" s="139">
        <f t="shared" si="153"/>
        <v>0</v>
      </c>
      <c r="FJ139" s="139">
        <f t="shared" si="154"/>
        <v>0</v>
      </c>
      <c r="FK139" s="139">
        <f t="shared" si="155"/>
        <v>0</v>
      </c>
      <c r="FL139" s="139">
        <f t="shared" si="156"/>
        <v>0</v>
      </c>
      <c r="FM139" s="139">
        <f t="shared" si="157"/>
        <v>0</v>
      </c>
      <c r="FN139" s="139">
        <f t="shared" si="158"/>
        <v>0</v>
      </c>
      <c r="FO139" s="139">
        <f t="shared" si="159"/>
        <v>0</v>
      </c>
      <c r="FP139" s="139">
        <f t="shared" si="160"/>
        <v>0</v>
      </c>
      <c r="FQ139" s="139">
        <f t="shared" si="161"/>
        <v>0</v>
      </c>
      <c r="FR139" s="139">
        <f t="shared" si="162"/>
        <v>0</v>
      </c>
      <c r="FS139" s="139">
        <f t="shared" si="163"/>
        <v>0</v>
      </c>
      <c r="FT139" s="139">
        <f t="shared" si="164"/>
        <v>0</v>
      </c>
      <c r="FU139" s="148">
        <f t="shared" si="165"/>
        <v>0.90686146681561941</v>
      </c>
      <c r="FV139" s="149"/>
      <c r="FY139" s="214">
        <v>134</v>
      </c>
      <c r="FZ139">
        <v>0.61300077146215293</v>
      </c>
      <c r="GA139">
        <v>3.6903947142580584</v>
      </c>
      <c r="GB139">
        <v>4.9009923544522191</v>
      </c>
      <c r="GC139">
        <v>2.4898583224911457</v>
      </c>
      <c r="GD139">
        <v>14.36184694250708</v>
      </c>
      <c r="GE139">
        <v>30.786220308558097</v>
      </c>
      <c r="GF139">
        <v>16.430147380200413</v>
      </c>
      <c r="GG139">
        <v>19.495170841585768</v>
      </c>
      <c r="GH139">
        <v>10.551132660435268</v>
      </c>
      <c r="GI139">
        <v>15.297359346403994</v>
      </c>
      <c r="GJ139"/>
      <c r="GK139"/>
      <c r="GL139"/>
      <c r="GM139"/>
    </row>
    <row r="140" spans="1:195" s="7" customFormat="1">
      <c r="A140" s="1"/>
      <c r="B140" s="76">
        <f t="shared" ca="1" si="132"/>
        <v>0.9823870584395582</v>
      </c>
      <c r="C140">
        <v>9</v>
      </c>
      <c r="D140">
        <v>39799</v>
      </c>
      <c r="E140">
        <v>0</v>
      </c>
      <c r="F140">
        <v>0</v>
      </c>
      <c r="G140">
        <v>0</v>
      </c>
      <c r="H140">
        <v>0</v>
      </c>
      <c r="I140">
        <v>57.53391472868217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75.481407901684605</v>
      </c>
      <c r="AO140">
        <v>13.471942627546849</v>
      </c>
      <c r="AP140">
        <v>70.215966156947445</v>
      </c>
      <c r="AQ140">
        <v>82.267986557196195</v>
      </c>
      <c r="AR140">
        <v>12.25942986753503</v>
      </c>
      <c r="AS140">
        <v>65.415134516803406</v>
      </c>
      <c r="AT140" t="e">
        <v>#DIV/0!</v>
      </c>
      <c r="AU140" t="e">
        <v>#DIV/0!</v>
      </c>
      <c r="AV140"/>
      <c r="AW140"/>
      <c r="AX140" s="146"/>
      <c r="AY140" s="76">
        <f t="shared" ca="1" si="88"/>
        <v>0.32924813065541159</v>
      </c>
      <c r="AZ140">
        <v>3</v>
      </c>
      <c r="BA140" s="129">
        <f t="shared" si="169"/>
        <v>39799</v>
      </c>
      <c r="BB140" s="207">
        <v>0</v>
      </c>
      <c r="BC140" s="207">
        <v>0</v>
      </c>
      <c r="BD140" s="207">
        <v>0</v>
      </c>
      <c r="BE140" s="207">
        <v>0</v>
      </c>
      <c r="BF140" s="207">
        <v>0</v>
      </c>
      <c r="BG140" s="207">
        <v>2</v>
      </c>
      <c r="BH140" s="207">
        <v>3</v>
      </c>
      <c r="BI140" s="207">
        <v>0</v>
      </c>
      <c r="BJ140" s="207">
        <v>0</v>
      </c>
      <c r="BK140" s="207">
        <v>0</v>
      </c>
      <c r="BL140" s="207">
        <v>0</v>
      </c>
      <c r="BM140" s="207">
        <v>0</v>
      </c>
      <c r="BN140" s="207">
        <v>0</v>
      </c>
      <c r="BO140" s="207">
        <v>0</v>
      </c>
      <c r="BP140" s="207">
        <v>0</v>
      </c>
      <c r="BQ140" s="207">
        <v>0</v>
      </c>
      <c r="BR140" s="207">
        <v>0</v>
      </c>
      <c r="BS140" s="207">
        <v>0</v>
      </c>
      <c r="BT140" s="207">
        <v>0</v>
      </c>
      <c r="BU140" s="207">
        <v>0</v>
      </c>
      <c r="BV140" s="207">
        <v>0</v>
      </c>
      <c r="BW140" s="207">
        <v>0</v>
      </c>
      <c r="BX140" s="207">
        <v>0</v>
      </c>
      <c r="BY140" s="207">
        <v>0</v>
      </c>
      <c r="BZ140" s="207">
        <v>0</v>
      </c>
      <c r="CA140" s="207">
        <v>0</v>
      </c>
      <c r="CB140" s="207">
        <v>0</v>
      </c>
      <c r="CC140" s="207">
        <v>0</v>
      </c>
      <c r="CD140" s="207">
        <v>0</v>
      </c>
      <c r="CE140" s="207">
        <v>0</v>
      </c>
      <c r="CF140" s="207">
        <v>0</v>
      </c>
      <c r="CG140" s="147"/>
      <c r="CH140" s="176"/>
      <c r="CJ140" s="146"/>
      <c r="CK140" s="76">
        <f t="shared" ca="1" si="90"/>
        <v>0.21127696612459435</v>
      </c>
      <c r="CL140" s="179">
        <f t="shared" si="91"/>
        <v>3</v>
      </c>
      <c r="CM140" s="180">
        <f t="shared" si="92"/>
        <v>39799</v>
      </c>
      <c r="CN140" s="208">
        <v>0</v>
      </c>
      <c r="CO140" s="208">
        <v>1</v>
      </c>
      <c r="CP140" s="208">
        <v>2</v>
      </c>
      <c r="CQ140" s="208">
        <v>0</v>
      </c>
      <c r="CR140" s="208">
        <v>0</v>
      </c>
      <c r="CS140" s="208">
        <v>0</v>
      </c>
      <c r="CT140" s="208">
        <v>0</v>
      </c>
      <c r="CU140" s="208">
        <v>0</v>
      </c>
      <c r="CV140" s="160"/>
      <c r="CW140" s="178">
        <f>30/13</f>
        <v>2.3076923076923075</v>
      </c>
      <c r="CX140">
        <f>8</f>
        <v>8</v>
      </c>
      <c r="CY140" s="160"/>
      <c r="CZ140" s="177">
        <f t="shared" si="93"/>
        <v>9.6000000000000002E-2</v>
      </c>
      <c r="DB140" s="146"/>
      <c r="DC140" s="76">
        <f t="shared" ca="1" si="51"/>
        <v>0.86127709654517592</v>
      </c>
      <c r="DD140">
        <f t="shared" si="94"/>
        <v>3</v>
      </c>
      <c r="DE140" s="129">
        <f t="shared" si="168"/>
        <v>39799</v>
      </c>
      <c r="DF140" s="161">
        <f t="shared" si="95"/>
        <v>0</v>
      </c>
      <c r="DG140" s="161">
        <f t="shared" si="96"/>
        <v>83.333333333333329</v>
      </c>
      <c r="DH140" s="161">
        <f t="shared" si="97"/>
        <v>166.66666666666666</v>
      </c>
      <c r="DI140" s="161">
        <f t="shared" si="98"/>
        <v>0</v>
      </c>
      <c r="DJ140" s="161">
        <f t="shared" si="99"/>
        <v>0</v>
      </c>
      <c r="DK140" s="161">
        <f t="shared" si="100"/>
        <v>48.076923076923073</v>
      </c>
      <c r="DL140" s="161">
        <f t="shared" si="101"/>
        <v>72.115384615384613</v>
      </c>
      <c r="DM140" s="161">
        <f t="shared" si="102"/>
        <v>0</v>
      </c>
      <c r="DN140" s="161">
        <f t="shared" si="103"/>
        <v>0</v>
      </c>
      <c r="DO140" s="161">
        <f t="shared" si="104"/>
        <v>0</v>
      </c>
      <c r="DP140" s="161">
        <f t="shared" si="105"/>
        <v>0</v>
      </c>
      <c r="DQ140" s="161">
        <f t="shared" si="106"/>
        <v>0</v>
      </c>
      <c r="DR140" s="161">
        <f t="shared" si="107"/>
        <v>0</v>
      </c>
      <c r="DS140" s="161">
        <f t="shared" si="108"/>
        <v>0</v>
      </c>
      <c r="DT140" s="161">
        <f t="shared" si="109"/>
        <v>0</v>
      </c>
      <c r="DU140" s="161">
        <f t="shared" si="110"/>
        <v>0</v>
      </c>
      <c r="DV140" s="161">
        <f t="shared" si="111"/>
        <v>0</v>
      </c>
      <c r="DW140" s="161">
        <f t="shared" si="112"/>
        <v>0</v>
      </c>
      <c r="DX140" s="161">
        <f t="shared" si="113"/>
        <v>0</v>
      </c>
      <c r="DY140" s="161">
        <f t="shared" si="114"/>
        <v>0</v>
      </c>
      <c r="DZ140" s="161">
        <f t="shared" si="115"/>
        <v>0</v>
      </c>
      <c r="EA140" s="161">
        <f t="shared" si="116"/>
        <v>0</v>
      </c>
      <c r="EB140" s="161">
        <f t="shared" si="117"/>
        <v>0</v>
      </c>
      <c r="EC140" s="161">
        <f t="shared" si="118"/>
        <v>0</v>
      </c>
      <c r="ED140" s="161">
        <f t="shared" si="119"/>
        <v>0</v>
      </c>
      <c r="EE140" s="161">
        <f t="shared" si="120"/>
        <v>0</v>
      </c>
      <c r="EF140" s="161">
        <f t="shared" si="121"/>
        <v>0</v>
      </c>
      <c r="EG140" s="161">
        <f t="shared" si="122"/>
        <v>0</v>
      </c>
      <c r="EH140" s="161">
        <f t="shared" si="123"/>
        <v>0</v>
      </c>
      <c r="EI140" s="161">
        <f t="shared" si="124"/>
        <v>0</v>
      </c>
      <c r="EJ140" s="161">
        <f t="shared" si="125"/>
        <v>0</v>
      </c>
      <c r="EK140" s="147">
        <f t="shared" si="133"/>
        <v>370.19230769230774</v>
      </c>
      <c r="EL140" s="149"/>
      <c r="EN140" s="146"/>
      <c r="EO140" s="146"/>
      <c r="EP140" s="139">
        <f t="shared" si="134"/>
        <v>0</v>
      </c>
      <c r="EQ140" s="139">
        <f t="shared" si="135"/>
        <v>0.56681666666666664</v>
      </c>
      <c r="ER140" s="139">
        <f t="shared" si="136"/>
        <v>7.2548917345249553</v>
      </c>
      <c r="ES140" s="139">
        <f t="shared" si="137"/>
        <v>0</v>
      </c>
      <c r="ET140" s="139">
        <f t="shared" si="138"/>
        <v>0</v>
      </c>
      <c r="EU140" s="139">
        <f t="shared" si="139"/>
        <v>24.34457484732069</v>
      </c>
      <c r="EV140" s="139">
        <f t="shared" si="140"/>
        <v>59.503269643276347</v>
      </c>
      <c r="EW140" s="139">
        <f t="shared" si="141"/>
        <v>0</v>
      </c>
      <c r="EX140" s="139">
        <f t="shared" si="142"/>
        <v>0</v>
      </c>
      <c r="EY140" s="139">
        <f t="shared" si="143"/>
        <v>0</v>
      </c>
      <c r="EZ140" s="139">
        <f t="shared" si="144"/>
        <v>0</v>
      </c>
      <c r="FA140" s="139">
        <f t="shared" si="145"/>
        <v>0</v>
      </c>
      <c r="FB140" s="139">
        <f t="shared" si="146"/>
        <v>0</v>
      </c>
      <c r="FC140" s="139">
        <f t="shared" si="147"/>
        <v>0</v>
      </c>
      <c r="FD140" s="139">
        <f t="shared" si="148"/>
        <v>0</v>
      </c>
      <c r="FE140" s="139">
        <f t="shared" si="149"/>
        <v>0</v>
      </c>
      <c r="FF140" s="139">
        <f t="shared" si="150"/>
        <v>0</v>
      </c>
      <c r="FG140" s="139">
        <f t="shared" si="151"/>
        <v>0</v>
      </c>
      <c r="FH140" s="139">
        <f t="shared" si="152"/>
        <v>0</v>
      </c>
      <c r="FI140" s="139">
        <f t="shared" si="153"/>
        <v>0</v>
      </c>
      <c r="FJ140" s="139">
        <f t="shared" si="154"/>
        <v>0</v>
      </c>
      <c r="FK140" s="139">
        <f t="shared" si="155"/>
        <v>0</v>
      </c>
      <c r="FL140" s="139">
        <f t="shared" si="156"/>
        <v>0</v>
      </c>
      <c r="FM140" s="139">
        <f t="shared" si="157"/>
        <v>0</v>
      </c>
      <c r="FN140" s="139">
        <f t="shared" si="158"/>
        <v>0</v>
      </c>
      <c r="FO140" s="139">
        <f t="shared" si="159"/>
        <v>0</v>
      </c>
      <c r="FP140" s="139">
        <f t="shared" si="160"/>
        <v>0</v>
      </c>
      <c r="FQ140" s="139">
        <f t="shared" si="161"/>
        <v>0</v>
      </c>
      <c r="FR140" s="139">
        <f t="shared" si="162"/>
        <v>0</v>
      </c>
      <c r="FS140" s="139">
        <f t="shared" si="163"/>
        <v>0</v>
      </c>
      <c r="FT140" s="139">
        <f t="shared" si="164"/>
        <v>0</v>
      </c>
      <c r="FU140" s="148">
        <f t="shared" si="165"/>
        <v>91.669552891788669</v>
      </c>
      <c r="FV140" s="149"/>
      <c r="FY140" s="214">
        <v>135</v>
      </c>
      <c r="FZ140">
        <v>1.5352032312729809</v>
      </c>
      <c r="GA140">
        <v>7.0185625920996788</v>
      </c>
      <c r="GB140">
        <v>6.9119294193399412</v>
      </c>
      <c r="GC140">
        <v>3.1796117776536574</v>
      </c>
      <c r="GD140">
        <v>0.92305522328491019</v>
      </c>
      <c r="GE140">
        <v>9.4674240109779024</v>
      </c>
      <c r="GF140">
        <v>20.172926531330326</v>
      </c>
      <c r="GG140">
        <v>16.636790946255353</v>
      </c>
      <c r="GH140">
        <v>20.515855454749335</v>
      </c>
      <c r="GI140">
        <v>9.5197300829751832</v>
      </c>
      <c r="GJ140"/>
      <c r="GK140"/>
      <c r="GL140"/>
      <c r="GM140"/>
    </row>
    <row r="141" spans="1:195" s="7" customFormat="1">
      <c r="A141" s="1"/>
      <c r="B141" s="76">
        <f t="shared" ca="1" si="132"/>
        <v>0.97215838795903498</v>
      </c>
      <c r="C141">
        <v>6</v>
      </c>
      <c r="D141">
        <v>39799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62.39775078680649</v>
      </c>
      <c r="AO141">
        <v>12.904331030374101</v>
      </c>
      <c r="AP141">
        <v>69.806863614469947</v>
      </c>
      <c r="AQ141">
        <v>61.84902908454896</v>
      </c>
      <c r="AR141">
        <v>11.743419324650713</v>
      </c>
      <c r="AS141">
        <v>58.781909524468105</v>
      </c>
      <c r="AT141" t="e">
        <v>#DIV/0!</v>
      </c>
      <c r="AU141" t="e">
        <v>#DIV/0!</v>
      </c>
      <c r="AV141"/>
      <c r="AW141"/>
      <c r="AX141" s="146"/>
      <c r="AY141" s="76">
        <f t="shared" ca="1" si="88"/>
        <v>0.24550113341032631</v>
      </c>
      <c r="AZ141">
        <v>4</v>
      </c>
      <c r="BA141" s="129">
        <f t="shared" si="169"/>
        <v>39799</v>
      </c>
      <c r="BB141" s="207">
        <v>0</v>
      </c>
      <c r="BC141" s="207">
        <v>0</v>
      </c>
      <c r="BD141" s="207">
        <v>0</v>
      </c>
      <c r="BE141" s="207">
        <v>0</v>
      </c>
      <c r="BF141" s="207">
        <v>0</v>
      </c>
      <c r="BG141" s="207">
        <v>1</v>
      </c>
      <c r="BH141" s="207">
        <v>6</v>
      </c>
      <c r="BI141" s="207">
        <v>1</v>
      </c>
      <c r="BJ141" s="207">
        <v>0</v>
      </c>
      <c r="BK141" s="207">
        <v>0</v>
      </c>
      <c r="BL141" s="207">
        <v>0</v>
      </c>
      <c r="BM141" s="207">
        <v>0</v>
      </c>
      <c r="BN141" s="207">
        <v>0</v>
      </c>
      <c r="BO141" s="207">
        <v>0</v>
      </c>
      <c r="BP141" s="207">
        <v>0</v>
      </c>
      <c r="BQ141" s="207">
        <v>0</v>
      </c>
      <c r="BR141" s="207">
        <v>0</v>
      </c>
      <c r="BS141" s="207">
        <v>0</v>
      </c>
      <c r="BT141" s="207">
        <v>0</v>
      </c>
      <c r="BU141" s="207">
        <v>0</v>
      </c>
      <c r="BV141" s="207">
        <v>0</v>
      </c>
      <c r="BW141" s="207">
        <v>0</v>
      </c>
      <c r="BX141" s="207">
        <v>0</v>
      </c>
      <c r="BY141" s="207">
        <v>0</v>
      </c>
      <c r="BZ141" s="207">
        <v>0</v>
      </c>
      <c r="CA141" s="207">
        <v>0</v>
      </c>
      <c r="CB141" s="207">
        <v>0</v>
      </c>
      <c r="CC141" s="207">
        <v>0</v>
      </c>
      <c r="CD141" s="207">
        <v>0</v>
      </c>
      <c r="CE141" s="207">
        <v>0</v>
      </c>
      <c r="CF141" s="207">
        <v>0</v>
      </c>
      <c r="CG141" s="147"/>
      <c r="CH141" s="176"/>
      <c r="CJ141" s="146"/>
      <c r="CK141" s="76">
        <f t="shared" ca="1" si="90"/>
        <v>0.5964457555604239</v>
      </c>
      <c r="CL141" s="179">
        <f t="shared" si="91"/>
        <v>4</v>
      </c>
      <c r="CM141" s="180">
        <f t="shared" si="92"/>
        <v>39799</v>
      </c>
      <c r="CN141" s="208">
        <v>0</v>
      </c>
      <c r="CO141" s="208">
        <v>0</v>
      </c>
      <c r="CP141" s="208">
        <v>2</v>
      </c>
      <c r="CQ141" s="208">
        <v>0</v>
      </c>
      <c r="CR141" s="208">
        <v>0</v>
      </c>
      <c r="CS141" s="208">
        <v>0</v>
      </c>
      <c r="CT141" s="208">
        <v>0</v>
      </c>
      <c r="CU141" s="208">
        <v>0</v>
      </c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3"/>
        <v>9.6000000000000002E-2</v>
      </c>
      <c r="DB141" s="146"/>
      <c r="DC141" s="76">
        <f t="shared" ca="1" si="51"/>
        <v>0.17257713152128606</v>
      </c>
      <c r="DD141">
        <f t="shared" si="94"/>
        <v>4</v>
      </c>
      <c r="DE141" s="129">
        <f t="shared" si="168"/>
        <v>39799</v>
      </c>
      <c r="DF141" s="161">
        <f t="shared" si="95"/>
        <v>0</v>
      </c>
      <c r="DG141" s="161">
        <f t="shared" si="96"/>
        <v>0</v>
      </c>
      <c r="DH141" s="161">
        <f t="shared" si="97"/>
        <v>584.89304812834223</v>
      </c>
      <c r="DI141" s="161">
        <f t="shared" si="98"/>
        <v>0</v>
      </c>
      <c r="DJ141" s="161">
        <f t="shared" si="99"/>
        <v>0</v>
      </c>
      <c r="DK141" s="161">
        <f t="shared" si="100"/>
        <v>37.878787878787875</v>
      </c>
      <c r="DL141" s="161">
        <f t="shared" si="101"/>
        <v>227.27272727272725</v>
      </c>
      <c r="DM141" s="161">
        <f t="shared" si="102"/>
        <v>37.878787878787875</v>
      </c>
      <c r="DN141" s="161">
        <f t="shared" si="103"/>
        <v>0</v>
      </c>
      <c r="DO141" s="161">
        <f t="shared" si="104"/>
        <v>0</v>
      </c>
      <c r="DP141" s="161">
        <f t="shared" si="105"/>
        <v>0</v>
      </c>
      <c r="DQ141" s="161">
        <f t="shared" si="106"/>
        <v>0</v>
      </c>
      <c r="DR141" s="161">
        <f t="shared" si="107"/>
        <v>0</v>
      </c>
      <c r="DS141" s="161">
        <f t="shared" si="108"/>
        <v>0</v>
      </c>
      <c r="DT141" s="161">
        <f t="shared" si="109"/>
        <v>0</v>
      </c>
      <c r="DU141" s="161">
        <f t="shared" si="110"/>
        <v>0</v>
      </c>
      <c r="DV141" s="161">
        <f t="shared" si="111"/>
        <v>0</v>
      </c>
      <c r="DW141" s="161">
        <f t="shared" si="112"/>
        <v>0</v>
      </c>
      <c r="DX141" s="161">
        <f t="shared" si="113"/>
        <v>0</v>
      </c>
      <c r="DY141" s="161">
        <f t="shared" si="114"/>
        <v>0</v>
      </c>
      <c r="DZ141" s="161">
        <f t="shared" si="115"/>
        <v>0</v>
      </c>
      <c r="EA141" s="161">
        <f t="shared" si="116"/>
        <v>0</v>
      </c>
      <c r="EB141" s="161">
        <f t="shared" si="117"/>
        <v>0</v>
      </c>
      <c r="EC141" s="161">
        <f t="shared" si="118"/>
        <v>0</v>
      </c>
      <c r="ED141" s="161">
        <f t="shared" si="119"/>
        <v>0</v>
      </c>
      <c r="EE141" s="161">
        <f t="shared" si="120"/>
        <v>0</v>
      </c>
      <c r="EF141" s="161">
        <f t="shared" si="121"/>
        <v>0</v>
      </c>
      <c r="EG141" s="161">
        <f t="shared" si="122"/>
        <v>0</v>
      </c>
      <c r="EH141" s="161">
        <f t="shared" si="123"/>
        <v>0</v>
      </c>
      <c r="EI141" s="161">
        <f t="shared" si="124"/>
        <v>0</v>
      </c>
      <c r="EJ141" s="161">
        <f t="shared" si="125"/>
        <v>0</v>
      </c>
      <c r="EK141" s="147">
        <f t="shared" si="133"/>
        <v>887.92335115864523</v>
      </c>
      <c r="EL141" s="149"/>
      <c r="EN141" s="146"/>
      <c r="EO141" s="146"/>
      <c r="EP141" s="139">
        <f t="shared" si="134"/>
        <v>0</v>
      </c>
      <c r="EQ141" s="139">
        <f t="shared" si="135"/>
        <v>0</v>
      </c>
      <c r="ER141" s="139">
        <f t="shared" si="136"/>
        <v>25.4600144426845</v>
      </c>
      <c r="ES141" s="139">
        <f t="shared" si="137"/>
        <v>0</v>
      </c>
      <c r="ET141" s="139">
        <f t="shared" si="138"/>
        <v>0</v>
      </c>
      <c r="EU141" s="139">
        <f t="shared" si="139"/>
        <v>19.18057412213145</v>
      </c>
      <c r="EV141" s="139">
        <f t="shared" si="140"/>
        <v>187.52545584547696</v>
      </c>
      <c r="EW141" s="139">
        <f t="shared" si="141"/>
        <v>47.227230898706907</v>
      </c>
      <c r="EX141" s="139">
        <f t="shared" si="142"/>
        <v>0</v>
      </c>
      <c r="EY141" s="139">
        <f t="shared" si="143"/>
        <v>0</v>
      </c>
      <c r="EZ141" s="139">
        <f t="shared" si="144"/>
        <v>0</v>
      </c>
      <c r="FA141" s="139">
        <f t="shared" si="145"/>
        <v>0</v>
      </c>
      <c r="FB141" s="139">
        <f t="shared" si="146"/>
        <v>0</v>
      </c>
      <c r="FC141" s="139">
        <f t="shared" si="147"/>
        <v>0</v>
      </c>
      <c r="FD141" s="139">
        <f t="shared" si="148"/>
        <v>0</v>
      </c>
      <c r="FE141" s="139">
        <f t="shared" si="149"/>
        <v>0</v>
      </c>
      <c r="FF141" s="139">
        <f t="shared" si="150"/>
        <v>0</v>
      </c>
      <c r="FG141" s="139">
        <f t="shared" si="151"/>
        <v>0</v>
      </c>
      <c r="FH141" s="139">
        <f t="shared" si="152"/>
        <v>0</v>
      </c>
      <c r="FI141" s="139">
        <f t="shared" si="153"/>
        <v>0</v>
      </c>
      <c r="FJ141" s="139">
        <f t="shared" si="154"/>
        <v>0</v>
      </c>
      <c r="FK141" s="139">
        <f t="shared" si="155"/>
        <v>0</v>
      </c>
      <c r="FL141" s="139">
        <f t="shared" si="156"/>
        <v>0</v>
      </c>
      <c r="FM141" s="139">
        <f t="shared" si="157"/>
        <v>0</v>
      </c>
      <c r="FN141" s="139">
        <f t="shared" si="158"/>
        <v>0</v>
      </c>
      <c r="FO141" s="139">
        <f t="shared" si="159"/>
        <v>0</v>
      </c>
      <c r="FP141" s="139">
        <f t="shared" si="160"/>
        <v>0</v>
      </c>
      <c r="FQ141" s="139">
        <f t="shared" si="161"/>
        <v>0</v>
      </c>
      <c r="FR141" s="139">
        <f t="shared" si="162"/>
        <v>0</v>
      </c>
      <c r="FS141" s="139">
        <f t="shared" si="163"/>
        <v>0</v>
      </c>
      <c r="FT141" s="139">
        <f t="shared" si="164"/>
        <v>0</v>
      </c>
      <c r="FU141" s="148">
        <f t="shared" si="165"/>
        <v>279.39327530899982</v>
      </c>
      <c r="FV141" s="149"/>
      <c r="FY141" s="214">
        <v>136</v>
      </c>
      <c r="FZ141">
        <v>1.1561401519861223</v>
      </c>
      <c r="GA141">
        <v>3.3868891256828197</v>
      </c>
      <c r="GB141">
        <v>10.612430863237664</v>
      </c>
      <c r="GC141">
        <v>5.5387510265190647</v>
      </c>
      <c r="GD141">
        <v>0.83136390415897088</v>
      </c>
      <c r="GE141">
        <v>5.6392530332046498</v>
      </c>
      <c r="GF141">
        <v>12.050063861497557</v>
      </c>
      <c r="GG141">
        <v>7.1499137966948281</v>
      </c>
      <c r="GH141">
        <v>4.1293904744246639</v>
      </c>
      <c r="GI141">
        <v>6.2457991371437114</v>
      </c>
      <c r="GJ141"/>
      <c r="GK141"/>
      <c r="GL141"/>
      <c r="GM141"/>
    </row>
    <row r="142" spans="1:195" s="7" customFormat="1">
      <c r="A142" s="1"/>
      <c r="B142" s="76">
        <f t="shared" ca="1" si="132"/>
        <v>0.36055121372047982</v>
      </c>
      <c r="C142">
        <v>3</v>
      </c>
      <c r="D142">
        <v>39799</v>
      </c>
      <c r="E142">
        <v>0</v>
      </c>
      <c r="F142">
        <v>83.333333333333329</v>
      </c>
      <c r="G142">
        <v>166.66666666666666</v>
      </c>
      <c r="H142">
        <v>0</v>
      </c>
      <c r="I142">
        <v>0</v>
      </c>
      <c r="J142">
        <v>48.076923076923073</v>
      </c>
      <c r="K142">
        <v>72.115384615384613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90.402125885990429</v>
      </c>
      <c r="AO142">
        <v>18.898692026152037</v>
      </c>
      <c r="AP142">
        <v>123.67996281283084</v>
      </c>
      <c r="AQ142">
        <v>101.89559548045131</v>
      </c>
      <c r="AR142">
        <v>17.359171692948195</v>
      </c>
      <c r="AS142">
        <v>93.195276435043525</v>
      </c>
      <c r="AT142" t="e">
        <v>#DIV/0!</v>
      </c>
      <c r="AU142" t="e">
        <v>#DIV/0!</v>
      </c>
      <c r="AV142"/>
      <c r="AW142"/>
      <c r="AX142" s="146"/>
      <c r="AY142" s="76">
        <f t="shared" ca="1" si="88"/>
        <v>0.20448039306620913</v>
      </c>
      <c r="AZ142">
        <v>5</v>
      </c>
      <c r="BA142" s="129">
        <f t="shared" si="169"/>
        <v>39799</v>
      </c>
      <c r="BB142" s="207">
        <v>0</v>
      </c>
      <c r="BC142" s="207">
        <v>0</v>
      </c>
      <c r="BD142" s="207">
        <v>0</v>
      </c>
      <c r="BE142" s="207">
        <v>0</v>
      </c>
      <c r="BF142" s="207">
        <v>0</v>
      </c>
      <c r="BG142" s="207">
        <v>0</v>
      </c>
      <c r="BH142" s="207">
        <v>0</v>
      </c>
      <c r="BI142" s="207">
        <v>0</v>
      </c>
      <c r="BJ142" s="207">
        <v>0</v>
      </c>
      <c r="BK142" s="207">
        <v>0</v>
      </c>
      <c r="BL142" s="207">
        <v>0</v>
      </c>
      <c r="BM142" s="207">
        <v>0</v>
      </c>
      <c r="BN142" s="207">
        <v>0</v>
      </c>
      <c r="BO142" s="207">
        <v>0</v>
      </c>
      <c r="BP142" s="207">
        <v>0</v>
      </c>
      <c r="BQ142" s="207">
        <v>0</v>
      </c>
      <c r="BR142" s="207">
        <v>0</v>
      </c>
      <c r="BS142" s="207">
        <v>0</v>
      </c>
      <c r="BT142" s="207">
        <v>0</v>
      </c>
      <c r="BU142" s="207">
        <v>0</v>
      </c>
      <c r="BV142" s="207">
        <v>0</v>
      </c>
      <c r="BW142" s="207">
        <v>0</v>
      </c>
      <c r="BX142" s="207">
        <v>0</v>
      </c>
      <c r="BY142" s="207">
        <v>0</v>
      </c>
      <c r="BZ142" s="207">
        <v>0</v>
      </c>
      <c r="CA142" s="207">
        <v>0</v>
      </c>
      <c r="CB142" s="207">
        <v>0</v>
      </c>
      <c r="CC142" s="207">
        <v>0</v>
      </c>
      <c r="CD142" s="207">
        <v>0</v>
      </c>
      <c r="CE142" s="207">
        <v>0</v>
      </c>
      <c r="CF142" s="207">
        <v>0</v>
      </c>
      <c r="CG142" s="147"/>
      <c r="CH142" s="176"/>
      <c r="CJ142" s="146"/>
      <c r="CK142" s="76">
        <f t="shared" ca="1" si="90"/>
        <v>0.98401169234684716</v>
      </c>
      <c r="CL142" s="179">
        <f t="shared" si="91"/>
        <v>5</v>
      </c>
      <c r="CM142" s="180">
        <f t="shared" si="92"/>
        <v>39799</v>
      </c>
      <c r="CN142" s="208">
        <v>0</v>
      </c>
      <c r="CO142" s="208">
        <v>0</v>
      </c>
      <c r="CP142" s="208">
        <v>0</v>
      </c>
      <c r="CQ142" s="208">
        <v>0</v>
      </c>
      <c r="CR142" s="208">
        <v>0</v>
      </c>
      <c r="CS142" s="208">
        <v>0</v>
      </c>
      <c r="CT142" s="208">
        <v>0</v>
      </c>
      <c r="CU142" s="208">
        <v>0</v>
      </c>
      <c r="CV142" s="160"/>
      <c r="CW142">
        <v>1</v>
      </c>
      <c r="CX142">
        <f>350/52</f>
        <v>6.7307692307692308</v>
      </c>
      <c r="CY142" s="160"/>
      <c r="CZ142" s="177">
        <f t="shared" si="93"/>
        <v>9.6000000000000002E-2</v>
      </c>
      <c r="DB142" s="146"/>
      <c r="DC142" s="76">
        <f t="shared" ca="1" si="51"/>
        <v>0.49501479468831255</v>
      </c>
      <c r="DD142">
        <f t="shared" si="94"/>
        <v>5</v>
      </c>
      <c r="DE142" s="129">
        <f t="shared" si="168"/>
        <v>39799</v>
      </c>
      <c r="DF142" s="161">
        <f t="shared" si="95"/>
        <v>0</v>
      </c>
      <c r="DG142" s="161">
        <f t="shared" si="96"/>
        <v>0</v>
      </c>
      <c r="DH142" s="161">
        <f t="shared" si="97"/>
        <v>0</v>
      </c>
      <c r="DI142" s="161">
        <f t="shared" si="98"/>
        <v>0</v>
      </c>
      <c r="DJ142" s="161">
        <f t="shared" si="99"/>
        <v>0</v>
      </c>
      <c r="DK142" s="161">
        <f t="shared" si="100"/>
        <v>0</v>
      </c>
      <c r="DL142" s="161">
        <f t="shared" si="101"/>
        <v>0</v>
      </c>
      <c r="DM142" s="161">
        <f t="shared" si="102"/>
        <v>0</v>
      </c>
      <c r="DN142" s="161">
        <f t="shared" si="103"/>
        <v>0</v>
      </c>
      <c r="DO142" s="161">
        <f t="shared" si="104"/>
        <v>0</v>
      </c>
      <c r="DP142" s="161">
        <f t="shared" si="105"/>
        <v>0</v>
      </c>
      <c r="DQ142" s="161">
        <f t="shared" si="106"/>
        <v>0</v>
      </c>
      <c r="DR142" s="161">
        <f t="shared" si="107"/>
        <v>0</v>
      </c>
      <c r="DS142" s="161">
        <f t="shared" si="108"/>
        <v>0</v>
      </c>
      <c r="DT142" s="161">
        <f t="shared" si="109"/>
        <v>0</v>
      </c>
      <c r="DU142" s="161">
        <f t="shared" si="110"/>
        <v>0</v>
      </c>
      <c r="DV142" s="161">
        <f t="shared" si="111"/>
        <v>0</v>
      </c>
      <c r="DW142" s="161">
        <f t="shared" si="112"/>
        <v>0</v>
      </c>
      <c r="DX142" s="161">
        <f t="shared" si="113"/>
        <v>0</v>
      </c>
      <c r="DY142" s="161">
        <f t="shared" si="114"/>
        <v>0</v>
      </c>
      <c r="DZ142" s="161">
        <f t="shared" si="115"/>
        <v>0</v>
      </c>
      <c r="EA142" s="161">
        <f t="shared" si="116"/>
        <v>0</v>
      </c>
      <c r="EB142" s="161">
        <f t="shared" si="117"/>
        <v>0</v>
      </c>
      <c r="EC142" s="161">
        <f t="shared" si="118"/>
        <v>0</v>
      </c>
      <c r="ED142" s="161">
        <f t="shared" si="119"/>
        <v>0</v>
      </c>
      <c r="EE142" s="161">
        <f t="shared" si="120"/>
        <v>0</v>
      </c>
      <c r="EF142" s="161">
        <f t="shared" si="121"/>
        <v>0</v>
      </c>
      <c r="EG142" s="161">
        <f t="shared" si="122"/>
        <v>0</v>
      </c>
      <c r="EH142" s="161">
        <f t="shared" si="123"/>
        <v>0</v>
      </c>
      <c r="EI142" s="161">
        <f t="shared" si="124"/>
        <v>0</v>
      </c>
      <c r="EJ142" s="161">
        <f t="shared" si="125"/>
        <v>0</v>
      </c>
      <c r="EK142" s="147">
        <f t="shared" si="133"/>
        <v>0</v>
      </c>
      <c r="EL142" s="149"/>
      <c r="EN142" s="146"/>
      <c r="EO142" s="146"/>
      <c r="EP142" s="139">
        <f t="shared" si="134"/>
        <v>0</v>
      </c>
      <c r="EQ142" s="139">
        <f t="shared" si="135"/>
        <v>0</v>
      </c>
      <c r="ER142" s="139">
        <f t="shared" si="136"/>
        <v>0</v>
      </c>
      <c r="ES142" s="139">
        <f t="shared" si="137"/>
        <v>0</v>
      </c>
      <c r="ET142" s="139">
        <f t="shared" si="138"/>
        <v>0</v>
      </c>
      <c r="EU142" s="139">
        <f t="shared" si="139"/>
        <v>0</v>
      </c>
      <c r="EV142" s="139">
        <f t="shared" si="140"/>
        <v>0</v>
      </c>
      <c r="EW142" s="139">
        <f t="shared" si="141"/>
        <v>0</v>
      </c>
      <c r="EX142" s="139">
        <f t="shared" si="142"/>
        <v>0</v>
      </c>
      <c r="EY142" s="139">
        <f t="shared" si="143"/>
        <v>0</v>
      </c>
      <c r="EZ142" s="139">
        <f t="shared" si="144"/>
        <v>0</v>
      </c>
      <c r="FA142" s="139">
        <f t="shared" si="145"/>
        <v>0</v>
      </c>
      <c r="FB142" s="139">
        <f t="shared" si="146"/>
        <v>0</v>
      </c>
      <c r="FC142" s="139">
        <f t="shared" si="147"/>
        <v>0</v>
      </c>
      <c r="FD142" s="139">
        <f t="shared" si="148"/>
        <v>0</v>
      </c>
      <c r="FE142" s="139">
        <f t="shared" si="149"/>
        <v>0</v>
      </c>
      <c r="FF142" s="139">
        <f t="shared" si="150"/>
        <v>0</v>
      </c>
      <c r="FG142" s="139">
        <f t="shared" si="151"/>
        <v>0</v>
      </c>
      <c r="FH142" s="139">
        <f t="shared" si="152"/>
        <v>0</v>
      </c>
      <c r="FI142" s="139">
        <f t="shared" si="153"/>
        <v>0</v>
      </c>
      <c r="FJ142" s="139">
        <f t="shared" si="154"/>
        <v>0</v>
      </c>
      <c r="FK142" s="139">
        <f t="shared" si="155"/>
        <v>0</v>
      </c>
      <c r="FL142" s="139">
        <f t="shared" si="156"/>
        <v>0</v>
      </c>
      <c r="FM142" s="139">
        <f t="shared" si="157"/>
        <v>0</v>
      </c>
      <c r="FN142" s="139">
        <f t="shared" si="158"/>
        <v>0</v>
      </c>
      <c r="FO142" s="139">
        <f t="shared" si="159"/>
        <v>0</v>
      </c>
      <c r="FP142" s="139">
        <f t="shared" si="160"/>
        <v>0</v>
      </c>
      <c r="FQ142" s="139">
        <f t="shared" si="161"/>
        <v>0</v>
      </c>
      <c r="FR142" s="139">
        <f t="shared" si="162"/>
        <v>0</v>
      </c>
      <c r="FS142" s="139">
        <f t="shared" si="163"/>
        <v>0</v>
      </c>
      <c r="FT142" s="139">
        <f t="shared" si="164"/>
        <v>0</v>
      </c>
      <c r="FU142" s="148">
        <f t="shared" si="165"/>
        <v>0</v>
      </c>
      <c r="FV142" s="149"/>
      <c r="FY142" s="214">
        <v>137</v>
      </c>
      <c r="FZ142">
        <v>0.86482742330991358</v>
      </c>
      <c r="GA142">
        <v>3.529425818966581</v>
      </c>
      <c r="GB142">
        <v>4.135705988926377</v>
      </c>
      <c r="GC142">
        <v>2.3883411371103218</v>
      </c>
      <c r="GD142">
        <v>4.4151290975404676</v>
      </c>
      <c r="GE142">
        <v>9.5925954919649516</v>
      </c>
      <c r="GF142">
        <v>20.060908285497703</v>
      </c>
      <c r="GG142">
        <v>16.543159253083864</v>
      </c>
      <c r="GH142">
        <v>0.64026236304066864</v>
      </c>
      <c r="GI142">
        <v>8.2143474077152696</v>
      </c>
      <c r="GJ142"/>
      <c r="GK142"/>
      <c r="GL142"/>
      <c r="GM142"/>
    </row>
    <row r="143" spans="1:195" s="7" customFormat="1">
      <c r="A143" s="1"/>
      <c r="B143" s="76">
        <f t="shared" ca="1" si="132"/>
        <v>0.70109746335063328</v>
      </c>
      <c r="C143">
        <v>1</v>
      </c>
      <c r="D143">
        <v>39799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48.564904929634096</v>
      </c>
      <c r="AO143">
        <v>10.082145226075713</v>
      </c>
      <c r="AP143">
        <v>26.527393962901627</v>
      </c>
      <c r="AQ143">
        <v>63.975316036035778</v>
      </c>
      <c r="AR143">
        <v>9.5470903197645658</v>
      </c>
      <c r="AS143">
        <v>48.423854896060014</v>
      </c>
      <c r="AT143">
        <v>5.8190113359160982</v>
      </c>
      <c r="AU143">
        <v>5.8407455876711003</v>
      </c>
      <c r="AV143"/>
      <c r="AW143"/>
      <c r="AX143" s="146"/>
      <c r="AY143" s="76">
        <f t="shared" ca="1" si="88"/>
        <v>0.93866560039092395</v>
      </c>
      <c r="AZ143">
        <v>6</v>
      </c>
      <c r="BA143" s="129">
        <f t="shared" si="169"/>
        <v>39799</v>
      </c>
      <c r="BB143" s="207">
        <v>0</v>
      </c>
      <c r="BC143" s="207">
        <v>0</v>
      </c>
      <c r="BD143" s="207">
        <v>0</v>
      </c>
      <c r="BE143" s="207">
        <v>0</v>
      </c>
      <c r="BF143" s="207">
        <v>0</v>
      </c>
      <c r="BG143" s="207">
        <v>0</v>
      </c>
      <c r="BH143" s="207">
        <v>0</v>
      </c>
      <c r="BI143" s="207">
        <v>0</v>
      </c>
      <c r="BJ143" s="207">
        <v>0</v>
      </c>
      <c r="BK143" s="207">
        <v>0</v>
      </c>
      <c r="BL143" s="207">
        <v>0</v>
      </c>
      <c r="BM143" s="207">
        <v>0</v>
      </c>
      <c r="BN143" s="207">
        <v>0</v>
      </c>
      <c r="BO143" s="207">
        <v>0</v>
      </c>
      <c r="BP143" s="207">
        <v>0</v>
      </c>
      <c r="BQ143" s="207">
        <v>0</v>
      </c>
      <c r="BR143" s="207">
        <v>0</v>
      </c>
      <c r="BS143" s="207">
        <v>0</v>
      </c>
      <c r="BT143" s="207">
        <v>0</v>
      </c>
      <c r="BU143" s="207">
        <v>0</v>
      </c>
      <c r="BV143" s="207">
        <v>0</v>
      </c>
      <c r="BW143" s="207">
        <v>0</v>
      </c>
      <c r="BX143" s="207">
        <v>0</v>
      </c>
      <c r="BY143" s="207">
        <v>0</v>
      </c>
      <c r="BZ143" s="207">
        <v>0</v>
      </c>
      <c r="CA143" s="207">
        <v>0</v>
      </c>
      <c r="CB143" s="207">
        <v>0</v>
      </c>
      <c r="CC143" s="207">
        <v>0</v>
      </c>
      <c r="CD143" s="207">
        <v>0</v>
      </c>
      <c r="CE143" s="207">
        <v>0</v>
      </c>
      <c r="CF143" s="207">
        <v>0</v>
      </c>
      <c r="CG143" s="147"/>
      <c r="CH143" s="176"/>
      <c r="CJ143" s="146"/>
      <c r="CK143" s="76">
        <f t="shared" ca="1" si="90"/>
        <v>2.0443870815614051E-2</v>
      </c>
      <c r="CL143" s="179">
        <f t="shared" si="91"/>
        <v>6</v>
      </c>
      <c r="CM143" s="180">
        <f t="shared" si="92"/>
        <v>39799</v>
      </c>
      <c r="CN143" s="208">
        <v>0</v>
      </c>
      <c r="CO143" s="208">
        <v>0</v>
      </c>
      <c r="CP143" s="208">
        <v>0</v>
      </c>
      <c r="CQ143" s="208">
        <v>0</v>
      </c>
      <c r="CR143" s="208">
        <v>0</v>
      </c>
      <c r="CS143" s="208">
        <v>0</v>
      </c>
      <c r="CT143" s="208">
        <v>0</v>
      </c>
      <c r="CU143" s="208">
        <v>0</v>
      </c>
      <c r="CV143" s="160"/>
      <c r="CW143">
        <v>1</v>
      </c>
      <c r="CX143">
        <v>1</v>
      </c>
      <c r="CY143" s="160"/>
      <c r="CZ143" s="177">
        <f t="shared" si="93"/>
        <v>9.6000000000000002E-2</v>
      </c>
      <c r="DB143" s="146"/>
      <c r="DC143" s="76">
        <f t="shared" ca="1" si="51"/>
        <v>5.155379590438347E-2</v>
      </c>
      <c r="DD143">
        <f t="shared" si="94"/>
        <v>6</v>
      </c>
      <c r="DE143" s="129">
        <f t="shared" si="168"/>
        <v>39799</v>
      </c>
      <c r="DF143" s="161">
        <f t="shared" si="95"/>
        <v>0</v>
      </c>
      <c r="DG143" s="161">
        <f t="shared" si="96"/>
        <v>0</v>
      </c>
      <c r="DH143" s="161">
        <f t="shared" si="97"/>
        <v>0</v>
      </c>
      <c r="DI143" s="161">
        <f t="shared" si="98"/>
        <v>0</v>
      </c>
      <c r="DJ143" s="161">
        <f t="shared" si="99"/>
        <v>0</v>
      </c>
      <c r="DK143" s="161">
        <f t="shared" si="100"/>
        <v>0</v>
      </c>
      <c r="DL143" s="161">
        <f t="shared" si="101"/>
        <v>0</v>
      </c>
      <c r="DM143" s="161">
        <f t="shared" si="102"/>
        <v>0</v>
      </c>
      <c r="DN143" s="161">
        <f t="shared" si="103"/>
        <v>0</v>
      </c>
      <c r="DO143" s="161">
        <f t="shared" si="104"/>
        <v>0</v>
      </c>
      <c r="DP143" s="161">
        <f t="shared" si="105"/>
        <v>0</v>
      </c>
      <c r="DQ143" s="161">
        <f t="shared" si="106"/>
        <v>0</v>
      </c>
      <c r="DR143" s="161">
        <f t="shared" si="107"/>
        <v>0</v>
      </c>
      <c r="DS143" s="161">
        <f t="shared" si="108"/>
        <v>0</v>
      </c>
      <c r="DT143" s="161">
        <f t="shared" si="109"/>
        <v>0</v>
      </c>
      <c r="DU143" s="161">
        <f t="shared" si="110"/>
        <v>0</v>
      </c>
      <c r="DV143" s="161">
        <f t="shared" si="111"/>
        <v>0</v>
      </c>
      <c r="DW143" s="161">
        <f t="shared" si="112"/>
        <v>0</v>
      </c>
      <c r="DX143" s="161">
        <f t="shared" si="113"/>
        <v>0</v>
      </c>
      <c r="DY143" s="161">
        <f t="shared" si="114"/>
        <v>0</v>
      </c>
      <c r="DZ143" s="161">
        <f t="shared" si="115"/>
        <v>0</v>
      </c>
      <c r="EA143" s="161">
        <f t="shared" si="116"/>
        <v>0</v>
      </c>
      <c r="EB143" s="161">
        <f t="shared" si="117"/>
        <v>0</v>
      </c>
      <c r="EC143" s="161">
        <f t="shared" si="118"/>
        <v>0</v>
      </c>
      <c r="ED143" s="161">
        <f t="shared" si="119"/>
        <v>0</v>
      </c>
      <c r="EE143" s="161">
        <f t="shared" si="120"/>
        <v>0</v>
      </c>
      <c r="EF143" s="161">
        <f t="shared" si="121"/>
        <v>0</v>
      </c>
      <c r="EG143" s="161">
        <f t="shared" si="122"/>
        <v>0</v>
      </c>
      <c r="EH143" s="161">
        <f t="shared" si="123"/>
        <v>0</v>
      </c>
      <c r="EI143" s="161">
        <f t="shared" si="124"/>
        <v>0</v>
      </c>
      <c r="EJ143" s="161">
        <f t="shared" si="125"/>
        <v>0</v>
      </c>
      <c r="EK143" s="147">
        <f t="shared" si="133"/>
        <v>0</v>
      </c>
      <c r="EL143" s="149"/>
      <c r="EN143" s="146"/>
      <c r="EO143" s="146"/>
      <c r="EP143" s="139">
        <f t="shared" si="134"/>
        <v>0</v>
      </c>
      <c r="EQ143" s="139">
        <f t="shared" si="135"/>
        <v>0</v>
      </c>
      <c r="ER143" s="139">
        <f t="shared" si="136"/>
        <v>0</v>
      </c>
      <c r="ES143" s="139">
        <f t="shared" si="137"/>
        <v>0</v>
      </c>
      <c r="ET143" s="139">
        <f t="shared" si="138"/>
        <v>0</v>
      </c>
      <c r="EU143" s="139">
        <f t="shared" si="139"/>
        <v>0</v>
      </c>
      <c r="EV143" s="139">
        <f t="shared" si="140"/>
        <v>0</v>
      </c>
      <c r="EW143" s="139">
        <f t="shared" si="141"/>
        <v>0</v>
      </c>
      <c r="EX143" s="139">
        <f t="shared" si="142"/>
        <v>0</v>
      </c>
      <c r="EY143" s="139">
        <f t="shared" si="143"/>
        <v>0</v>
      </c>
      <c r="EZ143" s="139">
        <f t="shared" si="144"/>
        <v>0</v>
      </c>
      <c r="FA143" s="139">
        <f t="shared" si="145"/>
        <v>0</v>
      </c>
      <c r="FB143" s="139">
        <f t="shared" si="146"/>
        <v>0</v>
      </c>
      <c r="FC143" s="139">
        <f t="shared" si="147"/>
        <v>0</v>
      </c>
      <c r="FD143" s="139">
        <f t="shared" si="148"/>
        <v>0</v>
      </c>
      <c r="FE143" s="139">
        <f t="shared" si="149"/>
        <v>0</v>
      </c>
      <c r="FF143" s="139">
        <f t="shared" si="150"/>
        <v>0</v>
      </c>
      <c r="FG143" s="139">
        <f t="shared" si="151"/>
        <v>0</v>
      </c>
      <c r="FH143" s="139">
        <f t="shared" si="152"/>
        <v>0</v>
      </c>
      <c r="FI143" s="139">
        <f t="shared" si="153"/>
        <v>0</v>
      </c>
      <c r="FJ143" s="139">
        <f t="shared" si="154"/>
        <v>0</v>
      </c>
      <c r="FK143" s="139">
        <f t="shared" si="155"/>
        <v>0</v>
      </c>
      <c r="FL143" s="139">
        <f t="shared" si="156"/>
        <v>0</v>
      </c>
      <c r="FM143" s="139">
        <f t="shared" si="157"/>
        <v>0</v>
      </c>
      <c r="FN143" s="139">
        <f t="shared" si="158"/>
        <v>0</v>
      </c>
      <c r="FO143" s="139">
        <f t="shared" si="159"/>
        <v>0</v>
      </c>
      <c r="FP143" s="139">
        <f t="shared" si="160"/>
        <v>0</v>
      </c>
      <c r="FQ143" s="139">
        <f t="shared" si="161"/>
        <v>0</v>
      </c>
      <c r="FR143" s="139">
        <f t="shared" si="162"/>
        <v>0</v>
      </c>
      <c r="FS143" s="139">
        <f t="shared" si="163"/>
        <v>0</v>
      </c>
      <c r="FT143" s="139">
        <f t="shared" si="164"/>
        <v>0</v>
      </c>
      <c r="FU143" s="148">
        <f t="shared" si="165"/>
        <v>0</v>
      </c>
      <c r="FV143" s="149"/>
      <c r="FY143" s="214">
        <v>138</v>
      </c>
      <c r="FZ143">
        <v>1.2160603654132871</v>
      </c>
      <c r="GA143">
        <v>12.946284131383727</v>
      </c>
      <c r="GB143">
        <v>11.694328682225894</v>
      </c>
      <c r="GC143">
        <v>3.8540952549398995</v>
      </c>
      <c r="GD143">
        <v>7.5050587698339255</v>
      </c>
      <c r="GE143">
        <v>16.122572932634895</v>
      </c>
      <c r="GF143">
        <v>11.507618622630035</v>
      </c>
      <c r="GG143">
        <v>10.834156601340222</v>
      </c>
      <c r="GH143">
        <v>4.6859045111820521</v>
      </c>
      <c r="GI143">
        <v>10.6273758228124</v>
      </c>
      <c r="GJ143"/>
      <c r="GK143"/>
      <c r="GL143"/>
      <c r="GM143"/>
    </row>
    <row r="144" spans="1:195" s="7" customFormat="1">
      <c r="A144" s="1"/>
      <c r="B144" s="76">
        <f t="shared" ca="1" si="132"/>
        <v>6.1722208170970738E-2</v>
      </c>
      <c r="C144">
        <v>7</v>
      </c>
      <c r="D144">
        <v>39799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88.262286863891816</v>
      </c>
      <c r="AO144">
        <v>18.377326927757839</v>
      </c>
      <c r="AP144">
        <v>111.26634156246763</v>
      </c>
      <c r="AQ144">
        <v>101.34254810253111</v>
      </c>
      <c r="AR144">
        <v>16.885847531529222</v>
      </c>
      <c r="AS144">
        <v>84.862471582428682</v>
      </c>
      <c r="AT144">
        <v>9.0019358915586363</v>
      </c>
      <c r="AU144">
        <v>51.625015056366543</v>
      </c>
      <c r="AV144"/>
      <c r="AW144"/>
      <c r="AX144" s="146"/>
      <c r="AY144" s="76">
        <f t="shared" ca="1" si="88"/>
        <v>0.41847851974437766</v>
      </c>
      <c r="AZ144">
        <v>7</v>
      </c>
      <c r="BA144" s="129">
        <f t="shared" si="169"/>
        <v>39799</v>
      </c>
      <c r="BB144" s="207">
        <v>0</v>
      </c>
      <c r="BC144" s="207">
        <v>0</v>
      </c>
      <c r="BD144" s="207">
        <v>0</v>
      </c>
      <c r="BE144" s="207">
        <v>0</v>
      </c>
      <c r="BF144" s="207">
        <v>0</v>
      </c>
      <c r="BG144" s="207">
        <v>0</v>
      </c>
      <c r="BH144" s="207">
        <v>0</v>
      </c>
      <c r="BI144" s="207">
        <v>0</v>
      </c>
      <c r="BJ144" s="207">
        <v>0</v>
      </c>
      <c r="BK144" s="207">
        <v>0</v>
      </c>
      <c r="BL144" s="207">
        <v>0</v>
      </c>
      <c r="BM144" s="207">
        <v>0</v>
      </c>
      <c r="BN144" s="207">
        <v>0</v>
      </c>
      <c r="BO144" s="207">
        <v>0</v>
      </c>
      <c r="BP144" s="207">
        <v>0</v>
      </c>
      <c r="BQ144" s="207">
        <v>0</v>
      </c>
      <c r="BR144" s="207">
        <v>0</v>
      </c>
      <c r="BS144" s="207">
        <v>0</v>
      </c>
      <c r="BT144" s="207">
        <v>0</v>
      </c>
      <c r="BU144" s="207">
        <v>0</v>
      </c>
      <c r="BV144" s="207">
        <v>0</v>
      </c>
      <c r="BW144" s="207">
        <v>0</v>
      </c>
      <c r="BX144" s="207">
        <v>0</v>
      </c>
      <c r="BY144" s="207">
        <v>0</v>
      </c>
      <c r="BZ144" s="207">
        <v>0</v>
      </c>
      <c r="CA144" s="207">
        <v>0</v>
      </c>
      <c r="CB144" s="207">
        <v>0</v>
      </c>
      <c r="CC144" s="207">
        <v>0</v>
      </c>
      <c r="CD144" s="207">
        <v>0</v>
      </c>
      <c r="CE144" s="207">
        <v>0</v>
      </c>
      <c r="CF144" s="207">
        <v>0</v>
      </c>
      <c r="CG144" s="147"/>
      <c r="CH144" s="176"/>
      <c r="CJ144" s="146"/>
      <c r="CK144" s="76">
        <f t="shared" ca="1" si="90"/>
        <v>0.79212767093111602</v>
      </c>
      <c r="CL144" s="179">
        <f t="shared" si="91"/>
        <v>7</v>
      </c>
      <c r="CM144" s="180">
        <f t="shared" si="92"/>
        <v>39799</v>
      </c>
      <c r="CN144" s="208">
        <v>0</v>
      </c>
      <c r="CO144" s="208">
        <v>0</v>
      </c>
      <c r="CP144" s="208">
        <v>0</v>
      </c>
      <c r="CQ144" s="208">
        <v>0</v>
      </c>
      <c r="CR144" s="208">
        <v>0</v>
      </c>
      <c r="CS144" s="208">
        <v>0</v>
      </c>
      <c r="CT144" s="208">
        <v>0</v>
      </c>
      <c r="CU144" s="208">
        <v>0</v>
      </c>
      <c r="CV144" s="160"/>
      <c r="CW144">
        <v>1</v>
      </c>
      <c r="CX144">
        <f>350/60</f>
        <v>5.833333333333333</v>
      </c>
      <c r="CY144" s="165"/>
      <c r="CZ144" s="177">
        <f t="shared" si="93"/>
        <v>9.6000000000000002E-2</v>
      </c>
      <c r="DB144" s="146"/>
      <c r="DC144" s="76">
        <f t="shared" ca="1" si="51"/>
        <v>0.42376104664249947</v>
      </c>
      <c r="DD144">
        <f t="shared" si="94"/>
        <v>7</v>
      </c>
      <c r="DE144" s="129">
        <f t="shared" si="168"/>
        <v>39799</v>
      </c>
      <c r="DF144" s="161">
        <f t="shared" si="95"/>
        <v>0</v>
      </c>
      <c r="DG144" s="161">
        <f t="shared" si="96"/>
        <v>0</v>
      </c>
      <c r="DH144" s="161">
        <f t="shared" si="97"/>
        <v>0</v>
      </c>
      <c r="DI144" s="161">
        <f t="shared" si="98"/>
        <v>0</v>
      </c>
      <c r="DJ144" s="161">
        <f t="shared" si="99"/>
        <v>0</v>
      </c>
      <c r="DK144" s="161">
        <f t="shared" si="100"/>
        <v>0</v>
      </c>
      <c r="DL144" s="161">
        <f t="shared" si="101"/>
        <v>0</v>
      </c>
      <c r="DM144" s="161">
        <f t="shared" si="102"/>
        <v>0</v>
      </c>
      <c r="DN144" s="161">
        <f t="shared" si="103"/>
        <v>0</v>
      </c>
      <c r="DO144" s="161">
        <f t="shared" si="104"/>
        <v>0</v>
      </c>
      <c r="DP144" s="161">
        <f t="shared" si="105"/>
        <v>0</v>
      </c>
      <c r="DQ144" s="161">
        <f t="shared" si="106"/>
        <v>0</v>
      </c>
      <c r="DR144" s="161">
        <f t="shared" si="107"/>
        <v>0</v>
      </c>
      <c r="DS144" s="161">
        <f t="shared" si="108"/>
        <v>0</v>
      </c>
      <c r="DT144" s="161">
        <f t="shared" si="109"/>
        <v>0</v>
      </c>
      <c r="DU144" s="161">
        <f t="shared" si="110"/>
        <v>0</v>
      </c>
      <c r="DV144" s="161">
        <f t="shared" si="111"/>
        <v>0</v>
      </c>
      <c r="DW144" s="161">
        <f t="shared" si="112"/>
        <v>0</v>
      </c>
      <c r="DX144" s="161">
        <f t="shared" si="113"/>
        <v>0</v>
      </c>
      <c r="DY144" s="161">
        <f t="shared" si="114"/>
        <v>0</v>
      </c>
      <c r="DZ144" s="161">
        <f t="shared" si="115"/>
        <v>0</v>
      </c>
      <c r="EA144" s="161">
        <f t="shared" si="116"/>
        <v>0</v>
      </c>
      <c r="EB144" s="161">
        <f t="shared" si="117"/>
        <v>0</v>
      </c>
      <c r="EC144" s="161">
        <f t="shared" si="118"/>
        <v>0</v>
      </c>
      <c r="ED144" s="161">
        <f t="shared" si="119"/>
        <v>0</v>
      </c>
      <c r="EE144" s="161">
        <f t="shared" si="120"/>
        <v>0</v>
      </c>
      <c r="EF144" s="161">
        <f t="shared" si="121"/>
        <v>0</v>
      </c>
      <c r="EG144" s="161">
        <f t="shared" si="122"/>
        <v>0</v>
      </c>
      <c r="EH144" s="161">
        <f t="shared" si="123"/>
        <v>0</v>
      </c>
      <c r="EI144" s="161">
        <f t="shared" si="124"/>
        <v>0</v>
      </c>
      <c r="EJ144" s="161">
        <f t="shared" si="125"/>
        <v>0</v>
      </c>
      <c r="EK144" s="147">
        <f t="shared" si="133"/>
        <v>0</v>
      </c>
      <c r="EL144" s="149"/>
      <c r="EN144" s="146"/>
      <c r="EO144" s="146"/>
      <c r="EP144" s="139">
        <f t="shared" si="134"/>
        <v>0</v>
      </c>
      <c r="EQ144" s="139">
        <f t="shared" si="135"/>
        <v>0</v>
      </c>
      <c r="ER144" s="139">
        <f t="shared" si="136"/>
        <v>0</v>
      </c>
      <c r="ES144" s="139">
        <f t="shared" si="137"/>
        <v>0</v>
      </c>
      <c r="ET144" s="139">
        <f t="shared" si="138"/>
        <v>0</v>
      </c>
      <c r="EU144" s="139">
        <f t="shared" si="139"/>
        <v>0</v>
      </c>
      <c r="EV144" s="139">
        <f t="shared" si="140"/>
        <v>0</v>
      </c>
      <c r="EW144" s="139">
        <f t="shared" si="141"/>
        <v>0</v>
      </c>
      <c r="EX144" s="139">
        <f t="shared" si="142"/>
        <v>0</v>
      </c>
      <c r="EY144" s="139">
        <f t="shared" si="143"/>
        <v>0</v>
      </c>
      <c r="EZ144" s="139">
        <f t="shared" si="144"/>
        <v>0</v>
      </c>
      <c r="FA144" s="139">
        <f t="shared" si="145"/>
        <v>0</v>
      </c>
      <c r="FB144" s="139">
        <f t="shared" si="146"/>
        <v>0</v>
      </c>
      <c r="FC144" s="139">
        <f t="shared" si="147"/>
        <v>0</v>
      </c>
      <c r="FD144" s="139">
        <f t="shared" si="148"/>
        <v>0</v>
      </c>
      <c r="FE144" s="139">
        <f t="shared" si="149"/>
        <v>0</v>
      </c>
      <c r="FF144" s="139">
        <f t="shared" si="150"/>
        <v>0</v>
      </c>
      <c r="FG144" s="139">
        <f t="shared" si="151"/>
        <v>0</v>
      </c>
      <c r="FH144" s="139">
        <f t="shared" si="152"/>
        <v>0</v>
      </c>
      <c r="FI144" s="139">
        <f t="shared" si="153"/>
        <v>0</v>
      </c>
      <c r="FJ144" s="139">
        <f t="shared" si="154"/>
        <v>0</v>
      </c>
      <c r="FK144" s="139">
        <f t="shared" si="155"/>
        <v>0</v>
      </c>
      <c r="FL144" s="139">
        <f t="shared" si="156"/>
        <v>0</v>
      </c>
      <c r="FM144" s="139">
        <f t="shared" si="157"/>
        <v>0</v>
      </c>
      <c r="FN144" s="139">
        <f t="shared" si="158"/>
        <v>0</v>
      </c>
      <c r="FO144" s="139">
        <f t="shared" si="159"/>
        <v>0</v>
      </c>
      <c r="FP144" s="139">
        <f t="shared" si="160"/>
        <v>0</v>
      </c>
      <c r="FQ144" s="139">
        <f t="shared" si="161"/>
        <v>0</v>
      </c>
      <c r="FR144" s="139">
        <f t="shared" si="162"/>
        <v>0</v>
      </c>
      <c r="FS144" s="139">
        <f t="shared" si="163"/>
        <v>0</v>
      </c>
      <c r="FT144" s="139">
        <f t="shared" si="164"/>
        <v>0</v>
      </c>
      <c r="FU144" s="148">
        <f t="shared" si="165"/>
        <v>0</v>
      </c>
      <c r="FV144" s="149"/>
      <c r="FY144" s="214">
        <v>139</v>
      </c>
      <c r="FZ144">
        <v>0.40222548477784026</v>
      </c>
      <c r="GA144">
        <v>10.499466541747402</v>
      </c>
      <c r="GB144">
        <v>7.3813105282058142</v>
      </c>
      <c r="GC144">
        <v>2.2298267059720076</v>
      </c>
      <c r="GD144">
        <v>10.353812102263715</v>
      </c>
      <c r="GE144">
        <v>19.703169830349321</v>
      </c>
      <c r="GF144">
        <v>15.613785984283254</v>
      </c>
      <c r="GG144">
        <v>14.118177827872543</v>
      </c>
      <c r="GH144">
        <v>1.7875222031384326</v>
      </c>
      <c r="GI144">
        <v>11.836147115527313</v>
      </c>
      <c r="GJ144"/>
      <c r="GK144"/>
      <c r="GL144"/>
      <c r="GM144"/>
    </row>
    <row r="145" spans="1:195" s="7" customFormat="1">
      <c r="A145" s="1"/>
      <c r="B145" s="76">
        <f t="shared" ca="1" si="132"/>
        <v>0.38826332383226259</v>
      </c>
      <c r="C145">
        <v>5</v>
      </c>
      <c r="D145">
        <v>39799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99.792601486932085</v>
      </c>
      <c r="AO145">
        <v>15.498527015715819</v>
      </c>
      <c r="AP145">
        <v>55.178901884406947</v>
      </c>
      <c r="AQ145">
        <v>99.215533810223306</v>
      </c>
      <c r="AR145">
        <v>14.280321889589521</v>
      </c>
      <c r="AS145">
        <v>82.190735145930461</v>
      </c>
      <c r="AT145">
        <v>8.165952687181008</v>
      </c>
      <c r="AU145">
        <v>-22.870555192218831</v>
      </c>
      <c r="AV145"/>
      <c r="AW145"/>
      <c r="AX145" s="146"/>
      <c r="AY145" s="76">
        <f t="shared" ca="1" si="88"/>
        <v>9.0177557995721358E-2</v>
      </c>
      <c r="AZ145">
        <v>8</v>
      </c>
      <c r="BA145" s="129">
        <f t="shared" si="169"/>
        <v>39799</v>
      </c>
      <c r="BB145" s="207">
        <v>0</v>
      </c>
      <c r="BC145" s="207">
        <v>0</v>
      </c>
      <c r="BD145" s="207">
        <v>0</v>
      </c>
      <c r="BE145" s="207">
        <v>0</v>
      </c>
      <c r="BF145" s="207">
        <v>0</v>
      </c>
      <c r="BG145" s="207">
        <v>0</v>
      </c>
      <c r="BH145" s="207">
        <v>0</v>
      </c>
      <c r="BI145" s="207">
        <v>0</v>
      </c>
      <c r="BJ145" s="207">
        <v>0</v>
      </c>
      <c r="BK145" s="207">
        <v>0</v>
      </c>
      <c r="BL145" s="207">
        <v>0</v>
      </c>
      <c r="BM145" s="207">
        <v>0</v>
      </c>
      <c r="BN145" s="207">
        <v>0</v>
      </c>
      <c r="BO145" s="207">
        <v>0</v>
      </c>
      <c r="BP145" s="207">
        <v>0</v>
      </c>
      <c r="BQ145" s="207">
        <v>0</v>
      </c>
      <c r="BR145" s="207">
        <v>0</v>
      </c>
      <c r="BS145" s="207">
        <v>0</v>
      </c>
      <c r="BT145" s="207">
        <v>0</v>
      </c>
      <c r="BU145" s="207">
        <v>0</v>
      </c>
      <c r="BV145" s="207">
        <v>0</v>
      </c>
      <c r="BW145" s="207">
        <v>0</v>
      </c>
      <c r="BX145" s="207">
        <v>0</v>
      </c>
      <c r="BY145" s="207">
        <v>0</v>
      </c>
      <c r="BZ145" s="207">
        <v>0</v>
      </c>
      <c r="CA145" s="207">
        <v>0</v>
      </c>
      <c r="CB145" s="207">
        <v>0</v>
      </c>
      <c r="CC145" s="207">
        <v>0</v>
      </c>
      <c r="CD145" s="207">
        <v>0</v>
      </c>
      <c r="CE145" s="207">
        <v>0</v>
      </c>
      <c r="CF145" s="207">
        <v>0</v>
      </c>
      <c r="CG145" s="147"/>
      <c r="CH145" s="176"/>
      <c r="CJ145" s="146"/>
      <c r="CK145" s="76">
        <f t="shared" ca="1" si="90"/>
        <v>0.63975875973480179</v>
      </c>
      <c r="CL145" s="179">
        <f t="shared" si="91"/>
        <v>8</v>
      </c>
      <c r="CM145" s="180">
        <f t="shared" si="92"/>
        <v>39799</v>
      </c>
      <c r="CN145" s="208">
        <v>0</v>
      </c>
      <c r="CO145" s="208">
        <v>0</v>
      </c>
      <c r="CP145" s="208">
        <v>0</v>
      </c>
      <c r="CQ145" s="208">
        <v>0</v>
      </c>
      <c r="CR145" s="208">
        <v>0</v>
      </c>
      <c r="CS145" s="208">
        <v>0</v>
      </c>
      <c r="CT145" s="208">
        <v>0</v>
      </c>
      <c r="CU145" s="208">
        <v>0</v>
      </c>
      <c r="CV145" s="160"/>
      <c r="CW145">
        <v>1</v>
      </c>
      <c r="CX145">
        <f>350/49</f>
        <v>7.1428571428571432</v>
      </c>
      <c r="CY145" s="165"/>
      <c r="CZ145" s="177">
        <f t="shared" si="93"/>
        <v>9.6000000000000002E-2</v>
      </c>
      <c r="DB145" s="146"/>
      <c r="DC145" s="76">
        <f t="shared" ca="1" si="51"/>
        <v>0.34673155898787567</v>
      </c>
      <c r="DD145">
        <f t="shared" si="94"/>
        <v>8</v>
      </c>
      <c r="DE145" s="129">
        <f t="shared" si="168"/>
        <v>39799</v>
      </c>
      <c r="DF145" s="161">
        <f t="shared" si="95"/>
        <v>0</v>
      </c>
      <c r="DG145" s="161">
        <f t="shared" si="96"/>
        <v>0</v>
      </c>
      <c r="DH145" s="161">
        <f t="shared" si="97"/>
        <v>0</v>
      </c>
      <c r="DI145" s="161">
        <f t="shared" si="98"/>
        <v>0</v>
      </c>
      <c r="DJ145" s="161">
        <f t="shared" si="99"/>
        <v>0</v>
      </c>
      <c r="DK145" s="161">
        <f t="shared" si="100"/>
        <v>0</v>
      </c>
      <c r="DL145" s="161">
        <f t="shared" si="101"/>
        <v>0</v>
      </c>
      <c r="DM145" s="161">
        <f t="shared" si="102"/>
        <v>0</v>
      </c>
      <c r="DN145" s="161">
        <f t="shared" si="103"/>
        <v>0</v>
      </c>
      <c r="DO145" s="161">
        <f t="shared" si="104"/>
        <v>0</v>
      </c>
      <c r="DP145" s="161">
        <f t="shared" si="105"/>
        <v>0</v>
      </c>
      <c r="DQ145" s="161">
        <f t="shared" si="106"/>
        <v>0</v>
      </c>
      <c r="DR145" s="161">
        <f t="shared" si="107"/>
        <v>0</v>
      </c>
      <c r="DS145" s="161">
        <f t="shared" si="108"/>
        <v>0</v>
      </c>
      <c r="DT145" s="161">
        <f t="shared" si="109"/>
        <v>0</v>
      </c>
      <c r="DU145" s="161">
        <f t="shared" si="110"/>
        <v>0</v>
      </c>
      <c r="DV145" s="161">
        <f t="shared" si="111"/>
        <v>0</v>
      </c>
      <c r="DW145" s="161">
        <f t="shared" si="112"/>
        <v>0</v>
      </c>
      <c r="DX145" s="161">
        <f t="shared" si="113"/>
        <v>0</v>
      </c>
      <c r="DY145" s="161">
        <f t="shared" si="114"/>
        <v>0</v>
      </c>
      <c r="DZ145" s="161">
        <f t="shared" si="115"/>
        <v>0</v>
      </c>
      <c r="EA145" s="161">
        <f t="shared" si="116"/>
        <v>0</v>
      </c>
      <c r="EB145" s="161">
        <f t="shared" si="117"/>
        <v>0</v>
      </c>
      <c r="EC145" s="161">
        <f t="shared" si="118"/>
        <v>0</v>
      </c>
      <c r="ED145" s="161">
        <f t="shared" si="119"/>
        <v>0</v>
      </c>
      <c r="EE145" s="161">
        <f t="shared" si="120"/>
        <v>0</v>
      </c>
      <c r="EF145" s="161">
        <f t="shared" si="121"/>
        <v>0</v>
      </c>
      <c r="EG145" s="161">
        <f t="shared" si="122"/>
        <v>0</v>
      </c>
      <c r="EH145" s="161">
        <f t="shared" si="123"/>
        <v>0</v>
      </c>
      <c r="EI145" s="161">
        <f t="shared" si="124"/>
        <v>0</v>
      </c>
      <c r="EJ145" s="161">
        <f t="shared" si="125"/>
        <v>0</v>
      </c>
      <c r="EK145" s="147">
        <f t="shared" si="133"/>
        <v>0</v>
      </c>
      <c r="EL145" s="149"/>
      <c r="EN145" s="146"/>
      <c r="EO145" s="146"/>
      <c r="EP145" s="139">
        <f t="shared" si="134"/>
        <v>0</v>
      </c>
      <c r="EQ145" s="139">
        <f t="shared" si="135"/>
        <v>0</v>
      </c>
      <c r="ER145" s="139">
        <f t="shared" si="136"/>
        <v>0</v>
      </c>
      <c r="ES145" s="139">
        <f t="shared" si="137"/>
        <v>0</v>
      </c>
      <c r="ET145" s="139">
        <f t="shared" si="138"/>
        <v>0</v>
      </c>
      <c r="EU145" s="139">
        <f t="shared" si="139"/>
        <v>0</v>
      </c>
      <c r="EV145" s="139">
        <f t="shared" si="140"/>
        <v>0</v>
      </c>
      <c r="EW145" s="139">
        <f t="shared" si="141"/>
        <v>0</v>
      </c>
      <c r="EX145" s="139">
        <f t="shared" si="142"/>
        <v>0</v>
      </c>
      <c r="EY145" s="139">
        <f t="shared" si="143"/>
        <v>0</v>
      </c>
      <c r="EZ145" s="139">
        <f t="shared" si="144"/>
        <v>0</v>
      </c>
      <c r="FA145" s="139">
        <f t="shared" si="145"/>
        <v>0</v>
      </c>
      <c r="FB145" s="139">
        <f t="shared" si="146"/>
        <v>0</v>
      </c>
      <c r="FC145" s="139">
        <f t="shared" si="147"/>
        <v>0</v>
      </c>
      <c r="FD145" s="139">
        <f t="shared" si="148"/>
        <v>0</v>
      </c>
      <c r="FE145" s="139">
        <f t="shared" si="149"/>
        <v>0</v>
      </c>
      <c r="FF145" s="139">
        <f t="shared" si="150"/>
        <v>0</v>
      </c>
      <c r="FG145" s="139">
        <f t="shared" si="151"/>
        <v>0</v>
      </c>
      <c r="FH145" s="139">
        <f t="shared" si="152"/>
        <v>0</v>
      </c>
      <c r="FI145" s="139">
        <f t="shared" si="153"/>
        <v>0</v>
      </c>
      <c r="FJ145" s="139">
        <f t="shared" si="154"/>
        <v>0</v>
      </c>
      <c r="FK145" s="139">
        <f t="shared" si="155"/>
        <v>0</v>
      </c>
      <c r="FL145" s="139">
        <f t="shared" si="156"/>
        <v>0</v>
      </c>
      <c r="FM145" s="139">
        <f t="shared" si="157"/>
        <v>0</v>
      </c>
      <c r="FN145" s="139">
        <f t="shared" si="158"/>
        <v>0</v>
      </c>
      <c r="FO145" s="139">
        <f t="shared" si="159"/>
        <v>0</v>
      </c>
      <c r="FP145" s="139">
        <f t="shared" si="160"/>
        <v>0</v>
      </c>
      <c r="FQ145" s="139">
        <f t="shared" si="161"/>
        <v>0</v>
      </c>
      <c r="FR145" s="139">
        <f t="shared" si="162"/>
        <v>0</v>
      </c>
      <c r="FS145" s="139">
        <f t="shared" si="163"/>
        <v>0</v>
      </c>
      <c r="FT145" s="139">
        <f t="shared" si="164"/>
        <v>0</v>
      </c>
      <c r="FU145" s="148">
        <f t="shared" si="165"/>
        <v>0</v>
      </c>
      <c r="FV145" s="149"/>
      <c r="FY145" s="214">
        <v>140</v>
      </c>
      <c r="FZ145">
        <v>0.34840913196149681</v>
      </c>
      <c r="GA145">
        <v>2.5031378007104221</v>
      </c>
      <c r="GB145">
        <v>7.6483450452953363</v>
      </c>
      <c r="GC145">
        <v>4.0915318001272691</v>
      </c>
      <c r="GD145">
        <v>6.8146698964668548</v>
      </c>
      <c r="GE145">
        <v>14.67819640722405</v>
      </c>
      <c r="GF145">
        <v>9.3716862844721547</v>
      </c>
      <c r="GG145">
        <v>9.6404274649084165</v>
      </c>
      <c r="GH145">
        <v>6.3896783880372032</v>
      </c>
      <c r="GI145">
        <v>9.1403228023480558</v>
      </c>
      <c r="GJ145"/>
      <c r="GK145"/>
      <c r="GL145"/>
      <c r="GM145"/>
    </row>
    <row r="146" spans="1:195" s="7" customFormat="1">
      <c r="A146" s="1"/>
      <c r="B146" s="76">
        <f t="shared" ca="1" si="132"/>
        <v>0.43492067736653084</v>
      </c>
      <c r="C146">
        <v>8</v>
      </c>
      <c r="D146">
        <v>39799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64.121226199029849</v>
      </c>
      <c r="AO146">
        <v>13.176880243456642</v>
      </c>
      <c r="AP146">
        <v>84.645270985891358</v>
      </c>
      <c r="AQ146">
        <v>81.211671766102739</v>
      </c>
      <c r="AR146">
        <v>12.169733914808454</v>
      </c>
      <c r="AS146">
        <v>60.206565374973344</v>
      </c>
      <c r="AT146">
        <v>7.4381600046951961</v>
      </c>
      <c r="AU146">
        <v>14.967032535438999</v>
      </c>
      <c r="AV146"/>
      <c r="AW146"/>
      <c r="AX146" s="146"/>
      <c r="AY146" s="76">
        <f t="shared" ca="1" si="88"/>
        <v>0.84899894792357511</v>
      </c>
      <c r="AZ146">
        <v>9</v>
      </c>
      <c r="BA146" s="129">
        <f t="shared" si="169"/>
        <v>39799</v>
      </c>
      <c r="BB146" s="207">
        <v>0</v>
      </c>
      <c r="BC146" s="207">
        <v>0</v>
      </c>
      <c r="BD146" s="207">
        <v>0</v>
      </c>
      <c r="BE146" s="207">
        <v>0</v>
      </c>
      <c r="BF146" s="207">
        <v>0</v>
      </c>
      <c r="BG146" s="207">
        <v>0</v>
      </c>
      <c r="BH146" s="207">
        <v>0</v>
      </c>
      <c r="BI146" s="207">
        <v>0</v>
      </c>
      <c r="BJ146" s="207">
        <v>0</v>
      </c>
      <c r="BK146" s="207">
        <v>0</v>
      </c>
      <c r="BL146" s="207">
        <v>0</v>
      </c>
      <c r="BM146" s="207">
        <v>0</v>
      </c>
      <c r="BN146" s="207">
        <v>0</v>
      </c>
      <c r="BO146" s="207">
        <v>0</v>
      </c>
      <c r="BP146" s="207">
        <v>0</v>
      </c>
      <c r="BQ146" s="207">
        <v>0</v>
      </c>
      <c r="BR146" s="207">
        <v>0</v>
      </c>
      <c r="BS146" s="207">
        <v>0</v>
      </c>
      <c r="BT146" s="207">
        <v>0</v>
      </c>
      <c r="BU146" s="207">
        <v>0</v>
      </c>
      <c r="BV146" s="207">
        <v>0</v>
      </c>
      <c r="BW146" s="207">
        <v>0</v>
      </c>
      <c r="BX146" s="207">
        <v>0</v>
      </c>
      <c r="BY146" s="207">
        <v>0</v>
      </c>
      <c r="BZ146" s="207">
        <v>0</v>
      </c>
      <c r="CA146" s="207">
        <v>0</v>
      </c>
      <c r="CB146" s="207">
        <v>0</v>
      </c>
      <c r="CC146" s="207">
        <v>0</v>
      </c>
      <c r="CD146" s="207">
        <v>0</v>
      </c>
      <c r="CE146" s="207">
        <v>0</v>
      </c>
      <c r="CF146" s="207">
        <v>0</v>
      </c>
      <c r="CG146" s="147"/>
      <c r="CH146" s="176"/>
      <c r="CJ146" s="146"/>
      <c r="CK146" s="76">
        <f t="shared" ca="1" si="90"/>
        <v>0.59999980489619409</v>
      </c>
      <c r="CL146" s="179">
        <f t="shared" si="91"/>
        <v>9</v>
      </c>
      <c r="CM146" s="180">
        <f t="shared" si="92"/>
        <v>39799</v>
      </c>
      <c r="CN146" s="208">
        <v>0</v>
      </c>
      <c r="CO146" s="208">
        <v>0</v>
      </c>
      <c r="CP146" s="208">
        <v>0</v>
      </c>
      <c r="CQ146" s="208">
        <v>0</v>
      </c>
      <c r="CR146" s="208">
        <v>1</v>
      </c>
      <c r="CS146" s="208">
        <v>0</v>
      </c>
      <c r="CT146" s="208">
        <v>0</v>
      </c>
      <c r="CU146" s="208">
        <v>0</v>
      </c>
      <c r="CV146" s="160"/>
      <c r="CW146">
        <v>1</v>
      </c>
      <c r="CX146">
        <f>475/86</f>
        <v>5.5232558139534884</v>
      </c>
      <c r="CY146" s="165"/>
      <c r="CZ146" s="177">
        <f t="shared" si="93"/>
        <v>9.6000000000000002E-2</v>
      </c>
      <c r="DB146" s="146"/>
      <c r="DC146" s="76">
        <f t="shared" ca="1" si="51"/>
        <v>0.73709142123669835</v>
      </c>
      <c r="DD146">
        <f t="shared" si="94"/>
        <v>9</v>
      </c>
      <c r="DE146" s="129">
        <f t="shared" si="168"/>
        <v>39799</v>
      </c>
      <c r="DF146" s="161">
        <f t="shared" si="95"/>
        <v>0</v>
      </c>
      <c r="DG146" s="161">
        <f t="shared" si="96"/>
        <v>0</v>
      </c>
      <c r="DH146" s="161">
        <f t="shared" si="97"/>
        <v>0</v>
      </c>
      <c r="DI146" s="161">
        <f t="shared" si="98"/>
        <v>0</v>
      </c>
      <c r="DJ146" s="161">
        <f t="shared" si="99"/>
        <v>57.53391472868217</v>
      </c>
      <c r="DK146" s="161">
        <f t="shared" si="100"/>
        <v>0</v>
      </c>
      <c r="DL146" s="161">
        <f t="shared" si="101"/>
        <v>0</v>
      </c>
      <c r="DM146" s="161">
        <f t="shared" si="102"/>
        <v>0</v>
      </c>
      <c r="DN146" s="161">
        <f t="shared" si="103"/>
        <v>0</v>
      </c>
      <c r="DO146" s="161">
        <f t="shared" si="104"/>
        <v>0</v>
      </c>
      <c r="DP146" s="161">
        <f t="shared" si="105"/>
        <v>0</v>
      </c>
      <c r="DQ146" s="161">
        <f t="shared" si="106"/>
        <v>0</v>
      </c>
      <c r="DR146" s="161">
        <f t="shared" si="107"/>
        <v>0</v>
      </c>
      <c r="DS146" s="161">
        <f t="shared" si="108"/>
        <v>0</v>
      </c>
      <c r="DT146" s="161">
        <f t="shared" si="109"/>
        <v>0</v>
      </c>
      <c r="DU146" s="161">
        <f t="shared" si="110"/>
        <v>0</v>
      </c>
      <c r="DV146" s="161">
        <f t="shared" si="111"/>
        <v>0</v>
      </c>
      <c r="DW146" s="161">
        <f t="shared" si="112"/>
        <v>0</v>
      </c>
      <c r="DX146" s="161">
        <f t="shared" si="113"/>
        <v>0</v>
      </c>
      <c r="DY146" s="161">
        <f t="shared" si="114"/>
        <v>0</v>
      </c>
      <c r="DZ146" s="161">
        <f t="shared" si="115"/>
        <v>0</v>
      </c>
      <c r="EA146" s="161">
        <f t="shared" si="116"/>
        <v>0</v>
      </c>
      <c r="EB146" s="161">
        <f t="shared" si="117"/>
        <v>0</v>
      </c>
      <c r="EC146" s="161">
        <f t="shared" si="118"/>
        <v>0</v>
      </c>
      <c r="ED146" s="161">
        <f t="shared" si="119"/>
        <v>0</v>
      </c>
      <c r="EE146" s="161">
        <f t="shared" si="120"/>
        <v>0</v>
      </c>
      <c r="EF146" s="161">
        <f t="shared" si="121"/>
        <v>0</v>
      </c>
      <c r="EG146" s="161">
        <f t="shared" si="122"/>
        <v>0</v>
      </c>
      <c r="EH146" s="161">
        <f t="shared" si="123"/>
        <v>0</v>
      </c>
      <c r="EI146" s="161">
        <f t="shared" si="124"/>
        <v>0</v>
      </c>
      <c r="EJ146" s="161">
        <f t="shared" si="125"/>
        <v>0</v>
      </c>
      <c r="EK146" s="147">
        <f t="shared" si="133"/>
        <v>57.53391472868217</v>
      </c>
      <c r="EL146" s="149"/>
      <c r="EN146" s="146"/>
      <c r="EO146" s="146"/>
      <c r="EP146" s="139">
        <f t="shared" si="134"/>
        <v>0</v>
      </c>
      <c r="EQ146" s="139">
        <f t="shared" si="135"/>
        <v>0</v>
      </c>
      <c r="ER146" s="139">
        <f t="shared" si="136"/>
        <v>0</v>
      </c>
      <c r="ES146" s="139">
        <f t="shared" si="137"/>
        <v>0</v>
      </c>
      <c r="ET146" s="139">
        <f t="shared" si="138"/>
        <v>16.027450339654848</v>
      </c>
      <c r="EU146" s="139">
        <f t="shared" si="139"/>
        <v>0</v>
      </c>
      <c r="EV146" s="139">
        <f t="shared" si="140"/>
        <v>0</v>
      </c>
      <c r="EW146" s="139">
        <f t="shared" si="141"/>
        <v>0</v>
      </c>
      <c r="EX146" s="139">
        <f t="shared" si="142"/>
        <v>0</v>
      </c>
      <c r="EY146" s="139">
        <f t="shared" si="143"/>
        <v>0</v>
      </c>
      <c r="EZ146" s="139">
        <f t="shared" si="144"/>
        <v>0</v>
      </c>
      <c r="FA146" s="139">
        <f t="shared" si="145"/>
        <v>0</v>
      </c>
      <c r="FB146" s="139">
        <f t="shared" si="146"/>
        <v>0</v>
      </c>
      <c r="FC146" s="139">
        <f t="shared" si="147"/>
        <v>0</v>
      </c>
      <c r="FD146" s="139">
        <f t="shared" si="148"/>
        <v>0</v>
      </c>
      <c r="FE146" s="139">
        <f t="shared" si="149"/>
        <v>0</v>
      </c>
      <c r="FF146" s="139">
        <f t="shared" si="150"/>
        <v>0</v>
      </c>
      <c r="FG146" s="139">
        <f t="shared" si="151"/>
        <v>0</v>
      </c>
      <c r="FH146" s="139">
        <f t="shared" si="152"/>
        <v>0</v>
      </c>
      <c r="FI146" s="139">
        <f t="shared" si="153"/>
        <v>0</v>
      </c>
      <c r="FJ146" s="139">
        <f t="shared" si="154"/>
        <v>0</v>
      </c>
      <c r="FK146" s="139">
        <f t="shared" si="155"/>
        <v>0</v>
      </c>
      <c r="FL146" s="139">
        <f t="shared" si="156"/>
        <v>0</v>
      </c>
      <c r="FM146" s="139">
        <f t="shared" si="157"/>
        <v>0</v>
      </c>
      <c r="FN146" s="139">
        <f t="shared" si="158"/>
        <v>0</v>
      </c>
      <c r="FO146" s="139">
        <f t="shared" si="159"/>
        <v>0</v>
      </c>
      <c r="FP146" s="139">
        <f t="shared" si="160"/>
        <v>0</v>
      </c>
      <c r="FQ146" s="139">
        <f t="shared" si="161"/>
        <v>0</v>
      </c>
      <c r="FR146" s="139">
        <f t="shared" si="162"/>
        <v>0</v>
      </c>
      <c r="FS146" s="139">
        <f t="shared" si="163"/>
        <v>0</v>
      </c>
      <c r="FT146" s="139">
        <f t="shared" si="164"/>
        <v>0</v>
      </c>
      <c r="FU146" s="148">
        <f t="shared" si="165"/>
        <v>16.027450339654848</v>
      </c>
      <c r="FV146" s="149"/>
      <c r="FY146" s="214">
        <v>141</v>
      </c>
      <c r="FZ146">
        <v>1.3911868921693489</v>
      </c>
      <c r="GA146">
        <v>19.865059600606358</v>
      </c>
      <c r="GB146">
        <v>11.562892793947967</v>
      </c>
      <c r="GC146">
        <v>1.6456435090828687</v>
      </c>
      <c r="GD146">
        <v>4.9877642346300108</v>
      </c>
      <c r="GE146">
        <v>11.364927733134172</v>
      </c>
      <c r="GF146">
        <v>14.31546377047882</v>
      </c>
      <c r="GG146">
        <v>15.56212111242599</v>
      </c>
      <c r="GH146">
        <v>10.553300629044855</v>
      </c>
      <c r="GI146">
        <v>10.647606143673995</v>
      </c>
      <c r="GJ146"/>
      <c r="GK146"/>
      <c r="GL146"/>
      <c r="GM146"/>
    </row>
    <row r="147" spans="1:195" s="7" customFormat="1">
      <c r="A147" s="1"/>
      <c r="B147" s="76">
        <f t="shared" ca="1" si="132"/>
        <v>0.22522838526895139</v>
      </c>
      <c r="C147">
        <v>4</v>
      </c>
      <c r="D147">
        <v>39799</v>
      </c>
      <c r="E147">
        <v>0</v>
      </c>
      <c r="F147">
        <v>0</v>
      </c>
      <c r="G147">
        <v>584.89304812834223</v>
      </c>
      <c r="H147">
        <v>0</v>
      </c>
      <c r="I147">
        <v>0</v>
      </c>
      <c r="J147">
        <v>37.878787878787875</v>
      </c>
      <c r="K147">
        <v>227.27272727272725</v>
      </c>
      <c r="L147">
        <v>37.878787878787875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79.061452348772463</v>
      </c>
      <c r="AO147">
        <v>13.012243910304921</v>
      </c>
      <c r="AP147">
        <v>35.760679171707928</v>
      </c>
      <c r="AQ147">
        <v>86.435583547236817</v>
      </c>
      <c r="AR147">
        <v>12.00785522399627</v>
      </c>
      <c r="AS147">
        <v>67.151129208913147</v>
      </c>
      <c r="AT147" t="e">
        <v>#DIV/0!</v>
      </c>
      <c r="AU147" t="e">
        <v>#DIV/0!</v>
      </c>
      <c r="AV147"/>
      <c r="AW147"/>
      <c r="AX147" s="146"/>
      <c r="AY147" s="76">
        <f t="shared" ca="1" si="88"/>
        <v>0.59433133970573326</v>
      </c>
      <c r="AZ147">
        <v>10</v>
      </c>
      <c r="BA147" s="129">
        <f t="shared" si="169"/>
        <v>39799</v>
      </c>
      <c r="BB147" s="207">
        <v>0</v>
      </c>
      <c r="BC147" s="207">
        <v>0</v>
      </c>
      <c r="BD147" s="207">
        <v>0</v>
      </c>
      <c r="BE147" s="207">
        <v>0</v>
      </c>
      <c r="BF147" s="207">
        <v>0</v>
      </c>
      <c r="BG147" s="207">
        <v>0</v>
      </c>
      <c r="BH147" s="207">
        <v>0</v>
      </c>
      <c r="BI147" s="207">
        <v>0</v>
      </c>
      <c r="BJ147" s="207">
        <v>0</v>
      </c>
      <c r="BK147" s="207">
        <v>0</v>
      </c>
      <c r="BL147" s="207">
        <v>0</v>
      </c>
      <c r="BM147" s="207">
        <v>0</v>
      </c>
      <c r="BN147" s="207">
        <v>0</v>
      </c>
      <c r="BO147" s="207">
        <v>0</v>
      </c>
      <c r="BP147" s="207">
        <v>0</v>
      </c>
      <c r="BQ147" s="207">
        <v>0</v>
      </c>
      <c r="BR147" s="207">
        <v>0</v>
      </c>
      <c r="BS147" s="207">
        <v>0</v>
      </c>
      <c r="BT147" s="207">
        <v>0</v>
      </c>
      <c r="BU147" s="207">
        <v>0</v>
      </c>
      <c r="BV147" s="207">
        <v>0</v>
      </c>
      <c r="BW147" s="207">
        <v>0</v>
      </c>
      <c r="BX147" s="207">
        <v>0</v>
      </c>
      <c r="BY147" s="207">
        <v>0</v>
      </c>
      <c r="BZ147" s="207">
        <v>0</v>
      </c>
      <c r="CA147" s="207">
        <v>0</v>
      </c>
      <c r="CB147" s="207">
        <v>0</v>
      </c>
      <c r="CC147" s="207">
        <v>0</v>
      </c>
      <c r="CD147" s="207">
        <v>0</v>
      </c>
      <c r="CE147" s="207">
        <v>0</v>
      </c>
      <c r="CF147" s="207">
        <v>0</v>
      </c>
      <c r="CG147" s="147"/>
      <c r="CH147" s="176"/>
      <c r="CJ147" s="146"/>
      <c r="CK147" s="76">
        <f t="shared" ca="1" si="90"/>
        <v>0.39124937952022432</v>
      </c>
      <c r="CL147" s="179">
        <f t="shared" si="91"/>
        <v>10</v>
      </c>
      <c r="CM147" s="180">
        <f t="shared" si="92"/>
        <v>39799</v>
      </c>
      <c r="CN147" s="208">
        <v>0</v>
      </c>
      <c r="CO147" s="208">
        <v>0</v>
      </c>
      <c r="CP147" s="208">
        <v>6</v>
      </c>
      <c r="CQ147" s="208">
        <v>1</v>
      </c>
      <c r="CR147" s="208">
        <v>0</v>
      </c>
      <c r="CS147" s="208">
        <v>0</v>
      </c>
      <c r="CT147" s="208">
        <v>0</v>
      </c>
      <c r="CU147" s="208">
        <v>0</v>
      </c>
      <c r="CV147" s="160"/>
      <c r="CW147">
        <v>1</v>
      </c>
      <c r="CX147">
        <v>1</v>
      </c>
      <c r="CY147" s="165"/>
      <c r="CZ147" s="177">
        <f t="shared" si="93"/>
        <v>9.6000000000000002E-2</v>
      </c>
      <c r="DB147" s="146"/>
      <c r="DC147" s="76">
        <f t="shared" ca="1" si="51"/>
        <v>0.89674751734853775</v>
      </c>
      <c r="DD147">
        <f t="shared" si="94"/>
        <v>10</v>
      </c>
      <c r="DE147" s="129">
        <f t="shared" si="168"/>
        <v>39799</v>
      </c>
      <c r="DF147" s="161">
        <f t="shared" si="95"/>
        <v>0</v>
      </c>
      <c r="DG147" s="161">
        <f t="shared" si="96"/>
        <v>0</v>
      </c>
      <c r="DH147" s="161">
        <f t="shared" si="97"/>
        <v>62.5</v>
      </c>
      <c r="DI147" s="161">
        <f t="shared" si="98"/>
        <v>10.416666666666666</v>
      </c>
      <c r="DJ147" s="161">
        <f t="shared" si="99"/>
        <v>0</v>
      </c>
      <c r="DK147" s="161">
        <f t="shared" si="100"/>
        <v>0</v>
      </c>
      <c r="DL147" s="161">
        <f t="shared" si="101"/>
        <v>0</v>
      </c>
      <c r="DM147" s="161">
        <f t="shared" si="102"/>
        <v>0</v>
      </c>
      <c r="DN147" s="161">
        <f t="shared" si="103"/>
        <v>0</v>
      </c>
      <c r="DO147" s="161">
        <f t="shared" si="104"/>
        <v>0</v>
      </c>
      <c r="DP147" s="161">
        <f t="shared" si="105"/>
        <v>0</v>
      </c>
      <c r="DQ147" s="161">
        <f t="shared" si="106"/>
        <v>0</v>
      </c>
      <c r="DR147" s="161">
        <f t="shared" si="107"/>
        <v>0</v>
      </c>
      <c r="DS147" s="161">
        <f t="shared" si="108"/>
        <v>0</v>
      </c>
      <c r="DT147" s="161">
        <f t="shared" si="109"/>
        <v>0</v>
      </c>
      <c r="DU147" s="161">
        <f t="shared" si="110"/>
        <v>0</v>
      </c>
      <c r="DV147" s="161">
        <f t="shared" si="111"/>
        <v>0</v>
      </c>
      <c r="DW147" s="161">
        <f t="shared" si="112"/>
        <v>0</v>
      </c>
      <c r="DX147" s="161">
        <f t="shared" si="113"/>
        <v>0</v>
      </c>
      <c r="DY147" s="161">
        <f t="shared" si="114"/>
        <v>0</v>
      </c>
      <c r="DZ147" s="161">
        <f t="shared" si="115"/>
        <v>0</v>
      </c>
      <c r="EA147" s="161">
        <f t="shared" si="116"/>
        <v>0</v>
      </c>
      <c r="EB147" s="161">
        <f t="shared" si="117"/>
        <v>0</v>
      </c>
      <c r="EC147" s="161">
        <f t="shared" si="118"/>
        <v>0</v>
      </c>
      <c r="ED147" s="161">
        <f t="shared" si="119"/>
        <v>0</v>
      </c>
      <c r="EE147" s="161">
        <f t="shared" si="120"/>
        <v>0</v>
      </c>
      <c r="EF147" s="161">
        <f t="shared" si="121"/>
        <v>0</v>
      </c>
      <c r="EG147" s="161">
        <f t="shared" si="122"/>
        <v>0</v>
      </c>
      <c r="EH147" s="161">
        <f t="shared" si="123"/>
        <v>0</v>
      </c>
      <c r="EI147" s="161">
        <f t="shared" si="124"/>
        <v>0</v>
      </c>
      <c r="EJ147" s="161">
        <f t="shared" si="125"/>
        <v>0</v>
      </c>
      <c r="EK147" s="147">
        <f t="shared" si="133"/>
        <v>72.916666666666671</v>
      </c>
      <c r="EL147" s="149"/>
      <c r="EN147" s="146"/>
      <c r="EO147" s="146"/>
      <c r="EP147" s="139">
        <f t="shared" si="134"/>
        <v>0</v>
      </c>
      <c r="EQ147" s="139">
        <f t="shared" si="135"/>
        <v>0</v>
      </c>
      <c r="ER147" s="139">
        <f t="shared" si="136"/>
        <v>2.7205844004468585</v>
      </c>
      <c r="ES147" s="139">
        <f t="shared" si="137"/>
        <v>1.3430226741681857</v>
      </c>
      <c r="ET147" s="139">
        <f t="shared" si="138"/>
        <v>0</v>
      </c>
      <c r="EU147" s="139">
        <f t="shared" si="139"/>
        <v>0</v>
      </c>
      <c r="EV147" s="139">
        <f t="shared" si="140"/>
        <v>0</v>
      </c>
      <c r="EW147" s="139">
        <f t="shared" si="141"/>
        <v>0</v>
      </c>
      <c r="EX147" s="139">
        <f t="shared" si="142"/>
        <v>0</v>
      </c>
      <c r="EY147" s="139">
        <f t="shared" si="143"/>
        <v>0</v>
      </c>
      <c r="EZ147" s="139">
        <f t="shared" si="144"/>
        <v>0</v>
      </c>
      <c r="FA147" s="139">
        <f t="shared" si="145"/>
        <v>0</v>
      </c>
      <c r="FB147" s="139">
        <f t="shared" si="146"/>
        <v>0</v>
      </c>
      <c r="FC147" s="139">
        <f t="shared" si="147"/>
        <v>0</v>
      </c>
      <c r="FD147" s="139">
        <f t="shared" si="148"/>
        <v>0</v>
      </c>
      <c r="FE147" s="139">
        <f t="shared" si="149"/>
        <v>0</v>
      </c>
      <c r="FF147" s="139">
        <f t="shared" si="150"/>
        <v>0</v>
      </c>
      <c r="FG147" s="139">
        <f t="shared" si="151"/>
        <v>0</v>
      </c>
      <c r="FH147" s="139">
        <f t="shared" si="152"/>
        <v>0</v>
      </c>
      <c r="FI147" s="139">
        <f t="shared" si="153"/>
        <v>0</v>
      </c>
      <c r="FJ147" s="139">
        <f t="shared" si="154"/>
        <v>0</v>
      </c>
      <c r="FK147" s="139">
        <f t="shared" si="155"/>
        <v>0</v>
      </c>
      <c r="FL147" s="139">
        <f t="shared" si="156"/>
        <v>0</v>
      </c>
      <c r="FM147" s="139">
        <f t="shared" si="157"/>
        <v>0</v>
      </c>
      <c r="FN147" s="139">
        <f t="shared" si="158"/>
        <v>0</v>
      </c>
      <c r="FO147" s="139">
        <f t="shared" si="159"/>
        <v>0</v>
      </c>
      <c r="FP147" s="139">
        <f t="shared" si="160"/>
        <v>0</v>
      </c>
      <c r="FQ147" s="139">
        <f t="shared" si="161"/>
        <v>0</v>
      </c>
      <c r="FR147" s="139">
        <f t="shared" si="162"/>
        <v>0</v>
      </c>
      <c r="FS147" s="139">
        <f t="shared" si="163"/>
        <v>0</v>
      </c>
      <c r="FT147" s="139">
        <f t="shared" si="164"/>
        <v>0</v>
      </c>
      <c r="FU147" s="148">
        <f t="shared" si="165"/>
        <v>4.0636070746150441</v>
      </c>
      <c r="FV147" s="149"/>
      <c r="FY147" s="214">
        <v>142</v>
      </c>
      <c r="FZ147">
        <v>1.5319231808040361</v>
      </c>
      <c r="GA147">
        <v>5.2938439691779999</v>
      </c>
      <c r="GB147">
        <v>6.1588078892389522</v>
      </c>
      <c r="GC147">
        <v>2.7643436479206973</v>
      </c>
      <c r="GD147">
        <v>0.87702132081432571</v>
      </c>
      <c r="GE147">
        <v>5.3034727140019813</v>
      </c>
      <c r="GF147">
        <v>13.407993840682167</v>
      </c>
      <c r="GG147">
        <v>7.4992975231432002</v>
      </c>
      <c r="GH147">
        <v>1.6695421102721626</v>
      </c>
      <c r="GI147">
        <v>5.2262114642023523</v>
      </c>
      <c r="GJ147"/>
      <c r="GK147"/>
      <c r="GL147"/>
      <c r="GM147"/>
    </row>
    <row r="148" spans="1:195" s="7" customFormat="1">
      <c r="A148" s="128"/>
      <c r="B148" s="76">
        <f t="shared" ca="1" si="132"/>
        <v>0.31890191103155185</v>
      </c>
      <c r="C148">
        <v>3</v>
      </c>
      <c r="D148">
        <v>39847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 s="2"/>
      <c r="AK148" s="80"/>
      <c r="AL148" s="74">
        <v>3.0028000000000028</v>
      </c>
      <c r="AM148" s="43">
        <v>132</v>
      </c>
      <c r="AN148">
        <v>68.351943689511657</v>
      </c>
      <c r="AO148">
        <v>15.163846732364011</v>
      </c>
      <c r="AP148">
        <v>57.658823817390079</v>
      </c>
      <c r="AQ148">
        <v>99.926955198405125</v>
      </c>
      <c r="AR148">
        <v>13.988276383580315</v>
      </c>
      <c r="AS148">
        <v>70.112426235541307</v>
      </c>
      <c r="AT148">
        <v>8.4599558281965468</v>
      </c>
      <c r="AU148">
        <v>7.6722662639404469</v>
      </c>
      <c r="AV148"/>
      <c r="AW148"/>
      <c r="AX148" s="128"/>
      <c r="AY148" s="76">
        <f t="shared" ca="1" si="88"/>
        <v>0.51543593064098436</v>
      </c>
      <c r="AZ148">
        <v>1</v>
      </c>
      <c r="BA148" s="129">
        <f>IF(AZ148="", "",$C$10)</f>
        <v>39847</v>
      </c>
      <c r="BB148" s="207">
        <v>0</v>
      </c>
      <c r="BC148" s="207">
        <v>0</v>
      </c>
      <c r="BD148" s="207">
        <v>3</v>
      </c>
      <c r="BE148" s="207">
        <v>8</v>
      </c>
      <c r="BF148" s="207">
        <v>2</v>
      </c>
      <c r="BG148" s="207">
        <v>0</v>
      </c>
      <c r="BH148" s="207">
        <v>3</v>
      </c>
      <c r="BI148" s="207">
        <v>0</v>
      </c>
      <c r="BJ148" s="207">
        <v>1</v>
      </c>
      <c r="BK148" s="207">
        <v>0</v>
      </c>
      <c r="BL148" s="207">
        <v>0</v>
      </c>
      <c r="BM148" s="207">
        <v>0</v>
      </c>
      <c r="BN148" s="207">
        <v>0</v>
      </c>
      <c r="BO148" s="207">
        <v>0</v>
      </c>
      <c r="BP148" s="207">
        <v>0</v>
      </c>
      <c r="BQ148" s="207">
        <v>0</v>
      </c>
      <c r="BR148" s="207">
        <v>0</v>
      </c>
      <c r="BS148" s="207">
        <v>0</v>
      </c>
      <c r="BT148" s="207">
        <v>0</v>
      </c>
      <c r="BU148" s="207">
        <v>0</v>
      </c>
      <c r="BV148" s="207">
        <v>0</v>
      </c>
      <c r="BW148" s="207">
        <v>0</v>
      </c>
      <c r="BX148" s="207">
        <v>0</v>
      </c>
      <c r="BY148" s="207">
        <v>0</v>
      </c>
      <c r="BZ148" s="207">
        <v>0</v>
      </c>
      <c r="CA148" s="207">
        <v>0</v>
      </c>
      <c r="CB148" s="207">
        <v>0</v>
      </c>
      <c r="CC148" s="207">
        <v>0</v>
      </c>
      <c r="CD148" s="207">
        <v>0</v>
      </c>
      <c r="CE148" s="207">
        <v>0</v>
      </c>
      <c r="CF148" s="207">
        <v>0</v>
      </c>
      <c r="CG148" s="147"/>
      <c r="CH148" s="176"/>
      <c r="CJ148" s="128"/>
      <c r="CK148" s="76">
        <f t="shared" ca="1" si="90"/>
        <v>0.17565162868982398</v>
      </c>
      <c r="CL148" s="179">
        <f t="shared" si="91"/>
        <v>1</v>
      </c>
      <c r="CM148" s="180">
        <f t="shared" si="92"/>
        <v>39847</v>
      </c>
      <c r="CN148" s="208">
        <v>0</v>
      </c>
      <c r="CO148" s="208">
        <v>0</v>
      </c>
      <c r="CP148" s="208">
        <v>8</v>
      </c>
      <c r="CQ148" s="208">
        <v>2</v>
      </c>
      <c r="CR148" s="208">
        <v>0</v>
      </c>
      <c r="CS148" s="208">
        <v>0</v>
      </c>
      <c r="CT148" s="208">
        <v>0</v>
      </c>
      <c r="CU148" s="208">
        <v>0</v>
      </c>
      <c r="CV148" s="160"/>
      <c r="CW148">
        <v>1</v>
      </c>
      <c r="CX148">
        <v>1</v>
      </c>
      <c r="CY148" s="160"/>
      <c r="CZ148" s="177">
        <f t="shared" si="93"/>
        <v>9.6000000000000002E-2</v>
      </c>
      <c r="DB148" s="128"/>
      <c r="DC148" s="76">
        <f t="shared" ca="1" si="51"/>
        <v>0.21529372305809091</v>
      </c>
      <c r="DD148">
        <f t="shared" si="94"/>
        <v>1</v>
      </c>
      <c r="DE148" s="129">
        <f t="shared" ref="DE148:DE157" si="170">IF((DD148)="", "", $C$10)</f>
        <v>39847</v>
      </c>
      <c r="DF148" s="161">
        <f t="shared" si="95"/>
        <v>0</v>
      </c>
      <c r="DG148" s="161">
        <f t="shared" si="96"/>
        <v>0</v>
      </c>
      <c r="DH148" s="161">
        <f t="shared" si="97"/>
        <v>114.58333333333333</v>
      </c>
      <c r="DI148" s="161">
        <f t="shared" si="98"/>
        <v>104.16666666666667</v>
      </c>
      <c r="DJ148" s="161">
        <f t="shared" si="99"/>
        <v>20.833333333333332</v>
      </c>
      <c r="DK148" s="161">
        <f t="shared" si="100"/>
        <v>0</v>
      </c>
      <c r="DL148" s="161">
        <f t="shared" si="101"/>
        <v>31.25</v>
      </c>
      <c r="DM148" s="161">
        <f t="shared" si="102"/>
        <v>0</v>
      </c>
      <c r="DN148" s="161">
        <f t="shared" si="103"/>
        <v>10.416666666666666</v>
      </c>
      <c r="DO148" s="161">
        <f t="shared" si="104"/>
        <v>0</v>
      </c>
      <c r="DP148" s="161">
        <f t="shared" si="105"/>
        <v>0</v>
      </c>
      <c r="DQ148" s="161">
        <f t="shared" si="106"/>
        <v>0</v>
      </c>
      <c r="DR148" s="161">
        <f t="shared" si="107"/>
        <v>0</v>
      </c>
      <c r="DS148" s="161">
        <f t="shared" si="108"/>
        <v>0</v>
      </c>
      <c r="DT148" s="161">
        <f t="shared" si="109"/>
        <v>0</v>
      </c>
      <c r="DU148" s="161">
        <f t="shared" si="110"/>
        <v>0</v>
      </c>
      <c r="DV148" s="161">
        <f t="shared" si="111"/>
        <v>0</v>
      </c>
      <c r="DW148" s="161">
        <f t="shared" si="112"/>
        <v>0</v>
      </c>
      <c r="DX148" s="161">
        <f t="shared" si="113"/>
        <v>0</v>
      </c>
      <c r="DY148" s="161">
        <f t="shared" si="114"/>
        <v>0</v>
      </c>
      <c r="DZ148" s="161">
        <f t="shared" si="115"/>
        <v>0</v>
      </c>
      <c r="EA148" s="161">
        <f t="shared" si="116"/>
        <v>0</v>
      </c>
      <c r="EB148" s="161">
        <f t="shared" si="117"/>
        <v>0</v>
      </c>
      <c r="EC148" s="161">
        <f t="shared" si="118"/>
        <v>0</v>
      </c>
      <c r="ED148" s="161">
        <f t="shared" si="119"/>
        <v>0</v>
      </c>
      <c r="EE148" s="161">
        <f t="shared" si="120"/>
        <v>0</v>
      </c>
      <c r="EF148" s="161">
        <f t="shared" si="121"/>
        <v>0</v>
      </c>
      <c r="EG148" s="161">
        <f t="shared" si="122"/>
        <v>0</v>
      </c>
      <c r="EH148" s="161">
        <f t="shared" si="123"/>
        <v>0</v>
      </c>
      <c r="EI148" s="161">
        <f t="shared" si="124"/>
        <v>0</v>
      </c>
      <c r="EJ148" s="161">
        <f t="shared" si="125"/>
        <v>0</v>
      </c>
      <c r="EK148" s="147">
        <f t="shared" si="133"/>
        <v>281.25000000000006</v>
      </c>
      <c r="EL148" s="149"/>
      <c r="EN148" s="146"/>
      <c r="EO148" s="146"/>
      <c r="EP148" s="139">
        <f t="shared" si="134"/>
        <v>0</v>
      </c>
      <c r="EQ148" s="139">
        <f t="shared" si="135"/>
        <v>0</v>
      </c>
      <c r="ER148" s="139">
        <f t="shared" si="136"/>
        <v>4.9877380674859069</v>
      </c>
      <c r="ES148" s="139">
        <f t="shared" si="137"/>
        <v>13.430226741681858</v>
      </c>
      <c r="ET148" s="139">
        <f t="shared" si="138"/>
        <v>5.8036241229908088</v>
      </c>
      <c r="EU148" s="139">
        <f t="shared" si="139"/>
        <v>0</v>
      </c>
      <c r="EV148" s="139">
        <f t="shared" si="140"/>
        <v>25.784750178753082</v>
      </c>
      <c r="EW148" s="139">
        <f t="shared" si="141"/>
        <v>0</v>
      </c>
      <c r="EX148" s="139">
        <f t="shared" si="142"/>
        <v>18.570671592891127</v>
      </c>
      <c r="EY148" s="139">
        <f t="shared" si="143"/>
        <v>0</v>
      </c>
      <c r="EZ148" s="139">
        <f t="shared" si="144"/>
        <v>0</v>
      </c>
      <c r="FA148" s="139">
        <f t="shared" si="145"/>
        <v>0</v>
      </c>
      <c r="FB148" s="139">
        <f t="shared" si="146"/>
        <v>0</v>
      </c>
      <c r="FC148" s="139">
        <f t="shared" si="147"/>
        <v>0</v>
      </c>
      <c r="FD148" s="139">
        <f t="shared" si="148"/>
        <v>0</v>
      </c>
      <c r="FE148" s="139">
        <f t="shared" si="149"/>
        <v>0</v>
      </c>
      <c r="FF148" s="139">
        <f t="shared" si="150"/>
        <v>0</v>
      </c>
      <c r="FG148" s="139">
        <f t="shared" si="151"/>
        <v>0</v>
      </c>
      <c r="FH148" s="139">
        <f t="shared" si="152"/>
        <v>0</v>
      </c>
      <c r="FI148" s="139">
        <f t="shared" si="153"/>
        <v>0</v>
      </c>
      <c r="FJ148" s="139">
        <f t="shared" si="154"/>
        <v>0</v>
      </c>
      <c r="FK148" s="139">
        <f t="shared" si="155"/>
        <v>0</v>
      </c>
      <c r="FL148" s="139">
        <f t="shared" si="156"/>
        <v>0</v>
      </c>
      <c r="FM148" s="139">
        <f t="shared" si="157"/>
        <v>0</v>
      </c>
      <c r="FN148" s="139">
        <f t="shared" si="158"/>
        <v>0</v>
      </c>
      <c r="FO148" s="139">
        <f t="shared" si="159"/>
        <v>0</v>
      </c>
      <c r="FP148" s="139">
        <f t="shared" si="160"/>
        <v>0</v>
      </c>
      <c r="FQ148" s="139">
        <f t="shared" si="161"/>
        <v>0</v>
      </c>
      <c r="FR148" s="139">
        <f t="shared" si="162"/>
        <v>0</v>
      </c>
      <c r="FS148" s="139">
        <f t="shared" si="163"/>
        <v>0</v>
      </c>
      <c r="FT148" s="139">
        <f t="shared" si="164"/>
        <v>0</v>
      </c>
      <c r="FU148" s="148">
        <f t="shared" si="165"/>
        <v>68.577010703802785</v>
      </c>
      <c r="FV148" s="149"/>
      <c r="FY148" s="214">
        <v>143</v>
      </c>
      <c r="FZ148">
        <v>0.87148855035198747</v>
      </c>
      <c r="GA148">
        <v>12.239895196389115</v>
      </c>
      <c r="GB148">
        <v>7.5016061954667741</v>
      </c>
      <c r="GC148">
        <v>1.821036320528221</v>
      </c>
      <c r="GD148">
        <v>8.136635302113385</v>
      </c>
      <c r="GE148">
        <v>19.220776109905053</v>
      </c>
      <c r="GF148">
        <v>11.222251793331637</v>
      </c>
      <c r="GG148">
        <v>10.887372382006149</v>
      </c>
      <c r="GH148">
        <v>10.046303151987759</v>
      </c>
      <c r="GI148">
        <v>10.869544676589101</v>
      </c>
      <c r="GJ148"/>
      <c r="GK148"/>
      <c r="GL148"/>
      <c r="GM148"/>
    </row>
    <row r="149" spans="1:195" s="7" customFormat="1">
      <c r="A149" s="77"/>
      <c r="B149" s="76">
        <f t="shared" ca="1" si="132"/>
        <v>0.5483686149316116</v>
      </c>
      <c r="C149">
        <v>7</v>
      </c>
      <c r="D149">
        <v>39847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 s="2"/>
      <c r="AK149" s="80"/>
      <c r="AL149" s="74">
        <v>3.0028000000000028</v>
      </c>
      <c r="AM149" s="43">
        <v>133</v>
      </c>
      <c r="AN149">
        <v>72.278872846892384</v>
      </c>
      <c r="AO149">
        <v>15.063492817348518</v>
      </c>
      <c r="AP149">
        <v>78.569672967397622</v>
      </c>
      <c r="AQ149">
        <v>84.610408866446107</v>
      </c>
      <c r="AR149">
        <v>13.909254848785944</v>
      </c>
      <c r="AS149">
        <v>67.13181458709704</v>
      </c>
      <c r="AT149">
        <v>7.6399381482462347</v>
      </c>
      <c r="AU149">
        <v>26.819885207237835</v>
      </c>
      <c r="AV149"/>
      <c r="AW149"/>
      <c r="AX149" s="151"/>
      <c r="AY149" s="76">
        <f t="shared" ca="1" si="88"/>
        <v>4.8566788535167715E-2</v>
      </c>
      <c r="AZ149">
        <v>2</v>
      </c>
      <c r="BA149" s="129">
        <f t="shared" ref="BA149:BA157" si="171">IF(AZ149="", "",$C$10)</f>
        <v>39847</v>
      </c>
      <c r="BB149" s="207">
        <v>0</v>
      </c>
      <c r="BC149" s="207">
        <v>0</v>
      </c>
      <c r="BD149" s="207">
        <v>0</v>
      </c>
      <c r="BE149" s="207">
        <v>3</v>
      </c>
      <c r="BF149" s="207">
        <v>1</v>
      </c>
      <c r="BG149" s="207">
        <v>0</v>
      </c>
      <c r="BH149" s="207">
        <v>0</v>
      </c>
      <c r="BI149" s="207">
        <v>1</v>
      </c>
      <c r="BJ149" s="207">
        <v>0</v>
      </c>
      <c r="BK149" s="207">
        <v>0</v>
      </c>
      <c r="BL149" s="207">
        <v>0</v>
      </c>
      <c r="BM149" s="207">
        <v>0</v>
      </c>
      <c r="BN149" s="207">
        <v>0</v>
      </c>
      <c r="BO149" s="207">
        <v>0</v>
      </c>
      <c r="BP149" s="207">
        <v>0</v>
      </c>
      <c r="BQ149" s="207">
        <v>0</v>
      </c>
      <c r="BR149" s="207">
        <v>0</v>
      </c>
      <c r="BS149" s="207">
        <v>0</v>
      </c>
      <c r="BT149" s="207">
        <v>0</v>
      </c>
      <c r="BU149" s="207">
        <v>0</v>
      </c>
      <c r="BV149" s="207">
        <v>0</v>
      </c>
      <c r="BW149" s="207">
        <v>0</v>
      </c>
      <c r="BX149" s="207">
        <v>0</v>
      </c>
      <c r="BY149" s="207">
        <v>0</v>
      </c>
      <c r="BZ149" s="207">
        <v>0</v>
      </c>
      <c r="CA149" s="207">
        <v>0</v>
      </c>
      <c r="CB149" s="207">
        <v>0</v>
      </c>
      <c r="CC149" s="207">
        <v>0</v>
      </c>
      <c r="CD149" s="207">
        <v>0</v>
      </c>
      <c r="CE149" s="207">
        <v>0</v>
      </c>
      <c r="CF149" s="207">
        <v>0</v>
      </c>
      <c r="CG149" s="147"/>
      <c r="CH149" s="176"/>
      <c r="CJ149" s="151"/>
      <c r="CK149" s="76">
        <f t="shared" ca="1" si="90"/>
        <v>0.37863474905854222</v>
      </c>
      <c r="CL149" s="179">
        <f t="shared" si="91"/>
        <v>2</v>
      </c>
      <c r="CM149" s="180">
        <f t="shared" si="92"/>
        <v>39847</v>
      </c>
      <c r="CN149" s="208">
        <v>0</v>
      </c>
      <c r="CO149" s="208">
        <v>0</v>
      </c>
      <c r="CP149" s="208">
        <v>6</v>
      </c>
      <c r="CQ149" s="208">
        <v>1</v>
      </c>
      <c r="CR149" s="208">
        <v>0</v>
      </c>
      <c r="CS149" s="208">
        <v>0</v>
      </c>
      <c r="CT149" s="208">
        <v>0</v>
      </c>
      <c r="CU149" s="208">
        <v>0</v>
      </c>
      <c r="CV149" s="160"/>
      <c r="CW149">
        <f>40/12</f>
        <v>3.3333333333333335</v>
      </c>
      <c r="CX149">
        <f>350/32</f>
        <v>10.9375</v>
      </c>
      <c r="CY149" s="160"/>
      <c r="CZ149" s="177">
        <f t="shared" si="93"/>
        <v>9.6000000000000002E-2</v>
      </c>
      <c r="DB149" s="151"/>
      <c r="DC149" s="76">
        <f t="shared" ca="1" si="51"/>
        <v>0.15176486960154989</v>
      </c>
      <c r="DD149">
        <f t="shared" si="94"/>
        <v>2</v>
      </c>
      <c r="DE149" s="129">
        <f t="shared" si="170"/>
        <v>39847</v>
      </c>
      <c r="DF149" s="161">
        <f t="shared" si="95"/>
        <v>0</v>
      </c>
      <c r="DG149" s="161">
        <f t="shared" si="96"/>
        <v>0</v>
      </c>
      <c r="DH149" s="161">
        <f t="shared" si="97"/>
        <v>683.59375</v>
      </c>
      <c r="DI149" s="161">
        <f t="shared" si="98"/>
        <v>218.09895833333334</v>
      </c>
      <c r="DJ149" s="161">
        <f t="shared" si="99"/>
        <v>34.722222222222221</v>
      </c>
      <c r="DK149" s="161">
        <f t="shared" si="100"/>
        <v>0</v>
      </c>
      <c r="DL149" s="161">
        <f t="shared" si="101"/>
        <v>0</v>
      </c>
      <c r="DM149" s="161">
        <f t="shared" si="102"/>
        <v>34.722222222222221</v>
      </c>
      <c r="DN149" s="161">
        <f t="shared" si="103"/>
        <v>0</v>
      </c>
      <c r="DO149" s="161">
        <f t="shared" si="104"/>
        <v>0</v>
      </c>
      <c r="DP149" s="161">
        <f t="shared" si="105"/>
        <v>0</v>
      </c>
      <c r="DQ149" s="161">
        <f t="shared" si="106"/>
        <v>0</v>
      </c>
      <c r="DR149" s="161">
        <f t="shared" si="107"/>
        <v>0</v>
      </c>
      <c r="DS149" s="161">
        <f t="shared" si="108"/>
        <v>0</v>
      </c>
      <c r="DT149" s="161">
        <f t="shared" si="109"/>
        <v>0</v>
      </c>
      <c r="DU149" s="161">
        <f t="shared" si="110"/>
        <v>0</v>
      </c>
      <c r="DV149" s="161">
        <f t="shared" si="111"/>
        <v>0</v>
      </c>
      <c r="DW149" s="161">
        <f t="shared" si="112"/>
        <v>0</v>
      </c>
      <c r="DX149" s="161">
        <f t="shared" si="113"/>
        <v>0</v>
      </c>
      <c r="DY149" s="161">
        <f t="shared" si="114"/>
        <v>0</v>
      </c>
      <c r="DZ149" s="161">
        <f t="shared" si="115"/>
        <v>0</v>
      </c>
      <c r="EA149" s="161">
        <f t="shared" si="116"/>
        <v>0</v>
      </c>
      <c r="EB149" s="161">
        <f t="shared" si="117"/>
        <v>0</v>
      </c>
      <c r="EC149" s="161">
        <f t="shared" si="118"/>
        <v>0</v>
      </c>
      <c r="ED149" s="161">
        <f t="shared" si="119"/>
        <v>0</v>
      </c>
      <c r="EE149" s="161">
        <f t="shared" si="120"/>
        <v>0</v>
      </c>
      <c r="EF149" s="161">
        <f t="shared" si="121"/>
        <v>0</v>
      </c>
      <c r="EG149" s="161">
        <f t="shared" si="122"/>
        <v>0</v>
      </c>
      <c r="EH149" s="161">
        <f t="shared" si="123"/>
        <v>0</v>
      </c>
      <c r="EI149" s="161">
        <f t="shared" si="124"/>
        <v>0</v>
      </c>
      <c r="EJ149" s="161">
        <f t="shared" si="125"/>
        <v>0</v>
      </c>
      <c r="EK149" s="147">
        <f t="shared" si="133"/>
        <v>971.13715277777771</v>
      </c>
      <c r="EL149" s="149"/>
      <c r="EN149" s="151"/>
      <c r="EO149" s="151"/>
      <c r="EP149" s="139">
        <f t="shared" si="134"/>
        <v>0</v>
      </c>
      <c r="EQ149" s="139">
        <f t="shared" si="135"/>
        <v>0</v>
      </c>
      <c r="ER149" s="139">
        <f t="shared" si="136"/>
        <v>29.756391879887513</v>
      </c>
      <c r="ES149" s="139">
        <f t="shared" si="137"/>
        <v>28.119537240396394</v>
      </c>
      <c r="ET149" s="139">
        <f t="shared" si="138"/>
        <v>9.6727068716513482</v>
      </c>
      <c r="EU149" s="139">
        <f t="shared" si="139"/>
        <v>0</v>
      </c>
      <c r="EV149" s="139">
        <f t="shared" si="140"/>
        <v>0</v>
      </c>
      <c r="EW149" s="139">
        <f t="shared" si="141"/>
        <v>43.29162832381467</v>
      </c>
      <c r="EX149" s="139">
        <f t="shared" si="142"/>
        <v>0</v>
      </c>
      <c r="EY149" s="139">
        <f t="shared" si="143"/>
        <v>0</v>
      </c>
      <c r="EZ149" s="139">
        <f t="shared" si="144"/>
        <v>0</v>
      </c>
      <c r="FA149" s="139">
        <f t="shared" si="145"/>
        <v>0</v>
      </c>
      <c r="FB149" s="139">
        <f t="shared" si="146"/>
        <v>0</v>
      </c>
      <c r="FC149" s="139">
        <f t="shared" si="147"/>
        <v>0</v>
      </c>
      <c r="FD149" s="139">
        <f t="shared" si="148"/>
        <v>0</v>
      </c>
      <c r="FE149" s="139">
        <f t="shared" si="149"/>
        <v>0</v>
      </c>
      <c r="FF149" s="139">
        <f t="shared" si="150"/>
        <v>0</v>
      </c>
      <c r="FG149" s="139">
        <f t="shared" si="151"/>
        <v>0</v>
      </c>
      <c r="FH149" s="139">
        <f t="shared" si="152"/>
        <v>0</v>
      </c>
      <c r="FI149" s="139">
        <f t="shared" si="153"/>
        <v>0</v>
      </c>
      <c r="FJ149" s="139">
        <f t="shared" si="154"/>
        <v>0</v>
      </c>
      <c r="FK149" s="139">
        <f t="shared" si="155"/>
        <v>0</v>
      </c>
      <c r="FL149" s="139">
        <f t="shared" si="156"/>
        <v>0</v>
      </c>
      <c r="FM149" s="139">
        <f t="shared" si="157"/>
        <v>0</v>
      </c>
      <c r="FN149" s="139">
        <f t="shared" si="158"/>
        <v>0</v>
      </c>
      <c r="FO149" s="139">
        <f t="shared" si="159"/>
        <v>0</v>
      </c>
      <c r="FP149" s="139">
        <f t="shared" si="160"/>
        <v>0</v>
      </c>
      <c r="FQ149" s="139">
        <f t="shared" si="161"/>
        <v>0</v>
      </c>
      <c r="FR149" s="139">
        <f t="shared" si="162"/>
        <v>0</v>
      </c>
      <c r="FS149" s="139">
        <f t="shared" si="163"/>
        <v>0</v>
      </c>
      <c r="FT149" s="139">
        <f t="shared" si="164"/>
        <v>0</v>
      </c>
      <c r="FU149" s="148">
        <f t="shared" si="165"/>
        <v>110.84026431574992</v>
      </c>
      <c r="FV149" s="149"/>
      <c r="FY149" s="214">
        <v>144</v>
      </c>
      <c r="FZ149">
        <v>0.5459631906658462</v>
      </c>
      <c r="GA149">
        <v>16.663491195230414</v>
      </c>
      <c r="GB149">
        <v>12.466862752677665</v>
      </c>
      <c r="GC149">
        <v>3.1281388876328098</v>
      </c>
      <c r="GD149">
        <v>5.1554498028954665</v>
      </c>
      <c r="GE149">
        <v>12.531795176196033</v>
      </c>
      <c r="GF149">
        <v>17.866653426945788</v>
      </c>
      <c r="GG149">
        <v>12.424431223616011</v>
      </c>
      <c r="GH149">
        <v>4.2153067693175341</v>
      </c>
      <c r="GI149">
        <v>10.658235555333237</v>
      </c>
      <c r="GJ149"/>
      <c r="GK149"/>
      <c r="GL149"/>
      <c r="GM149"/>
    </row>
    <row r="150" spans="1:195" s="7" customFormat="1">
      <c r="A150" s="77"/>
      <c r="B150" s="76">
        <f t="shared" ca="1" si="132"/>
        <v>0.20178371661108696</v>
      </c>
      <c r="C150">
        <v>1</v>
      </c>
      <c r="D150">
        <v>39847</v>
      </c>
      <c r="E150">
        <v>0</v>
      </c>
      <c r="F150">
        <v>0</v>
      </c>
      <c r="G150">
        <v>114.58333333333333</v>
      </c>
      <c r="H150">
        <v>104.16666666666667</v>
      </c>
      <c r="I150">
        <v>20.833333333333332</v>
      </c>
      <c r="J150">
        <v>0</v>
      </c>
      <c r="K150">
        <v>31.25</v>
      </c>
      <c r="L150">
        <v>0</v>
      </c>
      <c r="M150">
        <v>10.416666666666666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86.70260621317243</v>
      </c>
      <c r="AO150">
        <v>23.848571873422713</v>
      </c>
      <c r="AP150">
        <v>169.07849825519955</v>
      </c>
      <c r="AQ150">
        <v>118.6161236423542</v>
      </c>
      <c r="AR150">
        <v>21.680519884929744</v>
      </c>
      <c r="AS150">
        <v>100.95361334934354</v>
      </c>
      <c r="AT150" t="e">
        <v>#DIV/0!</v>
      </c>
      <c r="AU150" t="e">
        <v>#DIV/0!</v>
      </c>
      <c r="AV150"/>
      <c r="AW150"/>
      <c r="AX150" s="151"/>
      <c r="AY150" s="76">
        <f t="shared" ca="1" si="88"/>
        <v>0.98360776347284506</v>
      </c>
      <c r="AZ150">
        <v>3</v>
      </c>
      <c r="BA150" s="129">
        <f t="shared" si="171"/>
        <v>39847</v>
      </c>
      <c r="BB150" s="207">
        <v>0</v>
      </c>
      <c r="BC150" s="207">
        <v>0</v>
      </c>
      <c r="BD150" s="207">
        <v>0</v>
      </c>
      <c r="BE150" s="207">
        <v>0</v>
      </c>
      <c r="BF150" s="207">
        <v>0</v>
      </c>
      <c r="BG150" s="207">
        <v>0</v>
      </c>
      <c r="BH150" s="207">
        <v>0</v>
      </c>
      <c r="BI150" s="207">
        <v>0</v>
      </c>
      <c r="BJ150" s="207">
        <v>0</v>
      </c>
      <c r="BK150" s="207">
        <v>0</v>
      </c>
      <c r="BL150" s="207">
        <v>0</v>
      </c>
      <c r="BM150" s="207">
        <v>0</v>
      </c>
      <c r="BN150" s="207">
        <v>0</v>
      </c>
      <c r="BO150" s="207">
        <v>0</v>
      </c>
      <c r="BP150" s="207">
        <v>0</v>
      </c>
      <c r="BQ150" s="207">
        <v>0</v>
      </c>
      <c r="BR150" s="207">
        <v>0</v>
      </c>
      <c r="BS150" s="207">
        <v>0</v>
      </c>
      <c r="BT150" s="207">
        <v>0</v>
      </c>
      <c r="BU150" s="207">
        <v>0</v>
      </c>
      <c r="BV150" s="207">
        <v>0</v>
      </c>
      <c r="BW150" s="207">
        <v>0</v>
      </c>
      <c r="BX150" s="207">
        <v>0</v>
      </c>
      <c r="BY150" s="207">
        <v>0</v>
      </c>
      <c r="BZ150" s="207">
        <v>0</v>
      </c>
      <c r="CA150" s="207">
        <v>0</v>
      </c>
      <c r="CB150" s="207">
        <v>0</v>
      </c>
      <c r="CC150" s="207">
        <v>0</v>
      </c>
      <c r="CD150" s="207">
        <v>0</v>
      </c>
      <c r="CE150" s="207">
        <v>0</v>
      </c>
      <c r="CF150" s="207">
        <v>0</v>
      </c>
      <c r="CG150" s="147"/>
      <c r="CH150" s="176"/>
      <c r="CJ150" s="151"/>
      <c r="CK150" s="76">
        <f t="shared" ca="1" si="90"/>
        <v>0.3936112170537982</v>
      </c>
      <c r="CL150" s="179">
        <f t="shared" si="91"/>
        <v>3</v>
      </c>
      <c r="CM150" s="180">
        <f t="shared" si="92"/>
        <v>39847</v>
      </c>
      <c r="CN150" s="208">
        <v>0</v>
      </c>
      <c r="CO150" s="208">
        <v>0</v>
      </c>
      <c r="CP150" s="208">
        <v>0</v>
      </c>
      <c r="CQ150" s="208">
        <v>0</v>
      </c>
      <c r="CR150" s="208">
        <v>0</v>
      </c>
      <c r="CS150" s="208">
        <v>0</v>
      </c>
      <c r="CT150" s="208">
        <v>0</v>
      </c>
      <c r="CU150" s="208">
        <v>0</v>
      </c>
      <c r="CV150" s="160"/>
      <c r="CW150">
        <v>1</v>
      </c>
      <c r="CX150">
        <v>1</v>
      </c>
      <c r="CY150" s="160"/>
      <c r="CZ150" s="177">
        <f t="shared" si="93"/>
        <v>9.6000000000000002E-2</v>
      </c>
      <c r="DB150" s="151"/>
      <c r="DC150" s="76">
        <f t="shared" ca="1" si="51"/>
        <v>0.23219323695783611</v>
      </c>
      <c r="DD150">
        <f t="shared" si="94"/>
        <v>3</v>
      </c>
      <c r="DE150" s="129">
        <f t="shared" si="170"/>
        <v>39847</v>
      </c>
      <c r="DF150" s="161">
        <f t="shared" si="95"/>
        <v>0</v>
      </c>
      <c r="DG150" s="161">
        <f t="shared" si="96"/>
        <v>0</v>
      </c>
      <c r="DH150" s="161">
        <f t="shared" si="97"/>
        <v>0</v>
      </c>
      <c r="DI150" s="161">
        <f t="shared" si="98"/>
        <v>0</v>
      </c>
      <c r="DJ150" s="161">
        <f t="shared" si="99"/>
        <v>0</v>
      </c>
      <c r="DK150" s="161">
        <f t="shared" si="100"/>
        <v>0</v>
      </c>
      <c r="DL150" s="161">
        <f t="shared" si="101"/>
        <v>0</v>
      </c>
      <c r="DM150" s="161">
        <f t="shared" si="102"/>
        <v>0</v>
      </c>
      <c r="DN150" s="161">
        <f t="shared" si="103"/>
        <v>0</v>
      </c>
      <c r="DO150" s="161">
        <f t="shared" si="104"/>
        <v>0</v>
      </c>
      <c r="DP150" s="161">
        <f t="shared" si="105"/>
        <v>0</v>
      </c>
      <c r="DQ150" s="161">
        <f t="shared" si="106"/>
        <v>0</v>
      </c>
      <c r="DR150" s="161">
        <f t="shared" si="107"/>
        <v>0</v>
      </c>
      <c r="DS150" s="161">
        <f t="shared" si="108"/>
        <v>0</v>
      </c>
      <c r="DT150" s="161">
        <f t="shared" si="109"/>
        <v>0</v>
      </c>
      <c r="DU150" s="161">
        <f t="shared" si="110"/>
        <v>0</v>
      </c>
      <c r="DV150" s="161">
        <f t="shared" si="111"/>
        <v>0</v>
      </c>
      <c r="DW150" s="161">
        <f t="shared" si="112"/>
        <v>0</v>
      </c>
      <c r="DX150" s="161">
        <f t="shared" si="113"/>
        <v>0</v>
      </c>
      <c r="DY150" s="161">
        <f t="shared" si="114"/>
        <v>0</v>
      </c>
      <c r="DZ150" s="161">
        <f t="shared" si="115"/>
        <v>0</v>
      </c>
      <c r="EA150" s="161">
        <f t="shared" si="116"/>
        <v>0</v>
      </c>
      <c r="EB150" s="161">
        <f t="shared" si="117"/>
        <v>0</v>
      </c>
      <c r="EC150" s="161">
        <f t="shared" si="118"/>
        <v>0</v>
      </c>
      <c r="ED150" s="161">
        <f t="shared" si="119"/>
        <v>0</v>
      </c>
      <c r="EE150" s="161">
        <f t="shared" si="120"/>
        <v>0</v>
      </c>
      <c r="EF150" s="161">
        <f t="shared" si="121"/>
        <v>0</v>
      </c>
      <c r="EG150" s="161">
        <f t="shared" si="122"/>
        <v>0</v>
      </c>
      <c r="EH150" s="161">
        <f t="shared" si="123"/>
        <v>0</v>
      </c>
      <c r="EI150" s="161">
        <f t="shared" si="124"/>
        <v>0</v>
      </c>
      <c r="EJ150" s="161">
        <f t="shared" si="125"/>
        <v>0</v>
      </c>
      <c r="EK150" s="147">
        <f t="shared" si="133"/>
        <v>0</v>
      </c>
      <c r="EL150" s="149"/>
      <c r="EN150" s="151"/>
      <c r="EO150" s="151"/>
      <c r="EP150" s="139">
        <f t="shared" si="134"/>
        <v>0</v>
      </c>
      <c r="EQ150" s="139">
        <f t="shared" si="135"/>
        <v>0</v>
      </c>
      <c r="ER150" s="139">
        <f t="shared" si="136"/>
        <v>0</v>
      </c>
      <c r="ES150" s="139">
        <f t="shared" si="137"/>
        <v>0</v>
      </c>
      <c r="ET150" s="139">
        <f t="shared" si="138"/>
        <v>0</v>
      </c>
      <c r="EU150" s="139">
        <f t="shared" si="139"/>
        <v>0</v>
      </c>
      <c r="EV150" s="139">
        <f t="shared" si="140"/>
        <v>0</v>
      </c>
      <c r="EW150" s="139">
        <f t="shared" si="141"/>
        <v>0</v>
      </c>
      <c r="EX150" s="139">
        <f t="shared" si="142"/>
        <v>0</v>
      </c>
      <c r="EY150" s="139">
        <f t="shared" si="143"/>
        <v>0</v>
      </c>
      <c r="EZ150" s="139">
        <f t="shared" si="144"/>
        <v>0</v>
      </c>
      <c r="FA150" s="139">
        <f t="shared" si="145"/>
        <v>0</v>
      </c>
      <c r="FB150" s="139">
        <f t="shared" si="146"/>
        <v>0</v>
      </c>
      <c r="FC150" s="139">
        <f t="shared" si="147"/>
        <v>0</v>
      </c>
      <c r="FD150" s="139">
        <f t="shared" si="148"/>
        <v>0</v>
      </c>
      <c r="FE150" s="139">
        <f t="shared" si="149"/>
        <v>0</v>
      </c>
      <c r="FF150" s="139">
        <f t="shared" si="150"/>
        <v>0</v>
      </c>
      <c r="FG150" s="139">
        <f t="shared" si="151"/>
        <v>0</v>
      </c>
      <c r="FH150" s="139">
        <f t="shared" si="152"/>
        <v>0</v>
      </c>
      <c r="FI150" s="139">
        <f t="shared" si="153"/>
        <v>0</v>
      </c>
      <c r="FJ150" s="139">
        <f t="shared" si="154"/>
        <v>0</v>
      </c>
      <c r="FK150" s="139">
        <f t="shared" si="155"/>
        <v>0</v>
      </c>
      <c r="FL150" s="139">
        <f t="shared" si="156"/>
        <v>0</v>
      </c>
      <c r="FM150" s="139">
        <f t="shared" si="157"/>
        <v>0</v>
      </c>
      <c r="FN150" s="139">
        <f t="shared" si="158"/>
        <v>0</v>
      </c>
      <c r="FO150" s="139">
        <f t="shared" si="159"/>
        <v>0</v>
      </c>
      <c r="FP150" s="139">
        <f t="shared" si="160"/>
        <v>0</v>
      </c>
      <c r="FQ150" s="139">
        <f t="shared" si="161"/>
        <v>0</v>
      </c>
      <c r="FR150" s="139">
        <f t="shared" si="162"/>
        <v>0</v>
      </c>
      <c r="FS150" s="139">
        <f t="shared" si="163"/>
        <v>0</v>
      </c>
      <c r="FT150" s="139">
        <f t="shared" si="164"/>
        <v>0</v>
      </c>
      <c r="FU150" s="148">
        <f t="shared" si="165"/>
        <v>0</v>
      </c>
      <c r="FV150" s="149"/>
      <c r="FY150" s="214">
        <v>145</v>
      </c>
      <c r="FZ150">
        <v>0.7945097920446621</v>
      </c>
      <c r="GA150">
        <v>24.475284143201701</v>
      </c>
      <c r="GB150">
        <v>14.896730212480918</v>
      </c>
      <c r="GC150">
        <v>1.996974177826925</v>
      </c>
      <c r="GD150">
        <v>2.7200765420983517</v>
      </c>
      <c r="GE150">
        <v>13.291099710008719</v>
      </c>
      <c r="GF150">
        <v>26.875055243483665</v>
      </c>
      <c r="GG150">
        <v>15.277713588412254</v>
      </c>
      <c r="GH150">
        <v>5.9169126775630962</v>
      </c>
      <c r="GI150">
        <v>11.60879198002938</v>
      </c>
      <c r="GJ150"/>
      <c r="GK150"/>
      <c r="GL150"/>
      <c r="GM150"/>
    </row>
    <row r="151" spans="1:195" s="7" customFormat="1">
      <c r="A151" s="77"/>
      <c r="B151" s="76">
        <f t="shared" ca="1" si="132"/>
        <v>0.48952496931065204</v>
      </c>
      <c r="C151">
        <v>6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62.5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75.313496174980202</v>
      </c>
      <c r="AO151">
        <v>13.910618123478505</v>
      </c>
      <c r="AP151">
        <v>44.810236137813931</v>
      </c>
      <c r="AQ151">
        <v>95.881089269939267</v>
      </c>
      <c r="AR151">
        <v>13.181966265607358</v>
      </c>
      <c r="AS151">
        <v>73.890106842514342</v>
      </c>
      <c r="AT151">
        <v>8.6158724511013496</v>
      </c>
      <c r="AU151">
        <v>32.872739887538103</v>
      </c>
      <c r="AV151"/>
      <c r="AW151"/>
      <c r="AX151" s="151"/>
      <c r="AY151" s="76">
        <f t="shared" ca="1" si="88"/>
        <v>0.86417887483398914</v>
      </c>
      <c r="AZ151">
        <v>4</v>
      </c>
      <c r="BA151" s="129">
        <f t="shared" si="171"/>
        <v>39847</v>
      </c>
      <c r="BB151" s="207">
        <v>0</v>
      </c>
      <c r="BC151" s="207">
        <v>0</v>
      </c>
      <c r="BD151" s="207">
        <v>0</v>
      </c>
      <c r="BE151" s="207">
        <v>0</v>
      </c>
      <c r="BF151" s="207">
        <v>0</v>
      </c>
      <c r="BG151" s="207">
        <v>0</v>
      </c>
      <c r="BH151" s="207">
        <v>0</v>
      </c>
      <c r="BI151" s="207">
        <v>0</v>
      </c>
      <c r="BJ151" s="207">
        <v>0</v>
      </c>
      <c r="BK151" s="207">
        <v>0</v>
      </c>
      <c r="BL151" s="207">
        <v>0</v>
      </c>
      <c r="BM151" s="207">
        <v>0</v>
      </c>
      <c r="BN151" s="207">
        <v>0</v>
      </c>
      <c r="BO151" s="207">
        <v>0</v>
      </c>
      <c r="BP151" s="207">
        <v>0</v>
      </c>
      <c r="BQ151" s="207">
        <v>0</v>
      </c>
      <c r="BR151" s="207">
        <v>0</v>
      </c>
      <c r="BS151" s="207">
        <v>0</v>
      </c>
      <c r="BT151" s="207">
        <v>0</v>
      </c>
      <c r="BU151" s="207">
        <v>0</v>
      </c>
      <c r="BV151" s="207">
        <v>0</v>
      </c>
      <c r="BW151" s="207">
        <v>0</v>
      </c>
      <c r="BX151" s="207">
        <v>0</v>
      </c>
      <c r="BY151" s="207">
        <v>0</v>
      </c>
      <c r="BZ151" s="207">
        <v>0</v>
      </c>
      <c r="CA151" s="207">
        <v>0</v>
      </c>
      <c r="CB151" s="207">
        <v>0</v>
      </c>
      <c r="CC151" s="207">
        <v>0</v>
      </c>
      <c r="CD151" s="207">
        <v>0</v>
      </c>
      <c r="CE151" s="207">
        <v>0</v>
      </c>
      <c r="CF151" s="207">
        <v>0</v>
      </c>
      <c r="CG151" s="147"/>
      <c r="CH151" s="176"/>
      <c r="CJ151" s="151"/>
      <c r="CK151" s="76">
        <f t="shared" ca="1" si="90"/>
        <v>0.16066623273227254</v>
      </c>
      <c r="CL151" s="179">
        <f t="shared" si="91"/>
        <v>4</v>
      </c>
      <c r="CM151" s="180">
        <f t="shared" si="92"/>
        <v>39847</v>
      </c>
      <c r="CN151" s="208">
        <v>0</v>
      </c>
      <c r="CO151" s="208">
        <v>0</v>
      </c>
      <c r="CP151" s="208">
        <v>0</v>
      </c>
      <c r="CQ151" s="208">
        <v>0</v>
      </c>
      <c r="CR151" s="208">
        <v>0</v>
      </c>
      <c r="CS151" s="208">
        <v>0</v>
      </c>
      <c r="CT151" s="208">
        <v>0</v>
      </c>
      <c r="CU151" s="208">
        <v>0</v>
      </c>
      <c r="CV151" s="160"/>
      <c r="CW151">
        <v>1</v>
      </c>
      <c r="CX151">
        <v>1</v>
      </c>
      <c r="CY151" s="160"/>
      <c r="CZ151" s="177">
        <f t="shared" si="93"/>
        <v>9.6000000000000002E-2</v>
      </c>
      <c r="DB151" s="151"/>
      <c r="DC151" s="76">
        <f t="shared" ca="1" si="51"/>
        <v>0.935274789154243</v>
      </c>
      <c r="DD151">
        <f t="shared" si="94"/>
        <v>4</v>
      </c>
      <c r="DE151" s="129">
        <f t="shared" si="170"/>
        <v>39847</v>
      </c>
      <c r="DF151" s="161">
        <f t="shared" si="95"/>
        <v>0</v>
      </c>
      <c r="DG151" s="161">
        <f t="shared" si="96"/>
        <v>0</v>
      </c>
      <c r="DH151" s="161">
        <f t="shared" si="97"/>
        <v>0</v>
      </c>
      <c r="DI151" s="161">
        <f t="shared" si="98"/>
        <v>0</v>
      </c>
      <c r="DJ151" s="161">
        <f t="shared" si="99"/>
        <v>0</v>
      </c>
      <c r="DK151" s="161">
        <f t="shared" si="100"/>
        <v>0</v>
      </c>
      <c r="DL151" s="161">
        <f t="shared" si="101"/>
        <v>0</v>
      </c>
      <c r="DM151" s="161">
        <f t="shared" si="102"/>
        <v>0</v>
      </c>
      <c r="DN151" s="161">
        <f t="shared" si="103"/>
        <v>0</v>
      </c>
      <c r="DO151" s="161">
        <f t="shared" si="104"/>
        <v>0</v>
      </c>
      <c r="DP151" s="161">
        <f t="shared" si="105"/>
        <v>0</v>
      </c>
      <c r="DQ151" s="161">
        <f t="shared" si="106"/>
        <v>0</v>
      </c>
      <c r="DR151" s="161">
        <f t="shared" si="107"/>
        <v>0</v>
      </c>
      <c r="DS151" s="161">
        <f t="shared" si="108"/>
        <v>0</v>
      </c>
      <c r="DT151" s="161">
        <f t="shared" si="109"/>
        <v>0</v>
      </c>
      <c r="DU151" s="161">
        <f t="shared" si="110"/>
        <v>0</v>
      </c>
      <c r="DV151" s="161">
        <f t="shared" si="111"/>
        <v>0</v>
      </c>
      <c r="DW151" s="161">
        <f t="shared" si="112"/>
        <v>0</v>
      </c>
      <c r="DX151" s="161">
        <f t="shared" si="113"/>
        <v>0</v>
      </c>
      <c r="DY151" s="161">
        <f t="shared" si="114"/>
        <v>0</v>
      </c>
      <c r="DZ151" s="161">
        <f t="shared" si="115"/>
        <v>0</v>
      </c>
      <c r="EA151" s="161">
        <f t="shared" si="116"/>
        <v>0</v>
      </c>
      <c r="EB151" s="161">
        <f t="shared" si="117"/>
        <v>0</v>
      </c>
      <c r="EC151" s="161">
        <f t="shared" si="118"/>
        <v>0</v>
      </c>
      <c r="ED151" s="161">
        <f t="shared" si="119"/>
        <v>0</v>
      </c>
      <c r="EE151" s="161">
        <f t="shared" si="120"/>
        <v>0</v>
      </c>
      <c r="EF151" s="161">
        <f t="shared" si="121"/>
        <v>0</v>
      </c>
      <c r="EG151" s="161">
        <f t="shared" si="122"/>
        <v>0</v>
      </c>
      <c r="EH151" s="161">
        <f t="shared" si="123"/>
        <v>0</v>
      </c>
      <c r="EI151" s="161">
        <f t="shared" si="124"/>
        <v>0</v>
      </c>
      <c r="EJ151" s="161">
        <f t="shared" si="125"/>
        <v>0</v>
      </c>
      <c r="EK151" s="147">
        <f t="shared" si="133"/>
        <v>0</v>
      </c>
      <c r="EL151" s="149"/>
      <c r="EN151" s="151"/>
      <c r="EO151" s="151"/>
      <c r="EP151" s="139">
        <f t="shared" si="134"/>
        <v>0</v>
      </c>
      <c r="EQ151" s="139">
        <f t="shared" si="135"/>
        <v>0</v>
      </c>
      <c r="ER151" s="139">
        <f t="shared" si="136"/>
        <v>0</v>
      </c>
      <c r="ES151" s="139">
        <f t="shared" si="137"/>
        <v>0</v>
      </c>
      <c r="ET151" s="139">
        <f t="shared" si="138"/>
        <v>0</v>
      </c>
      <c r="EU151" s="139">
        <f t="shared" si="139"/>
        <v>0</v>
      </c>
      <c r="EV151" s="139">
        <f t="shared" si="140"/>
        <v>0</v>
      </c>
      <c r="EW151" s="139">
        <f t="shared" si="141"/>
        <v>0</v>
      </c>
      <c r="EX151" s="139">
        <f t="shared" si="142"/>
        <v>0</v>
      </c>
      <c r="EY151" s="139">
        <f t="shared" si="143"/>
        <v>0</v>
      </c>
      <c r="EZ151" s="139">
        <f t="shared" si="144"/>
        <v>0</v>
      </c>
      <c r="FA151" s="139">
        <f t="shared" si="145"/>
        <v>0</v>
      </c>
      <c r="FB151" s="139">
        <f t="shared" si="146"/>
        <v>0</v>
      </c>
      <c r="FC151" s="139">
        <f t="shared" si="147"/>
        <v>0</v>
      </c>
      <c r="FD151" s="139">
        <f t="shared" si="148"/>
        <v>0</v>
      </c>
      <c r="FE151" s="139">
        <f t="shared" si="149"/>
        <v>0</v>
      </c>
      <c r="FF151" s="139">
        <f t="shared" si="150"/>
        <v>0</v>
      </c>
      <c r="FG151" s="139">
        <f t="shared" si="151"/>
        <v>0</v>
      </c>
      <c r="FH151" s="139">
        <f t="shared" si="152"/>
        <v>0</v>
      </c>
      <c r="FI151" s="139">
        <f t="shared" si="153"/>
        <v>0</v>
      </c>
      <c r="FJ151" s="139">
        <f t="shared" si="154"/>
        <v>0</v>
      </c>
      <c r="FK151" s="139">
        <f t="shared" si="155"/>
        <v>0</v>
      </c>
      <c r="FL151" s="139">
        <f t="shared" si="156"/>
        <v>0</v>
      </c>
      <c r="FM151" s="139">
        <f t="shared" si="157"/>
        <v>0</v>
      </c>
      <c r="FN151" s="139">
        <f t="shared" si="158"/>
        <v>0</v>
      </c>
      <c r="FO151" s="139">
        <f t="shared" si="159"/>
        <v>0</v>
      </c>
      <c r="FP151" s="139">
        <f t="shared" si="160"/>
        <v>0</v>
      </c>
      <c r="FQ151" s="139">
        <f t="shared" si="161"/>
        <v>0</v>
      </c>
      <c r="FR151" s="139">
        <f t="shared" si="162"/>
        <v>0</v>
      </c>
      <c r="FS151" s="139">
        <f t="shared" si="163"/>
        <v>0</v>
      </c>
      <c r="FT151" s="139">
        <f t="shared" si="164"/>
        <v>0</v>
      </c>
      <c r="FU151" s="148">
        <f t="shared" si="165"/>
        <v>0</v>
      </c>
      <c r="FV151" s="149"/>
      <c r="FY151" s="214">
        <v>146</v>
      </c>
      <c r="FZ151">
        <v>1.266774274872128</v>
      </c>
      <c r="GA151">
        <v>26.063010518959778</v>
      </c>
      <c r="GB151">
        <v>19.23363424851383</v>
      </c>
      <c r="GC151">
        <v>4.2578550748025279</v>
      </c>
      <c r="GD151">
        <v>1.830610962676237</v>
      </c>
      <c r="GE151">
        <v>5.9943143737401128</v>
      </c>
      <c r="GF151">
        <v>8.2055989804617049</v>
      </c>
      <c r="GG151">
        <v>5.6565027905206451</v>
      </c>
      <c r="GH151">
        <v>4.1293904744246639</v>
      </c>
      <c r="GI151">
        <v>8.2712332604175192</v>
      </c>
      <c r="GJ151"/>
      <c r="GK151"/>
      <c r="GL151"/>
      <c r="GM151"/>
    </row>
    <row r="152" spans="1:195" s="7" customFormat="1">
      <c r="A152" s="77"/>
      <c r="B152" s="76">
        <f t="shared" ref="B152:B183" ca="1" si="172">IF(C152="", "", RAND())</f>
        <v>0.88605299052993836</v>
      </c>
      <c r="C152">
        <v>8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48.812740233720831</v>
      </c>
      <c r="AO152">
        <v>9.5324070778723193</v>
      </c>
      <c r="AP152">
        <v>19.854862065300669</v>
      </c>
      <c r="AQ152">
        <v>56.739995374550055</v>
      </c>
      <c r="AR152">
        <v>8.6908873201718322</v>
      </c>
      <c r="AS152">
        <v>49.094419311692036</v>
      </c>
      <c r="AT152" t="e">
        <v>#DIV/0!</v>
      </c>
      <c r="AU152" t="e">
        <v>#DIV/0!</v>
      </c>
      <c r="AV152"/>
      <c r="AW152"/>
      <c r="AX152" s="151"/>
      <c r="AY152" s="76">
        <f t="shared" ref="AY152:AY207" ca="1" si="173">IF(AZ152="", "", RAND())</f>
        <v>8.9569339746157439E-2</v>
      </c>
      <c r="AZ152">
        <v>5</v>
      </c>
      <c r="BA152" s="129">
        <f t="shared" si="171"/>
        <v>39847</v>
      </c>
      <c r="BB152" s="207">
        <v>0</v>
      </c>
      <c r="BC152" s="207">
        <v>0</v>
      </c>
      <c r="BD152" s="207">
        <v>0</v>
      </c>
      <c r="BE152" s="207">
        <v>0</v>
      </c>
      <c r="BF152" s="207">
        <v>0</v>
      </c>
      <c r="BG152" s="207">
        <v>0</v>
      </c>
      <c r="BH152" s="207">
        <v>0</v>
      </c>
      <c r="BI152" s="207">
        <v>0</v>
      </c>
      <c r="BJ152" s="207">
        <v>0</v>
      </c>
      <c r="BK152" s="207">
        <v>0</v>
      </c>
      <c r="BL152" s="207">
        <v>0</v>
      </c>
      <c r="BM152" s="207">
        <v>0</v>
      </c>
      <c r="BN152" s="207">
        <v>0</v>
      </c>
      <c r="BO152" s="207">
        <v>0</v>
      </c>
      <c r="BP152" s="207">
        <v>0</v>
      </c>
      <c r="BQ152" s="207">
        <v>0</v>
      </c>
      <c r="BR152" s="207">
        <v>0</v>
      </c>
      <c r="BS152" s="207">
        <v>0</v>
      </c>
      <c r="BT152" s="207">
        <v>0</v>
      </c>
      <c r="BU152" s="207">
        <v>0</v>
      </c>
      <c r="BV152" s="207">
        <v>0</v>
      </c>
      <c r="BW152" s="207">
        <v>0</v>
      </c>
      <c r="BX152" s="207">
        <v>0</v>
      </c>
      <c r="BY152" s="207">
        <v>0</v>
      </c>
      <c r="BZ152" s="207">
        <v>0</v>
      </c>
      <c r="CA152" s="207">
        <v>0</v>
      </c>
      <c r="CB152" s="207">
        <v>0</v>
      </c>
      <c r="CC152" s="207">
        <v>0</v>
      </c>
      <c r="CD152" s="207">
        <v>0</v>
      </c>
      <c r="CE152" s="207">
        <v>0</v>
      </c>
      <c r="CF152" s="207">
        <v>0</v>
      </c>
      <c r="CG152" s="147"/>
      <c r="CH152" s="176"/>
      <c r="CJ152" s="151"/>
      <c r="CK152" s="76">
        <f t="shared" ca="1" si="90"/>
        <v>0.21799759713457023</v>
      </c>
      <c r="CL152" s="179">
        <f t="shared" si="91"/>
        <v>5</v>
      </c>
      <c r="CM152" s="180">
        <f t="shared" si="92"/>
        <v>39847</v>
      </c>
      <c r="CN152" s="208">
        <v>0</v>
      </c>
      <c r="CO152" s="208">
        <v>0</v>
      </c>
      <c r="CP152" s="208">
        <v>0</v>
      </c>
      <c r="CQ152" s="208">
        <v>0</v>
      </c>
      <c r="CR152" s="208">
        <v>0</v>
      </c>
      <c r="CS152" s="208">
        <v>0</v>
      </c>
      <c r="CT152" s="208">
        <v>0</v>
      </c>
      <c r="CU152" s="208">
        <v>0</v>
      </c>
      <c r="CV152" s="160"/>
      <c r="CW152">
        <v>1</v>
      </c>
      <c r="CX152">
        <v>1</v>
      </c>
      <c r="CY152" s="160"/>
      <c r="CZ152" s="177">
        <f t="shared" si="93"/>
        <v>9.6000000000000002E-2</v>
      </c>
      <c r="DB152" s="151"/>
      <c r="DC152" s="76">
        <f t="shared" ref="DC152:DC207" ca="1" si="174">IF(DD152="", "", RAND())</f>
        <v>0.53551900207479619</v>
      </c>
      <c r="DD152">
        <f t="shared" si="94"/>
        <v>5</v>
      </c>
      <c r="DE152" s="129">
        <f t="shared" si="170"/>
        <v>39847</v>
      </c>
      <c r="DF152" s="161">
        <f t="shared" si="95"/>
        <v>0</v>
      </c>
      <c r="DG152" s="161">
        <f t="shared" si="96"/>
        <v>0</v>
      </c>
      <c r="DH152" s="161">
        <f t="shared" si="97"/>
        <v>0</v>
      </c>
      <c r="DI152" s="161">
        <f t="shared" si="98"/>
        <v>0</v>
      </c>
      <c r="DJ152" s="161">
        <f t="shared" si="99"/>
        <v>0</v>
      </c>
      <c r="DK152" s="161">
        <f t="shared" si="100"/>
        <v>0</v>
      </c>
      <c r="DL152" s="161">
        <f t="shared" si="101"/>
        <v>0</v>
      </c>
      <c r="DM152" s="161">
        <f t="shared" si="102"/>
        <v>0</v>
      </c>
      <c r="DN152" s="161">
        <f t="shared" si="103"/>
        <v>0</v>
      </c>
      <c r="DO152" s="161">
        <f t="shared" si="104"/>
        <v>0</v>
      </c>
      <c r="DP152" s="161">
        <f t="shared" si="105"/>
        <v>0</v>
      </c>
      <c r="DQ152" s="161">
        <f t="shared" si="106"/>
        <v>0</v>
      </c>
      <c r="DR152" s="161">
        <f t="shared" si="107"/>
        <v>0</v>
      </c>
      <c r="DS152" s="161">
        <f t="shared" si="108"/>
        <v>0</v>
      </c>
      <c r="DT152" s="161">
        <f t="shared" si="109"/>
        <v>0</v>
      </c>
      <c r="DU152" s="161">
        <f t="shared" si="110"/>
        <v>0</v>
      </c>
      <c r="DV152" s="161">
        <f t="shared" si="111"/>
        <v>0</v>
      </c>
      <c r="DW152" s="161">
        <f t="shared" si="112"/>
        <v>0</v>
      </c>
      <c r="DX152" s="161">
        <f t="shared" si="113"/>
        <v>0</v>
      </c>
      <c r="DY152" s="161">
        <f t="shared" si="114"/>
        <v>0</v>
      </c>
      <c r="DZ152" s="161">
        <f t="shared" si="115"/>
        <v>0</v>
      </c>
      <c r="EA152" s="161">
        <f t="shared" si="116"/>
        <v>0</v>
      </c>
      <c r="EB152" s="161">
        <f t="shared" si="117"/>
        <v>0</v>
      </c>
      <c r="EC152" s="161">
        <f t="shared" si="118"/>
        <v>0</v>
      </c>
      <c r="ED152" s="161">
        <f t="shared" si="119"/>
        <v>0</v>
      </c>
      <c r="EE152" s="161">
        <f t="shared" si="120"/>
        <v>0</v>
      </c>
      <c r="EF152" s="161">
        <f t="shared" si="121"/>
        <v>0</v>
      </c>
      <c r="EG152" s="161">
        <f t="shared" si="122"/>
        <v>0</v>
      </c>
      <c r="EH152" s="161">
        <f t="shared" si="123"/>
        <v>0</v>
      </c>
      <c r="EI152" s="161">
        <f t="shared" si="124"/>
        <v>0</v>
      </c>
      <c r="EJ152" s="161">
        <f t="shared" si="125"/>
        <v>0</v>
      </c>
      <c r="EK152" s="147">
        <f t="shared" ref="EK152:EK183" si="175">IF(DF152="", "", SUM(DF152:EJ152))</f>
        <v>0</v>
      </c>
      <c r="EL152" s="149"/>
      <c r="EN152" s="151"/>
      <c r="EO152" s="151"/>
      <c r="EP152" s="139">
        <f t="shared" ref="EP152:EP183" si="176">IF(DF152="", "", DF152*G$36)</f>
        <v>0</v>
      </c>
      <c r="EQ152" s="139">
        <f t="shared" ref="EQ152:EQ183" si="177">IF(DG152="", "", DG152*H$36)</f>
        <v>0</v>
      </c>
      <c r="ER152" s="139">
        <f t="shared" ref="ER152:ER183" si="178">IF(DH152="", "", DH152*I$36)</f>
        <v>0</v>
      </c>
      <c r="ES152" s="139">
        <f t="shared" ref="ES152:ES183" si="179">IF(DI152="", "", DI152*J$36)</f>
        <v>0</v>
      </c>
      <c r="ET152" s="139">
        <f t="shared" ref="ET152:ET183" si="180">IF(DJ152="", "", DJ152*K$36)</f>
        <v>0</v>
      </c>
      <c r="EU152" s="139">
        <f t="shared" ref="EU152:EU183" si="181">IF(DK152="", "", DK152*L$36)</f>
        <v>0</v>
      </c>
      <c r="EV152" s="139">
        <f t="shared" ref="EV152:EV183" si="182">IF(DL152="", "", DL152*M$36)</f>
        <v>0</v>
      </c>
      <c r="EW152" s="139">
        <f t="shared" ref="EW152:EW183" si="183">IF(DM152="", "", DM152*N$36)</f>
        <v>0</v>
      </c>
      <c r="EX152" s="139">
        <f t="shared" ref="EX152:EX183" si="184">IF(DN152="", "", DN152*O$36)</f>
        <v>0</v>
      </c>
      <c r="EY152" s="139">
        <f t="shared" ref="EY152:EY183" si="185">IF(DO152="", "", DO152*P$36)</f>
        <v>0</v>
      </c>
      <c r="EZ152" s="139">
        <f t="shared" ref="EZ152:EZ183" si="186">IF(DP152="", "", DP152*Q$36)</f>
        <v>0</v>
      </c>
      <c r="FA152" s="139">
        <f t="shared" ref="FA152:FA183" si="187">IF(DQ152="", "", DQ152*R$36)</f>
        <v>0</v>
      </c>
      <c r="FB152" s="139">
        <f t="shared" ref="FB152:FB183" si="188">IF(DR152="", "", DR152*S$36)</f>
        <v>0</v>
      </c>
      <c r="FC152" s="139">
        <f t="shared" ref="FC152:FC183" si="189">IF(DS152="", "", DS152*T$36)</f>
        <v>0</v>
      </c>
      <c r="FD152" s="139">
        <f t="shared" ref="FD152:FD183" si="190">IF(DT152="", "", DT152*U$36)</f>
        <v>0</v>
      </c>
      <c r="FE152" s="139">
        <f t="shared" ref="FE152:FE183" si="191">IF(DU152="", "", DU152*V$36)</f>
        <v>0</v>
      </c>
      <c r="FF152" s="139">
        <f t="shared" ref="FF152:FF183" si="192">IF(DV152="", "", DV152*W$36)</f>
        <v>0</v>
      </c>
      <c r="FG152" s="139">
        <f t="shared" ref="FG152:FG183" si="193">IF(DW152="", "", DW152*X$36)</f>
        <v>0</v>
      </c>
      <c r="FH152" s="139">
        <f t="shared" ref="FH152:FH183" si="194">IF(DX152="", "", DX152*Y$36)</f>
        <v>0</v>
      </c>
      <c r="FI152" s="139">
        <f t="shared" ref="FI152:FI183" si="195">IF(DY152="", "", DY152*Z$36)</f>
        <v>0</v>
      </c>
      <c r="FJ152" s="139">
        <f t="shared" ref="FJ152:FJ183" si="196">IF(DZ152="", "", DZ152*AA$36)</f>
        <v>0</v>
      </c>
      <c r="FK152" s="139">
        <f t="shared" ref="FK152:FK183" si="197">IF(EA152="", "", EA152*AB$36)</f>
        <v>0</v>
      </c>
      <c r="FL152" s="139">
        <f t="shared" ref="FL152:FL183" si="198">IF(EB152="", "", EB152*AC$36)</f>
        <v>0</v>
      </c>
      <c r="FM152" s="139">
        <f t="shared" ref="FM152:FM183" si="199">IF(EC152="", "", EC152*AD$36)</f>
        <v>0</v>
      </c>
      <c r="FN152" s="139">
        <f t="shared" ref="FN152:FN183" si="200">IF(ED152="", "", ED152*AE$36)</f>
        <v>0</v>
      </c>
      <c r="FO152" s="139">
        <f t="shared" ref="FO152:FO183" si="201">IF(EE152="", "", EE152*AF$36)</f>
        <v>0</v>
      </c>
      <c r="FP152" s="139">
        <f t="shared" ref="FP152:FP183" si="202">IF(EF152="", "", EF152*AG$36)</f>
        <v>0</v>
      </c>
      <c r="FQ152" s="139">
        <f t="shared" ref="FQ152:FQ183" si="203">IF(EG152="", "", EG152*AH$36)</f>
        <v>0</v>
      </c>
      <c r="FR152" s="139">
        <f t="shared" ref="FR152:FR183" si="204">IF(EH152="", "", EH152*AI$36)</f>
        <v>0</v>
      </c>
      <c r="FS152" s="139">
        <f t="shared" ref="FS152:FS183" si="205">IF(EI152="", "", EI152*AJ$36)</f>
        <v>0</v>
      </c>
      <c r="FT152" s="139">
        <f t="shared" ref="FT152:FT183" si="206">IF(EJ152="", "", EJ152*AK$36)</f>
        <v>0</v>
      </c>
      <c r="FU152" s="148">
        <f t="shared" ref="FU152:FU183" si="207">IF(EP152="","",SUM(EP152:FT152))</f>
        <v>0</v>
      </c>
      <c r="FV152" s="149"/>
      <c r="FY152" s="214">
        <v>147</v>
      </c>
      <c r="FZ152">
        <v>0.68970089655385203</v>
      </c>
      <c r="GA152">
        <v>16.629404363599711</v>
      </c>
      <c r="GB152">
        <v>12.392996394528575</v>
      </c>
      <c r="GC152">
        <v>2.6264326183349995</v>
      </c>
      <c r="GD152">
        <v>7.0951862735864131</v>
      </c>
      <c r="GE152">
        <v>14.182139299063927</v>
      </c>
      <c r="GF152">
        <v>7.4731917532610082</v>
      </c>
      <c r="GG152">
        <v>9.2149977238700433</v>
      </c>
      <c r="GH152">
        <v>7.7881832069848107</v>
      </c>
      <c r="GI152">
        <v>10.169630896471421</v>
      </c>
      <c r="GJ152"/>
      <c r="GK152"/>
      <c r="GL152"/>
      <c r="GM152"/>
    </row>
    <row r="153" spans="1:195" s="7" customFormat="1">
      <c r="A153" s="77"/>
      <c r="B153" s="76">
        <f t="shared" ca="1" si="172"/>
        <v>0.33836400176971182</v>
      </c>
      <c r="C153">
        <v>10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45.138373325873943</v>
      </c>
      <c r="AO153">
        <v>13.052131412079593</v>
      </c>
      <c r="AP153">
        <v>62.360375476170219</v>
      </c>
      <c r="AQ153">
        <v>70.384702267156115</v>
      </c>
      <c r="AR153">
        <v>11.878105362943581</v>
      </c>
      <c r="AS153">
        <v>52.907148807973556</v>
      </c>
      <c r="AT153" t="e">
        <v>#DIV/0!</v>
      </c>
      <c r="AU153" t="e">
        <v>#DIV/0!</v>
      </c>
      <c r="AV153"/>
      <c r="AW153"/>
      <c r="AX153" s="151"/>
      <c r="AY153" s="76">
        <f t="shared" ca="1" si="173"/>
        <v>0.65072961755960379</v>
      </c>
      <c r="AZ153">
        <v>6</v>
      </c>
      <c r="BA153" s="129">
        <f t="shared" si="171"/>
        <v>39847</v>
      </c>
      <c r="BB153" s="207">
        <v>0</v>
      </c>
      <c r="BC153" s="207">
        <v>0</v>
      </c>
      <c r="BD153" s="207">
        <v>0</v>
      </c>
      <c r="BE153" s="207">
        <v>0</v>
      </c>
      <c r="BF153" s="207">
        <v>6</v>
      </c>
      <c r="BG153" s="207">
        <v>0</v>
      </c>
      <c r="BH153" s="207">
        <v>0</v>
      </c>
      <c r="BI153" s="207">
        <v>0</v>
      </c>
      <c r="BJ153" s="207">
        <v>0</v>
      </c>
      <c r="BK153" s="207">
        <v>0</v>
      </c>
      <c r="BL153" s="207">
        <v>0</v>
      </c>
      <c r="BM153" s="207">
        <v>0</v>
      </c>
      <c r="BN153" s="207">
        <v>0</v>
      </c>
      <c r="BO153" s="207">
        <v>0</v>
      </c>
      <c r="BP153" s="207">
        <v>0</v>
      </c>
      <c r="BQ153" s="207">
        <v>0</v>
      </c>
      <c r="BR153" s="207">
        <v>0</v>
      </c>
      <c r="BS153" s="207">
        <v>0</v>
      </c>
      <c r="BT153" s="207">
        <v>0</v>
      </c>
      <c r="BU153" s="207">
        <v>0</v>
      </c>
      <c r="BV153" s="207">
        <v>0</v>
      </c>
      <c r="BW153" s="207">
        <v>0</v>
      </c>
      <c r="BX153" s="207">
        <v>0</v>
      </c>
      <c r="BY153" s="207">
        <v>0</v>
      </c>
      <c r="BZ153" s="207">
        <v>0</v>
      </c>
      <c r="CA153" s="207">
        <v>0</v>
      </c>
      <c r="CB153" s="207">
        <v>0</v>
      </c>
      <c r="CC153" s="207">
        <v>0</v>
      </c>
      <c r="CD153" s="207">
        <v>0</v>
      </c>
      <c r="CE153" s="207">
        <v>0</v>
      </c>
      <c r="CF153" s="207">
        <v>0</v>
      </c>
      <c r="CG153" s="147"/>
      <c r="CH153" s="176"/>
      <c r="CJ153" s="151"/>
      <c r="CK153" s="76">
        <f t="shared" ref="CK153:CK207" ca="1" si="208">IF(AZ153="", "", RAND())</f>
        <v>0.42898397127472254</v>
      </c>
      <c r="CL153" s="179">
        <f t="shared" ref="CL153:CL207" si="209">IF(AZ153="", "", AZ153)</f>
        <v>6</v>
      </c>
      <c r="CM153" s="180">
        <f t="shared" ref="CM153:CM207" si="210">IF(AZ153="", "", BA153)</f>
        <v>39847</v>
      </c>
      <c r="CN153" s="208">
        <v>0</v>
      </c>
      <c r="CO153" s="208">
        <v>0</v>
      </c>
      <c r="CP153" s="208">
        <v>0</v>
      </c>
      <c r="CQ153" s="208">
        <v>0</v>
      </c>
      <c r="CR153" s="208">
        <v>0</v>
      </c>
      <c r="CS153" s="208">
        <v>0</v>
      </c>
      <c r="CT153" s="208">
        <v>0</v>
      </c>
      <c r="CU153" s="208">
        <v>0</v>
      </c>
      <c r="CV153" s="160"/>
      <c r="CW153">
        <v>1</v>
      </c>
      <c r="CX153">
        <v>1</v>
      </c>
      <c r="CY153" s="160"/>
      <c r="CZ153" s="177">
        <f t="shared" ref="CZ153:CZ207" si="211">IF(AZ153="", "", $G$15)</f>
        <v>9.6000000000000002E-2</v>
      </c>
      <c r="DB153" s="151"/>
      <c r="DC153" s="76">
        <f t="shared" ca="1" si="174"/>
        <v>0.5921645591775393</v>
      </c>
      <c r="DD153">
        <f t="shared" ref="DD153:DD207" si="212">IF(AZ153="", "", AZ153)</f>
        <v>6</v>
      </c>
      <c r="DE153" s="129">
        <f t="shared" si="170"/>
        <v>39847</v>
      </c>
      <c r="DF153" s="161">
        <f t="shared" ref="DF153:DF187" si="213">IF($AZ153="", "", ((BB153*$CW153)+(CN153*$CX153))/$CZ153)</f>
        <v>0</v>
      </c>
      <c r="DG153" s="161">
        <f t="shared" ref="DG153:DG187" si="214">IF($AZ153="", "", ((BC153*$CW153)+(CO153*$CX153))/$CZ153)</f>
        <v>0</v>
      </c>
      <c r="DH153" s="161">
        <f t="shared" ref="DH153:DH187" si="215">IF($AZ153="", "", ((BD153*$CW153)+(CP153*$CX153))/$CZ153)</f>
        <v>0</v>
      </c>
      <c r="DI153" s="161">
        <f t="shared" ref="DI153:DI187" si="216">IF($AZ153="", "", ((BE153*$CW153)+(CQ153*$CX153))/$CZ153)</f>
        <v>0</v>
      </c>
      <c r="DJ153" s="161">
        <f t="shared" ref="DJ153:DJ187" si="217">IF($AZ153="", "", ((BF153*$CW153)+(CR153*$CX153))/$CZ153)</f>
        <v>62.5</v>
      </c>
      <c r="DK153" s="161">
        <f t="shared" ref="DK153:DK187" si="218">IF($AZ153="", "", ((BG153*$CW153)+(CS153*$CX153))/$CZ153)</f>
        <v>0</v>
      </c>
      <c r="DL153" s="161">
        <f t="shared" ref="DL153:DL187" si="219">IF($AZ153="", "", ((BH153*$CW153)+(CT153*$CX153))/$CZ153)</f>
        <v>0</v>
      </c>
      <c r="DM153" s="161">
        <f t="shared" ref="DM153:DM187" si="220">IF($AZ153="", "", ((BI153*$CW153)+(CU153*$CX153))/$CZ153)</f>
        <v>0</v>
      </c>
      <c r="DN153" s="161">
        <f t="shared" ref="DN153:DN187" si="221">IF($AZ153="", "", (BJ153*$CW153)/$CZ153)</f>
        <v>0</v>
      </c>
      <c r="DO153" s="161">
        <f t="shared" ref="DO153:DO187" si="222">IF($AZ153="", "", (BK153*$CW153)/$CZ153)</f>
        <v>0</v>
      </c>
      <c r="DP153" s="161">
        <f t="shared" ref="DP153:DP187" si="223">IF($AZ153="", "", (BL153*$CW153)/$CZ153)</f>
        <v>0</v>
      </c>
      <c r="DQ153" s="161">
        <f t="shared" ref="DQ153:DQ187" si="224">IF($AZ153="", "", (BM153*$CW153)/$CZ153)</f>
        <v>0</v>
      </c>
      <c r="DR153" s="161">
        <f t="shared" ref="DR153:DR187" si="225">IF($AZ153="", "", (BN153*$CW153)/$CZ153)</f>
        <v>0</v>
      </c>
      <c r="DS153" s="161">
        <f t="shared" ref="DS153:DS187" si="226">IF($AZ153="", "", (BO153*$CW153)/$CZ153)</f>
        <v>0</v>
      </c>
      <c r="DT153" s="161">
        <f t="shared" ref="DT153:DT187" si="227">IF($AZ153="", "", (BP153*$CW153)/$CZ153)</f>
        <v>0</v>
      </c>
      <c r="DU153" s="161">
        <f t="shared" ref="DU153:DU187" si="228">IF($AZ153="", "", (BQ153*$CW153)/$CZ153)</f>
        <v>0</v>
      </c>
      <c r="DV153" s="161">
        <f t="shared" ref="DV153:DV187" si="229">IF($AZ153="", "", (BR153*$CW153)/$CZ153)</f>
        <v>0</v>
      </c>
      <c r="DW153" s="161">
        <f t="shared" ref="DW153:DW187" si="230">IF($AZ153="", "", (BS153*$CW153)/$CZ153)</f>
        <v>0</v>
      </c>
      <c r="DX153" s="161">
        <f t="shared" ref="DX153:DX187" si="231">IF($AZ153="", "", (BT153*$CW153)/$CZ153)</f>
        <v>0</v>
      </c>
      <c r="DY153" s="161">
        <f t="shared" ref="DY153:DY187" si="232">IF($AZ153="", "", (BU153*$CW153)/$CZ153)</f>
        <v>0</v>
      </c>
      <c r="DZ153" s="161">
        <f t="shared" ref="DZ153:DZ187" si="233">IF($AZ153="", "", (BV153*$CW153)/$CZ153)</f>
        <v>0</v>
      </c>
      <c r="EA153" s="161">
        <f t="shared" ref="EA153:EA187" si="234">IF($AZ153="", "", (BW153*$CW153)/$CZ153)</f>
        <v>0</v>
      </c>
      <c r="EB153" s="161">
        <f t="shared" ref="EB153:EB187" si="235">IF($AZ153="", "", (BX153*$CW153)/$CZ153)</f>
        <v>0</v>
      </c>
      <c r="EC153" s="161">
        <f t="shared" ref="EC153:EC187" si="236">IF($AZ153="", "", (BY153*$CW153)/$CZ153)</f>
        <v>0</v>
      </c>
      <c r="ED153" s="161">
        <f t="shared" ref="ED153:ED187" si="237">IF($AZ153="", "", (BZ153*$CW153)/$CZ153)</f>
        <v>0</v>
      </c>
      <c r="EE153" s="161">
        <f t="shared" ref="EE153:EE187" si="238">IF($AZ153="", "", (CA153*$CW153)/$CZ153)</f>
        <v>0</v>
      </c>
      <c r="EF153" s="161">
        <f t="shared" ref="EF153:EF187" si="239">IF($AZ153="", "", (CB153*$CW153)/$CZ153)</f>
        <v>0</v>
      </c>
      <c r="EG153" s="161">
        <f t="shared" ref="EG153:EG187" si="240">IF($AZ153="", "", (CC153*$CW153)/$CZ153)</f>
        <v>0</v>
      </c>
      <c r="EH153" s="161">
        <f t="shared" ref="EH153:EH187" si="241">IF($AZ153="", "", (CD153*$CW153)/$CZ153)</f>
        <v>0</v>
      </c>
      <c r="EI153" s="161">
        <f t="shared" ref="EI153:EI187" si="242">IF($AZ153="", "", (CE153*$CW153)/$CZ153)</f>
        <v>0</v>
      </c>
      <c r="EJ153" s="161">
        <f t="shared" ref="EJ153:EJ187" si="243">IF($AZ153="", "", (CF153*$CW153)/$CZ153)</f>
        <v>0</v>
      </c>
      <c r="EK153" s="147">
        <f t="shared" si="175"/>
        <v>62.5</v>
      </c>
      <c r="EL153" s="149"/>
      <c r="EN153" s="151"/>
      <c r="EO153" s="151"/>
      <c r="EP153" s="139">
        <f t="shared" si="176"/>
        <v>0</v>
      </c>
      <c r="EQ153" s="139">
        <f t="shared" si="177"/>
        <v>0</v>
      </c>
      <c r="ER153" s="139">
        <f t="shared" si="178"/>
        <v>0</v>
      </c>
      <c r="ES153" s="139">
        <f t="shared" si="179"/>
        <v>0</v>
      </c>
      <c r="ET153" s="139">
        <f t="shared" si="180"/>
        <v>17.410872368972427</v>
      </c>
      <c r="EU153" s="139">
        <f t="shared" si="181"/>
        <v>0</v>
      </c>
      <c r="EV153" s="139">
        <f t="shared" si="182"/>
        <v>0</v>
      </c>
      <c r="EW153" s="139">
        <f t="shared" si="183"/>
        <v>0</v>
      </c>
      <c r="EX153" s="139">
        <f t="shared" si="184"/>
        <v>0</v>
      </c>
      <c r="EY153" s="139">
        <f t="shared" si="185"/>
        <v>0</v>
      </c>
      <c r="EZ153" s="139">
        <f t="shared" si="186"/>
        <v>0</v>
      </c>
      <c r="FA153" s="139">
        <f t="shared" si="187"/>
        <v>0</v>
      </c>
      <c r="FB153" s="139">
        <f t="shared" si="188"/>
        <v>0</v>
      </c>
      <c r="FC153" s="139">
        <f t="shared" si="189"/>
        <v>0</v>
      </c>
      <c r="FD153" s="139">
        <f t="shared" si="190"/>
        <v>0</v>
      </c>
      <c r="FE153" s="139">
        <f t="shared" si="191"/>
        <v>0</v>
      </c>
      <c r="FF153" s="139">
        <f t="shared" si="192"/>
        <v>0</v>
      </c>
      <c r="FG153" s="139">
        <f t="shared" si="193"/>
        <v>0</v>
      </c>
      <c r="FH153" s="139">
        <f t="shared" si="194"/>
        <v>0</v>
      </c>
      <c r="FI153" s="139">
        <f t="shared" si="195"/>
        <v>0</v>
      </c>
      <c r="FJ153" s="139">
        <f t="shared" si="196"/>
        <v>0</v>
      </c>
      <c r="FK153" s="139">
        <f t="shared" si="197"/>
        <v>0</v>
      </c>
      <c r="FL153" s="139">
        <f t="shared" si="198"/>
        <v>0</v>
      </c>
      <c r="FM153" s="139">
        <f t="shared" si="199"/>
        <v>0</v>
      </c>
      <c r="FN153" s="139">
        <f t="shared" si="200"/>
        <v>0</v>
      </c>
      <c r="FO153" s="139">
        <f t="shared" si="201"/>
        <v>0</v>
      </c>
      <c r="FP153" s="139">
        <f t="shared" si="202"/>
        <v>0</v>
      </c>
      <c r="FQ153" s="139">
        <f t="shared" si="203"/>
        <v>0</v>
      </c>
      <c r="FR153" s="139">
        <f t="shared" si="204"/>
        <v>0</v>
      </c>
      <c r="FS153" s="139">
        <f t="shared" si="205"/>
        <v>0</v>
      </c>
      <c r="FT153" s="139">
        <f t="shared" si="206"/>
        <v>0</v>
      </c>
      <c r="FU153" s="148">
        <f t="shared" si="207"/>
        <v>17.410872368972427</v>
      </c>
      <c r="FV153" s="149"/>
      <c r="FY153" s="214">
        <v>148</v>
      </c>
      <c r="FZ153">
        <v>1.4811082452410114</v>
      </c>
      <c r="GA153">
        <v>17.213236667305321</v>
      </c>
      <c r="GB153">
        <v>10.890087499130315</v>
      </c>
      <c r="GC153">
        <v>2.3524094836972287</v>
      </c>
      <c r="GD153">
        <v>1.7935662649039759</v>
      </c>
      <c r="GE153">
        <v>2.9883617469910755</v>
      </c>
      <c r="GF153">
        <v>9.0459829395179128</v>
      </c>
      <c r="GG153">
        <v>11.004668554078647</v>
      </c>
      <c r="GH153">
        <v>4.6859045111820521</v>
      </c>
      <c r="GI153">
        <v>6.5751288567346533</v>
      </c>
      <c r="GJ153"/>
      <c r="GK153"/>
      <c r="GL153"/>
      <c r="GM153"/>
    </row>
    <row r="154" spans="1:195" s="7" customFormat="1">
      <c r="A154" s="77"/>
      <c r="B154" s="76">
        <f t="shared" ca="1" si="172"/>
        <v>3.8919683885067613E-2</v>
      </c>
      <c r="C154">
        <v>2</v>
      </c>
      <c r="D154">
        <v>39847</v>
      </c>
      <c r="E154">
        <v>0</v>
      </c>
      <c r="F154">
        <v>0</v>
      </c>
      <c r="G154">
        <v>683.59375</v>
      </c>
      <c r="H154">
        <v>218.09895833333334</v>
      </c>
      <c r="I154">
        <v>34.722222222222221</v>
      </c>
      <c r="J154">
        <v>0</v>
      </c>
      <c r="K154">
        <v>0</v>
      </c>
      <c r="L154">
        <v>34.722222222222221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71.286721782101012</v>
      </c>
      <c r="AO154">
        <v>16.26155829261257</v>
      </c>
      <c r="AP154">
        <v>63.097716386729772</v>
      </c>
      <c r="AQ154">
        <v>90.993455694396332</v>
      </c>
      <c r="AR154">
        <v>14.795444108503862</v>
      </c>
      <c r="AS154">
        <v>75.377447498426122</v>
      </c>
      <c r="AT154" t="e">
        <v>#DIV/0!</v>
      </c>
      <c r="AU154" t="e">
        <v>#DIV/0!</v>
      </c>
      <c r="AV154"/>
      <c r="AW154"/>
      <c r="AX154" s="151"/>
      <c r="AY154" s="76">
        <f t="shared" ca="1" si="173"/>
        <v>0.9122666913562949</v>
      </c>
      <c r="AZ154">
        <v>7</v>
      </c>
      <c r="BA154" s="129">
        <f t="shared" si="171"/>
        <v>39847</v>
      </c>
      <c r="BB154" s="207">
        <v>0</v>
      </c>
      <c r="BC154" s="207">
        <v>0</v>
      </c>
      <c r="BD154" s="207">
        <v>0</v>
      </c>
      <c r="BE154" s="207">
        <v>0</v>
      </c>
      <c r="BF154" s="207">
        <v>0</v>
      </c>
      <c r="BG154" s="207">
        <v>0</v>
      </c>
      <c r="BH154" s="207">
        <v>0</v>
      </c>
      <c r="BI154" s="207">
        <v>0</v>
      </c>
      <c r="BJ154" s="207">
        <v>0</v>
      </c>
      <c r="BK154" s="207">
        <v>0</v>
      </c>
      <c r="BL154" s="207">
        <v>0</v>
      </c>
      <c r="BM154" s="207">
        <v>0</v>
      </c>
      <c r="BN154" s="207">
        <v>0</v>
      </c>
      <c r="BO154" s="207">
        <v>0</v>
      </c>
      <c r="BP154" s="207">
        <v>0</v>
      </c>
      <c r="BQ154" s="207">
        <v>0</v>
      </c>
      <c r="BR154" s="207">
        <v>0</v>
      </c>
      <c r="BS154" s="207">
        <v>0</v>
      </c>
      <c r="BT154" s="207">
        <v>0</v>
      </c>
      <c r="BU154" s="207">
        <v>0</v>
      </c>
      <c r="BV154" s="207">
        <v>0</v>
      </c>
      <c r="BW154" s="207">
        <v>0</v>
      </c>
      <c r="BX154" s="207">
        <v>0</v>
      </c>
      <c r="BY154" s="207">
        <v>0</v>
      </c>
      <c r="BZ154" s="207">
        <v>0</v>
      </c>
      <c r="CA154" s="207">
        <v>0</v>
      </c>
      <c r="CB154" s="207">
        <v>0</v>
      </c>
      <c r="CC154" s="207">
        <v>0</v>
      </c>
      <c r="CD154" s="207">
        <v>0</v>
      </c>
      <c r="CE154" s="207">
        <v>0</v>
      </c>
      <c r="CF154" s="207">
        <v>0</v>
      </c>
      <c r="CG154" s="147"/>
      <c r="CH154" s="176"/>
      <c r="CJ154" s="151"/>
      <c r="CK154" s="76">
        <f t="shared" ca="1" si="208"/>
        <v>0.90202993474057713</v>
      </c>
      <c r="CL154" s="179">
        <f t="shared" si="209"/>
        <v>7</v>
      </c>
      <c r="CM154" s="180">
        <f t="shared" si="210"/>
        <v>39847</v>
      </c>
      <c r="CN154" s="208">
        <v>0</v>
      </c>
      <c r="CO154" s="208">
        <v>0</v>
      </c>
      <c r="CP154" s="208">
        <v>0</v>
      </c>
      <c r="CQ154" s="208">
        <v>0</v>
      </c>
      <c r="CR154" s="208">
        <v>0</v>
      </c>
      <c r="CS154" s="208">
        <v>0</v>
      </c>
      <c r="CT154" s="208">
        <v>0</v>
      </c>
      <c r="CU154" s="208">
        <v>0</v>
      </c>
      <c r="CV154" s="160"/>
      <c r="CW154">
        <v>1</v>
      </c>
      <c r="CX154">
        <v>1</v>
      </c>
      <c r="CY154" s="165"/>
      <c r="CZ154" s="177">
        <f t="shared" si="211"/>
        <v>9.6000000000000002E-2</v>
      </c>
      <c r="DB154" s="151"/>
      <c r="DC154" s="76">
        <f t="shared" ca="1" si="174"/>
        <v>0.46094245476408613</v>
      </c>
      <c r="DD154">
        <f t="shared" si="212"/>
        <v>7</v>
      </c>
      <c r="DE154" s="129">
        <f t="shared" si="170"/>
        <v>39847</v>
      </c>
      <c r="DF154" s="161">
        <f t="shared" si="213"/>
        <v>0</v>
      </c>
      <c r="DG154" s="161">
        <f t="shared" si="214"/>
        <v>0</v>
      </c>
      <c r="DH154" s="161">
        <f t="shared" si="215"/>
        <v>0</v>
      </c>
      <c r="DI154" s="161">
        <f t="shared" si="216"/>
        <v>0</v>
      </c>
      <c r="DJ154" s="161">
        <f t="shared" si="217"/>
        <v>0</v>
      </c>
      <c r="DK154" s="161">
        <f t="shared" si="218"/>
        <v>0</v>
      </c>
      <c r="DL154" s="161">
        <f t="shared" si="219"/>
        <v>0</v>
      </c>
      <c r="DM154" s="161">
        <f t="shared" si="220"/>
        <v>0</v>
      </c>
      <c r="DN154" s="161">
        <f t="shared" si="221"/>
        <v>0</v>
      </c>
      <c r="DO154" s="161">
        <f t="shared" si="222"/>
        <v>0</v>
      </c>
      <c r="DP154" s="161">
        <f t="shared" si="223"/>
        <v>0</v>
      </c>
      <c r="DQ154" s="161">
        <f t="shared" si="224"/>
        <v>0</v>
      </c>
      <c r="DR154" s="161">
        <f t="shared" si="225"/>
        <v>0</v>
      </c>
      <c r="DS154" s="161">
        <f t="shared" si="226"/>
        <v>0</v>
      </c>
      <c r="DT154" s="161">
        <f t="shared" si="227"/>
        <v>0</v>
      </c>
      <c r="DU154" s="161">
        <f t="shared" si="228"/>
        <v>0</v>
      </c>
      <c r="DV154" s="161">
        <f t="shared" si="229"/>
        <v>0</v>
      </c>
      <c r="DW154" s="161">
        <f t="shared" si="230"/>
        <v>0</v>
      </c>
      <c r="DX154" s="161">
        <f t="shared" si="231"/>
        <v>0</v>
      </c>
      <c r="DY154" s="161">
        <f t="shared" si="232"/>
        <v>0</v>
      </c>
      <c r="DZ154" s="161">
        <f t="shared" si="233"/>
        <v>0</v>
      </c>
      <c r="EA154" s="161">
        <f t="shared" si="234"/>
        <v>0</v>
      </c>
      <c r="EB154" s="161">
        <f t="shared" si="235"/>
        <v>0</v>
      </c>
      <c r="EC154" s="161">
        <f t="shared" si="236"/>
        <v>0</v>
      </c>
      <c r="ED154" s="161">
        <f t="shared" si="237"/>
        <v>0</v>
      </c>
      <c r="EE154" s="161">
        <f t="shared" si="238"/>
        <v>0</v>
      </c>
      <c r="EF154" s="161">
        <f t="shared" si="239"/>
        <v>0</v>
      </c>
      <c r="EG154" s="161">
        <f t="shared" si="240"/>
        <v>0</v>
      </c>
      <c r="EH154" s="161">
        <f t="shared" si="241"/>
        <v>0</v>
      </c>
      <c r="EI154" s="161">
        <f t="shared" si="242"/>
        <v>0</v>
      </c>
      <c r="EJ154" s="161">
        <f t="shared" si="243"/>
        <v>0</v>
      </c>
      <c r="EK154" s="147">
        <f t="shared" si="175"/>
        <v>0</v>
      </c>
      <c r="EL154" s="149"/>
      <c r="EN154" s="151"/>
      <c r="EO154" s="151"/>
      <c r="EP154" s="139">
        <f t="shared" si="176"/>
        <v>0</v>
      </c>
      <c r="EQ154" s="139">
        <f t="shared" si="177"/>
        <v>0</v>
      </c>
      <c r="ER154" s="139">
        <f t="shared" si="178"/>
        <v>0</v>
      </c>
      <c r="ES154" s="139">
        <f t="shared" si="179"/>
        <v>0</v>
      </c>
      <c r="ET154" s="139">
        <f t="shared" si="180"/>
        <v>0</v>
      </c>
      <c r="EU154" s="139">
        <f t="shared" si="181"/>
        <v>0</v>
      </c>
      <c r="EV154" s="139">
        <f t="shared" si="182"/>
        <v>0</v>
      </c>
      <c r="EW154" s="139">
        <f t="shared" si="183"/>
        <v>0</v>
      </c>
      <c r="EX154" s="139">
        <f t="shared" si="184"/>
        <v>0</v>
      </c>
      <c r="EY154" s="139">
        <f t="shared" si="185"/>
        <v>0</v>
      </c>
      <c r="EZ154" s="139">
        <f t="shared" si="186"/>
        <v>0</v>
      </c>
      <c r="FA154" s="139">
        <f t="shared" si="187"/>
        <v>0</v>
      </c>
      <c r="FB154" s="139">
        <f t="shared" si="188"/>
        <v>0</v>
      </c>
      <c r="FC154" s="139">
        <f t="shared" si="189"/>
        <v>0</v>
      </c>
      <c r="FD154" s="139">
        <f t="shared" si="190"/>
        <v>0</v>
      </c>
      <c r="FE154" s="139">
        <f t="shared" si="191"/>
        <v>0</v>
      </c>
      <c r="FF154" s="139">
        <f t="shared" si="192"/>
        <v>0</v>
      </c>
      <c r="FG154" s="139">
        <f t="shared" si="193"/>
        <v>0</v>
      </c>
      <c r="FH154" s="139">
        <f t="shared" si="194"/>
        <v>0</v>
      </c>
      <c r="FI154" s="139">
        <f t="shared" si="195"/>
        <v>0</v>
      </c>
      <c r="FJ154" s="139">
        <f t="shared" si="196"/>
        <v>0</v>
      </c>
      <c r="FK154" s="139">
        <f t="shared" si="197"/>
        <v>0</v>
      </c>
      <c r="FL154" s="139">
        <f t="shared" si="198"/>
        <v>0</v>
      </c>
      <c r="FM154" s="139">
        <f t="shared" si="199"/>
        <v>0</v>
      </c>
      <c r="FN154" s="139">
        <f t="shared" si="200"/>
        <v>0</v>
      </c>
      <c r="FO154" s="139">
        <f t="shared" si="201"/>
        <v>0</v>
      </c>
      <c r="FP154" s="139">
        <f t="shared" si="202"/>
        <v>0</v>
      </c>
      <c r="FQ154" s="139">
        <f t="shared" si="203"/>
        <v>0</v>
      </c>
      <c r="FR154" s="139">
        <f t="shared" si="204"/>
        <v>0</v>
      </c>
      <c r="FS154" s="139">
        <f t="shared" si="205"/>
        <v>0</v>
      </c>
      <c r="FT154" s="139">
        <f t="shared" si="206"/>
        <v>0</v>
      </c>
      <c r="FU154" s="148">
        <f t="shared" si="207"/>
        <v>0</v>
      </c>
      <c r="FV154" s="149"/>
      <c r="FY154" s="214">
        <v>149</v>
      </c>
      <c r="FZ154">
        <v>0.91226128229980952</v>
      </c>
      <c r="GA154">
        <v>11.03802146444138</v>
      </c>
      <c r="GB154">
        <v>5.8607328320046044</v>
      </c>
      <c r="GC154">
        <v>1.0807680667504569</v>
      </c>
      <c r="GD154">
        <v>7.9365465837803635</v>
      </c>
      <c r="GE154">
        <v>21.538795963627802</v>
      </c>
      <c r="GF154">
        <v>25.230070843750923</v>
      </c>
      <c r="GG154">
        <v>16.734463831330036</v>
      </c>
      <c r="GH154">
        <v>4.2131388007079451</v>
      </c>
      <c r="GI154">
        <v>12.048432887109536</v>
      </c>
      <c r="GJ154"/>
      <c r="GK154"/>
      <c r="GL154"/>
      <c r="GM154"/>
    </row>
    <row r="155" spans="1:195" s="7" customFormat="1">
      <c r="A155" s="77"/>
      <c r="B155" s="76">
        <f t="shared" ca="1" si="172"/>
        <v>0.70778944440260894</v>
      </c>
      <c r="C155">
        <v>9</v>
      </c>
      <c r="D155">
        <v>39847</v>
      </c>
      <c r="E155">
        <v>0</v>
      </c>
      <c r="F155">
        <v>130.20833333333334</v>
      </c>
      <c r="G155">
        <v>130.20833333333334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76.756058694062631</v>
      </c>
      <c r="AO155">
        <v>18.250712203786748</v>
      </c>
      <c r="AP155">
        <v>165.02615388110846</v>
      </c>
      <c r="AQ155">
        <v>93.925444324137644</v>
      </c>
      <c r="AR155">
        <v>16.794517721237352</v>
      </c>
      <c r="AS155">
        <v>82.91342510185676</v>
      </c>
      <c r="AT155" t="e">
        <v>#DIV/0!</v>
      </c>
      <c r="AU155" t="e">
        <v>#DIV/0!</v>
      </c>
      <c r="AV155"/>
      <c r="AW155"/>
      <c r="AX155" s="151"/>
      <c r="AY155" s="76">
        <f t="shared" ca="1" si="173"/>
        <v>0.70606607304364899</v>
      </c>
      <c r="AZ155">
        <v>8</v>
      </c>
      <c r="BA155" s="129">
        <f t="shared" si="171"/>
        <v>39847</v>
      </c>
      <c r="BB155" s="207">
        <v>0</v>
      </c>
      <c r="BC155" s="207">
        <v>0</v>
      </c>
      <c r="BD155" s="207">
        <v>0</v>
      </c>
      <c r="BE155" s="207">
        <v>0</v>
      </c>
      <c r="BF155" s="207">
        <v>0</v>
      </c>
      <c r="BG155" s="207">
        <v>0</v>
      </c>
      <c r="BH155" s="207">
        <v>0</v>
      </c>
      <c r="BI155" s="207">
        <v>0</v>
      </c>
      <c r="BJ155" s="207">
        <v>0</v>
      </c>
      <c r="BK155" s="207">
        <v>0</v>
      </c>
      <c r="BL155" s="207">
        <v>0</v>
      </c>
      <c r="BM155" s="207">
        <v>0</v>
      </c>
      <c r="BN155" s="207">
        <v>0</v>
      </c>
      <c r="BO155" s="207">
        <v>0</v>
      </c>
      <c r="BP155" s="207">
        <v>0</v>
      </c>
      <c r="BQ155" s="207">
        <v>0</v>
      </c>
      <c r="BR155" s="207">
        <v>0</v>
      </c>
      <c r="BS155" s="207">
        <v>0</v>
      </c>
      <c r="BT155" s="207">
        <v>0</v>
      </c>
      <c r="BU155" s="207">
        <v>0</v>
      </c>
      <c r="BV155" s="207">
        <v>0</v>
      </c>
      <c r="BW155" s="207">
        <v>0</v>
      </c>
      <c r="BX155" s="207">
        <v>0</v>
      </c>
      <c r="BY155" s="207">
        <v>0</v>
      </c>
      <c r="BZ155" s="207">
        <v>0</v>
      </c>
      <c r="CA155" s="207">
        <v>0</v>
      </c>
      <c r="CB155" s="207">
        <v>0</v>
      </c>
      <c r="CC155" s="207">
        <v>0</v>
      </c>
      <c r="CD155" s="207">
        <v>0</v>
      </c>
      <c r="CE155" s="207">
        <v>0</v>
      </c>
      <c r="CF155" s="207">
        <v>0</v>
      </c>
      <c r="CG155" s="147"/>
      <c r="CH155" s="176"/>
      <c r="CJ155" s="151"/>
      <c r="CK155" s="76">
        <f t="shared" ca="1" si="208"/>
        <v>0.83584335854445024</v>
      </c>
      <c r="CL155" s="179">
        <f t="shared" si="209"/>
        <v>8</v>
      </c>
      <c r="CM155" s="180">
        <f t="shared" si="210"/>
        <v>39847</v>
      </c>
      <c r="CN155" s="208">
        <v>0</v>
      </c>
      <c r="CO155" s="208">
        <v>0</v>
      </c>
      <c r="CP155" s="208">
        <v>0</v>
      </c>
      <c r="CQ155" s="208">
        <v>0</v>
      </c>
      <c r="CR155" s="208">
        <v>0</v>
      </c>
      <c r="CS155" s="208">
        <v>0</v>
      </c>
      <c r="CT155" s="208">
        <v>0</v>
      </c>
      <c r="CU155" s="208">
        <v>0</v>
      </c>
      <c r="CV155" s="160"/>
      <c r="CW155">
        <v>1</v>
      </c>
      <c r="CX155">
        <f>360/54</f>
        <v>6.666666666666667</v>
      </c>
      <c r="CY155" s="165"/>
      <c r="CZ155" s="177">
        <f t="shared" si="211"/>
        <v>9.6000000000000002E-2</v>
      </c>
      <c r="DB155" s="151"/>
      <c r="DC155" s="76">
        <f t="shared" ca="1" si="174"/>
        <v>4.416902687264157E-2</v>
      </c>
      <c r="DD155">
        <f t="shared" si="212"/>
        <v>8</v>
      </c>
      <c r="DE155" s="129">
        <f t="shared" si="170"/>
        <v>39847</v>
      </c>
      <c r="DF155" s="161">
        <f t="shared" si="213"/>
        <v>0</v>
      </c>
      <c r="DG155" s="161">
        <f t="shared" si="214"/>
        <v>0</v>
      </c>
      <c r="DH155" s="161">
        <f t="shared" si="215"/>
        <v>0</v>
      </c>
      <c r="DI155" s="161">
        <f t="shared" si="216"/>
        <v>0</v>
      </c>
      <c r="DJ155" s="161">
        <f t="shared" si="217"/>
        <v>0</v>
      </c>
      <c r="DK155" s="161">
        <f t="shared" si="218"/>
        <v>0</v>
      </c>
      <c r="DL155" s="161">
        <f t="shared" si="219"/>
        <v>0</v>
      </c>
      <c r="DM155" s="161">
        <f t="shared" si="220"/>
        <v>0</v>
      </c>
      <c r="DN155" s="161">
        <f t="shared" si="221"/>
        <v>0</v>
      </c>
      <c r="DO155" s="161">
        <f t="shared" si="222"/>
        <v>0</v>
      </c>
      <c r="DP155" s="161">
        <f t="shared" si="223"/>
        <v>0</v>
      </c>
      <c r="DQ155" s="161">
        <f t="shared" si="224"/>
        <v>0</v>
      </c>
      <c r="DR155" s="161">
        <f t="shared" si="225"/>
        <v>0</v>
      </c>
      <c r="DS155" s="161">
        <f t="shared" si="226"/>
        <v>0</v>
      </c>
      <c r="DT155" s="161">
        <f t="shared" si="227"/>
        <v>0</v>
      </c>
      <c r="DU155" s="161">
        <f t="shared" si="228"/>
        <v>0</v>
      </c>
      <c r="DV155" s="161">
        <f t="shared" si="229"/>
        <v>0</v>
      </c>
      <c r="DW155" s="161">
        <f t="shared" si="230"/>
        <v>0</v>
      </c>
      <c r="DX155" s="161">
        <f t="shared" si="231"/>
        <v>0</v>
      </c>
      <c r="DY155" s="161">
        <f t="shared" si="232"/>
        <v>0</v>
      </c>
      <c r="DZ155" s="161">
        <f t="shared" si="233"/>
        <v>0</v>
      </c>
      <c r="EA155" s="161">
        <f t="shared" si="234"/>
        <v>0</v>
      </c>
      <c r="EB155" s="161">
        <f t="shared" si="235"/>
        <v>0</v>
      </c>
      <c r="EC155" s="161">
        <f t="shared" si="236"/>
        <v>0</v>
      </c>
      <c r="ED155" s="161">
        <f t="shared" si="237"/>
        <v>0</v>
      </c>
      <c r="EE155" s="161">
        <f t="shared" si="238"/>
        <v>0</v>
      </c>
      <c r="EF155" s="161">
        <f t="shared" si="239"/>
        <v>0</v>
      </c>
      <c r="EG155" s="161">
        <f t="shared" si="240"/>
        <v>0</v>
      </c>
      <c r="EH155" s="161">
        <f t="shared" si="241"/>
        <v>0</v>
      </c>
      <c r="EI155" s="161">
        <f t="shared" si="242"/>
        <v>0</v>
      </c>
      <c r="EJ155" s="161">
        <f t="shared" si="243"/>
        <v>0</v>
      </c>
      <c r="EK155" s="147">
        <f t="shared" si="175"/>
        <v>0</v>
      </c>
      <c r="EL155" s="149"/>
      <c r="EN155" s="151"/>
      <c r="EO155" s="151"/>
      <c r="EP155" s="139">
        <f t="shared" si="176"/>
        <v>0</v>
      </c>
      <c r="EQ155" s="139">
        <f t="shared" si="177"/>
        <v>0</v>
      </c>
      <c r="ER155" s="139">
        <f t="shared" si="178"/>
        <v>0</v>
      </c>
      <c r="ES155" s="139">
        <f t="shared" si="179"/>
        <v>0</v>
      </c>
      <c r="ET155" s="139">
        <f t="shared" si="180"/>
        <v>0</v>
      </c>
      <c r="EU155" s="139">
        <f t="shared" si="181"/>
        <v>0</v>
      </c>
      <c r="EV155" s="139">
        <f t="shared" si="182"/>
        <v>0</v>
      </c>
      <c r="EW155" s="139">
        <f t="shared" si="183"/>
        <v>0</v>
      </c>
      <c r="EX155" s="139">
        <f t="shared" si="184"/>
        <v>0</v>
      </c>
      <c r="EY155" s="139">
        <f t="shared" si="185"/>
        <v>0</v>
      </c>
      <c r="EZ155" s="139">
        <f t="shared" si="186"/>
        <v>0</v>
      </c>
      <c r="FA155" s="139">
        <f t="shared" si="187"/>
        <v>0</v>
      </c>
      <c r="FB155" s="139">
        <f t="shared" si="188"/>
        <v>0</v>
      </c>
      <c r="FC155" s="139">
        <f t="shared" si="189"/>
        <v>0</v>
      </c>
      <c r="FD155" s="139">
        <f t="shared" si="190"/>
        <v>0</v>
      </c>
      <c r="FE155" s="139">
        <f t="shared" si="191"/>
        <v>0</v>
      </c>
      <c r="FF155" s="139">
        <f t="shared" si="192"/>
        <v>0</v>
      </c>
      <c r="FG155" s="139">
        <f t="shared" si="193"/>
        <v>0</v>
      </c>
      <c r="FH155" s="139">
        <f t="shared" si="194"/>
        <v>0</v>
      </c>
      <c r="FI155" s="139">
        <f t="shared" si="195"/>
        <v>0</v>
      </c>
      <c r="FJ155" s="139">
        <f t="shared" si="196"/>
        <v>0</v>
      </c>
      <c r="FK155" s="139">
        <f t="shared" si="197"/>
        <v>0</v>
      </c>
      <c r="FL155" s="139">
        <f t="shared" si="198"/>
        <v>0</v>
      </c>
      <c r="FM155" s="139">
        <f t="shared" si="199"/>
        <v>0</v>
      </c>
      <c r="FN155" s="139">
        <f t="shared" si="200"/>
        <v>0</v>
      </c>
      <c r="FO155" s="139">
        <f t="shared" si="201"/>
        <v>0</v>
      </c>
      <c r="FP155" s="139">
        <f t="shared" si="202"/>
        <v>0</v>
      </c>
      <c r="FQ155" s="139">
        <f t="shared" si="203"/>
        <v>0</v>
      </c>
      <c r="FR155" s="139">
        <f t="shared" si="204"/>
        <v>0</v>
      </c>
      <c r="FS155" s="139">
        <f t="shared" si="205"/>
        <v>0</v>
      </c>
      <c r="FT155" s="139">
        <f t="shared" si="206"/>
        <v>0</v>
      </c>
      <c r="FU155" s="148">
        <f t="shared" si="207"/>
        <v>0</v>
      </c>
      <c r="FV155" s="149"/>
      <c r="FY155" s="214">
        <v>150</v>
      </c>
      <c r="FZ155">
        <v>0.89081363894277232</v>
      </c>
      <c r="GA155">
        <v>18.152852197954601</v>
      </c>
      <c r="GB155">
        <v>14.558615885365418</v>
      </c>
      <c r="GC155">
        <v>3.8773514277385575</v>
      </c>
      <c r="GD155">
        <v>2.1564433765016071</v>
      </c>
      <c r="GE155">
        <v>8.0263336736873914</v>
      </c>
      <c r="GF155">
        <v>12.773870004716056</v>
      </c>
      <c r="GG155">
        <v>7.6063879186246979</v>
      </c>
      <c r="GH155">
        <v>10.80671357650429</v>
      </c>
      <c r="GI155">
        <v>9.3043934043769827</v>
      </c>
      <c r="GJ155"/>
      <c r="GK155"/>
      <c r="GL155"/>
      <c r="GM155"/>
    </row>
    <row r="156" spans="1:195" s="7" customFormat="1">
      <c r="A156" s="77"/>
      <c r="B156" s="76">
        <f t="shared" ca="1" si="172"/>
        <v>0.37280937538194991</v>
      </c>
      <c r="C156">
        <v>5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54.32127865215201</v>
      </c>
      <c r="AO156">
        <v>14.024303777664921</v>
      </c>
      <c r="AP156">
        <v>66.652852693702414</v>
      </c>
      <c r="AQ156">
        <v>70.626405021551264</v>
      </c>
      <c r="AR156">
        <v>12.940441000831132</v>
      </c>
      <c r="AS156">
        <v>59.140349323921669</v>
      </c>
      <c r="AT156">
        <v>6.6552481120271834</v>
      </c>
      <c r="AU156">
        <v>1.4845929499301356</v>
      </c>
      <c r="AV156"/>
      <c r="AW156"/>
      <c r="AX156" s="151"/>
      <c r="AY156" s="76">
        <f t="shared" ca="1" si="173"/>
        <v>0.45240320220438113</v>
      </c>
      <c r="AZ156">
        <v>9</v>
      </c>
      <c r="BA156" s="129">
        <f t="shared" si="171"/>
        <v>39847</v>
      </c>
      <c r="BB156" s="207">
        <v>0</v>
      </c>
      <c r="BC156" s="207">
        <v>0</v>
      </c>
      <c r="BD156" s="207">
        <v>0</v>
      </c>
      <c r="BE156" s="207">
        <v>0</v>
      </c>
      <c r="BF156" s="207">
        <v>0</v>
      </c>
      <c r="BG156" s="207">
        <v>0</v>
      </c>
      <c r="BH156" s="207">
        <v>0</v>
      </c>
      <c r="BI156" s="207">
        <v>0</v>
      </c>
      <c r="BJ156" s="207">
        <v>0</v>
      </c>
      <c r="BK156" s="207">
        <v>0</v>
      </c>
      <c r="BL156" s="207">
        <v>0</v>
      </c>
      <c r="BM156" s="207">
        <v>0</v>
      </c>
      <c r="BN156" s="207">
        <v>0</v>
      </c>
      <c r="BO156" s="207">
        <v>0</v>
      </c>
      <c r="BP156" s="207">
        <v>0</v>
      </c>
      <c r="BQ156" s="207">
        <v>0</v>
      </c>
      <c r="BR156" s="207">
        <v>0</v>
      </c>
      <c r="BS156" s="207">
        <v>0</v>
      </c>
      <c r="BT156" s="207">
        <v>0</v>
      </c>
      <c r="BU156" s="207">
        <v>0</v>
      </c>
      <c r="BV156" s="207">
        <v>0</v>
      </c>
      <c r="BW156" s="207">
        <v>0</v>
      </c>
      <c r="BX156" s="207">
        <v>0</v>
      </c>
      <c r="BY156" s="207">
        <v>0</v>
      </c>
      <c r="BZ156" s="207">
        <v>0</v>
      </c>
      <c r="CA156" s="207">
        <v>0</v>
      </c>
      <c r="CB156" s="207">
        <v>0</v>
      </c>
      <c r="CC156" s="207">
        <v>0</v>
      </c>
      <c r="CD156" s="207">
        <v>0</v>
      </c>
      <c r="CE156" s="207">
        <v>0</v>
      </c>
      <c r="CF156" s="207">
        <v>0</v>
      </c>
      <c r="CG156" s="147"/>
      <c r="CH156" s="176"/>
      <c r="CJ156" s="151"/>
      <c r="CK156" s="76">
        <f t="shared" ca="1" si="208"/>
        <v>0.23768500396998782</v>
      </c>
      <c r="CL156" s="179">
        <f t="shared" si="209"/>
        <v>9</v>
      </c>
      <c r="CM156" s="180">
        <f t="shared" si="210"/>
        <v>39847</v>
      </c>
      <c r="CN156" s="208">
        <v>0</v>
      </c>
      <c r="CO156" s="208">
        <v>2</v>
      </c>
      <c r="CP156" s="208">
        <v>2</v>
      </c>
      <c r="CQ156" s="208">
        <v>0</v>
      </c>
      <c r="CR156" s="208">
        <v>0</v>
      </c>
      <c r="CS156" s="208">
        <v>0</v>
      </c>
      <c r="CT156" s="208">
        <v>0</v>
      </c>
      <c r="CU156" s="208">
        <v>0</v>
      </c>
      <c r="CV156" s="160"/>
      <c r="CW156">
        <v>1</v>
      </c>
      <c r="CX156">
        <f>350/56</f>
        <v>6.25</v>
      </c>
      <c r="CY156" s="165"/>
      <c r="CZ156" s="177">
        <f t="shared" si="211"/>
        <v>9.6000000000000002E-2</v>
      </c>
      <c r="DB156" s="151"/>
      <c r="DC156" s="76">
        <f t="shared" ca="1" si="174"/>
        <v>0.45046625231299386</v>
      </c>
      <c r="DD156">
        <f t="shared" si="212"/>
        <v>9</v>
      </c>
      <c r="DE156" s="129">
        <f t="shared" si="170"/>
        <v>39847</v>
      </c>
      <c r="DF156" s="161">
        <f t="shared" si="213"/>
        <v>0</v>
      </c>
      <c r="DG156" s="161">
        <f t="shared" si="214"/>
        <v>130.20833333333334</v>
      </c>
      <c r="DH156" s="161">
        <f t="shared" si="215"/>
        <v>130.20833333333334</v>
      </c>
      <c r="DI156" s="161">
        <f t="shared" si="216"/>
        <v>0</v>
      </c>
      <c r="DJ156" s="161">
        <f t="shared" si="217"/>
        <v>0</v>
      </c>
      <c r="DK156" s="161">
        <f t="shared" si="218"/>
        <v>0</v>
      </c>
      <c r="DL156" s="161">
        <f t="shared" si="219"/>
        <v>0</v>
      </c>
      <c r="DM156" s="161">
        <f t="shared" si="220"/>
        <v>0</v>
      </c>
      <c r="DN156" s="161">
        <f t="shared" si="221"/>
        <v>0</v>
      </c>
      <c r="DO156" s="161">
        <f t="shared" si="222"/>
        <v>0</v>
      </c>
      <c r="DP156" s="161">
        <f t="shared" si="223"/>
        <v>0</v>
      </c>
      <c r="DQ156" s="161">
        <f t="shared" si="224"/>
        <v>0</v>
      </c>
      <c r="DR156" s="161">
        <f t="shared" si="225"/>
        <v>0</v>
      </c>
      <c r="DS156" s="161">
        <f t="shared" si="226"/>
        <v>0</v>
      </c>
      <c r="DT156" s="161">
        <f t="shared" si="227"/>
        <v>0</v>
      </c>
      <c r="DU156" s="161">
        <f t="shared" si="228"/>
        <v>0</v>
      </c>
      <c r="DV156" s="161">
        <f t="shared" si="229"/>
        <v>0</v>
      </c>
      <c r="DW156" s="161">
        <f t="shared" si="230"/>
        <v>0</v>
      </c>
      <c r="DX156" s="161">
        <f t="shared" si="231"/>
        <v>0</v>
      </c>
      <c r="DY156" s="161">
        <f t="shared" si="232"/>
        <v>0</v>
      </c>
      <c r="DZ156" s="161">
        <f t="shared" si="233"/>
        <v>0</v>
      </c>
      <c r="EA156" s="161">
        <f t="shared" si="234"/>
        <v>0</v>
      </c>
      <c r="EB156" s="161">
        <f t="shared" si="235"/>
        <v>0</v>
      </c>
      <c r="EC156" s="161">
        <f t="shared" si="236"/>
        <v>0</v>
      </c>
      <c r="ED156" s="161">
        <f t="shared" si="237"/>
        <v>0</v>
      </c>
      <c r="EE156" s="161">
        <f t="shared" si="238"/>
        <v>0</v>
      </c>
      <c r="EF156" s="161">
        <f t="shared" si="239"/>
        <v>0</v>
      </c>
      <c r="EG156" s="161">
        <f t="shared" si="240"/>
        <v>0</v>
      </c>
      <c r="EH156" s="161">
        <f t="shared" si="241"/>
        <v>0</v>
      </c>
      <c r="EI156" s="161">
        <f t="shared" si="242"/>
        <v>0</v>
      </c>
      <c r="EJ156" s="161">
        <f t="shared" si="243"/>
        <v>0</v>
      </c>
      <c r="EK156" s="147">
        <f t="shared" si="175"/>
        <v>260.41666666666669</v>
      </c>
      <c r="EL156" s="149"/>
      <c r="EN156" s="151"/>
      <c r="EO156" s="151"/>
      <c r="EP156" s="139">
        <f t="shared" si="176"/>
        <v>0</v>
      </c>
      <c r="EQ156" s="139">
        <f t="shared" si="177"/>
        <v>0.88565104166666675</v>
      </c>
      <c r="ER156" s="139">
        <f t="shared" si="178"/>
        <v>5.6678841675976219</v>
      </c>
      <c r="ES156" s="139">
        <f t="shared" si="179"/>
        <v>0</v>
      </c>
      <c r="ET156" s="139">
        <f t="shared" si="180"/>
        <v>0</v>
      </c>
      <c r="EU156" s="139">
        <f t="shared" si="181"/>
        <v>0</v>
      </c>
      <c r="EV156" s="139">
        <f t="shared" si="182"/>
        <v>0</v>
      </c>
      <c r="EW156" s="139">
        <f t="shared" si="183"/>
        <v>0</v>
      </c>
      <c r="EX156" s="139">
        <f t="shared" si="184"/>
        <v>0</v>
      </c>
      <c r="EY156" s="139">
        <f t="shared" si="185"/>
        <v>0</v>
      </c>
      <c r="EZ156" s="139">
        <f t="shared" si="186"/>
        <v>0</v>
      </c>
      <c r="FA156" s="139">
        <f t="shared" si="187"/>
        <v>0</v>
      </c>
      <c r="FB156" s="139">
        <f t="shared" si="188"/>
        <v>0</v>
      </c>
      <c r="FC156" s="139">
        <f t="shared" si="189"/>
        <v>0</v>
      </c>
      <c r="FD156" s="139">
        <f t="shared" si="190"/>
        <v>0</v>
      </c>
      <c r="FE156" s="139">
        <f t="shared" si="191"/>
        <v>0</v>
      </c>
      <c r="FF156" s="139">
        <f t="shared" si="192"/>
        <v>0</v>
      </c>
      <c r="FG156" s="139">
        <f t="shared" si="193"/>
        <v>0</v>
      </c>
      <c r="FH156" s="139">
        <f t="shared" si="194"/>
        <v>0</v>
      </c>
      <c r="FI156" s="139">
        <f t="shared" si="195"/>
        <v>0</v>
      </c>
      <c r="FJ156" s="139">
        <f t="shared" si="196"/>
        <v>0</v>
      </c>
      <c r="FK156" s="139">
        <f t="shared" si="197"/>
        <v>0</v>
      </c>
      <c r="FL156" s="139">
        <f t="shared" si="198"/>
        <v>0</v>
      </c>
      <c r="FM156" s="139">
        <f t="shared" si="199"/>
        <v>0</v>
      </c>
      <c r="FN156" s="139">
        <f t="shared" si="200"/>
        <v>0</v>
      </c>
      <c r="FO156" s="139">
        <f t="shared" si="201"/>
        <v>0</v>
      </c>
      <c r="FP156" s="139">
        <f t="shared" si="202"/>
        <v>0</v>
      </c>
      <c r="FQ156" s="139">
        <f t="shared" si="203"/>
        <v>0</v>
      </c>
      <c r="FR156" s="139">
        <f t="shared" si="204"/>
        <v>0</v>
      </c>
      <c r="FS156" s="139">
        <f t="shared" si="205"/>
        <v>0</v>
      </c>
      <c r="FT156" s="139">
        <f t="shared" si="206"/>
        <v>0</v>
      </c>
      <c r="FU156" s="148">
        <f t="shared" si="207"/>
        <v>6.5535352092642887</v>
      </c>
      <c r="FV156" s="149"/>
      <c r="FY156" s="214">
        <v>151</v>
      </c>
      <c r="FZ156">
        <v>0.7945097920446621</v>
      </c>
      <c r="GA156">
        <v>10.589042402167468</v>
      </c>
      <c r="GB156">
        <v>10.635787355086951</v>
      </c>
      <c r="GC156">
        <v>3.607309500667748</v>
      </c>
      <c r="GD156">
        <v>1.8397216494998476</v>
      </c>
      <c r="GE156">
        <v>4.6400601839449322</v>
      </c>
      <c r="GF156">
        <v>20.952691175501229</v>
      </c>
      <c r="GG156">
        <v>17.798683713483417</v>
      </c>
      <c r="GH156">
        <v>3.0680469292197698</v>
      </c>
      <c r="GI156">
        <v>8.6067924272716478</v>
      </c>
      <c r="GJ156"/>
      <c r="GK156"/>
      <c r="GL156"/>
      <c r="GM156"/>
    </row>
    <row r="157" spans="1:195" s="7" customFormat="1">
      <c r="A157" s="77"/>
      <c r="B157" s="76">
        <f t="shared" ca="1" si="172"/>
        <v>0.63517584493037571</v>
      </c>
      <c r="C157">
        <v>4</v>
      </c>
      <c r="D157">
        <v>39847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78.981862565323013</v>
      </c>
      <c r="AO157">
        <v>15.976506423993902</v>
      </c>
      <c r="AP157">
        <v>72.596627297970102</v>
      </c>
      <c r="AQ157">
        <v>101.89596641919438</v>
      </c>
      <c r="AR157">
        <v>14.893713257576549</v>
      </c>
      <c r="AS157">
        <v>77.390091243168015</v>
      </c>
      <c r="AT157">
        <v>8.8205701575614501</v>
      </c>
      <c r="AU157">
        <v>1.3253817853848877</v>
      </c>
      <c r="AV157"/>
      <c r="AW157"/>
      <c r="AX157" s="151"/>
      <c r="AY157" s="76">
        <f t="shared" ca="1" si="173"/>
        <v>0.73672150810944048</v>
      </c>
      <c r="AZ157">
        <v>10</v>
      </c>
      <c r="BA157" s="129">
        <f t="shared" si="171"/>
        <v>39847</v>
      </c>
      <c r="BB157" s="207">
        <v>0</v>
      </c>
      <c r="BC157" s="207">
        <v>0</v>
      </c>
      <c r="BD157" s="207">
        <v>0</v>
      </c>
      <c r="BE157" s="207">
        <v>0</v>
      </c>
      <c r="BF157" s="207">
        <v>0</v>
      </c>
      <c r="BG157" s="207">
        <v>0</v>
      </c>
      <c r="BH157" s="207">
        <v>0</v>
      </c>
      <c r="BI157" s="207">
        <v>0</v>
      </c>
      <c r="BJ157" s="207">
        <v>0</v>
      </c>
      <c r="BK157" s="207">
        <v>0</v>
      </c>
      <c r="BL157" s="207">
        <v>0</v>
      </c>
      <c r="BM157" s="207">
        <v>0</v>
      </c>
      <c r="BN157" s="207">
        <v>0</v>
      </c>
      <c r="BO157" s="207">
        <v>0</v>
      </c>
      <c r="BP157" s="207">
        <v>0</v>
      </c>
      <c r="BQ157" s="207">
        <v>0</v>
      </c>
      <c r="BR157" s="207">
        <v>0</v>
      </c>
      <c r="BS157" s="207">
        <v>0</v>
      </c>
      <c r="BT157" s="207">
        <v>0</v>
      </c>
      <c r="BU157" s="207">
        <v>0</v>
      </c>
      <c r="BV157" s="207">
        <v>0</v>
      </c>
      <c r="BW157" s="207">
        <v>0</v>
      </c>
      <c r="BX157" s="207">
        <v>0</v>
      </c>
      <c r="BY157" s="207">
        <v>0</v>
      </c>
      <c r="BZ157" s="207">
        <v>0</v>
      </c>
      <c r="CA157" s="207">
        <v>0</v>
      </c>
      <c r="CB157" s="207">
        <v>0</v>
      </c>
      <c r="CC157" s="207">
        <v>0</v>
      </c>
      <c r="CD157" s="207">
        <v>0</v>
      </c>
      <c r="CE157" s="207">
        <v>0</v>
      </c>
      <c r="CF157" s="207">
        <v>0</v>
      </c>
      <c r="CG157" s="147"/>
      <c r="CH157" s="176"/>
      <c r="CJ157" s="151"/>
      <c r="CK157" s="76">
        <f t="shared" ca="1" si="208"/>
        <v>0.73493491980273529</v>
      </c>
      <c r="CL157" s="179">
        <f t="shared" si="209"/>
        <v>10</v>
      </c>
      <c r="CM157" s="180">
        <f t="shared" si="210"/>
        <v>39847</v>
      </c>
      <c r="CN157" s="208">
        <v>0</v>
      </c>
      <c r="CO157" s="208">
        <v>0</v>
      </c>
      <c r="CP157" s="208">
        <v>0</v>
      </c>
      <c r="CQ157" s="208">
        <v>0</v>
      </c>
      <c r="CR157" s="208">
        <v>0</v>
      </c>
      <c r="CS157" s="208">
        <v>0</v>
      </c>
      <c r="CT157" s="208">
        <v>0</v>
      </c>
      <c r="CU157" s="208">
        <v>0</v>
      </c>
      <c r="CV157" s="160"/>
      <c r="CW157">
        <v>1</v>
      </c>
      <c r="CX157">
        <v>1</v>
      </c>
      <c r="CY157" s="165"/>
      <c r="CZ157" s="177">
        <f t="shared" si="211"/>
        <v>9.6000000000000002E-2</v>
      </c>
      <c r="DB157" s="151"/>
      <c r="DC157" s="76">
        <f t="shared" ca="1" si="174"/>
        <v>0.71727688067408235</v>
      </c>
      <c r="DD157">
        <f t="shared" si="212"/>
        <v>10</v>
      </c>
      <c r="DE157" s="129">
        <f t="shared" si="170"/>
        <v>39847</v>
      </c>
      <c r="DF157" s="161">
        <f t="shared" si="213"/>
        <v>0</v>
      </c>
      <c r="DG157" s="161">
        <f t="shared" si="214"/>
        <v>0</v>
      </c>
      <c r="DH157" s="161">
        <f t="shared" si="215"/>
        <v>0</v>
      </c>
      <c r="DI157" s="161">
        <f t="shared" si="216"/>
        <v>0</v>
      </c>
      <c r="DJ157" s="161">
        <f t="shared" si="217"/>
        <v>0</v>
      </c>
      <c r="DK157" s="161">
        <f t="shared" si="218"/>
        <v>0</v>
      </c>
      <c r="DL157" s="161">
        <f t="shared" si="219"/>
        <v>0</v>
      </c>
      <c r="DM157" s="161">
        <f t="shared" si="220"/>
        <v>0</v>
      </c>
      <c r="DN157" s="161">
        <f t="shared" si="221"/>
        <v>0</v>
      </c>
      <c r="DO157" s="161">
        <f t="shared" si="222"/>
        <v>0</v>
      </c>
      <c r="DP157" s="161">
        <f t="shared" si="223"/>
        <v>0</v>
      </c>
      <c r="DQ157" s="161">
        <f t="shared" si="224"/>
        <v>0</v>
      </c>
      <c r="DR157" s="161">
        <f t="shared" si="225"/>
        <v>0</v>
      </c>
      <c r="DS157" s="161">
        <f t="shared" si="226"/>
        <v>0</v>
      </c>
      <c r="DT157" s="161">
        <f t="shared" si="227"/>
        <v>0</v>
      </c>
      <c r="DU157" s="161">
        <f t="shared" si="228"/>
        <v>0</v>
      </c>
      <c r="DV157" s="161">
        <f t="shared" si="229"/>
        <v>0</v>
      </c>
      <c r="DW157" s="161">
        <f t="shared" si="230"/>
        <v>0</v>
      </c>
      <c r="DX157" s="161">
        <f t="shared" si="231"/>
        <v>0</v>
      </c>
      <c r="DY157" s="161">
        <f t="shared" si="232"/>
        <v>0</v>
      </c>
      <c r="DZ157" s="161">
        <f t="shared" si="233"/>
        <v>0</v>
      </c>
      <c r="EA157" s="161">
        <f t="shared" si="234"/>
        <v>0</v>
      </c>
      <c r="EB157" s="161">
        <f t="shared" si="235"/>
        <v>0</v>
      </c>
      <c r="EC157" s="161">
        <f t="shared" si="236"/>
        <v>0</v>
      </c>
      <c r="ED157" s="161">
        <f t="shared" si="237"/>
        <v>0</v>
      </c>
      <c r="EE157" s="161">
        <f t="shared" si="238"/>
        <v>0</v>
      </c>
      <c r="EF157" s="161">
        <f t="shared" si="239"/>
        <v>0</v>
      </c>
      <c r="EG157" s="161">
        <f t="shared" si="240"/>
        <v>0</v>
      </c>
      <c r="EH157" s="161">
        <f t="shared" si="241"/>
        <v>0</v>
      </c>
      <c r="EI157" s="161">
        <f t="shared" si="242"/>
        <v>0</v>
      </c>
      <c r="EJ157" s="161">
        <f t="shared" si="243"/>
        <v>0</v>
      </c>
      <c r="EK157" s="147">
        <f t="shared" si="175"/>
        <v>0</v>
      </c>
      <c r="EL157" s="149"/>
      <c r="EN157" s="151"/>
      <c r="EO157" s="151"/>
      <c r="EP157" s="139">
        <f t="shared" si="176"/>
        <v>0</v>
      </c>
      <c r="EQ157" s="139">
        <f t="shared" si="177"/>
        <v>0</v>
      </c>
      <c r="ER157" s="139">
        <f t="shared" si="178"/>
        <v>0</v>
      </c>
      <c r="ES157" s="139">
        <f t="shared" si="179"/>
        <v>0</v>
      </c>
      <c r="ET157" s="139">
        <f t="shared" si="180"/>
        <v>0</v>
      </c>
      <c r="EU157" s="139">
        <f t="shared" si="181"/>
        <v>0</v>
      </c>
      <c r="EV157" s="139">
        <f t="shared" si="182"/>
        <v>0</v>
      </c>
      <c r="EW157" s="139">
        <f t="shared" si="183"/>
        <v>0</v>
      </c>
      <c r="EX157" s="139">
        <f t="shared" si="184"/>
        <v>0</v>
      </c>
      <c r="EY157" s="139">
        <f t="shared" si="185"/>
        <v>0</v>
      </c>
      <c r="EZ157" s="139">
        <f t="shared" si="186"/>
        <v>0</v>
      </c>
      <c r="FA157" s="139">
        <f t="shared" si="187"/>
        <v>0</v>
      </c>
      <c r="FB157" s="139">
        <f t="shared" si="188"/>
        <v>0</v>
      </c>
      <c r="FC157" s="139">
        <f t="shared" si="189"/>
        <v>0</v>
      </c>
      <c r="FD157" s="139">
        <f t="shared" si="190"/>
        <v>0</v>
      </c>
      <c r="FE157" s="139">
        <f t="shared" si="191"/>
        <v>0</v>
      </c>
      <c r="FF157" s="139">
        <f t="shared" si="192"/>
        <v>0</v>
      </c>
      <c r="FG157" s="139">
        <f t="shared" si="193"/>
        <v>0</v>
      </c>
      <c r="FH157" s="139">
        <f t="shared" si="194"/>
        <v>0</v>
      </c>
      <c r="FI157" s="139">
        <f t="shared" si="195"/>
        <v>0</v>
      </c>
      <c r="FJ157" s="139">
        <f t="shared" si="196"/>
        <v>0</v>
      </c>
      <c r="FK157" s="139">
        <f t="shared" si="197"/>
        <v>0</v>
      </c>
      <c r="FL157" s="139">
        <f t="shared" si="198"/>
        <v>0</v>
      </c>
      <c r="FM157" s="139">
        <f t="shared" si="199"/>
        <v>0</v>
      </c>
      <c r="FN157" s="139">
        <f t="shared" si="200"/>
        <v>0</v>
      </c>
      <c r="FO157" s="139">
        <f t="shared" si="201"/>
        <v>0</v>
      </c>
      <c r="FP157" s="139">
        <f t="shared" si="202"/>
        <v>0</v>
      </c>
      <c r="FQ157" s="139">
        <f t="shared" si="203"/>
        <v>0</v>
      </c>
      <c r="FR157" s="139">
        <f t="shared" si="204"/>
        <v>0</v>
      </c>
      <c r="FS157" s="139">
        <f t="shared" si="205"/>
        <v>0</v>
      </c>
      <c r="FT157" s="139">
        <f t="shared" si="206"/>
        <v>0</v>
      </c>
      <c r="FU157" s="148">
        <f t="shared" si="207"/>
        <v>0</v>
      </c>
      <c r="FV157" s="149"/>
      <c r="FY157" s="214">
        <v>152</v>
      </c>
      <c r="FZ157">
        <v>0.94208481483286488</v>
      </c>
      <c r="GA157">
        <v>24.219617539165483</v>
      </c>
      <c r="GB157">
        <v>16.909959483291303</v>
      </c>
      <c r="GC157">
        <v>3.1161659011756662</v>
      </c>
      <c r="GD157">
        <v>6.9709362237749586</v>
      </c>
      <c r="GE157">
        <v>18.895440435113812</v>
      </c>
      <c r="GF157">
        <v>19.341500511092995</v>
      </c>
      <c r="GG157">
        <v>16.390353818575434</v>
      </c>
      <c r="GH157">
        <v>8.0912842962827654</v>
      </c>
      <c r="GI157">
        <v>13.879573964661795</v>
      </c>
      <c r="GJ157"/>
      <c r="GK157"/>
      <c r="GL157"/>
      <c r="GM157"/>
    </row>
    <row r="158" spans="1:195" s="7" customFormat="1">
      <c r="A158" s="128"/>
      <c r="B158" s="76">
        <f t="shared" ca="1" si="172"/>
        <v>4.1050025322592276E-2</v>
      </c>
      <c r="C158">
        <v>3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173.61111111111111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42.25387037045234</v>
      </c>
      <c r="AO158">
        <v>8.1126706993679427</v>
      </c>
      <c r="AP158">
        <v>45.052396764095498</v>
      </c>
      <c r="AQ158">
        <v>49.732457660257865</v>
      </c>
      <c r="AR158">
        <v>7.3995737753193698</v>
      </c>
      <c r="AS158">
        <v>38.877444663217098</v>
      </c>
      <c r="AT158" t="e">
        <v>#DIV/0!</v>
      </c>
      <c r="AU158" t="e">
        <v>#DIV/0!</v>
      </c>
      <c r="AV158"/>
      <c r="AW158"/>
      <c r="AX158" s="128"/>
      <c r="AY158" s="76">
        <f t="shared" ca="1" si="173"/>
        <v>4.7262000212366484E-2</v>
      </c>
      <c r="AZ158">
        <v>1</v>
      </c>
      <c r="BA158" s="129">
        <f>IF(AZ158="", "",$C$11)</f>
        <v>39910</v>
      </c>
      <c r="BB158" s="207">
        <v>0</v>
      </c>
      <c r="BC158" s="207">
        <v>0</v>
      </c>
      <c r="BD158" s="207">
        <v>0</v>
      </c>
      <c r="BE158" s="207">
        <v>0</v>
      </c>
      <c r="BF158" s="207">
        <v>0</v>
      </c>
      <c r="BG158" s="207">
        <v>0</v>
      </c>
      <c r="BH158" s="207">
        <v>0</v>
      </c>
      <c r="BI158" s="207">
        <v>0</v>
      </c>
      <c r="BJ158" s="207">
        <v>0</v>
      </c>
      <c r="BK158" s="207">
        <v>0</v>
      </c>
      <c r="BL158" s="207">
        <v>0</v>
      </c>
      <c r="BM158" s="207">
        <v>0</v>
      </c>
      <c r="BN158" s="207">
        <v>0</v>
      </c>
      <c r="BO158" s="207">
        <v>0</v>
      </c>
      <c r="BP158" s="207">
        <v>0</v>
      </c>
      <c r="BQ158" s="207">
        <v>0</v>
      </c>
      <c r="BR158" s="207">
        <v>0</v>
      </c>
      <c r="BS158" s="207">
        <v>0</v>
      </c>
      <c r="BT158" s="207">
        <v>0</v>
      </c>
      <c r="BU158" s="207">
        <v>0</v>
      </c>
      <c r="BV158" s="207">
        <v>0</v>
      </c>
      <c r="BW158" s="207">
        <v>0</v>
      </c>
      <c r="BX158" s="207">
        <v>0</v>
      </c>
      <c r="BY158" s="207">
        <v>0</v>
      </c>
      <c r="BZ158" s="207">
        <v>0</v>
      </c>
      <c r="CA158" s="207">
        <v>0</v>
      </c>
      <c r="CB158" s="207">
        <v>0</v>
      </c>
      <c r="CC158" s="207">
        <v>0</v>
      </c>
      <c r="CD158" s="207">
        <v>0</v>
      </c>
      <c r="CE158" s="207">
        <v>0</v>
      </c>
      <c r="CF158" s="207">
        <v>0</v>
      </c>
      <c r="CG158" s="147"/>
      <c r="CH158" s="176"/>
      <c r="CJ158" s="128"/>
      <c r="CK158" s="76">
        <f t="shared" ca="1" si="208"/>
        <v>0.15209205934264425</v>
      </c>
      <c r="CL158" s="179">
        <f t="shared" si="209"/>
        <v>1</v>
      </c>
      <c r="CM158" s="180">
        <f t="shared" si="210"/>
        <v>39910</v>
      </c>
      <c r="CN158" s="208">
        <v>0</v>
      </c>
      <c r="CO158" s="208">
        <v>0</v>
      </c>
      <c r="CP158" s="208">
        <v>0</v>
      </c>
      <c r="CQ158" s="208">
        <v>0</v>
      </c>
      <c r="CR158" s="208">
        <v>0</v>
      </c>
      <c r="CS158" s="208">
        <v>0</v>
      </c>
      <c r="CT158" s="208">
        <v>0</v>
      </c>
      <c r="CU158" s="208">
        <v>0</v>
      </c>
      <c r="CV158" s="160"/>
      <c r="CW158">
        <v>1</v>
      </c>
      <c r="CX158">
        <v>1</v>
      </c>
      <c r="CY158" s="160"/>
      <c r="CZ158" s="177">
        <f t="shared" si="211"/>
        <v>9.6000000000000002E-2</v>
      </c>
      <c r="DB158" s="128"/>
      <c r="DC158" s="76">
        <f t="shared" ca="1" si="174"/>
        <v>0.76087942534936315</v>
      </c>
      <c r="DD158">
        <f t="shared" si="212"/>
        <v>1</v>
      </c>
      <c r="DE158" s="129">
        <f t="shared" ref="DE158:DE167" si="244">IF((DD158)="", "", $C$11)</f>
        <v>39910</v>
      </c>
      <c r="DF158" s="161">
        <f t="shared" si="213"/>
        <v>0</v>
      </c>
      <c r="DG158" s="161">
        <f t="shared" si="214"/>
        <v>0</v>
      </c>
      <c r="DH158" s="161">
        <f t="shared" si="215"/>
        <v>0</v>
      </c>
      <c r="DI158" s="161">
        <f t="shared" si="216"/>
        <v>0</v>
      </c>
      <c r="DJ158" s="161">
        <f t="shared" si="217"/>
        <v>0</v>
      </c>
      <c r="DK158" s="161">
        <f t="shared" si="218"/>
        <v>0</v>
      </c>
      <c r="DL158" s="161">
        <f t="shared" si="219"/>
        <v>0</v>
      </c>
      <c r="DM158" s="161">
        <f t="shared" si="220"/>
        <v>0</v>
      </c>
      <c r="DN158" s="161">
        <f t="shared" si="221"/>
        <v>0</v>
      </c>
      <c r="DO158" s="161">
        <f t="shared" si="222"/>
        <v>0</v>
      </c>
      <c r="DP158" s="161">
        <f t="shared" si="223"/>
        <v>0</v>
      </c>
      <c r="DQ158" s="161">
        <f t="shared" si="224"/>
        <v>0</v>
      </c>
      <c r="DR158" s="161">
        <f t="shared" si="225"/>
        <v>0</v>
      </c>
      <c r="DS158" s="161">
        <f t="shared" si="226"/>
        <v>0</v>
      </c>
      <c r="DT158" s="161">
        <f t="shared" si="227"/>
        <v>0</v>
      </c>
      <c r="DU158" s="161">
        <f t="shared" si="228"/>
        <v>0</v>
      </c>
      <c r="DV158" s="161">
        <f t="shared" si="229"/>
        <v>0</v>
      </c>
      <c r="DW158" s="161">
        <f t="shared" si="230"/>
        <v>0</v>
      </c>
      <c r="DX158" s="161">
        <f t="shared" si="231"/>
        <v>0</v>
      </c>
      <c r="DY158" s="161">
        <f t="shared" si="232"/>
        <v>0</v>
      </c>
      <c r="DZ158" s="161">
        <f t="shared" si="233"/>
        <v>0</v>
      </c>
      <c r="EA158" s="161">
        <f t="shared" si="234"/>
        <v>0</v>
      </c>
      <c r="EB158" s="161">
        <f t="shared" si="235"/>
        <v>0</v>
      </c>
      <c r="EC158" s="161">
        <f t="shared" si="236"/>
        <v>0</v>
      </c>
      <c r="ED158" s="161">
        <f t="shared" si="237"/>
        <v>0</v>
      </c>
      <c r="EE158" s="161">
        <f t="shared" si="238"/>
        <v>0</v>
      </c>
      <c r="EF158" s="161">
        <f t="shared" si="239"/>
        <v>0</v>
      </c>
      <c r="EG158" s="161">
        <f t="shared" si="240"/>
        <v>0</v>
      </c>
      <c r="EH158" s="161">
        <f t="shared" si="241"/>
        <v>0</v>
      </c>
      <c r="EI158" s="161">
        <f t="shared" si="242"/>
        <v>0</v>
      </c>
      <c r="EJ158" s="161">
        <f t="shared" si="243"/>
        <v>0</v>
      </c>
      <c r="EK158" s="147">
        <f t="shared" si="175"/>
        <v>0</v>
      </c>
      <c r="EL158" s="149"/>
      <c r="EN158" s="146"/>
      <c r="EO158" s="146"/>
      <c r="EP158" s="139">
        <f t="shared" si="176"/>
        <v>0</v>
      </c>
      <c r="EQ158" s="139">
        <f t="shared" si="177"/>
        <v>0</v>
      </c>
      <c r="ER158" s="139">
        <f t="shared" si="178"/>
        <v>0</v>
      </c>
      <c r="ES158" s="139">
        <f t="shared" si="179"/>
        <v>0</v>
      </c>
      <c r="ET158" s="139">
        <f t="shared" si="180"/>
        <v>0</v>
      </c>
      <c r="EU158" s="139">
        <f t="shared" si="181"/>
        <v>0</v>
      </c>
      <c r="EV158" s="139">
        <f t="shared" si="182"/>
        <v>0</v>
      </c>
      <c r="EW158" s="139">
        <f t="shared" si="183"/>
        <v>0</v>
      </c>
      <c r="EX158" s="139">
        <f t="shared" si="184"/>
        <v>0</v>
      </c>
      <c r="EY158" s="139">
        <f t="shared" si="185"/>
        <v>0</v>
      </c>
      <c r="EZ158" s="139">
        <f t="shared" si="186"/>
        <v>0</v>
      </c>
      <c r="FA158" s="139">
        <f t="shared" si="187"/>
        <v>0</v>
      </c>
      <c r="FB158" s="139">
        <f t="shared" si="188"/>
        <v>0</v>
      </c>
      <c r="FC158" s="139">
        <f t="shared" si="189"/>
        <v>0</v>
      </c>
      <c r="FD158" s="139">
        <f t="shared" si="190"/>
        <v>0</v>
      </c>
      <c r="FE158" s="139">
        <f t="shared" si="191"/>
        <v>0</v>
      </c>
      <c r="FF158" s="139">
        <f t="shared" si="192"/>
        <v>0</v>
      </c>
      <c r="FG158" s="139">
        <f t="shared" si="193"/>
        <v>0</v>
      </c>
      <c r="FH158" s="139">
        <f t="shared" si="194"/>
        <v>0</v>
      </c>
      <c r="FI158" s="139">
        <f t="shared" si="195"/>
        <v>0</v>
      </c>
      <c r="FJ158" s="139">
        <f t="shared" si="196"/>
        <v>0</v>
      </c>
      <c r="FK158" s="139">
        <f t="shared" si="197"/>
        <v>0</v>
      </c>
      <c r="FL158" s="139">
        <f t="shared" si="198"/>
        <v>0</v>
      </c>
      <c r="FM158" s="139">
        <f t="shared" si="199"/>
        <v>0</v>
      </c>
      <c r="FN158" s="139">
        <f t="shared" si="200"/>
        <v>0</v>
      </c>
      <c r="FO158" s="139">
        <f t="shared" si="201"/>
        <v>0</v>
      </c>
      <c r="FP158" s="139">
        <f t="shared" si="202"/>
        <v>0</v>
      </c>
      <c r="FQ158" s="139">
        <f t="shared" si="203"/>
        <v>0</v>
      </c>
      <c r="FR158" s="139">
        <f t="shared" si="204"/>
        <v>0</v>
      </c>
      <c r="FS158" s="139">
        <f t="shared" si="205"/>
        <v>0</v>
      </c>
      <c r="FT158" s="139">
        <f t="shared" si="206"/>
        <v>0</v>
      </c>
      <c r="FU158" s="148">
        <f t="shared" si="207"/>
        <v>0</v>
      </c>
      <c r="FV158" s="149"/>
      <c r="FY158" s="214">
        <v>153</v>
      </c>
      <c r="FZ158">
        <v>0.55562573496123857</v>
      </c>
      <c r="GA158">
        <v>11.685469675214815</v>
      </c>
      <c r="GB158">
        <v>8.0984507730494428</v>
      </c>
      <c r="GC158">
        <v>2.0105776112577614</v>
      </c>
      <c r="GD158">
        <v>3.1590662263738478</v>
      </c>
      <c r="GE158">
        <v>7.5517738720000516</v>
      </c>
      <c r="GF158">
        <v>14.739497582777776</v>
      </c>
      <c r="GG158">
        <v>13.017490562144802</v>
      </c>
      <c r="GH158">
        <v>3.5728764376672766</v>
      </c>
      <c r="GI158">
        <v>7.4908537429120381</v>
      </c>
      <c r="GJ158"/>
      <c r="GK158"/>
      <c r="GL158"/>
      <c r="GM158"/>
    </row>
    <row r="159" spans="1:195" s="7" customFormat="1">
      <c r="A159" s="1"/>
      <c r="B159" s="76">
        <f t="shared" ca="1" si="172"/>
        <v>0.22727199256651787</v>
      </c>
      <c r="C159">
        <v>10</v>
      </c>
      <c r="D159">
        <v>39910</v>
      </c>
      <c r="E159">
        <v>0</v>
      </c>
      <c r="F159">
        <v>0</v>
      </c>
      <c r="G159">
        <v>0</v>
      </c>
      <c r="H159">
        <v>104.16666666666667</v>
      </c>
      <c r="I159">
        <v>0</v>
      </c>
      <c r="J159">
        <v>0</v>
      </c>
      <c r="K159">
        <v>0</v>
      </c>
      <c r="L159">
        <v>10.416666666666666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82.887320627812571</v>
      </c>
      <c r="AO159">
        <v>16.611799541143036</v>
      </c>
      <c r="AP159">
        <v>110.85920373798359</v>
      </c>
      <c r="AQ159">
        <v>92.816909678669177</v>
      </c>
      <c r="AR159">
        <v>15.28017852475819</v>
      </c>
      <c r="AS159">
        <v>78.97313363845258</v>
      </c>
      <c r="AT159" t="e">
        <v>#DIV/0!</v>
      </c>
      <c r="AU159" t="e">
        <v>#DIV/0!</v>
      </c>
      <c r="AV159"/>
      <c r="AW159"/>
      <c r="AX159" s="146"/>
      <c r="AY159" s="76">
        <f t="shared" ca="1" si="173"/>
        <v>0.66806543133740648</v>
      </c>
      <c r="AZ159">
        <v>2</v>
      </c>
      <c r="BA159" s="129">
        <f t="shared" ref="BA159:BA167" si="245">IF(AZ159="", "",$C$11)</f>
        <v>39910</v>
      </c>
      <c r="BB159" s="207">
        <v>0</v>
      </c>
      <c r="BC159" s="207">
        <v>0</v>
      </c>
      <c r="BD159" s="207">
        <v>0</v>
      </c>
      <c r="BE159" s="207">
        <v>0</v>
      </c>
      <c r="BF159" s="207">
        <v>0</v>
      </c>
      <c r="BG159" s="207">
        <v>0</v>
      </c>
      <c r="BH159" s="207">
        <v>0</v>
      </c>
      <c r="BI159" s="207">
        <v>0</v>
      </c>
      <c r="BJ159" s="207">
        <v>0</v>
      </c>
      <c r="BK159" s="207">
        <v>0</v>
      </c>
      <c r="BL159" s="207">
        <v>0</v>
      </c>
      <c r="BM159" s="207">
        <v>0</v>
      </c>
      <c r="BN159" s="207">
        <v>0</v>
      </c>
      <c r="BO159" s="207">
        <v>0</v>
      </c>
      <c r="BP159" s="207">
        <v>0</v>
      </c>
      <c r="BQ159" s="207">
        <v>0</v>
      </c>
      <c r="BR159" s="207">
        <v>0</v>
      </c>
      <c r="BS159" s="207">
        <v>0</v>
      </c>
      <c r="BT159" s="207">
        <v>0</v>
      </c>
      <c r="BU159" s="207">
        <v>0</v>
      </c>
      <c r="BV159" s="207">
        <v>0</v>
      </c>
      <c r="BW159" s="207">
        <v>0</v>
      </c>
      <c r="BX159" s="207">
        <v>0</v>
      </c>
      <c r="BY159" s="207">
        <v>0</v>
      </c>
      <c r="BZ159" s="207">
        <v>0</v>
      </c>
      <c r="CA159" s="207">
        <v>0</v>
      </c>
      <c r="CB159" s="207">
        <v>0</v>
      </c>
      <c r="CC159" s="207">
        <v>0</v>
      </c>
      <c r="CD159" s="207">
        <v>0</v>
      </c>
      <c r="CE159" s="207">
        <v>0</v>
      </c>
      <c r="CF159" s="207">
        <v>0</v>
      </c>
      <c r="CG159" s="147"/>
      <c r="CH159" s="176"/>
      <c r="CJ159" s="146"/>
      <c r="CK159" s="76">
        <f t="shared" ca="1" si="208"/>
        <v>0.29008391976614956</v>
      </c>
      <c r="CL159" s="179">
        <f t="shared" si="209"/>
        <v>2</v>
      </c>
      <c r="CM159" s="180">
        <f t="shared" si="210"/>
        <v>39910</v>
      </c>
      <c r="CN159" s="208">
        <v>0</v>
      </c>
      <c r="CO159" s="208">
        <v>0</v>
      </c>
      <c r="CP159" s="208">
        <v>0</v>
      </c>
      <c r="CQ159" s="208">
        <v>0</v>
      </c>
      <c r="CR159" s="208">
        <v>0</v>
      </c>
      <c r="CS159" s="208">
        <v>0</v>
      </c>
      <c r="CT159" s="208">
        <v>0</v>
      </c>
      <c r="CU159" s="208">
        <v>0</v>
      </c>
      <c r="CV159" s="160"/>
      <c r="CW159">
        <v>1</v>
      </c>
      <c r="CX159">
        <f>256/23</f>
        <v>11.130434782608695</v>
      </c>
      <c r="CY159" s="160"/>
      <c r="CZ159" s="177">
        <f t="shared" si="211"/>
        <v>9.6000000000000002E-2</v>
      </c>
      <c r="DB159" s="146"/>
      <c r="DC159" s="76">
        <f t="shared" ca="1" si="174"/>
        <v>0.62649921037846124</v>
      </c>
      <c r="DD159">
        <f t="shared" si="212"/>
        <v>2</v>
      </c>
      <c r="DE159" s="129">
        <f t="shared" si="244"/>
        <v>39910</v>
      </c>
      <c r="DF159" s="161">
        <f t="shared" si="213"/>
        <v>0</v>
      </c>
      <c r="DG159" s="161">
        <f t="shared" si="214"/>
        <v>0</v>
      </c>
      <c r="DH159" s="161">
        <f t="shared" si="215"/>
        <v>0</v>
      </c>
      <c r="DI159" s="161">
        <f t="shared" si="216"/>
        <v>0</v>
      </c>
      <c r="DJ159" s="161">
        <f t="shared" si="217"/>
        <v>0</v>
      </c>
      <c r="DK159" s="161">
        <f t="shared" si="218"/>
        <v>0</v>
      </c>
      <c r="DL159" s="161">
        <f t="shared" si="219"/>
        <v>0</v>
      </c>
      <c r="DM159" s="161">
        <f t="shared" si="220"/>
        <v>0</v>
      </c>
      <c r="DN159" s="161">
        <f t="shared" si="221"/>
        <v>0</v>
      </c>
      <c r="DO159" s="161">
        <f t="shared" si="222"/>
        <v>0</v>
      </c>
      <c r="DP159" s="161">
        <f t="shared" si="223"/>
        <v>0</v>
      </c>
      <c r="DQ159" s="161">
        <f t="shared" si="224"/>
        <v>0</v>
      </c>
      <c r="DR159" s="161">
        <f t="shared" si="225"/>
        <v>0</v>
      </c>
      <c r="DS159" s="161">
        <f t="shared" si="226"/>
        <v>0</v>
      </c>
      <c r="DT159" s="161">
        <f t="shared" si="227"/>
        <v>0</v>
      </c>
      <c r="DU159" s="161">
        <f t="shared" si="228"/>
        <v>0</v>
      </c>
      <c r="DV159" s="161">
        <f t="shared" si="229"/>
        <v>0</v>
      </c>
      <c r="DW159" s="161">
        <f t="shared" si="230"/>
        <v>0</v>
      </c>
      <c r="DX159" s="161">
        <f t="shared" si="231"/>
        <v>0</v>
      </c>
      <c r="DY159" s="161">
        <f t="shared" si="232"/>
        <v>0</v>
      </c>
      <c r="DZ159" s="161">
        <f t="shared" si="233"/>
        <v>0</v>
      </c>
      <c r="EA159" s="161">
        <f t="shared" si="234"/>
        <v>0</v>
      </c>
      <c r="EB159" s="161">
        <f t="shared" si="235"/>
        <v>0</v>
      </c>
      <c r="EC159" s="161">
        <f t="shared" si="236"/>
        <v>0</v>
      </c>
      <c r="ED159" s="161">
        <f t="shared" si="237"/>
        <v>0</v>
      </c>
      <c r="EE159" s="161">
        <f t="shared" si="238"/>
        <v>0</v>
      </c>
      <c r="EF159" s="161">
        <f t="shared" si="239"/>
        <v>0</v>
      </c>
      <c r="EG159" s="161">
        <f t="shared" si="240"/>
        <v>0</v>
      </c>
      <c r="EH159" s="161">
        <f t="shared" si="241"/>
        <v>0</v>
      </c>
      <c r="EI159" s="161">
        <f t="shared" si="242"/>
        <v>0</v>
      </c>
      <c r="EJ159" s="161">
        <f t="shared" si="243"/>
        <v>0</v>
      </c>
      <c r="EK159" s="147">
        <f t="shared" si="175"/>
        <v>0</v>
      </c>
      <c r="EL159" s="149"/>
      <c r="EN159" s="146"/>
      <c r="EO159" s="146"/>
      <c r="EP159" s="139">
        <f t="shared" si="176"/>
        <v>0</v>
      </c>
      <c r="EQ159" s="139">
        <f t="shared" si="177"/>
        <v>0</v>
      </c>
      <c r="ER159" s="139">
        <f t="shared" si="178"/>
        <v>0</v>
      </c>
      <c r="ES159" s="139">
        <f t="shared" si="179"/>
        <v>0</v>
      </c>
      <c r="ET159" s="139">
        <f t="shared" si="180"/>
        <v>0</v>
      </c>
      <c r="EU159" s="139">
        <f t="shared" si="181"/>
        <v>0</v>
      </c>
      <c r="EV159" s="139">
        <f t="shared" si="182"/>
        <v>0</v>
      </c>
      <c r="EW159" s="139">
        <f t="shared" si="183"/>
        <v>0</v>
      </c>
      <c r="EX159" s="139">
        <f t="shared" si="184"/>
        <v>0</v>
      </c>
      <c r="EY159" s="139">
        <f t="shared" si="185"/>
        <v>0</v>
      </c>
      <c r="EZ159" s="139">
        <f t="shared" si="186"/>
        <v>0</v>
      </c>
      <c r="FA159" s="139">
        <f t="shared" si="187"/>
        <v>0</v>
      </c>
      <c r="FB159" s="139">
        <f t="shared" si="188"/>
        <v>0</v>
      </c>
      <c r="FC159" s="139">
        <f t="shared" si="189"/>
        <v>0</v>
      </c>
      <c r="FD159" s="139">
        <f t="shared" si="190"/>
        <v>0</v>
      </c>
      <c r="FE159" s="139">
        <f t="shared" si="191"/>
        <v>0</v>
      </c>
      <c r="FF159" s="139">
        <f t="shared" si="192"/>
        <v>0</v>
      </c>
      <c r="FG159" s="139">
        <f t="shared" si="193"/>
        <v>0</v>
      </c>
      <c r="FH159" s="139">
        <f t="shared" si="194"/>
        <v>0</v>
      </c>
      <c r="FI159" s="139">
        <f t="shared" si="195"/>
        <v>0</v>
      </c>
      <c r="FJ159" s="139">
        <f t="shared" si="196"/>
        <v>0</v>
      </c>
      <c r="FK159" s="139">
        <f t="shared" si="197"/>
        <v>0</v>
      </c>
      <c r="FL159" s="139">
        <f t="shared" si="198"/>
        <v>0</v>
      </c>
      <c r="FM159" s="139">
        <f t="shared" si="199"/>
        <v>0</v>
      </c>
      <c r="FN159" s="139">
        <f t="shared" si="200"/>
        <v>0</v>
      </c>
      <c r="FO159" s="139">
        <f t="shared" si="201"/>
        <v>0</v>
      </c>
      <c r="FP159" s="139">
        <f t="shared" si="202"/>
        <v>0</v>
      </c>
      <c r="FQ159" s="139">
        <f t="shared" si="203"/>
        <v>0</v>
      </c>
      <c r="FR159" s="139">
        <f t="shared" si="204"/>
        <v>0</v>
      </c>
      <c r="FS159" s="139">
        <f t="shared" si="205"/>
        <v>0</v>
      </c>
      <c r="FT159" s="139">
        <f t="shared" si="206"/>
        <v>0</v>
      </c>
      <c r="FU159" s="148">
        <f t="shared" si="207"/>
        <v>0</v>
      </c>
      <c r="FV159" s="149"/>
      <c r="FY159" s="214">
        <v>154</v>
      </c>
      <c r="FZ159">
        <v>0.7980684757292329</v>
      </c>
      <c r="GA159">
        <v>23.537934777442882</v>
      </c>
      <c r="GB159">
        <v>13.805896861096993</v>
      </c>
      <c r="GC159">
        <v>1.89831071393857</v>
      </c>
      <c r="GD159">
        <v>11.839862639351569</v>
      </c>
      <c r="GE159">
        <v>30.880856778766312</v>
      </c>
      <c r="GF159">
        <v>26.839965726054047</v>
      </c>
      <c r="GG159">
        <v>16.473655317805882</v>
      </c>
      <c r="GH159">
        <v>6.5571750406037657</v>
      </c>
      <c r="GI159">
        <v>17.050606137119296</v>
      </c>
      <c r="GJ159"/>
      <c r="GK159"/>
      <c r="GL159"/>
      <c r="GM159"/>
    </row>
    <row r="160" spans="1:195" s="7" customFormat="1">
      <c r="A160" s="1"/>
      <c r="B160" s="76">
        <f t="shared" ca="1" si="172"/>
        <v>0.80081917124416613</v>
      </c>
      <c r="C160">
        <v>9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101.27314814814814</v>
      </c>
      <c r="J160">
        <v>101.27314814814814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79.521277626351463</v>
      </c>
      <c r="AO160">
        <v>16.167792824677335</v>
      </c>
      <c r="AP160">
        <v>97.22721356261394</v>
      </c>
      <c r="AQ160">
        <v>95.65632798051081</v>
      </c>
      <c r="AR160">
        <v>15.05507863350844</v>
      </c>
      <c r="AS160">
        <v>77.581736903470556</v>
      </c>
      <c r="AT160" t="e">
        <v>#DIV/0!</v>
      </c>
      <c r="AU160" t="e">
        <v>#DIV/0!</v>
      </c>
      <c r="AV160"/>
      <c r="AW160"/>
      <c r="AX160" s="146"/>
      <c r="AY160" s="76">
        <f t="shared" ca="1" si="173"/>
        <v>0.79643678401146478</v>
      </c>
      <c r="AZ160">
        <v>3</v>
      </c>
      <c r="BA160" s="129">
        <f t="shared" si="245"/>
        <v>39910</v>
      </c>
      <c r="BB160" s="207">
        <v>0</v>
      </c>
      <c r="BC160" s="207">
        <v>0</v>
      </c>
      <c r="BD160" s="207">
        <v>0</v>
      </c>
      <c r="BE160" s="207">
        <v>0</v>
      </c>
      <c r="BF160" s="207">
        <v>0</v>
      </c>
      <c r="BG160" s="207">
        <v>0</v>
      </c>
      <c r="BH160" s="207">
        <v>0</v>
      </c>
      <c r="BI160" s="207">
        <v>0</v>
      </c>
      <c r="BJ160" s="207">
        <v>0</v>
      </c>
      <c r="BK160" s="207">
        <v>0</v>
      </c>
      <c r="BL160" s="207">
        <v>0</v>
      </c>
      <c r="BM160" s="207">
        <v>0</v>
      </c>
      <c r="BN160" s="207">
        <v>0</v>
      </c>
      <c r="BO160" s="207">
        <v>0</v>
      </c>
      <c r="BP160" s="207">
        <v>0</v>
      </c>
      <c r="BQ160" s="207">
        <v>0</v>
      </c>
      <c r="BR160" s="207">
        <v>0</v>
      </c>
      <c r="BS160" s="207">
        <v>0</v>
      </c>
      <c r="BT160" s="207">
        <v>0</v>
      </c>
      <c r="BU160" s="207">
        <v>0</v>
      </c>
      <c r="BV160" s="207">
        <v>0</v>
      </c>
      <c r="BW160" s="207">
        <v>0</v>
      </c>
      <c r="BX160" s="207">
        <v>0</v>
      </c>
      <c r="BY160" s="207">
        <v>0</v>
      </c>
      <c r="BZ160" s="207">
        <v>0</v>
      </c>
      <c r="CA160" s="207">
        <v>0</v>
      </c>
      <c r="CB160" s="207">
        <v>0</v>
      </c>
      <c r="CC160" s="207">
        <v>0</v>
      </c>
      <c r="CD160" s="207">
        <v>0</v>
      </c>
      <c r="CE160" s="207">
        <v>0</v>
      </c>
      <c r="CF160" s="207">
        <v>0</v>
      </c>
      <c r="CG160" s="147"/>
      <c r="CH160" s="176"/>
      <c r="CJ160" s="146"/>
      <c r="CK160" s="76">
        <f t="shared" ca="1" si="208"/>
        <v>0.17834098883722405</v>
      </c>
      <c r="CL160" s="179">
        <f t="shared" si="209"/>
        <v>3</v>
      </c>
      <c r="CM160" s="180">
        <f t="shared" si="210"/>
        <v>39910</v>
      </c>
      <c r="CN160" s="208">
        <v>0</v>
      </c>
      <c r="CO160" s="208">
        <v>0</v>
      </c>
      <c r="CP160" s="208">
        <v>0</v>
      </c>
      <c r="CQ160" s="208">
        <v>0</v>
      </c>
      <c r="CR160" s="208">
        <v>2</v>
      </c>
      <c r="CS160" s="208">
        <v>0</v>
      </c>
      <c r="CT160" s="208">
        <v>0</v>
      </c>
      <c r="CU160" s="208">
        <v>0</v>
      </c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11"/>
        <v>9.6000000000000002E-2</v>
      </c>
      <c r="DB160" s="146"/>
      <c r="DC160" s="76">
        <f t="shared" ca="1" si="174"/>
        <v>0.74856715996636147</v>
      </c>
      <c r="DD160">
        <f t="shared" si="212"/>
        <v>3</v>
      </c>
      <c r="DE160" s="129">
        <f t="shared" si="244"/>
        <v>39910</v>
      </c>
      <c r="DF160" s="161">
        <f t="shared" si="213"/>
        <v>0</v>
      </c>
      <c r="DG160" s="161">
        <f t="shared" si="214"/>
        <v>0</v>
      </c>
      <c r="DH160" s="161">
        <f t="shared" si="215"/>
        <v>0</v>
      </c>
      <c r="DI160" s="161">
        <f t="shared" si="216"/>
        <v>0</v>
      </c>
      <c r="DJ160" s="161">
        <f t="shared" si="217"/>
        <v>173.61111111111111</v>
      </c>
      <c r="DK160" s="161">
        <f t="shared" si="218"/>
        <v>0</v>
      </c>
      <c r="DL160" s="161">
        <f t="shared" si="219"/>
        <v>0</v>
      </c>
      <c r="DM160" s="161">
        <f t="shared" si="220"/>
        <v>0</v>
      </c>
      <c r="DN160" s="161">
        <f t="shared" si="221"/>
        <v>0</v>
      </c>
      <c r="DO160" s="161">
        <f t="shared" si="222"/>
        <v>0</v>
      </c>
      <c r="DP160" s="161">
        <f t="shared" si="223"/>
        <v>0</v>
      </c>
      <c r="DQ160" s="161">
        <f t="shared" si="224"/>
        <v>0</v>
      </c>
      <c r="DR160" s="161">
        <f t="shared" si="225"/>
        <v>0</v>
      </c>
      <c r="DS160" s="161">
        <f t="shared" si="226"/>
        <v>0</v>
      </c>
      <c r="DT160" s="161">
        <f t="shared" si="227"/>
        <v>0</v>
      </c>
      <c r="DU160" s="161">
        <f t="shared" si="228"/>
        <v>0</v>
      </c>
      <c r="DV160" s="161">
        <f t="shared" si="229"/>
        <v>0</v>
      </c>
      <c r="DW160" s="161">
        <f t="shared" si="230"/>
        <v>0</v>
      </c>
      <c r="DX160" s="161">
        <f t="shared" si="231"/>
        <v>0</v>
      </c>
      <c r="DY160" s="161">
        <f t="shared" si="232"/>
        <v>0</v>
      </c>
      <c r="DZ160" s="161">
        <f t="shared" si="233"/>
        <v>0</v>
      </c>
      <c r="EA160" s="161">
        <f t="shared" si="234"/>
        <v>0</v>
      </c>
      <c r="EB160" s="161">
        <f t="shared" si="235"/>
        <v>0</v>
      </c>
      <c r="EC160" s="161">
        <f t="shared" si="236"/>
        <v>0</v>
      </c>
      <c r="ED160" s="161">
        <f t="shared" si="237"/>
        <v>0</v>
      </c>
      <c r="EE160" s="161">
        <f t="shared" si="238"/>
        <v>0</v>
      </c>
      <c r="EF160" s="161">
        <f t="shared" si="239"/>
        <v>0</v>
      </c>
      <c r="EG160" s="161">
        <f t="shared" si="240"/>
        <v>0</v>
      </c>
      <c r="EH160" s="161">
        <f t="shared" si="241"/>
        <v>0</v>
      </c>
      <c r="EI160" s="161">
        <f t="shared" si="242"/>
        <v>0</v>
      </c>
      <c r="EJ160" s="161">
        <f t="shared" si="243"/>
        <v>0</v>
      </c>
      <c r="EK160" s="147">
        <f t="shared" si="175"/>
        <v>173.61111111111111</v>
      </c>
      <c r="EL160" s="149"/>
      <c r="EN160" s="146"/>
      <c r="EO160" s="146"/>
      <c r="EP160" s="139">
        <f t="shared" si="176"/>
        <v>0</v>
      </c>
      <c r="EQ160" s="139">
        <f t="shared" si="177"/>
        <v>0</v>
      </c>
      <c r="ER160" s="139">
        <f t="shared" si="178"/>
        <v>0</v>
      </c>
      <c r="ES160" s="139">
        <f t="shared" si="179"/>
        <v>0</v>
      </c>
      <c r="ET160" s="139">
        <f t="shared" si="180"/>
        <v>48.363534358256743</v>
      </c>
      <c r="EU160" s="139">
        <f t="shared" si="181"/>
        <v>0</v>
      </c>
      <c r="EV160" s="139">
        <f t="shared" si="182"/>
        <v>0</v>
      </c>
      <c r="EW160" s="139">
        <f t="shared" si="183"/>
        <v>0</v>
      </c>
      <c r="EX160" s="139">
        <f t="shared" si="184"/>
        <v>0</v>
      </c>
      <c r="EY160" s="139">
        <f t="shared" si="185"/>
        <v>0</v>
      </c>
      <c r="EZ160" s="139">
        <f t="shared" si="186"/>
        <v>0</v>
      </c>
      <c r="FA160" s="139">
        <f t="shared" si="187"/>
        <v>0</v>
      </c>
      <c r="FB160" s="139">
        <f t="shared" si="188"/>
        <v>0</v>
      </c>
      <c r="FC160" s="139">
        <f t="shared" si="189"/>
        <v>0</v>
      </c>
      <c r="FD160" s="139">
        <f t="shared" si="190"/>
        <v>0</v>
      </c>
      <c r="FE160" s="139">
        <f t="shared" si="191"/>
        <v>0</v>
      </c>
      <c r="FF160" s="139">
        <f t="shared" si="192"/>
        <v>0</v>
      </c>
      <c r="FG160" s="139">
        <f t="shared" si="193"/>
        <v>0</v>
      </c>
      <c r="FH160" s="139">
        <f t="shared" si="194"/>
        <v>0</v>
      </c>
      <c r="FI160" s="139">
        <f t="shared" si="195"/>
        <v>0</v>
      </c>
      <c r="FJ160" s="139">
        <f t="shared" si="196"/>
        <v>0</v>
      </c>
      <c r="FK160" s="139">
        <f t="shared" si="197"/>
        <v>0</v>
      </c>
      <c r="FL160" s="139">
        <f t="shared" si="198"/>
        <v>0</v>
      </c>
      <c r="FM160" s="139">
        <f t="shared" si="199"/>
        <v>0</v>
      </c>
      <c r="FN160" s="139">
        <f t="shared" si="200"/>
        <v>0</v>
      </c>
      <c r="FO160" s="139">
        <f t="shared" si="201"/>
        <v>0</v>
      </c>
      <c r="FP160" s="139">
        <f t="shared" si="202"/>
        <v>0</v>
      </c>
      <c r="FQ160" s="139">
        <f t="shared" si="203"/>
        <v>0</v>
      </c>
      <c r="FR160" s="139">
        <f t="shared" si="204"/>
        <v>0</v>
      </c>
      <c r="FS160" s="139">
        <f t="shared" si="205"/>
        <v>0</v>
      </c>
      <c r="FT160" s="139">
        <f t="shared" si="206"/>
        <v>0</v>
      </c>
      <c r="FU160" s="148">
        <f t="shared" si="207"/>
        <v>48.363534358256743</v>
      </c>
      <c r="FV160" s="149"/>
      <c r="FY160" s="214">
        <v>155</v>
      </c>
      <c r="FZ160">
        <v>0.83089342551560708</v>
      </c>
      <c r="GA160">
        <v>2.6670434764168132</v>
      </c>
      <c r="GB160">
        <v>1.6063976776978208</v>
      </c>
      <c r="GC160">
        <v>1.167661018983239</v>
      </c>
      <c r="GD160">
        <v>4.0417836597737997</v>
      </c>
      <c r="GE160">
        <v>11.825098513916769</v>
      </c>
      <c r="GF160">
        <v>20.165559033094816</v>
      </c>
      <c r="GG160">
        <v>11.477550445564745</v>
      </c>
      <c r="GH160">
        <v>3.7425410588434276</v>
      </c>
      <c r="GI160">
        <v>7.5224252871687813</v>
      </c>
      <c r="GJ160"/>
      <c r="GK160"/>
      <c r="GL160"/>
      <c r="GM160"/>
    </row>
    <row r="161" spans="1:195" s="7" customFormat="1">
      <c r="A161" s="1"/>
      <c r="B161" s="76">
        <f t="shared" ca="1" si="172"/>
        <v>0.50359187284338702</v>
      </c>
      <c r="C161">
        <v>5</v>
      </c>
      <c r="D161">
        <v>39910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52.083333333333336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95.545571619156846</v>
      </c>
      <c r="AO161">
        <v>17.610643738020681</v>
      </c>
      <c r="AP161">
        <v>66.421492016193213</v>
      </c>
      <c r="AQ161">
        <v>117.85314806714968</v>
      </c>
      <c r="AR161">
        <v>16.200428000775762</v>
      </c>
      <c r="AS161">
        <v>86.957628070855989</v>
      </c>
      <c r="AT161">
        <v>9.6169181067629683</v>
      </c>
      <c r="AU161">
        <v>31.709265872818698</v>
      </c>
      <c r="AV161"/>
      <c r="AW161"/>
      <c r="AX161" s="146"/>
      <c r="AY161" s="76">
        <f t="shared" ca="1" si="173"/>
        <v>0.5968601209289135</v>
      </c>
      <c r="AZ161">
        <v>4</v>
      </c>
      <c r="BA161" s="129">
        <f t="shared" si="245"/>
        <v>39910</v>
      </c>
      <c r="BB161" s="207">
        <v>0</v>
      </c>
      <c r="BC161" s="207">
        <v>0</v>
      </c>
      <c r="BD161" s="207">
        <v>0</v>
      </c>
      <c r="BE161" s="207">
        <v>0</v>
      </c>
      <c r="BF161" s="207">
        <v>0</v>
      </c>
      <c r="BG161" s="207">
        <v>0</v>
      </c>
      <c r="BH161" s="207">
        <v>0</v>
      </c>
      <c r="BI161" s="207">
        <v>0</v>
      </c>
      <c r="BJ161" s="207">
        <v>0</v>
      </c>
      <c r="BK161" s="207">
        <v>0</v>
      </c>
      <c r="BL161" s="207">
        <v>0</v>
      </c>
      <c r="BM161" s="207">
        <v>0</v>
      </c>
      <c r="BN161" s="207">
        <v>0</v>
      </c>
      <c r="BO161" s="207">
        <v>0</v>
      </c>
      <c r="BP161" s="207">
        <v>0</v>
      </c>
      <c r="BQ161" s="207">
        <v>0</v>
      </c>
      <c r="BR161" s="207">
        <v>0</v>
      </c>
      <c r="BS161" s="207">
        <v>0</v>
      </c>
      <c r="BT161" s="207">
        <v>0</v>
      </c>
      <c r="BU161" s="207">
        <v>0</v>
      </c>
      <c r="BV161" s="207">
        <v>0</v>
      </c>
      <c r="BW161" s="207">
        <v>0</v>
      </c>
      <c r="BX161" s="207">
        <v>0</v>
      </c>
      <c r="BY161" s="207">
        <v>0</v>
      </c>
      <c r="BZ161" s="207">
        <v>0</v>
      </c>
      <c r="CA161" s="207">
        <v>0</v>
      </c>
      <c r="CB161" s="207">
        <v>0</v>
      </c>
      <c r="CC161" s="207">
        <v>0</v>
      </c>
      <c r="CD161" s="207">
        <v>0</v>
      </c>
      <c r="CE161" s="207">
        <v>0</v>
      </c>
      <c r="CF161" s="207">
        <v>0</v>
      </c>
      <c r="CG161" s="147"/>
      <c r="CH161" s="176"/>
      <c r="CJ161" s="146"/>
      <c r="CK161" s="76">
        <f t="shared" ca="1" si="208"/>
        <v>0.74544339908683965</v>
      </c>
      <c r="CL161" s="179">
        <f t="shared" si="209"/>
        <v>4</v>
      </c>
      <c r="CM161" s="180">
        <f t="shared" si="210"/>
        <v>39910</v>
      </c>
      <c r="CN161" s="208">
        <v>0</v>
      </c>
      <c r="CO161" s="208">
        <v>0</v>
      </c>
      <c r="CP161" s="208">
        <v>0</v>
      </c>
      <c r="CQ161" s="208">
        <v>0</v>
      </c>
      <c r="CR161" s="208">
        <v>0</v>
      </c>
      <c r="CS161" s="208">
        <v>0</v>
      </c>
      <c r="CT161" s="208">
        <v>0</v>
      </c>
      <c r="CU161" s="208">
        <v>0</v>
      </c>
      <c r="CV161" s="160"/>
      <c r="CW161">
        <v>1</v>
      </c>
      <c r="CX161">
        <f>310/93</f>
        <v>3.3333333333333335</v>
      </c>
      <c r="CY161" s="160"/>
      <c r="CZ161" s="177">
        <f t="shared" si="211"/>
        <v>9.6000000000000002E-2</v>
      </c>
      <c r="DB161" s="146"/>
      <c r="DC161" s="76">
        <f t="shared" ca="1" si="174"/>
        <v>0.9245972689352524</v>
      </c>
      <c r="DD161">
        <f t="shared" si="212"/>
        <v>4</v>
      </c>
      <c r="DE161" s="129">
        <f t="shared" si="244"/>
        <v>39910</v>
      </c>
      <c r="DF161" s="161">
        <f t="shared" si="213"/>
        <v>0</v>
      </c>
      <c r="DG161" s="161">
        <f t="shared" si="214"/>
        <v>0</v>
      </c>
      <c r="DH161" s="161">
        <f t="shared" si="215"/>
        <v>0</v>
      </c>
      <c r="DI161" s="161">
        <f t="shared" si="216"/>
        <v>0</v>
      </c>
      <c r="DJ161" s="161">
        <f t="shared" si="217"/>
        <v>0</v>
      </c>
      <c r="DK161" s="161">
        <f t="shared" si="218"/>
        <v>0</v>
      </c>
      <c r="DL161" s="161">
        <f t="shared" si="219"/>
        <v>0</v>
      </c>
      <c r="DM161" s="161">
        <f t="shared" si="220"/>
        <v>0</v>
      </c>
      <c r="DN161" s="161">
        <f t="shared" si="221"/>
        <v>0</v>
      </c>
      <c r="DO161" s="161">
        <f t="shared" si="222"/>
        <v>0</v>
      </c>
      <c r="DP161" s="161">
        <f t="shared" si="223"/>
        <v>0</v>
      </c>
      <c r="DQ161" s="161">
        <f t="shared" si="224"/>
        <v>0</v>
      </c>
      <c r="DR161" s="161">
        <f t="shared" si="225"/>
        <v>0</v>
      </c>
      <c r="DS161" s="161">
        <f t="shared" si="226"/>
        <v>0</v>
      </c>
      <c r="DT161" s="161">
        <f t="shared" si="227"/>
        <v>0</v>
      </c>
      <c r="DU161" s="161">
        <f t="shared" si="228"/>
        <v>0</v>
      </c>
      <c r="DV161" s="161">
        <f t="shared" si="229"/>
        <v>0</v>
      </c>
      <c r="DW161" s="161">
        <f t="shared" si="230"/>
        <v>0</v>
      </c>
      <c r="DX161" s="161">
        <f t="shared" si="231"/>
        <v>0</v>
      </c>
      <c r="DY161" s="161">
        <f t="shared" si="232"/>
        <v>0</v>
      </c>
      <c r="DZ161" s="161">
        <f t="shared" si="233"/>
        <v>0</v>
      </c>
      <c r="EA161" s="161">
        <f t="shared" si="234"/>
        <v>0</v>
      </c>
      <c r="EB161" s="161">
        <f t="shared" si="235"/>
        <v>0</v>
      </c>
      <c r="EC161" s="161">
        <f t="shared" si="236"/>
        <v>0</v>
      </c>
      <c r="ED161" s="161">
        <f t="shared" si="237"/>
        <v>0</v>
      </c>
      <c r="EE161" s="161">
        <f t="shared" si="238"/>
        <v>0</v>
      </c>
      <c r="EF161" s="161">
        <f t="shared" si="239"/>
        <v>0</v>
      </c>
      <c r="EG161" s="161">
        <f t="shared" si="240"/>
        <v>0</v>
      </c>
      <c r="EH161" s="161">
        <f t="shared" si="241"/>
        <v>0</v>
      </c>
      <c r="EI161" s="161">
        <f t="shared" si="242"/>
        <v>0</v>
      </c>
      <c r="EJ161" s="161">
        <f t="shared" si="243"/>
        <v>0</v>
      </c>
      <c r="EK161" s="147">
        <f t="shared" si="175"/>
        <v>0</v>
      </c>
      <c r="EL161" s="149"/>
      <c r="EN161" s="146"/>
      <c r="EO161" s="146"/>
      <c r="EP161" s="139">
        <f t="shared" si="176"/>
        <v>0</v>
      </c>
      <c r="EQ161" s="139">
        <f t="shared" si="177"/>
        <v>0</v>
      </c>
      <c r="ER161" s="139">
        <f t="shared" si="178"/>
        <v>0</v>
      </c>
      <c r="ES161" s="139">
        <f t="shared" si="179"/>
        <v>0</v>
      </c>
      <c r="ET161" s="139">
        <f t="shared" si="180"/>
        <v>0</v>
      </c>
      <c r="EU161" s="139">
        <f t="shared" si="181"/>
        <v>0</v>
      </c>
      <c r="EV161" s="139">
        <f t="shared" si="182"/>
        <v>0</v>
      </c>
      <c r="EW161" s="139">
        <f t="shared" si="183"/>
        <v>0</v>
      </c>
      <c r="EX161" s="139">
        <f t="shared" si="184"/>
        <v>0</v>
      </c>
      <c r="EY161" s="139">
        <f t="shared" si="185"/>
        <v>0</v>
      </c>
      <c r="EZ161" s="139">
        <f t="shared" si="186"/>
        <v>0</v>
      </c>
      <c r="FA161" s="139">
        <f t="shared" si="187"/>
        <v>0</v>
      </c>
      <c r="FB161" s="139">
        <f t="shared" si="188"/>
        <v>0</v>
      </c>
      <c r="FC161" s="139">
        <f t="shared" si="189"/>
        <v>0</v>
      </c>
      <c r="FD161" s="139">
        <f t="shared" si="190"/>
        <v>0</v>
      </c>
      <c r="FE161" s="139">
        <f t="shared" si="191"/>
        <v>0</v>
      </c>
      <c r="FF161" s="139">
        <f t="shared" si="192"/>
        <v>0</v>
      </c>
      <c r="FG161" s="139">
        <f t="shared" si="193"/>
        <v>0</v>
      </c>
      <c r="FH161" s="139">
        <f t="shared" si="194"/>
        <v>0</v>
      </c>
      <c r="FI161" s="139">
        <f t="shared" si="195"/>
        <v>0</v>
      </c>
      <c r="FJ161" s="139">
        <f t="shared" si="196"/>
        <v>0</v>
      </c>
      <c r="FK161" s="139">
        <f t="shared" si="197"/>
        <v>0</v>
      </c>
      <c r="FL161" s="139">
        <f t="shared" si="198"/>
        <v>0</v>
      </c>
      <c r="FM161" s="139">
        <f t="shared" si="199"/>
        <v>0</v>
      </c>
      <c r="FN161" s="139">
        <f t="shared" si="200"/>
        <v>0</v>
      </c>
      <c r="FO161" s="139">
        <f t="shared" si="201"/>
        <v>0</v>
      </c>
      <c r="FP161" s="139">
        <f t="shared" si="202"/>
        <v>0</v>
      </c>
      <c r="FQ161" s="139">
        <f t="shared" si="203"/>
        <v>0</v>
      </c>
      <c r="FR161" s="139">
        <f t="shared" si="204"/>
        <v>0</v>
      </c>
      <c r="FS161" s="139">
        <f t="shared" si="205"/>
        <v>0</v>
      </c>
      <c r="FT161" s="139">
        <f t="shared" si="206"/>
        <v>0</v>
      </c>
      <c r="FU161" s="148">
        <f t="shared" si="207"/>
        <v>0</v>
      </c>
      <c r="FV161" s="149"/>
      <c r="FY161" s="214">
        <v>156</v>
      </c>
      <c r="FZ161">
        <v>1.2356640872196982</v>
      </c>
      <c r="GA161">
        <v>2.0463481274258806</v>
      </c>
      <c r="GB161">
        <v>1.0403265156457429</v>
      </c>
      <c r="GC161">
        <v>0.7269318558907264</v>
      </c>
      <c r="GD161">
        <v>3.6767105427594351</v>
      </c>
      <c r="GE161">
        <v>12.22247269890315</v>
      </c>
      <c r="GF161">
        <v>19.829049845103221</v>
      </c>
      <c r="GG161">
        <v>10.496120253300589</v>
      </c>
      <c r="GH161">
        <v>4.2153067693175341</v>
      </c>
      <c r="GI161">
        <v>7.1263693511886714</v>
      </c>
      <c r="GJ161"/>
      <c r="GK161"/>
      <c r="GL161"/>
      <c r="GM161"/>
    </row>
    <row r="162" spans="1:195" s="7" customFormat="1">
      <c r="A162" s="1"/>
      <c r="B162" s="76">
        <f t="shared" ca="1" si="172"/>
        <v>0.39758690527074281</v>
      </c>
      <c r="C162">
        <v>7</v>
      </c>
      <c r="D162">
        <v>39910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74.379725646290495</v>
      </c>
      <c r="AO162">
        <v>12.555096743425491</v>
      </c>
      <c r="AP162">
        <v>26.381368555196413</v>
      </c>
      <c r="AQ162">
        <v>84.908924959389154</v>
      </c>
      <c r="AR162">
        <v>11.426255664167124</v>
      </c>
      <c r="AS162">
        <v>64.730063092372291</v>
      </c>
      <c r="AT162" t="e">
        <v>#DIV/0!</v>
      </c>
      <c r="AU162" t="e">
        <v>#DIV/0!</v>
      </c>
      <c r="AV162"/>
      <c r="AW162"/>
      <c r="AX162" s="146"/>
      <c r="AY162" s="76">
        <f t="shared" ca="1" si="173"/>
        <v>0.83391800548082617</v>
      </c>
      <c r="AZ162">
        <v>5</v>
      </c>
      <c r="BA162" s="129">
        <f t="shared" si="245"/>
        <v>39910</v>
      </c>
      <c r="BB162" s="207">
        <v>0</v>
      </c>
      <c r="BC162" s="207">
        <v>0</v>
      </c>
      <c r="BD162" s="207">
        <v>0</v>
      </c>
      <c r="BE162" s="207">
        <v>0</v>
      </c>
      <c r="BF162" s="207">
        <v>0</v>
      </c>
      <c r="BG162" s="207">
        <v>0</v>
      </c>
      <c r="BH162" s="207">
        <v>0</v>
      </c>
      <c r="BI162" s="207">
        <v>0</v>
      </c>
      <c r="BJ162" s="207">
        <v>0</v>
      </c>
      <c r="BK162" s="207">
        <v>5</v>
      </c>
      <c r="BL162" s="207">
        <v>0</v>
      </c>
      <c r="BM162" s="207">
        <v>0</v>
      </c>
      <c r="BN162" s="207">
        <v>0</v>
      </c>
      <c r="BO162" s="207">
        <v>0</v>
      </c>
      <c r="BP162" s="207">
        <v>0</v>
      </c>
      <c r="BQ162" s="207">
        <v>0</v>
      </c>
      <c r="BR162" s="207">
        <v>0</v>
      </c>
      <c r="BS162" s="207">
        <v>0</v>
      </c>
      <c r="BT162" s="207">
        <v>0</v>
      </c>
      <c r="BU162" s="207">
        <v>0</v>
      </c>
      <c r="BV162" s="207">
        <v>0</v>
      </c>
      <c r="BW162" s="207">
        <v>0</v>
      </c>
      <c r="BX162" s="207">
        <v>0</v>
      </c>
      <c r="BY162" s="207">
        <v>0</v>
      </c>
      <c r="BZ162" s="207">
        <v>0</v>
      </c>
      <c r="CA162" s="207">
        <v>0</v>
      </c>
      <c r="CB162" s="207">
        <v>0</v>
      </c>
      <c r="CC162" s="207">
        <v>0</v>
      </c>
      <c r="CD162" s="207">
        <v>0</v>
      </c>
      <c r="CE162" s="207">
        <v>0</v>
      </c>
      <c r="CF162" s="207">
        <v>0</v>
      </c>
      <c r="CG162" s="147"/>
      <c r="CH162" s="176"/>
      <c r="CJ162" s="146"/>
      <c r="CK162" s="76">
        <f t="shared" ca="1" si="208"/>
        <v>0.70644923626414591</v>
      </c>
      <c r="CL162" s="179">
        <f t="shared" si="209"/>
        <v>5</v>
      </c>
      <c r="CM162" s="180">
        <f t="shared" si="210"/>
        <v>39910</v>
      </c>
      <c r="CN162" s="208">
        <v>0</v>
      </c>
      <c r="CO162" s="208">
        <v>0</v>
      </c>
      <c r="CP162" s="208">
        <v>0</v>
      </c>
      <c r="CQ162" s="208">
        <v>0</v>
      </c>
      <c r="CR162" s="208">
        <v>0</v>
      </c>
      <c r="CS162" s="208">
        <v>0</v>
      </c>
      <c r="CT162" s="208">
        <v>0</v>
      </c>
      <c r="CU162" s="208">
        <v>0</v>
      </c>
      <c r="CV162" s="160"/>
      <c r="CW162">
        <v>1</v>
      </c>
      <c r="CX162">
        <v>1</v>
      </c>
      <c r="CY162" s="160"/>
      <c r="CZ162" s="177">
        <f t="shared" si="211"/>
        <v>9.6000000000000002E-2</v>
      </c>
      <c r="DB162" s="146"/>
      <c r="DC162" s="76">
        <f t="shared" ca="1" si="174"/>
        <v>0.60989867640729112</v>
      </c>
      <c r="DD162">
        <f t="shared" si="212"/>
        <v>5</v>
      </c>
      <c r="DE162" s="129">
        <f t="shared" si="244"/>
        <v>39910</v>
      </c>
      <c r="DF162" s="161">
        <f t="shared" si="213"/>
        <v>0</v>
      </c>
      <c r="DG162" s="161">
        <f t="shared" si="214"/>
        <v>0</v>
      </c>
      <c r="DH162" s="161">
        <f t="shared" si="215"/>
        <v>0</v>
      </c>
      <c r="DI162" s="161">
        <f t="shared" si="216"/>
        <v>0</v>
      </c>
      <c r="DJ162" s="161">
        <f t="shared" si="217"/>
        <v>0</v>
      </c>
      <c r="DK162" s="161">
        <f t="shared" si="218"/>
        <v>0</v>
      </c>
      <c r="DL162" s="161">
        <f t="shared" si="219"/>
        <v>0</v>
      </c>
      <c r="DM162" s="161">
        <f t="shared" si="220"/>
        <v>0</v>
      </c>
      <c r="DN162" s="161">
        <f t="shared" si="221"/>
        <v>0</v>
      </c>
      <c r="DO162" s="161">
        <f t="shared" si="222"/>
        <v>52.083333333333336</v>
      </c>
      <c r="DP162" s="161">
        <f t="shared" si="223"/>
        <v>0</v>
      </c>
      <c r="DQ162" s="161">
        <f t="shared" si="224"/>
        <v>0</v>
      </c>
      <c r="DR162" s="161">
        <f t="shared" si="225"/>
        <v>0</v>
      </c>
      <c r="DS162" s="161">
        <f t="shared" si="226"/>
        <v>0</v>
      </c>
      <c r="DT162" s="161">
        <f t="shared" si="227"/>
        <v>0</v>
      </c>
      <c r="DU162" s="161">
        <f t="shared" si="228"/>
        <v>0</v>
      </c>
      <c r="DV162" s="161">
        <f t="shared" si="229"/>
        <v>0</v>
      </c>
      <c r="DW162" s="161">
        <f t="shared" si="230"/>
        <v>0</v>
      </c>
      <c r="DX162" s="161">
        <f t="shared" si="231"/>
        <v>0</v>
      </c>
      <c r="DY162" s="161">
        <f t="shared" si="232"/>
        <v>0</v>
      </c>
      <c r="DZ162" s="161">
        <f t="shared" si="233"/>
        <v>0</v>
      </c>
      <c r="EA162" s="161">
        <f t="shared" si="234"/>
        <v>0</v>
      </c>
      <c r="EB162" s="161">
        <f t="shared" si="235"/>
        <v>0</v>
      </c>
      <c r="EC162" s="161">
        <f t="shared" si="236"/>
        <v>0</v>
      </c>
      <c r="ED162" s="161">
        <f t="shared" si="237"/>
        <v>0</v>
      </c>
      <c r="EE162" s="161">
        <f t="shared" si="238"/>
        <v>0</v>
      </c>
      <c r="EF162" s="161">
        <f t="shared" si="239"/>
        <v>0</v>
      </c>
      <c r="EG162" s="161">
        <f t="shared" si="240"/>
        <v>0</v>
      </c>
      <c r="EH162" s="161">
        <f t="shared" si="241"/>
        <v>0</v>
      </c>
      <c r="EI162" s="161">
        <f t="shared" si="242"/>
        <v>0</v>
      </c>
      <c r="EJ162" s="161">
        <f t="shared" si="243"/>
        <v>0</v>
      </c>
      <c r="EK162" s="147">
        <f t="shared" si="175"/>
        <v>52.083333333333336</v>
      </c>
      <c r="EL162" s="149"/>
      <c r="EN162" s="146"/>
      <c r="EO162" s="146"/>
      <c r="EP162" s="139">
        <f t="shared" si="176"/>
        <v>0</v>
      </c>
      <c r="EQ162" s="139">
        <f t="shared" si="177"/>
        <v>0</v>
      </c>
      <c r="ER162" s="139">
        <f t="shared" si="178"/>
        <v>0</v>
      </c>
      <c r="ES162" s="139">
        <f t="shared" si="179"/>
        <v>0</v>
      </c>
      <c r="ET162" s="139">
        <f t="shared" si="180"/>
        <v>0</v>
      </c>
      <c r="EU162" s="139">
        <f t="shared" si="181"/>
        <v>0</v>
      </c>
      <c r="EV162" s="139">
        <f t="shared" si="182"/>
        <v>0</v>
      </c>
      <c r="EW162" s="139">
        <f t="shared" si="183"/>
        <v>0</v>
      </c>
      <c r="EX162" s="139">
        <f t="shared" si="184"/>
        <v>0</v>
      </c>
      <c r="EY162" s="139">
        <f t="shared" si="185"/>
        <v>127.28700543949176</v>
      </c>
      <c r="EZ162" s="139">
        <f t="shared" si="186"/>
        <v>0</v>
      </c>
      <c r="FA162" s="139">
        <f t="shared" si="187"/>
        <v>0</v>
      </c>
      <c r="FB162" s="139">
        <f t="shared" si="188"/>
        <v>0</v>
      </c>
      <c r="FC162" s="139">
        <f t="shared" si="189"/>
        <v>0</v>
      </c>
      <c r="FD162" s="139">
        <f t="shared" si="190"/>
        <v>0</v>
      </c>
      <c r="FE162" s="139">
        <f t="shared" si="191"/>
        <v>0</v>
      </c>
      <c r="FF162" s="139">
        <f t="shared" si="192"/>
        <v>0</v>
      </c>
      <c r="FG162" s="139">
        <f t="shared" si="193"/>
        <v>0</v>
      </c>
      <c r="FH162" s="139">
        <f t="shared" si="194"/>
        <v>0</v>
      </c>
      <c r="FI162" s="139">
        <f t="shared" si="195"/>
        <v>0</v>
      </c>
      <c r="FJ162" s="139">
        <f t="shared" si="196"/>
        <v>0</v>
      </c>
      <c r="FK162" s="139">
        <f t="shared" si="197"/>
        <v>0</v>
      </c>
      <c r="FL162" s="139">
        <f t="shared" si="198"/>
        <v>0</v>
      </c>
      <c r="FM162" s="139">
        <f t="shared" si="199"/>
        <v>0</v>
      </c>
      <c r="FN162" s="139">
        <f t="shared" si="200"/>
        <v>0</v>
      </c>
      <c r="FO162" s="139">
        <f t="shared" si="201"/>
        <v>0</v>
      </c>
      <c r="FP162" s="139">
        <f t="shared" si="202"/>
        <v>0</v>
      </c>
      <c r="FQ162" s="139">
        <f t="shared" si="203"/>
        <v>0</v>
      </c>
      <c r="FR162" s="139">
        <f t="shared" si="204"/>
        <v>0</v>
      </c>
      <c r="FS162" s="139">
        <f t="shared" si="205"/>
        <v>0</v>
      </c>
      <c r="FT162" s="139">
        <f t="shared" si="206"/>
        <v>0</v>
      </c>
      <c r="FU162" s="148">
        <f t="shared" si="207"/>
        <v>127.28700543949176</v>
      </c>
      <c r="FV162" s="149"/>
      <c r="FY162" s="214">
        <v>157</v>
      </c>
      <c r="FZ162">
        <v>0.54952187435041699</v>
      </c>
      <c r="GA162">
        <v>3.8611655069736059</v>
      </c>
      <c r="GB162">
        <v>2.418715067599686</v>
      </c>
      <c r="GC162">
        <v>1.0241935032810059</v>
      </c>
      <c r="GD162">
        <v>4.0726056280173406</v>
      </c>
      <c r="GE162">
        <v>14.830534008585989</v>
      </c>
      <c r="GF162">
        <v>18.427585295098616</v>
      </c>
      <c r="GG162">
        <v>5.8297343447920138</v>
      </c>
      <c r="GH162">
        <v>0.16749665256656238</v>
      </c>
      <c r="GI162">
        <v>6.6653803717425415</v>
      </c>
      <c r="GJ162"/>
      <c r="GK162"/>
      <c r="GL162"/>
      <c r="GM162"/>
    </row>
    <row r="163" spans="1:195" s="7" customFormat="1">
      <c r="A163" s="1"/>
      <c r="B163" s="76">
        <f t="shared" ca="1" si="172"/>
        <v>0.24558582769291903</v>
      </c>
      <c r="C163">
        <v>6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10.416666666666666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73.796125544094508</v>
      </c>
      <c r="AO163">
        <v>15.096030630678559</v>
      </c>
      <c r="AP163">
        <v>86.547476859979085</v>
      </c>
      <c r="AQ163">
        <v>88.261863426254763</v>
      </c>
      <c r="AR163">
        <v>14.105167960312608</v>
      </c>
      <c r="AS163">
        <v>77.456782259984607</v>
      </c>
      <c r="AT163">
        <v>8.2524107966688138</v>
      </c>
      <c r="AU163">
        <v>-1.4305252838539981</v>
      </c>
      <c r="AV163"/>
      <c r="AW163"/>
      <c r="AX163" s="146"/>
      <c r="AY163" s="76">
        <f t="shared" ca="1" si="173"/>
        <v>0.60019177738660812</v>
      </c>
      <c r="AZ163">
        <v>6</v>
      </c>
      <c r="BA163" s="129">
        <f t="shared" si="245"/>
        <v>39910</v>
      </c>
      <c r="BB163" s="207">
        <v>0</v>
      </c>
      <c r="BC163" s="207">
        <v>0</v>
      </c>
      <c r="BD163" s="207">
        <v>0</v>
      </c>
      <c r="BE163" s="207">
        <v>0</v>
      </c>
      <c r="BF163" s="207">
        <v>1</v>
      </c>
      <c r="BG163" s="207">
        <v>0</v>
      </c>
      <c r="BH163" s="207">
        <v>0</v>
      </c>
      <c r="BI163" s="207">
        <v>0</v>
      </c>
      <c r="BJ163" s="207">
        <v>0</v>
      </c>
      <c r="BK163" s="207">
        <v>0</v>
      </c>
      <c r="BL163" s="207">
        <v>0</v>
      </c>
      <c r="BM163" s="207">
        <v>0</v>
      </c>
      <c r="BN163" s="207">
        <v>0</v>
      </c>
      <c r="BO163" s="207">
        <v>0</v>
      </c>
      <c r="BP163" s="207">
        <v>0</v>
      </c>
      <c r="BQ163" s="207">
        <v>0</v>
      </c>
      <c r="BR163" s="207">
        <v>0</v>
      </c>
      <c r="BS163" s="207">
        <v>0</v>
      </c>
      <c r="BT163" s="207">
        <v>0</v>
      </c>
      <c r="BU163" s="207">
        <v>0</v>
      </c>
      <c r="BV163" s="207">
        <v>0</v>
      </c>
      <c r="BW163" s="207">
        <v>0</v>
      </c>
      <c r="BX163" s="207">
        <v>0</v>
      </c>
      <c r="BY163" s="207">
        <v>0</v>
      </c>
      <c r="BZ163" s="207">
        <v>0</v>
      </c>
      <c r="CA163" s="207">
        <v>0</v>
      </c>
      <c r="CB163" s="207">
        <v>0</v>
      </c>
      <c r="CC163" s="207">
        <v>0</v>
      </c>
      <c r="CD163" s="207">
        <v>0</v>
      </c>
      <c r="CE163" s="207">
        <v>0</v>
      </c>
      <c r="CF163" s="207">
        <v>0</v>
      </c>
      <c r="CG163" s="147"/>
      <c r="CH163" s="176"/>
      <c r="CJ163" s="146"/>
      <c r="CK163" s="76">
        <f t="shared" ca="1" si="208"/>
        <v>0.10882862354752687</v>
      </c>
      <c r="CL163" s="179">
        <f t="shared" si="209"/>
        <v>6</v>
      </c>
      <c r="CM163" s="180">
        <f t="shared" si="210"/>
        <v>39910</v>
      </c>
      <c r="CN163" s="208">
        <v>0</v>
      </c>
      <c r="CO163" s="208">
        <v>0</v>
      </c>
      <c r="CP163" s="208">
        <v>0</v>
      </c>
      <c r="CQ163" s="208">
        <v>0</v>
      </c>
      <c r="CR163" s="208">
        <v>0</v>
      </c>
      <c r="CS163" s="208">
        <v>0</v>
      </c>
      <c r="CT163" s="208">
        <v>0</v>
      </c>
      <c r="CU163" s="208">
        <v>0</v>
      </c>
      <c r="CV163" s="160"/>
      <c r="CW163">
        <v>1</v>
      </c>
      <c r="CX163">
        <v>1</v>
      </c>
      <c r="CY163" s="160"/>
      <c r="CZ163" s="177">
        <f t="shared" si="211"/>
        <v>9.6000000000000002E-2</v>
      </c>
      <c r="DB163" s="146"/>
      <c r="DC163" s="76">
        <f t="shared" ca="1" si="174"/>
        <v>0.23175965454409786</v>
      </c>
      <c r="DD163">
        <f t="shared" si="212"/>
        <v>6</v>
      </c>
      <c r="DE163" s="129">
        <f t="shared" si="244"/>
        <v>39910</v>
      </c>
      <c r="DF163" s="161">
        <f t="shared" si="213"/>
        <v>0</v>
      </c>
      <c r="DG163" s="161">
        <f t="shared" si="214"/>
        <v>0</v>
      </c>
      <c r="DH163" s="161">
        <f t="shared" si="215"/>
        <v>0</v>
      </c>
      <c r="DI163" s="161">
        <f t="shared" si="216"/>
        <v>0</v>
      </c>
      <c r="DJ163" s="161">
        <f t="shared" si="217"/>
        <v>10.416666666666666</v>
      </c>
      <c r="DK163" s="161">
        <f t="shared" si="218"/>
        <v>0</v>
      </c>
      <c r="DL163" s="161">
        <f t="shared" si="219"/>
        <v>0</v>
      </c>
      <c r="DM163" s="161">
        <f t="shared" si="220"/>
        <v>0</v>
      </c>
      <c r="DN163" s="161">
        <f t="shared" si="221"/>
        <v>0</v>
      </c>
      <c r="DO163" s="161">
        <f t="shared" si="222"/>
        <v>0</v>
      </c>
      <c r="DP163" s="161">
        <f t="shared" si="223"/>
        <v>0</v>
      </c>
      <c r="DQ163" s="161">
        <f t="shared" si="224"/>
        <v>0</v>
      </c>
      <c r="DR163" s="161">
        <f t="shared" si="225"/>
        <v>0</v>
      </c>
      <c r="DS163" s="161">
        <f t="shared" si="226"/>
        <v>0</v>
      </c>
      <c r="DT163" s="161">
        <f t="shared" si="227"/>
        <v>0</v>
      </c>
      <c r="DU163" s="161">
        <f t="shared" si="228"/>
        <v>0</v>
      </c>
      <c r="DV163" s="161">
        <f t="shared" si="229"/>
        <v>0</v>
      </c>
      <c r="DW163" s="161">
        <f t="shared" si="230"/>
        <v>0</v>
      </c>
      <c r="DX163" s="161">
        <f t="shared" si="231"/>
        <v>0</v>
      </c>
      <c r="DY163" s="161">
        <f t="shared" si="232"/>
        <v>0</v>
      </c>
      <c r="DZ163" s="161">
        <f t="shared" si="233"/>
        <v>0</v>
      </c>
      <c r="EA163" s="161">
        <f t="shared" si="234"/>
        <v>0</v>
      </c>
      <c r="EB163" s="161">
        <f t="shared" si="235"/>
        <v>0</v>
      </c>
      <c r="EC163" s="161">
        <f t="shared" si="236"/>
        <v>0</v>
      </c>
      <c r="ED163" s="161">
        <f t="shared" si="237"/>
        <v>0</v>
      </c>
      <c r="EE163" s="161">
        <f t="shared" si="238"/>
        <v>0</v>
      </c>
      <c r="EF163" s="161">
        <f t="shared" si="239"/>
        <v>0</v>
      </c>
      <c r="EG163" s="161">
        <f t="shared" si="240"/>
        <v>0</v>
      </c>
      <c r="EH163" s="161">
        <f t="shared" si="241"/>
        <v>0</v>
      </c>
      <c r="EI163" s="161">
        <f t="shared" si="242"/>
        <v>0</v>
      </c>
      <c r="EJ163" s="161">
        <f t="shared" si="243"/>
        <v>0</v>
      </c>
      <c r="EK163" s="147">
        <f t="shared" si="175"/>
        <v>10.416666666666666</v>
      </c>
      <c r="EL163" s="149"/>
      <c r="EN163" s="146"/>
      <c r="EO163" s="146"/>
      <c r="EP163" s="139">
        <f t="shared" si="176"/>
        <v>0</v>
      </c>
      <c r="EQ163" s="139">
        <f t="shared" si="177"/>
        <v>0</v>
      </c>
      <c r="ER163" s="139">
        <f t="shared" si="178"/>
        <v>0</v>
      </c>
      <c r="ES163" s="139">
        <f t="shared" si="179"/>
        <v>0</v>
      </c>
      <c r="ET163" s="139">
        <f t="shared" si="180"/>
        <v>2.9018120614954044</v>
      </c>
      <c r="EU163" s="139">
        <f t="shared" si="181"/>
        <v>0</v>
      </c>
      <c r="EV163" s="139">
        <f t="shared" si="182"/>
        <v>0</v>
      </c>
      <c r="EW163" s="139">
        <f t="shared" si="183"/>
        <v>0</v>
      </c>
      <c r="EX163" s="139">
        <f t="shared" si="184"/>
        <v>0</v>
      </c>
      <c r="EY163" s="139">
        <f t="shared" si="185"/>
        <v>0</v>
      </c>
      <c r="EZ163" s="139">
        <f t="shared" si="186"/>
        <v>0</v>
      </c>
      <c r="FA163" s="139">
        <f t="shared" si="187"/>
        <v>0</v>
      </c>
      <c r="FB163" s="139">
        <f t="shared" si="188"/>
        <v>0</v>
      </c>
      <c r="FC163" s="139">
        <f t="shared" si="189"/>
        <v>0</v>
      </c>
      <c r="FD163" s="139">
        <f t="shared" si="190"/>
        <v>0</v>
      </c>
      <c r="FE163" s="139">
        <f t="shared" si="191"/>
        <v>0</v>
      </c>
      <c r="FF163" s="139">
        <f t="shared" si="192"/>
        <v>0</v>
      </c>
      <c r="FG163" s="139">
        <f t="shared" si="193"/>
        <v>0</v>
      </c>
      <c r="FH163" s="139">
        <f t="shared" si="194"/>
        <v>0</v>
      </c>
      <c r="FI163" s="139">
        <f t="shared" si="195"/>
        <v>0</v>
      </c>
      <c r="FJ163" s="139">
        <f t="shared" si="196"/>
        <v>0</v>
      </c>
      <c r="FK163" s="139">
        <f t="shared" si="197"/>
        <v>0</v>
      </c>
      <c r="FL163" s="139">
        <f t="shared" si="198"/>
        <v>0</v>
      </c>
      <c r="FM163" s="139">
        <f t="shared" si="199"/>
        <v>0</v>
      </c>
      <c r="FN163" s="139">
        <f t="shared" si="200"/>
        <v>0</v>
      </c>
      <c r="FO163" s="139">
        <f t="shared" si="201"/>
        <v>0</v>
      </c>
      <c r="FP163" s="139">
        <f t="shared" si="202"/>
        <v>0</v>
      </c>
      <c r="FQ163" s="139">
        <f t="shared" si="203"/>
        <v>0</v>
      </c>
      <c r="FR163" s="139">
        <f t="shared" si="204"/>
        <v>0</v>
      </c>
      <c r="FS163" s="139">
        <f t="shared" si="205"/>
        <v>0</v>
      </c>
      <c r="FT163" s="139">
        <f t="shared" si="206"/>
        <v>0</v>
      </c>
      <c r="FU163" s="148">
        <f t="shared" si="207"/>
        <v>2.9018120614954044</v>
      </c>
      <c r="FV163" s="149"/>
      <c r="FY163" s="214">
        <v>158</v>
      </c>
      <c r="FZ163">
        <v>0.60689691085133135</v>
      </c>
      <c r="GA163">
        <v>9.2928332909206866</v>
      </c>
      <c r="GB163">
        <v>10.858521014846806</v>
      </c>
      <c r="GC163">
        <v>4.2953649969288019</v>
      </c>
      <c r="GD163">
        <v>4.9760753456368665</v>
      </c>
      <c r="GE163">
        <v>9.4912782084342577</v>
      </c>
      <c r="GF163">
        <v>13.586271363345697</v>
      </c>
      <c r="GG163">
        <v>11.593973397354292</v>
      </c>
      <c r="GH163">
        <v>1.8712705294217138</v>
      </c>
      <c r="GI163">
        <v>8.8453735881986422</v>
      </c>
      <c r="GJ163"/>
      <c r="GK163"/>
      <c r="GL163"/>
      <c r="GM163"/>
    </row>
    <row r="164" spans="1:195" s="7" customFormat="1">
      <c r="A164" s="1"/>
      <c r="B164" s="76">
        <f t="shared" ca="1" si="172"/>
        <v>0.18511750579181907</v>
      </c>
      <c r="C164">
        <v>2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56.73415639063991</v>
      </c>
      <c r="AO164">
        <v>10.105108181775782</v>
      </c>
      <c r="AP164">
        <v>37.156790894763084</v>
      </c>
      <c r="AQ164">
        <v>68.030454768782192</v>
      </c>
      <c r="AR164">
        <v>9.211524687356798</v>
      </c>
      <c r="AS164">
        <v>48.788891235199777</v>
      </c>
      <c r="AT164" t="e">
        <v>#DIV/0!</v>
      </c>
      <c r="AU164" t="e">
        <v>#DIV/0!</v>
      </c>
      <c r="AV164"/>
      <c r="AW164"/>
      <c r="AX164" s="146"/>
      <c r="AY164" s="76">
        <f t="shared" ca="1" si="173"/>
        <v>0.96175479348835791</v>
      </c>
      <c r="AZ164">
        <v>7</v>
      </c>
      <c r="BA164" s="129">
        <f t="shared" si="245"/>
        <v>39910</v>
      </c>
      <c r="BB164" s="207">
        <v>0</v>
      </c>
      <c r="BC164" s="207">
        <v>0</v>
      </c>
      <c r="BD164" s="207">
        <v>0</v>
      </c>
      <c r="BE164" s="207">
        <v>0</v>
      </c>
      <c r="BF164" s="207">
        <v>0</v>
      </c>
      <c r="BG164" s="207">
        <v>0</v>
      </c>
      <c r="BH164" s="207">
        <v>0</v>
      </c>
      <c r="BI164" s="207">
        <v>0</v>
      </c>
      <c r="BJ164" s="207">
        <v>0</v>
      </c>
      <c r="BK164" s="207">
        <v>0</v>
      </c>
      <c r="BL164" s="207">
        <v>0</v>
      </c>
      <c r="BM164" s="207">
        <v>0</v>
      </c>
      <c r="BN164" s="207">
        <v>0</v>
      </c>
      <c r="BO164" s="207">
        <v>0</v>
      </c>
      <c r="BP164" s="207">
        <v>0</v>
      </c>
      <c r="BQ164" s="207">
        <v>0</v>
      </c>
      <c r="BR164" s="207">
        <v>0</v>
      </c>
      <c r="BS164" s="207">
        <v>0</v>
      </c>
      <c r="BT164" s="207">
        <v>0</v>
      </c>
      <c r="BU164" s="207">
        <v>0</v>
      </c>
      <c r="BV164" s="207">
        <v>0</v>
      </c>
      <c r="BW164" s="207">
        <v>0</v>
      </c>
      <c r="BX164" s="207">
        <v>0</v>
      </c>
      <c r="BY164" s="207">
        <v>0</v>
      </c>
      <c r="BZ164" s="207">
        <v>0</v>
      </c>
      <c r="CA164" s="207">
        <v>0</v>
      </c>
      <c r="CB164" s="207">
        <v>0</v>
      </c>
      <c r="CC164" s="207">
        <v>0</v>
      </c>
      <c r="CD164" s="207">
        <v>0</v>
      </c>
      <c r="CE164" s="207">
        <v>0</v>
      </c>
      <c r="CF164" s="207">
        <v>0</v>
      </c>
      <c r="CG164" s="147"/>
      <c r="CH164" s="176"/>
      <c r="CJ164" s="146"/>
      <c r="CK164" s="76">
        <f t="shared" ca="1" si="208"/>
        <v>0.87256214368786766</v>
      </c>
      <c r="CL164" s="179">
        <f t="shared" si="209"/>
        <v>7</v>
      </c>
      <c r="CM164" s="180">
        <f t="shared" si="210"/>
        <v>39910</v>
      </c>
      <c r="CN164" s="208">
        <v>0</v>
      </c>
      <c r="CO164" s="208">
        <v>0</v>
      </c>
      <c r="CP164" s="208">
        <v>0</v>
      </c>
      <c r="CQ164" s="208">
        <v>0</v>
      </c>
      <c r="CR164" s="208">
        <v>0</v>
      </c>
      <c r="CS164" s="208">
        <v>0</v>
      </c>
      <c r="CT164" s="208">
        <v>0</v>
      </c>
      <c r="CU164" s="208">
        <v>0</v>
      </c>
      <c r="CV164" s="160"/>
      <c r="CW164">
        <v>1</v>
      </c>
      <c r="CX164">
        <v>1</v>
      </c>
      <c r="CY164" s="165"/>
      <c r="CZ164" s="177">
        <f t="shared" si="211"/>
        <v>9.6000000000000002E-2</v>
      </c>
      <c r="DB164" s="146"/>
      <c r="DC164" s="76">
        <f t="shared" ca="1" si="174"/>
        <v>0.34470407186732421</v>
      </c>
      <c r="DD164">
        <f t="shared" si="212"/>
        <v>7</v>
      </c>
      <c r="DE164" s="129">
        <f t="shared" si="244"/>
        <v>39910</v>
      </c>
      <c r="DF164" s="161">
        <f t="shared" si="213"/>
        <v>0</v>
      </c>
      <c r="DG164" s="161">
        <f t="shared" si="214"/>
        <v>0</v>
      </c>
      <c r="DH164" s="161">
        <f t="shared" si="215"/>
        <v>0</v>
      </c>
      <c r="DI164" s="161">
        <f t="shared" si="216"/>
        <v>0</v>
      </c>
      <c r="DJ164" s="161">
        <f t="shared" si="217"/>
        <v>0</v>
      </c>
      <c r="DK164" s="161">
        <f t="shared" si="218"/>
        <v>0</v>
      </c>
      <c r="DL164" s="161">
        <f t="shared" si="219"/>
        <v>0</v>
      </c>
      <c r="DM164" s="161">
        <f t="shared" si="220"/>
        <v>0</v>
      </c>
      <c r="DN164" s="161">
        <f t="shared" si="221"/>
        <v>0</v>
      </c>
      <c r="DO164" s="161">
        <f t="shared" si="222"/>
        <v>0</v>
      </c>
      <c r="DP164" s="161">
        <f t="shared" si="223"/>
        <v>0</v>
      </c>
      <c r="DQ164" s="161">
        <f t="shared" si="224"/>
        <v>0</v>
      </c>
      <c r="DR164" s="161">
        <f t="shared" si="225"/>
        <v>0</v>
      </c>
      <c r="DS164" s="161">
        <f t="shared" si="226"/>
        <v>0</v>
      </c>
      <c r="DT164" s="161">
        <f t="shared" si="227"/>
        <v>0</v>
      </c>
      <c r="DU164" s="161">
        <f t="shared" si="228"/>
        <v>0</v>
      </c>
      <c r="DV164" s="161">
        <f t="shared" si="229"/>
        <v>0</v>
      </c>
      <c r="DW164" s="161">
        <f t="shared" si="230"/>
        <v>0</v>
      </c>
      <c r="DX164" s="161">
        <f t="shared" si="231"/>
        <v>0</v>
      </c>
      <c r="DY164" s="161">
        <f t="shared" si="232"/>
        <v>0</v>
      </c>
      <c r="DZ164" s="161">
        <f t="shared" si="233"/>
        <v>0</v>
      </c>
      <c r="EA164" s="161">
        <f t="shared" si="234"/>
        <v>0</v>
      </c>
      <c r="EB164" s="161">
        <f t="shared" si="235"/>
        <v>0</v>
      </c>
      <c r="EC164" s="161">
        <f t="shared" si="236"/>
        <v>0</v>
      </c>
      <c r="ED164" s="161">
        <f t="shared" si="237"/>
        <v>0</v>
      </c>
      <c r="EE164" s="161">
        <f t="shared" si="238"/>
        <v>0</v>
      </c>
      <c r="EF164" s="161">
        <f t="shared" si="239"/>
        <v>0</v>
      </c>
      <c r="EG164" s="161">
        <f t="shared" si="240"/>
        <v>0</v>
      </c>
      <c r="EH164" s="161">
        <f t="shared" si="241"/>
        <v>0</v>
      </c>
      <c r="EI164" s="161">
        <f t="shared" si="242"/>
        <v>0</v>
      </c>
      <c r="EJ164" s="161">
        <f t="shared" si="243"/>
        <v>0</v>
      </c>
      <c r="EK164" s="147">
        <f t="shared" si="175"/>
        <v>0</v>
      </c>
      <c r="EL164" s="149"/>
      <c r="EN164" s="146"/>
      <c r="EO164" s="146"/>
      <c r="EP164" s="139">
        <f t="shared" si="176"/>
        <v>0</v>
      </c>
      <c r="EQ164" s="139">
        <f t="shared" si="177"/>
        <v>0</v>
      </c>
      <c r="ER164" s="139">
        <f t="shared" si="178"/>
        <v>0</v>
      </c>
      <c r="ES164" s="139">
        <f t="shared" si="179"/>
        <v>0</v>
      </c>
      <c r="ET164" s="139">
        <f t="shared" si="180"/>
        <v>0</v>
      </c>
      <c r="EU164" s="139">
        <f t="shared" si="181"/>
        <v>0</v>
      </c>
      <c r="EV164" s="139">
        <f t="shared" si="182"/>
        <v>0</v>
      </c>
      <c r="EW164" s="139">
        <f t="shared" si="183"/>
        <v>0</v>
      </c>
      <c r="EX164" s="139">
        <f t="shared" si="184"/>
        <v>0</v>
      </c>
      <c r="EY164" s="139">
        <f t="shared" si="185"/>
        <v>0</v>
      </c>
      <c r="EZ164" s="139">
        <f t="shared" si="186"/>
        <v>0</v>
      </c>
      <c r="FA164" s="139">
        <f t="shared" si="187"/>
        <v>0</v>
      </c>
      <c r="FB164" s="139">
        <f t="shared" si="188"/>
        <v>0</v>
      </c>
      <c r="FC164" s="139">
        <f t="shared" si="189"/>
        <v>0</v>
      </c>
      <c r="FD164" s="139">
        <f t="shared" si="190"/>
        <v>0</v>
      </c>
      <c r="FE164" s="139">
        <f t="shared" si="191"/>
        <v>0</v>
      </c>
      <c r="FF164" s="139">
        <f t="shared" si="192"/>
        <v>0</v>
      </c>
      <c r="FG164" s="139">
        <f t="shared" si="193"/>
        <v>0</v>
      </c>
      <c r="FH164" s="139">
        <f t="shared" si="194"/>
        <v>0</v>
      </c>
      <c r="FI164" s="139">
        <f t="shared" si="195"/>
        <v>0</v>
      </c>
      <c r="FJ164" s="139">
        <f t="shared" si="196"/>
        <v>0</v>
      </c>
      <c r="FK164" s="139">
        <f t="shared" si="197"/>
        <v>0</v>
      </c>
      <c r="FL164" s="139">
        <f t="shared" si="198"/>
        <v>0</v>
      </c>
      <c r="FM164" s="139">
        <f t="shared" si="199"/>
        <v>0</v>
      </c>
      <c r="FN164" s="139">
        <f t="shared" si="200"/>
        <v>0</v>
      </c>
      <c r="FO164" s="139">
        <f t="shared" si="201"/>
        <v>0</v>
      </c>
      <c r="FP164" s="139">
        <f t="shared" si="202"/>
        <v>0</v>
      </c>
      <c r="FQ164" s="139">
        <f t="shared" si="203"/>
        <v>0</v>
      </c>
      <c r="FR164" s="139">
        <f t="shared" si="204"/>
        <v>0</v>
      </c>
      <c r="FS164" s="139">
        <f t="shared" si="205"/>
        <v>0</v>
      </c>
      <c r="FT164" s="139">
        <f t="shared" si="206"/>
        <v>0</v>
      </c>
      <c r="FU164" s="148">
        <f t="shared" si="207"/>
        <v>0</v>
      </c>
      <c r="FV164" s="149"/>
      <c r="FY164" s="214">
        <v>159</v>
      </c>
      <c r="FZ164">
        <v>0.13407516159261343</v>
      </c>
      <c r="GA164">
        <v>16.93664450727287</v>
      </c>
      <c r="GB164">
        <v>10.376431000206049</v>
      </c>
      <c r="GC164">
        <v>1.6701124256833446</v>
      </c>
      <c r="GD164">
        <v>5.9397759252019284</v>
      </c>
      <c r="GE164">
        <v>13.204044083174447</v>
      </c>
      <c r="GF164">
        <v>16.852480716937826</v>
      </c>
      <c r="GG164">
        <v>17.428958768127579</v>
      </c>
      <c r="GH164">
        <v>6.9782562227679907</v>
      </c>
      <c r="GI164">
        <v>10.66716389545198</v>
      </c>
      <c r="GJ164"/>
      <c r="GK164"/>
      <c r="GL164"/>
      <c r="GM164"/>
    </row>
    <row r="165" spans="1:195" s="7" customFormat="1">
      <c r="A165" s="1"/>
      <c r="B165" s="76">
        <f t="shared" ca="1" si="172"/>
        <v>0.48029090642986549</v>
      </c>
      <c r="C165">
        <v>4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85.025974313850185</v>
      </c>
      <c r="AO165">
        <v>18.596069131718547</v>
      </c>
      <c r="AP165">
        <v>91.451263756322618</v>
      </c>
      <c r="AQ165">
        <v>106.59323255580286</v>
      </c>
      <c r="AR165">
        <v>16.90583944739565</v>
      </c>
      <c r="AS165">
        <v>89.032645497895572</v>
      </c>
      <c r="AT165" t="e">
        <v>#DIV/0!</v>
      </c>
      <c r="AU165" t="e">
        <v>#DIV/0!</v>
      </c>
      <c r="AV165"/>
      <c r="AW165"/>
      <c r="AX165" s="146"/>
      <c r="AY165" s="76">
        <f t="shared" ca="1" si="173"/>
        <v>0.7767086000782506</v>
      </c>
      <c r="AZ165">
        <v>8</v>
      </c>
      <c r="BA165" s="129">
        <f t="shared" si="245"/>
        <v>39910</v>
      </c>
      <c r="BB165" s="207">
        <v>0</v>
      </c>
      <c r="BC165" s="207">
        <v>0</v>
      </c>
      <c r="BD165" s="207">
        <v>0</v>
      </c>
      <c r="BE165" s="207">
        <v>3</v>
      </c>
      <c r="BF165" s="207">
        <v>3</v>
      </c>
      <c r="BG165" s="207">
        <v>0</v>
      </c>
      <c r="BH165" s="207">
        <v>0</v>
      </c>
      <c r="BI165" s="207">
        <v>0</v>
      </c>
      <c r="BJ165" s="207">
        <v>0</v>
      </c>
      <c r="BK165" s="207">
        <v>0</v>
      </c>
      <c r="BL165" s="207">
        <v>0</v>
      </c>
      <c r="BM165" s="207">
        <v>0</v>
      </c>
      <c r="BN165" s="207">
        <v>0</v>
      </c>
      <c r="BO165" s="207">
        <v>0</v>
      </c>
      <c r="BP165" s="207">
        <v>0</v>
      </c>
      <c r="BQ165" s="207">
        <v>0</v>
      </c>
      <c r="BR165" s="207">
        <v>0</v>
      </c>
      <c r="BS165" s="207">
        <v>0</v>
      </c>
      <c r="BT165" s="207">
        <v>0</v>
      </c>
      <c r="BU165" s="207">
        <v>0</v>
      </c>
      <c r="BV165" s="207">
        <v>0</v>
      </c>
      <c r="BW165" s="207">
        <v>0</v>
      </c>
      <c r="BX165" s="207">
        <v>0</v>
      </c>
      <c r="BY165" s="207">
        <v>0</v>
      </c>
      <c r="BZ165" s="207">
        <v>0</v>
      </c>
      <c r="CA165" s="207">
        <v>0</v>
      </c>
      <c r="CB165" s="207">
        <v>0</v>
      </c>
      <c r="CC165" s="207">
        <v>0</v>
      </c>
      <c r="CD165" s="207">
        <v>0</v>
      </c>
      <c r="CE165" s="207">
        <v>0</v>
      </c>
      <c r="CF165" s="207">
        <v>0</v>
      </c>
      <c r="CG165" s="147"/>
      <c r="CH165" s="176"/>
      <c r="CJ165" s="146"/>
      <c r="CK165" s="76">
        <f t="shared" ca="1" si="208"/>
        <v>0.84820817775064183</v>
      </c>
      <c r="CL165" s="179">
        <f t="shared" si="209"/>
        <v>8</v>
      </c>
      <c r="CM165" s="180">
        <f t="shared" si="210"/>
        <v>39910</v>
      </c>
      <c r="CN165" s="208">
        <v>0</v>
      </c>
      <c r="CO165" s="208">
        <v>0</v>
      </c>
      <c r="CP165" s="208">
        <v>0</v>
      </c>
      <c r="CQ165" s="208">
        <v>0</v>
      </c>
      <c r="CR165" s="208">
        <v>0</v>
      </c>
      <c r="CS165" s="208">
        <v>0</v>
      </c>
      <c r="CT165" s="208">
        <v>0</v>
      </c>
      <c r="CU165" s="208">
        <v>0</v>
      </c>
      <c r="CV165" s="160"/>
      <c r="CW165">
        <v>1</v>
      </c>
      <c r="CX165">
        <v>1</v>
      </c>
      <c r="CY165" s="165"/>
      <c r="CZ165" s="177">
        <f t="shared" si="211"/>
        <v>9.6000000000000002E-2</v>
      </c>
      <c r="DB165" s="146"/>
      <c r="DC165" s="76">
        <f t="shared" ca="1" si="174"/>
        <v>0.35715319922594913</v>
      </c>
      <c r="DD165">
        <f t="shared" si="212"/>
        <v>8</v>
      </c>
      <c r="DE165" s="129">
        <f t="shared" si="244"/>
        <v>39910</v>
      </c>
      <c r="DF165" s="161">
        <f t="shared" si="213"/>
        <v>0</v>
      </c>
      <c r="DG165" s="161">
        <f t="shared" si="214"/>
        <v>0</v>
      </c>
      <c r="DH165" s="161">
        <f t="shared" si="215"/>
        <v>0</v>
      </c>
      <c r="DI165" s="161">
        <f t="shared" si="216"/>
        <v>31.25</v>
      </c>
      <c r="DJ165" s="161">
        <f t="shared" si="217"/>
        <v>31.25</v>
      </c>
      <c r="DK165" s="161">
        <f t="shared" si="218"/>
        <v>0</v>
      </c>
      <c r="DL165" s="161">
        <f t="shared" si="219"/>
        <v>0</v>
      </c>
      <c r="DM165" s="161">
        <f t="shared" si="220"/>
        <v>0</v>
      </c>
      <c r="DN165" s="161">
        <f t="shared" si="221"/>
        <v>0</v>
      </c>
      <c r="DO165" s="161">
        <f t="shared" si="222"/>
        <v>0</v>
      </c>
      <c r="DP165" s="161">
        <f t="shared" si="223"/>
        <v>0</v>
      </c>
      <c r="DQ165" s="161">
        <f t="shared" si="224"/>
        <v>0</v>
      </c>
      <c r="DR165" s="161">
        <f t="shared" si="225"/>
        <v>0</v>
      </c>
      <c r="DS165" s="161">
        <f t="shared" si="226"/>
        <v>0</v>
      </c>
      <c r="DT165" s="161">
        <f t="shared" si="227"/>
        <v>0</v>
      </c>
      <c r="DU165" s="161">
        <f t="shared" si="228"/>
        <v>0</v>
      </c>
      <c r="DV165" s="161">
        <f t="shared" si="229"/>
        <v>0</v>
      </c>
      <c r="DW165" s="161">
        <f t="shared" si="230"/>
        <v>0</v>
      </c>
      <c r="DX165" s="161">
        <f t="shared" si="231"/>
        <v>0</v>
      </c>
      <c r="DY165" s="161">
        <f t="shared" si="232"/>
        <v>0</v>
      </c>
      <c r="DZ165" s="161">
        <f t="shared" si="233"/>
        <v>0</v>
      </c>
      <c r="EA165" s="161">
        <f t="shared" si="234"/>
        <v>0</v>
      </c>
      <c r="EB165" s="161">
        <f t="shared" si="235"/>
        <v>0</v>
      </c>
      <c r="EC165" s="161">
        <f t="shared" si="236"/>
        <v>0</v>
      </c>
      <c r="ED165" s="161">
        <f t="shared" si="237"/>
        <v>0</v>
      </c>
      <c r="EE165" s="161">
        <f t="shared" si="238"/>
        <v>0</v>
      </c>
      <c r="EF165" s="161">
        <f t="shared" si="239"/>
        <v>0</v>
      </c>
      <c r="EG165" s="161">
        <f t="shared" si="240"/>
        <v>0</v>
      </c>
      <c r="EH165" s="161">
        <f t="shared" si="241"/>
        <v>0</v>
      </c>
      <c r="EI165" s="161">
        <f t="shared" si="242"/>
        <v>0</v>
      </c>
      <c r="EJ165" s="161">
        <f t="shared" si="243"/>
        <v>0</v>
      </c>
      <c r="EK165" s="147">
        <f t="shared" si="175"/>
        <v>62.5</v>
      </c>
      <c r="EL165" s="149"/>
      <c r="EN165" s="146"/>
      <c r="EO165" s="146"/>
      <c r="EP165" s="139">
        <f t="shared" si="176"/>
        <v>0</v>
      </c>
      <c r="EQ165" s="139">
        <f t="shared" si="177"/>
        <v>0</v>
      </c>
      <c r="ER165" s="139">
        <f t="shared" si="178"/>
        <v>0</v>
      </c>
      <c r="ES165" s="139">
        <f t="shared" si="179"/>
        <v>4.0290680225045579</v>
      </c>
      <c r="ET165" s="139">
        <f t="shared" si="180"/>
        <v>8.7054361844862136</v>
      </c>
      <c r="EU165" s="139">
        <f t="shared" si="181"/>
        <v>0</v>
      </c>
      <c r="EV165" s="139">
        <f t="shared" si="182"/>
        <v>0</v>
      </c>
      <c r="EW165" s="139">
        <f t="shared" si="183"/>
        <v>0</v>
      </c>
      <c r="EX165" s="139">
        <f t="shared" si="184"/>
        <v>0</v>
      </c>
      <c r="EY165" s="139">
        <f t="shared" si="185"/>
        <v>0</v>
      </c>
      <c r="EZ165" s="139">
        <f t="shared" si="186"/>
        <v>0</v>
      </c>
      <c r="FA165" s="139">
        <f t="shared" si="187"/>
        <v>0</v>
      </c>
      <c r="FB165" s="139">
        <f t="shared" si="188"/>
        <v>0</v>
      </c>
      <c r="FC165" s="139">
        <f t="shared" si="189"/>
        <v>0</v>
      </c>
      <c r="FD165" s="139">
        <f t="shared" si="190"/>
        <v>0</v>
      </c>
      <c r="FE165" s="139">
        <f t="shared" si="191"/>
        <v>0</v>
      </c>
      <c r="FF165" s="139">
        <f t="shared" si="192"/>
        <v>0</v>
      </c>
      <c r="FG165" s="139">
        <f t="shared" si="193"/>
        <v>0</v>
      </c>
      <c r="FH165" s="139">
        <f t="shared" si="194"/>
        <v>0</v>
      </c>
      <c r="FI165" s="139">
        <f t="shared" si="195"/>
        <v>0</v>
      </c>
      <c r="FJ165" s="139">
        <f t="shared" si="196"/>
        <v>0</v>
      </c>
      <c r="FK165" s="139">
        <f t="shared" si="197"/>
        <v>0</v>
      </c>
      <c r="FL165" s="139">
        <f t="shared" si="198"/>
        <v>0</v>
      </c>
      <c r="FM165" s="139">
        <f t="shared" si="199"/>
        <v>0</v>
      </c>
      <c r="FN165" s="139">
        <f t="shared" si="200"/>
        <v>0</v>
      </c>
      <c r="FO165" s="139">
        <f t="shared" si="201"/>
        <v>0</v>
      </c>
      <c r="FP165" s="139">
        <f t="shared" si="202"/>
        <v>0</v>
      </c>
      <c r="FQ165" s="139">
        <f t="shared" si="203"/>
        <v>0</v>
      </c>
      <c r="FR165" s="139">
        <f t="shared" si="204"/>
        <v>0</v>
      </c>
      <c r="FS165" s="139">
        <f t="shared" si="205"/>
        <v>0</v>
      </c>
      <c r="FT165" s="139">
        <f t="shared" si="206"/>
        <v>0</v>
      </c>
      <c r="FU165" s="148">
        <f t="shared" si="207"/>
        <v>12.734504206990771</v>
      </c>
      <c r="FV165" s="149"/>
      <c r="FY165" s="214">
        <v>160</v>
      </c>
      <c r="FZ165">
        <v>1.0726012927409077</v>
      </c>
      <c r="GA165">
        <v>11.01023079143599</v>
      </c>
      <c r="GB165">
        <v>7.1422147354755703</v>
      </c>
      <c r="GC165">
        <v>1.6639070218120267</v>
      </c>
      <c r="GD165">
        <v>7.9318555350101079</v>
      </c>
      <c r="GE165">
        <v>19.586282094851942</v>
      </c>
      <c r="GF165">
        <v>13.044653350488643</v>
      </c>
      <c r="GG165">
        <v>5.8492423990003513</v>
      </c>
      <c r="GH165">
        <v>4.2990550956008153</v>
      </c>
      <c r="GI165">
        <v>9.966757840845343</v>
      </c>
      <c r="GJ165"/>
      <c r="GK165"/>
      <c r="GL165"/>
      <c r="GM165"/>
    </row>
    <row r="166" spans="1:195" s="7" customFormat="1">
      <c r="A166" s="1"/>
      <c r="B166" s="76">
        <f t="shared" ca="1" si="172"/>
        <v>2.9115202880473312E-2</v>
      </c>
      <c r="C166">
        <v>1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81.380547325349724</v>
      </c>
      <c r="AO166">
        <v>13.478390296221523</v>
      </c>
      <c r="AP166">
        <v>48.809337714800073</v>
      </c>
      <c r="AQ166">
        <v>88.153775104412389</v>
      </c>
      <c r="AR166">
        <v>12.991670994607979</v>
      </c>
      <c r="AS166">
        <v>70.531261257573306</v>
      </c>
      <c r="AT166">
        <v>7.4762631470840306</v>
      </c>
      <c r="AU166">
        <v>14.810582276279241</v>
      </c>
      <c r="AV166"/>
      <c r="AW166"/>
      <c r="AX166" s="146"/>
      <c r="AY166" s="76">
        <f t="shared" ca="1" si="173"/>
        <v>0.37751351217331464</v>
      </c>
      <c r="AZ166">
        <v>9</v>
      </c>
      <c r="BA166" s="129">
        <f t="shared" si="245"/>
        <v>39910</v>
      </c>
      <c r="BB166" s="207">
        <v>0</v>
      </c>
      <c r="BC166" s="207">
        <v>0</v>
      </c>
      <c r="BD166" s="207">
        <v>0</v>
      </c>
      <c r="BE166" s="207">
        <v>0</v>
      </c>
      <c r="BF166" s="207">
        <v>0</v>
      </c>
      <c r="BG166" s="207">
        <v>0</v>
      </c>
      <c r="BH166" s="207">
        <v>0</v>
      </c>
      <c r="BI166" s="207">
        <v>0</v>
      </c>
      <c r="BJ166" s="207">
        <v>0</v>
      </c>
      <c r="BK166" s="207">
        <v>0</v>
      </c>
      <c r="BL166" s="207">
        <v>0</v>
      </c>
      <c r="BM166" s="207">
        <v>0</v>
      </c>
      <c r="BN166" s="207">
        <v>0</v>
      </c>
      <c r="BO166" s="207">
        <v>0</v>
      </c>
      <c r="BP166" s="207">
        <v>0</v>
      </c>
      <c r="BQ166" s="207">
        <v>0</v>
      </c>
      <c r="BR166" s="207">
        <v>0</v>
      </c>
      <c r="BS166" s="207">
        <v>0</v>
      </c>
      <c r="BT166" s="207">
        <v>0</v>
      </c>
      <c r="BU166" s="207">
        <v>0</v>
      </c>
      <c r="BV166" s="207">
        <v>0</v>
      </c>
      <c r="BW166" s="207">
        <v>0</v>
      </c>
      <c r="BX166" s="207">
        <v>0</v>
      </c>
      <c r="BY166" s="207">
        <v>0</v>
      </c>
      <c r="BZ166" s="207">
        <v>0</v>
      </c>
      <c r="CA166" s="207">
        <v>0</v>
      </c>
      <c r="CB166" s="207">
        <v>0</v>
      </c>
      <c r="CC166" s="207">
        <v>0</v>
      </c>
      <c r="CD166" s="207">
        <v>0</v>
      </c>
      <c r="CE166" s="207">
        <v>0</v>
      </c>
      <c r="CF166" s="207">
        <v>0</v>
      </c>
      <c r="CG166" s="147"/>
      <c r="CH166" s="176"/>
      <c r="CJ166" s="146"/>
      <c r="CK166" s="76">
        <f t="shared" ca="1" si="208"/>
        <v>0.78790220246516807</v>
      </c>
      <c r="CL166" s="179">
        <f t="shared" si="209"/>
        <v>9</v>
      </c>
      <c r="CM166" s="180">
        <f t="shared" si="210"/>
        <v>39910</v>
      </c>
      <c r="CN166" s="208">
        <v>0</v>
      </c>
      <c r="CO166" s="208">
        <v>0</v>
      </c>
      <c r="CP166" s="208">
        <v>0</v>
      </c>
      <c r="CQ166" s="208">
        <v>0</v>
      </c>
      <c r="CR166" s="208">
        <v>1</v>
      </c>
      <c r="CS166" s="208">
        <v>1</v>
      </c>
      <c r="CT166" s="208">
        <v>0</v>
      </c>
      <c r="CU166" s="208">
        <v>0</v>
      </c>
      <c r="CV166" s="160"/>
      <c r="CW166">
        <f>33/10</f>
        <v>3.3</v>
      </c>
      <c r="CX166">
        <f>350/36</f>
        <v>9.7222222222222214</v>
      </c>
      <c r="CY166" s="165"/>
      <c r="CZ166" s="177">
        <f t="shared" si="211"/>
        <v>9.6000000000000002E-2</v>
      </c>
      <c r="DB166" s="146"/>
      <c r="DC166" s="76">
        <f t="shared" ca="1" si="174"/>
        <v>0.98075230969755434</v>
      </c>
      <c r="DD166">
        <f t="shared" si="212"/>
        <v>9</v>
      </c>
      <c r="DE166" s="129">
        <f t="shared" si="244"/>
        <v>39910</v>
      </c>
      <c r="DF166" s="161">
        <f t="shared" si="213"/>
        <v>0</v>
      </c>
      <c r="DG166" s="161">
        <f t="shared" si="214"/>
        <v>0</v>
      </c>
      <c r="DH166" s="161">
        <f t="shared" si="215"/>
        <v>0</v>
      </c>
      <c r="DI166" s="161">
        <f t="shared" si="216"/>
        <v>0</v>
      </c>
      <c r="DJ166" s="161">
        <f t="shared" si="217"/>
        <v>101.27314814814814</v>
      </c>
      <c r="DK166" s="161">
        <f t="shared" si="218"/>
        <v>101.27314814814814</v>
      </c>
      <c r="DL166" s="161">
        <f t="shared" si="219"/>
        <v>0</v>
      </c>
      <c r="DM166" s="161">
        <f t="shared" si="220"/>
        <v>0</v>
      </c>
      <c r="DN166" s="161">
        <f t="shared" si="221"/>
        <v>0</v>
      </c>
      <c r="DO166" s="161">
        <f t="shared" si="222"/>
        <v>0</v>
      </c>
      <c r="DP166" s="161">
        <f t="shared" si="223"/>
        <v>0</v>
      </c>
      <c r="DQ166" s="161">
        <f t="shared" si="224"/>
        <v>0</v>
      </c>
      <c r="DR166" s="161">
        <f t="shared" si="225"/>
        <v>0</v>
      </c>
      <c r="DS166" s="161">
        <f t="shared" si="226"/>
        <v>0</v>
      </c>
      <c r="DT166" s="161">
        <f t="shared" si="227"/>
        <v>0</v>
      </c>
      <c r="DU166" s="161">
        <f t="shared" si="228"/>
        <v>0</v>
      </c>
      <c r="DV166" s="161">
        <f t="shared" si="229"/>
        <v>0</v>
      </c>
      <c r="DW166" s="161">
        <f t="shared" si="230"/>
        <v>0</v>
      </c>
      <c r="DX166" s="161">
        <f t="shared" si="231"/>
        <v>0</v>
      </c>
      <c r="DY166" s="161">
        <f t="shared" si="232"/>
        <v>0</v>
      </c>
      <c r="DZ166" s="161">
        <f t="shared" si="233"/>
        <v>0</v>
      </c>
      <c r="EA166" s="161">
        <f t="shared" si="234"/>
        <v>0</v>
      </c>
      <c r="EB166" s="161">
        <f t="shared" si="235"/>
        <v>0</v>
      </c>
      <c r="EC166" s="161">
        <f t="shared" si="236"/>
        <v>0</v>
      </c>
      <c r="ED166" s="161">
        <f t="shared" si="237"/>
        <v>0</v>
      </c>
      <c r="EE166" s="161">
        <f t="shared" si="238"/>
        <v>0</v>
      </c>
      <c r="EF166" s="161">
        <f t="shared" si="239"/>
        <v>0</v>
      </c>
      <c r="EG166" s="161">
        <f t="shared" si="240"/>
        <v>0</v>
      </c>
      <c r="EH166" s="161">
        <f t="shared" si="241"/>
        <v>0</v>
      </c>
      <c r="EI166" s="161">
        <f t="shared" si="242"/>
        <v>0</v>
      </c>
      <c r="EJ166" s="161">
        <f t="shared" si="243"/>
        <v>0</v>
      </c>
      <c r="EK166" s="147">
        <f t="shared" si="175"/>
        <v>202.54629629629628</v>
      </c>
      <c r="EL166" s="149"/>
      <c r="EN166" s="146"/>
      <c r="EO166" s="146"/>
      <c r="EP166" s="139">
        <f t="shared" si="176"/>
        <v>0</v>
      </c>
      <c r="EQ166" s="139">
        <f t="shared" si="177"/>
        <v>0</v>
      </c>
      <c r="ER166" s="139">
        <f t="shared" si="178"/>
        <v>0</v>
      </c>
      <c r="ES166" s="139">
        <f t="shared" si="179"/>
        <v>0</v>
      </c>
      <c r="ET166" s="139">
        <f t="shared" si="180"/>
        <v>28.212061708983097</v>
      </c>
      <c r="EU166" s="139">
        <f t="shared" si="181"/>
        <v>51.281396090420891</v>
      </c>
      <c r="EV166" s="139">
        <f t="shared" si="182"/>
        <v>0</v>
      </c>
      <c r="EW166" s="139">
        <f t="shared" si="183"/>
        <v>0</v>
      </c>
      <c r="EX166" s="139">
        <f t="shared" si="184"/>
        <v>0</v>
      </c>
      <c r="EY166" s="139">
        <f t="shared" si="185"/>
        <v>0</v>
      </c>
      <c r="EZ166" s="139">
        <f t="shared" si="186"/>
        <v>0</v>
      </c>
      <c r="FA166" s="139">
        <f t="shared" si="187"/>
        <v>0</v>
      </c>
      <c r="FB166" s="139">
        <f t="shared" si="188"/>
        <v>0</v>
      </c>
      <c r="FC166" s="139">
        <f t="shared" si="189"/>
        <v>0</v>
      </c>
      <c r="FD166" s="139">
        <f t="shared" si="190"/>
        <v>0</v>
      </c>
      <c r="FE166" s="139">
        <f t="shared" si="191"/>
        <v>0</v>
      </c>
      <c r="FF166" s="139">
        <f t="shared" si="192"/>
        <v>0</v>
      </c>
      <c r="FG166" s="139">
        <f t="shared" si="193"/>
        <v>0</v>
      </c>
      <c r="FH166" s="139">
        <f t="shared" si="194"/>
        <v>0</v>
      </c>
      <c r="FI166" s="139">
        <f t="shared" si="195"/>
        <v>0</v>
      </c>
      <c r="FJ166" s="139">
        <f t="shared" si="196"/>
        <v>0</v>
      </c>
      <c r="FK166" s="139">
        <f t="shared" si="197"/>
        <v>0</v>
      </c>
      <c r="FL166" s="139">
        <f t="shared" si="198"/>
        <v>0</v>
      </c>
      <c r="FM166" s="139">
        <f t="shared" si="199"/>
        <v>0</v>
      </c>
      <c r="FN166" s="139">
        <f t="shared" si="200"/>
        <v>0</v>
      </c>
      <c r="FO166" s="139">
        <f t="shared" si="201"/>
        <v>0</v>
      </c>
      <c r="FP166" s="139">
        <f t="shared" si="202"/>
        <v>0</v>
      </c>
      <c r="FQ166" s="139">
        <f t="shared" si="203"/>
        <v>0</v>
      </c>
      <c r="FR166" s="139">
        <f t="shared" si="204"/>
        <v>0</v>
      </c>
      <c r="FS166" s="139">
        <f t="shared" si="205"/>
        <v>0</v>
      </c>
      <c r="FT166" s="139">
        <f t="shared" si="206"/>
        <v>0</v>
      </c>
      <c r="FU166" s="148">
        <f t="shared" si="207"/>
        <v>79.493457799403984</v>
      </c>
      <c r="FV166" s="149"/>
      <c r="FY166" s="214">
        <v>161</v>
      </c>
      <c r="FZ166">
        <v>1.4485619286702631</v>
      </c>
      <c r="GA166">
        <v>30.864716800139664</v>
      </c>
      <c r="GB166">
        <v>17.756671805110056</v>
      </c>
      <c r="GC166">
        <v>1.9814801035968881</v>
      </c>
      <c r="GD166">
        <v>6.2697712572234732</v>
      </c>
      <c r="GE166">
        <v>17.80805237548087</v>
      </c>
      <c r="GF166">
        <v>15.435769322068357</v>
      </c>
      <c r="GG166">
        <v>8.5332260009873799</v>
      </c>
      <c r="GH166">
        <v>5.833164351279815</v>
      </c>
      <c r="GI166">
        <v>12.262953926583172</v>
      </c>
      <c r="GJ166"/>
      <c r="GK166"/>
      <c r="GL166"/>
      <c r="GM166"/>
    </row>
    <row r="167" spans="1:195" s="7" customFormat="1">
      <c r="A167" s="1"/>
      <c r="B167" s="76">
        <f t="shared" ca="1" si="172"/>
        <v>0.6238354920172906</v>
      </c>
      <c r="C167">
        <v>8</v>
      </c>
      <c r="D167">
        <v>39910</v>
      </c>
      <c r="E167">
        <v>0</v>
      </c>
      <c r="F167">
        <v>0</v>
      </c>
      <c r="G167">
        <v>0</v>
      </c>
      <c r="H167">
        <v>31.25</v>
      </c>
      <c r="I167">
        <v>31.25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58.622491631902903</v>
      </c>
      <c r="AO167">
        <v>13.222929574779897</v>
      </c>
      <c r="AP167">
        <v>56.019424015274396</v>
      </c>
      <c r="AQ167">
        <v>82.532645128887665</v>
      </c>
      <c r="AR167">
        <v>12.211596943284139</v>
      </c>
      <c r="AS167">
        <v>55.587144372910117</v>
      </c>
      <c r="AT167">
        <v>6.8662779795427182</v>
      </c>
      <c r="AU167">
        <v>3.62983942095557</v>
      </c>
      <c r="AV167"/>
      <c r="AW167"/>
      <c r="AX167" s="146"/>
      <c r="AY167" s="76">
        <f t="shared" ca="1" si="173"/>
        <v>0.92458312012222432</v>
      </c>
      <c r="AZ167">
        <v>10</v>
      </c>
      <c r="BA167" s="129">
        <f t="shared" si="245"/>
        <v>39910</v>
      </c>
      <c r="BB167" s="207">
        <v>0</v>
      </c>
      <c r="BC167" s="207">
        <v>0</v>
      </c>
      <c r="BD167" s="207">
        <v>0</v>
      </c>
      <c r="BE167" s="207">
        <v>0</v>
      </c>
      <c r="BF167" s="207">
        <v>0</v>
      </c>
      <c r="BG167" s="207">
        <v>0</v>
      </c>
      <c r="BH167" s="207">
        <v>0</v>
      </c>
      <c r="BI167" s="207">
        <v>1</v>
      </c>
      <c r="BJ167" s="207">
        <v>0</v>
      </c>
      <c r="BK167" s="207">
        <v>0</v>
      </c>
      <c r="BL167" s="207">
        <v>0</v>
      </c>
      <c r="BM167" s="207">
        <v>0</v>
      </c>
      <c r="BN167" s="207">
        <v>0</v>
      </c>
      <c r="BO167" s="207">
        <v>0</v>
      </c>
      <c r="BP167" s="207">
        <v>0</v>
      </c>
      <c r="BQ167" s="207">
        <v>0</v>
      </c>
      <c r="BR167" s="207">
        <v>0</v>
      </c>
      <c r="BS167" s="207">
        <v>0</v>
      </c>
      <c r="BT167" s="207">
        <v>0</v>
      </c>
      <c r="BU167" s="207">
        <v>0</v>
      </c>
      <c r="BV167" s="207">
        <v>0</v>
      </c>
      <c r="BW167" s="207">
        <v>0</v>
      </c>
      <c r="BX167" s="207">
        <v>0</v>
      </c>
      <c r="BY167" s="207">
        <v>0</v>
      </c>
      <c r="BZ167" s="207">
        <v>0</v>
      </c>
      <c r="CA167" s="207">
        <v>0</v>
      </c>
      <c r="CB167" s="207">
        <v>0</v>
      </c>
      <c r="CC167" s="207">
        <v>0</v>
      </c>
      <c r="CD167" s="207">
        <v>0</v>
      </c>
      <c r="CE167" s="207">
        <v>0</v>
      </c>
      <c r="CF167" s="207">
        <v>0</v>
      </c>
      <c r="CG167" s="147"/>
      <c r="CH167" s="176"/>
      <c r="CJ167" s="146"/>
      <c r="CK167" s="76">
        <f t="shared" ca="1" si="208"/>
        <v>0.89460847190059156</v>
      </c>
      <c r="CL167" s="179">
        <f t="shared" si="209"/>
        <v>10</v>
      </c>
      <c r="CM167" s="180">
        <f t="shared" si="210"/>
        <v>39910</v>
      </c>
      <c r="CN167" s="208">
        <v>0</v>
      </c>
      <c r="CO167" s="208">
        <v>0</v>
      </c>
      <c r="CP167" s="208">
        <v>0</v>
      </c>
      <c r="CQ167" s="208">
        <v>1</v>
      </c>
      <c r="CR167" s="208">
        <v>0</v>
      </c>
      <c r="CS167" s="208">
        <v>0</v>
      </c>
      <c r="CT167" s="208">
        <v>0</v>
      </c>
      <c r="CU167" s="208">
        <v>0</v>
      </c>
      <c r="CV167" s="160"/>
      <c r="CW167">
        <v>1</v>
      </c>
      <c r="CX167">
        <f>350/35</f>
        <v>10</v>
      </c>
      <c r="CY167" s="165"/>
      <c r="CZ167" s="177">
        <f t="shared" si="211"/>
        <v>9.6000000000000002E-2</v>
      </c>
      <c r="DB167" s="146"/>
      <c r="DC167" s="76">
        <f t="shared" ca="1" si="174"/>
        <v>2.615355712977685E-2</v>
      </c>
      <c r="DD167">
        <f t="shared" si="212"/>
        <v>10</v>
      </c>
      <c r="DE167" s="129">
        <f t="shared" si="244"/>
        <v>39910</v>
      </c>
      <c r="DF167" s="161">
        <f t="shared" si="213"/>
        <v>0</v>
      </c>
      <c r="DG167" s="161">
        <f t="shared" si="214"/>
        <v>0</v>
      </c>
      <c r="DH167" s="161">
        <f t="shared" si="215"/>
        <v>0</v>
      </c>
      <c r="DI167" s="161">
        <f t="shared" si="216"/>
        <v>104.16666666666667</v>
      </c>
      <c r="DJ167" s="161">
        <f t="shared" si="217"/>
        <v>0</v>
      </c>
      <c r="DK167" s="161">
        <f t="shared" si="218"/>
        <v>0</v>
      </c>
      <c r="DL167" s="161">
        <f t="shared" si="219"/>
        <v>0</v>
      </c>
      <c r="DM167" s="161">
        <f t="shared" si="220"/>
        <v>10.416666666666666</v>
      </c>
      <c r="DN167" s="161">
        <f t="shared" si="221"/>
        <v>0</v>
      </c>
      <c r="DO167" s="161">
        <f t="shared" si="222"/>
        <v>0</v>
      </c>
      <c r="DP167" s="161">
        <f t="shared" si="223"/>
        <v>0</v>
      </c>
      <c r="DQ167" s="161">
        <f t="shared" si="224"/>
        <v>0</v>
      </c>
      <c r="DR167" s="161">
        <f t="shared" si="225"/>
        <v>0</v>
      </c>
      <c r="DS167" s="161">
        <f t="shared" si="226"/>
        <v>0</v>
      </c>
      <c r="DT167" s="161">
        <f t="shared" si="227"/>
        <v>0</v>
      </c>
      <c r="DU167" s="161">
        <f t="shared" si="228"/>
        <v>0</v>
      </c>
      <c r="DV167" s="161">
        <f t="shared" si="229"/>
        <v>0</v>
      </c>
      <c r="DW167" s="161">
        <f t="shared" si="230"/>
        <v>0</v>
      </c>
      <c r="DX167" s="161">
        <f t="shared" si="231"/>
        <v>0</v>
      </c>
      <c r="DY167" s="161">
        <f t="shared" si="232"/>
        <v>0</v>
      </c>
      <c r="DZ167" s="161">
        <f t="shared" si="233"/>
        <v>0</v>
      </c>
      <c r="EA167" s="161">
        <f t="shared" si="234"/>
        <v>0</v>
      </c>
      <c r="EB167" s="161">
        <f t="shared" si="235"/>
        <v>0</v>
      </c>
      <c r="EC167" s="161">
        <f t="shared" si="236"/>
        <v>0</v>
      </c>
      <c r="ED167" s="161">
        <f t="shared" si="237"/>
        <v>0</v>
      </c>
      <c r="EE167" s="161">
        <f t="shared" si="238"/>
        <v>0</v>
      </c>
      <c r="EF167" s="161">
        <f t="shared" si="239"/>
        <v>0</v>
      </c>
      <c r="EG167" s="161">
        <f t="shared" si="240"/>
        <v>0</v>
      </c>
      <c r="EH167" s="161">
        <f t="shared" si="241"/>
        <v>0</v>
      </c>
      <c r="EI167" s="161">
        <f t="shared" si="242"/>
        <v>0</v>
      </c>
      <c r="EJ167" s="161">
        <f t="shared" si="243"/>
        <v>0</v>
      </c>
      <c r="EK167" s="147">
        <f t="shared" si="175"/>
        <v>114.58333333333334</v>
      </c>
      <c r="EL167" s="149"/>
      <c r="EN167" s="146"/>
      <c r="EO167" s="146"/>
      <c r="EP167" s="139">
        <f t="shared" si="176"/>
        <v>0</v>
      </c>
      <c r="EQ167" s="139">
        <f t="shared" si="177"/>
        <v>0</v>
      </c>
      <c r="ER167" s="139">
        <f t="shared" si="178"/>
        <v>0</v>
      </c>
      <c r="ES167" s="139">
        <f t="shared" si="179"/>
        <v>13.430226741681858</v>
      </c>
      <c r="ET167" s="139">
        <f t="shared" si="180"/>
        <v>0</v>
      </c>
      <c r="EU167" s="139">
        <f t="shared" si="181"/>
        <v>0</v>
      </c>
      <c r="EV167" s="139">
        <f t="shared" si="182"/>
        <v>0</v>
      </c>
      <c r="EW167" s="139">
        <f t="shared" si="183"/>
        <v>12.987488497144399</v>
      </c>
      <c r="EX167" s="139">
        <f t="shared" si="184"/>
        <v>0</v>
      </c>
      <c r="EY167" s="139">
        <f t="shared" si="185"/>
        <v>0</v>
      </c>
      <c r="EZ167" s="139">
        <f t="shared" si="186"/>
        <v>0</v>
      </c>
      <c r="FA167" s="139">
        <f t="shared" si="187"/>
        <v>0</v>
      </c>
      <c r="FB167" s="139">
        <f t="shared" si="188"/>
        <v>0</v>
      </c>
      <c r="FC167" s="139">
        <f t="shared" si="189"/>
        <v>0</v>
      </c>
      <c r="FD167" s="139">
        <f t="shared" si="190"/>
        <v>0</v>
      </c>
      <c r="FE167" s="139">
        <f t="shared" si="191"/>
        <v>0</v>
      </c>
      <c r="FF167" s="139">
        <f t="shared" si="192"/>
        <v>0</v>
      </c>
      <c r="FG167" s="139">
        <f t="shared" si="193"/>
        <v>0</v>
      </c>
      <c r="FH167" s="139">
        <f t="shared" si="194"/>
        <v>0</v>
      </c>
      <c r="FI167" s="139">
        <f t="shared" si="195"/>
        <v>0</v>
      </c>
      <c r="FJ167" s="139">
        <f t="shared" si="196"/>
        <v>0</v>
      </c>
      <c r="FK167" s="139">
        <f t="shared" si="197"/>
        <v>0</v>
      </c>
      <c r="FL167" s="139">
        <f t="shared" si="198"/>
        <v>0</v>
      </c>
      <c r="FM167" s="139">
        <f t="shared" si="199"/>
        <v>0</v>
      </c>
      <c r="FN167" s="139">
        <f t="shared" si="200"/>
        <v>0</v>
      </c>
      <c r="FO167" s="139">
        <f t="shared" si="201"/>
        <v>0</v>
      </c>
      <c r="FP167" s="139">
        <f t="shared" si="202"/>
        <v>0</v>
      </c>
      <c r="FQ167" s="139">
        <f t="shared" si="203"/>
        <v>0</v>
      </c>
      <c r="FR167" s="139">
        <f t="shared" si="204"/>
        <v>0</v>
      </c>
      <c r="FS167" s="139">
        <f t="shared" si="205"/>
        <v>0</v>
      </c>
      <c r="FT167" s="139">
        <f t="shared" si="206"/>
        <v>0</v>
      </c>
      <c r="FU167" s="148">
        <f t="shared" si="207"/>
        <v>26.417715238826258</v>
      </c>
      <c r="FV167" s="149"/>
      <c r="FY167" s="214">
        <v>162</v>
      </c>
      <c r="FZ167">
        <v>0.68970089655385203</v>
      </c>
      <c r="GA167">
        <v>17.027561598741833</v>
      </c>
      <c r="GB167">
        <v>9.1005569635809174</v>
      </c>
      <c r="GC167">
        <v>1.1008055817073246</v>
      </c>
      <c r="GD167">
        <v>8.0209900911974579</v>
      </c>
      <c r="GE167">
        <v>21.327369665195373</v>
      </c>
      <c r="GF167">
        <v>19.967495553899909</v>
      </c>
      <c r="GG167">
        <v>12.379639973703245</v>
      </c>
      <c r="GH167">
        <v>5.9169126775630962</v>
      </c>
      <c r="GI167">
        <v>12.142987156193392</v>
      </c>
      <c r="GJ167"/>
      <c r="GK167"/>
      <c r="GL167"/>
      <c r="GM167"/>
    </row>
    <row r="168" spans="1:195" s="7" customFormat="1">
      <c r="A168" s="128"/>
      <c r="B168" s="76">
        <f t="shared" ca="1" si="172"/>
        <v>0.84258913025073046</v>
      </c>
      <c r="C168">
        <v>7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93.75</v>
      </c>
      <c r="J168">
        <v>41.666666666666664</v>
      </c>
      <c r="K168">
        <v>20.833333333333332</v>
      </c>
      <c r="L168">
        <v>10.416666666666666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101.77442868663454</v>
      </c>
      <c r="AO168">
        <v>21.518639895385327</v>
      </c>
      <c r="AP168">
        <v>112.82891841296939</v>
      </c>
      <c r="AQ168">
        <v>128.75691698796706</v>
      </c>
      <c r="AR168">
        <v>19.574931256857884</v>
      </c>
      <c r="AS168">
        <v>98.786713867182414</v>
      </c>
      <c r="AT168" t="e">
        <v>#DIV/0!</v>
      </c>
      <c r="AU168" t="e">
        <v>#DIV/0!</v>
      </c>
      <c r="AV168"/>
      <c r="AW168"/>
      <c r="AX168" s="128"/>
      <c r="AY168" s="76">
        <f t="shared" ca="1" si="173"/>
        <v>3.4259624749580553E-2</v>
      </c>
      <c r="AZ168">
        <v>1</v>
      </c>
      <c r="BA168" s="129">
        <f>IF(AZ168="", "",$C$12)</f>
        <v>39949</v>
      </c>
      <c r="BB168" s="207">
        <v>0</v>
      </c>
      <c r="BC168" s="207">
        <v>0</v>
      </c>
      <c r="BD168" s="207">
        <v>0</v>
      </c>
      <c r="BE168" s="207">
        <v>0</v>
      </c>
      <c r="BF168" s="207">
        <v>0</v>
      </c>
      <c r="BG168" s="207">
        <v>0</v>
      </c>
      <c r="BH168" s="207">
        <v>0</v>
      </c>
      <c r="BI168" s="207">
        <v>0</v>
      </c>
      <c r="BJ168" s="207">
        <v>0</v>
      </c>
      <c r="BK168" s="207">
        <v>0</v>
      </c>
      <c r="BL168" s="207">
        <v>0</v>
      </c>
      <c r="BM168" s="207">
        <v>0</v>
      </c>
      <c r="BN168" s="207">
        <v>0</v>
      </c>
      <c r="BO168" s="207">
        <v>0</v>
      </c>
      <c r="BP168" s="207">
        <v>0</v>
      </c>
      <c r="BQ168" s="207">
        <v>0</v>
      </c>
      <c r="BR168" s="207">
        <v>0</v>
      </c>
      <c r="BS168" s="207">
        <v>0</v>
      </c>
      <c r="BT168" s="207">
        <v>0</v>
      </c>
      <c r="BU168" s="207">
        <v>0</v>
      </c>
      <c r="BV168" s="207">
        <v>0</v>
      </c>
      <c r="BW168" s="207">
        <v>0</v>
      </c>
      <c r="BX168" s="207">
        <v>0</v>
      </c>
      <c r="BY168" s="207">
        <v>0</v>
      </c>
      <c r="BZ168" s="207">
        <v>0</v>
      </c>
      <c r="CA168" s="207">
        <v>0</v>
      </c>
      <c r="CB168" s="207">
        <v>0</v>
      </c>
      <c r="CC168" s="207">
        <v>0</v>
      </c>
      <c r="CD168" s="207">
        <v>0</v>
      </c>
      <c r="CE168" s="207">
        <v>0</v>
      </c>
      <c r="CF168" s="207">
        <v>0</v>
      </c>
      <c r="CG168" s="147"/>
      <c r="CH168" s="176"/>
      <c r="CJ168" s="128"/>
      <c r="CK168" s="76">
        <f t="shared" ca="1" si="208"/>
        <v>0.36405199198486571</v>
      </c>
      <c r="CL168" s="179">
        <f t="shared" si="209"/>
        <v>1</v>
      </c>
      <c r="CM168" s="180">
        <f t="shared" si="210"/>
        <v>39949</v>
      </c>
      <c r="CN168" s="208">
        <v>0</v>
      </c>
      <c r="CO168" s="208">
        <v>0</v>
      </c>
      <c r="CP168" s="208">
        <v>1</v>
      </c>
      <c r="CQ168" s="208">
        <v>0</v>
      </c>
      <c r="CR168" s="208">
        <v>0</v>
      </c>
      <c r="CS168" s="208">
        <v>0</v>
      </c>
      <c r="CT168" s="208">
        <v>0</v>
      </c>
      <c r="CU168" s="208">
        <v>0</v>
      </c>
      <c r="CV168" s="160"/>
      <c r="CW168">
        <v>1</v>
      </c>
      <c r="CX168">
        <f>325/83</f>
        <v>3.9156626506024095</v>
      </c>
      <c r="CY168" s="160"/>
      <c r="CZ168" s="177">
        <f t="shared" si="211"/>
        <v>9.6000000000000002E-2</v>
      </c>
      <c r="DB168" s="128"/>
      <c r="DC168" s="76">
        <f t="shared" ca="1" si="174"/>
        <v>0.75760506445043152</v>
      </c>
      <c r="DD168">
        <f t="shared" si="212"/>
        <v>1</v>
      </c>
      <c r="DE168" s="129">
        <f t="shared" ref="DE168:DE177" si="246">IF((DD168)="", "", $C$12)</f>
        <v>39949</v>
      </c>
      <c r="DF168" s="161">
        <f t="shared" si="213"/>
        <v>0</v>
      </c>
      <c r="DG168" s="161">
        <f t="shared" si="214"/>
        <v>0</v>
      </c>
      <c r="DH168" s="161">
        <f t="shared" si="215"/>
        <v>40.788152610441763</v>
      </c>
      <c r="DI168" s="161">
        <f t="shared" si="216"/>
        <v>0</v>
      </c>
      <c r="DJ168" s="161">
        <f t="shared" si="217"/>
        <v>0</v>
      </c>
      <c r="DK168" s="161">
        <f t="shared" si="218"/>
        <v>0</v>
      </c>
      <c r="DL168" s="161">
        <f t="shared" si="219"/>
        <v>0</v>
      </c>
      <c r="DM168" s="161">
        <f t="shared" si="220"/>
        <v>0</v>
      </c>
      <c r="DN168" s="161">
        <f t="shared" si="221"/>
        <v>0</v>
      </c>
      <c r="DO168" s="161">
        <f t="shared" si="222"/>
        <v>0</v>
      </c>
      <c r="DP168" s="161">
        <f t="shared" si="223"/>
        <v>0</v>
      </c>
      <c r="DQ168" s="161">
        <f t="shared" si="224"/>
        <v>0</v>
      </c>
      <c r="DR168" s="161">
        <f t="shared" si="225"/>
        <v>0</v>
      </c>
      <c r="DS168" s="161">
        <f t="shared" si="226"/>
        <v>0</v>
      </c>
      <c r="DT168" s="161">
        <f t="shared" si="227"/>
        <v>0</v>
      </c>
      <c r="DU168" s="161">
        <f t="shared" si="228"/>
        <v>0</v>
      </c>
      <c r="DV168" s="161">
        <f t="shared" si="229"/>
        <v>0</v>
      </c>
      <c r="DW168" s="161">
        <f t="shared" si="230"/>
        <v>0</v>
      </c>
      <c r="DX168" s="161">
        <f t="shared" si="231"/>
        <v>0</v>
      </c>
      <c r="DY168" s="161">
        <f t="shared" si="232"/>
        <v>0</v>
      </c>
      <c r="DZ168" s="161">
        <f t="shared" si="233"/>
        <v>0</v>
      </c>
      <c r="EA168" s="161">
        <f t="shared" si="234"/>
        <v>0</v>
      </c>
      <c r="EB168" s="161">
        <f t="shared" si="235"/>
        <v>0</v>
      </c>
      <c r="EC168" s="161">
        <f t="shared" si="236"/>
        <v>0</v>
      </c>
      <c r="ED168" s="161">
        <f t="shared" si="237"/>
        <v>0</v>
      </c>
      <c r="EE168" s="161">
        <f t="shared" si="238"/>
        <v>0</v>
      </c>
      <c r="EF168" s="161">
        <f t="shared" si="239"/>
        <v>0</v>
      </c>
      <c r="EG168" s="161">
        <f t="shared" si="240"/>
        <v>0</v>
      </c>
      <c r="EH168" s="161">
        <f t="shared" si="241"/>
        <v>0</v>
      </c>
      <c r="EI168" s="161">
        <f t="shared" si="242"/>
        <v>0</v>
      </c>
      <c r="EJ168" s="161">
        <f t="shared" si="243"/>
        <v>0</v>
      </c>
      <c r="EK168" s="147">
        <f t="shared" si="175"/>
        <v>40.788152610441763</v>
      </c>
      <c r="EL168" s="149"/>
      <c r="EN168" s="146"/>
      <c r="EO168" s="146"/>
      <c r="EP168" s="139">
        <f t="shared" si="176"/>
        <v>0</v>
      </c>
      <c r="EQ168" s="139">
        <f t="shared" si="177"/>
        <v>0</v>
      </c>
      <c r="ER168" s="139">
        <f t="shared" si="178"/>
        <v>1.7754817874402187</v>
      </c>
      <c r="ES168" s="139">
        <f t="shared" si="179"/>
        <v>0</v>
      </c>
      <c r="ET168" s="139">
        <f t="shared" si="180"/>
        <v>0</v>
      </c>
      <c r="EU168" s="139">
        <f t="shared" si="181"/>
        <v>0</v>
      </c>
      <c r="EV168" s="139">
        <f t="shared" si="182"/>
        <v>0</v>
      </c>
      <c r="EW168" s="139">
        <f t="shared" si="183"/>
        <v>0</v>
      </c>
      <c r="EX168" s="139">
        <f t="shared" si="184"/>
        <v>0</v>
      </c>
      <c r="EY168" s="139">
        <f t="shared" si="185"/>
        <v>0</v>
      </c>
      <c r="EZ168" s="139">
        <f t="shared" si="186"/>
        <v>0</v>
      </c>
      <c r="FA168" s="139">
        <f t="shared" si="187"/>
        <v>0</v>
      </c>
      <c r="FB168" s="139">
        <f t="shared" si="188"/>
        <v>0</v>
      </c>
      <c r="FC168" s="139">
        <f t="shared" si="189"/>
        <v>0</v>
      </c>
      <c r="FD168" s="139">
        <f t="shared" si="190"/>
        <v>0</v>
      </c>
      <c r="FE168" s="139">
        <f t="shared" si="191"/>
        <v>0</v>
      </c>
      <c r="FF168" s="139">
        <f t="shared" si="192"/>
        <v>0</v>
      </c>
      <c r="FG168" s="139">
        <f t="shared" si="193"/>
        <v>0</v>
      </c>
      <c r="FH168" s="139">
        <f t="shared" si="194"/>
        <v>0</v>
      </c>
      <c r="FI168" s="139">
        <f t="shared" si="195"/>
        <v>0</v>
      </c>
      <c r="FJ168" s="139">
        <f t="shared" si="196"/>
        <v>0</v>
      </c>
      <c r="FK168" s="139">
        <f t="shared" si="197"/>
        <v>0</v>
      </c>
      <c r="FL168" s="139">
        <f t="shared" si="198"/>
        <v>0</v>
      </c>
      <c r="FM168" s="139">
        <f t="shared" si="199"/>
        <v>0</v>
      </c>
      <c r="FN168" s="139">
        <f t="shared" si="200"/>
        <v>0</v>
      </c>
      <c r="FO168" s="139">
        <f t="shared" si="201"/>
        <v>0</v>
      </c>
      <c r="FP168" s="139">
        <f t="shared" si="202"/>
        <v>0</v>
      </c>
      <c r="FQ168" s="139">
        <f t="shared" si="203"/>
        <v>0</v>
      </c>
      <c r="FR168" s="139">
        <f t="shared" si="204"/>
        <v>0</v>
      </c>
      <c r="FS168" s="139">
        <f t="shared" si="205"/>
        <v>0</v>
      </c>
      <c r="FT168" s="139">
        <f t="shared" si="206"/>
        <v>0</v>
      </c>
      <c r="FU168" s="148">
        <f t="shared" si="207"/>
        <v>1.7754817874402187</v>
      </c>
      <c r="FV168" s="149"/>
      <c r="FY168" s="214">
        <v>163</v>
      </c>
      <c r="FZ168">
        <v>1.1426402907905329</v>
      </c>
      <c r="GA168">
        <v>9.8544193677410696</v>
      </c>
      <c r="GB168">
        <v>10.939371596193727</v>
      </c>
      <c r="GC168">
        <v>4.4263803047126125</v>
      </c>
      <c r="GD168">
        <v>1.0696964150068111</v>
      </c>
      <c r="GE168">
        <v>2.4082587750503084</v>
      </c>
      <c r="GF168">
        <v>24.796411014811792</v>
      </c>
      <c r="GG168">
        <v>25.114860572017008</v>
      </c>
      <c r="GH168">
        <v>11.752244997452502</v>
      </c>
      <c r="GI168">
        <v>10.858708384793385</v>
      </c>
      <c r="GJ168"/>
      <c r="GK168"/>
      <c r="GL168"/>
      <c r="GM168"/>
    </row>
    <row r="169" spans="1:195" s="7" customFormat="1">
      <c r="A169" s="1"/>
      <c r="B169" s="76">
        <f t="shared" ca="1" si="172"/>
        <v>0.23004262508327988</v>
      </c>
      <c r="C169">
        <v>6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54.970122137182031</v>
      </c>
      <c r="AO169">
        <v>11.56763988117787</v>
      </c>
      <c r="AP169">
        <v>47.376493537791319</v>
      </c>
      <c r="AQ169">
        <v>71.881682218359046</v>
      </c>
      <c r="AR169">
        <v>10.516036255616244</v>
      </c>
      <c r="AS169">
        <v>51.878627647988388</v>
      </c>
      <c r="AT169" t="e">
        <v>#DIV/0!</v>
      </c>
      <c r="AU169" t="e">
        <v>#DIV/0!</v>
      </c>
      <c r="AV169"/>
      <c r="AW169"/>
      <c r="AX169" s="146"/>
      <c r="AY169" s="76">
        <f t="shared" ca="1" si="173"/>
        <v>1.8919710060924855E-2</v>
      </c>
      <c r="AZ169">
        <v>2</v>
      </c>
      <c r="BA169" s="129">
        <f t="shared" ref="BA169:BA177" si="247">IF(AZ169="", "",$C$12)</f>
        <v>39949</v>
      </c>
      <c r="BB169" s="207">
        <v>0</v>
      </c>
      <c r="BC169" s="207">
        <v>0</v>
      </c>
      <c r="BD169" s="207">
        <v>0</v>
      </c>
      <c r="BE169" s="207">
        <v>0</v>
      </c>
      <c r="BF169" s="207">
        <v>0</v>
      </c>
      <c r="BG169" s="207">
        <v>0</v>
      </c>
      <c r="BH169" s="207">
        <v>0</v>
      </c>
      <c r="BI169" s="207">
        <v>0</v>
      </c>
      <c r="BJ169" s="207">
        <v>0</v>
      </c>
      <c r="BK169" s="207">
        <v>0</v>
      </c>
      <c r="BL169" s="207">
        <v>0</v>
      </c>
      <c r="BM169" s="207">
        <v>0</v>
      </c>
      <c r="BN169" s="207">
        <v>0</v>
      </c>
      <c r="BO169" s="207">
        <v>0</v>
      </c>
      <c r="BP169" s="207">
        <v>0</v>
      </c>
      <c r="BQ169" s="207">
        <v>0</v>
      </c>
      <c r="BR169" s="207">
        <v>0</v>
      </c>
      <c r="BS169" s="207">
        <v>0</v>
      </c>
      <c r="BT169" s="207">
        <v>0</v>
      </c>
      <c r="BU169" s="207">
        <v>0</v>
      </c>
      <c r="BV169" s="207">
        <v>0</v>
      </c>
      <c r="BW169" s="207">
        <v>0</v>
      </c>
      <c r="BX169" s="207">
        <v>0</v>
      </c>
      <c r="BY169" s="207">
        <v>0</v>
      </c>
      <c r="BZ169" s="207">
        <v>0</v>
      </c>
      <c r="CA169" s="207">
        <v>0</v>
      </c>
      <c r="CB169" s="207">
        <v>0</v>
      </c>
      <c r="CC169" s="207">
        <v>0</v>
      </c>
      <c r="CD169" s="207">
        <v>0</v>
      </c>
      <c r="CE169" s="207">
        <v>0</v>
      </c>
      <c r="CF169" s="207">
        <v>0</v>
      </c>
      <c r="CG169" s="147"/>
      <c r="CH169" s="176"/>
      <c r="CJ169" s="146"/>
      <c r="CK169" s="76">
        <f t="shared" ca="1" si="208"/>
        <v>0.64691731194988056</v>
      </c>
      <c r="CL169" s="179">
        <f t="shared" si="209"/>
        <v>2</v>
      </c>
      <c r="CM169" s="180">
        <f t="shared" si="210"/>
        <v>39949</v>
      </c>
      <c r="CN169" s="208">
        <v>0</v>
      </c>
      <c r="CO169" s="208">
        <v>0</v>
      </c>
      <c r="CP169" s="208">
        <v>0</v>
      </c>
      <c r="CQ169" s="208">
        <v>0</v>
      </c>
      <c r="CR169" s="208">
        <v>0</v>
      </c>
      <c r="CS169" s="208">
        <v>0</v>
      </c>
      <c r="CT169" s="208">
        <v>0</v>
      </c>
      <c r="CU169" s="208">
        <v>0</v>
      </c>
      <c r="CV169" s="160"/>
      <c r="CW169">
        <v>1</v>
      </c>
      <c r="CX169">
        <v>1</v>
      </c>
      <c r="CY169" s="160"/>
      <c r="CZ169" s="177">
        <f t="shared" si="211"/>
        <v>9.6000000000000002E-2</v>
      </c>
      <c r="DB169" s="146"/>
      <c r="DC169" s="76">
        <f t="shared" ca="1" si="174"/>
        <v>0.57544818124537755</v>
      </c>
      <c r="DD169">
        <f t="shared" si="212"/>
        <v>2</v>
      </c>
      <c r="DE169" s="129">
        <f t="shared" si="246"/>
        <v>39949</v>
      </c>
      <c r="DF169" s="161">
        <f t="shared" si="213"/>
        <v>0</v>
      </c>
      <c r="DG169" s="161">
        <f t="shared" si="214"/>
        <v>0</v>
      </c>
      <c r="DH169" s="161">
        <f t="shared" si="215"/>
        <v>0</v>
      </c>
      <c r="DI169" s="161">
        <f t="shared" si="216"/>
        <v>0</v>
      </c>
      <c r="DJ169" s="161">
        <f t="shared" si="217"/>
        <v>0</v>
      </c>
      <c r="DK169" s="161">
        <f t="shared" si="218"/>
        <v>0</v>
      </c>
      <c r="DL169" s="161">
        <f t="shared" si="219"/>
        <v>0</v>
      </c>
      <c r="DM169" s="161">
        <f t="shared" si="220"/>
        <v>0</v>
      </c>
      <c r="DN169" s="161">
        <f t="shared" si="221"/>
        <v>0</v>
      </c>
      <c r="DO169" s="161">
        <f t="shared" si="222"/>
        <v>0</v>
      </c>
      <c r="DP169" s="161">
        <f t="shared" si="223"/>
        <v>0</v>
      </c>
      <c r="DQ169" s="161">
        <f t="shared" si="224"/>
        <v>0</v>
      </c>
      <c r="DR169" s="161">
        <f t="shared" si="225"/>
        <v>0</v>
      </c>
      <c r="DS169" s="161">
        <f t="shared" si="226"/>
        <v>0</v>
      </c>
      <c r="DT169" s="161">
        <f t="shared" si="227"/>
        <v>0</v>
      </c>
      <c r="DU169" s="161">
        <f t="shared" si="228"/>
        <v>0</v>
      </c>
      <c r="DV169" s="161">
        <f t="shared" si="229"/>
        <v>0</v>
      </c>
      <c r="DW169" s="161">
        <f t="shared" si="230"/>
        <v>0</v>
      </c>
      <c r="DX169" s="161">
        <f t="shared" si="231"/>
        <v>0</v>
      </c>
      <c r="DY169" s="161">
        <f t="shared" si="232"/>
        <v>0</v>
      </c>
      <c r="DZ169" s="161">
        <f t="shared" si="233"/>
        <v>0</v>
      </c>
      <c r="EA169" s="161">
        <f t="shared" si="234"/>
        <v>0</v>
      </c>
      <c r="EB169" s="161">
        <f t="shared" si="235"/>
        <v>0</v>
      </c>
      <c r="EC169" s="161">
        <f t="shared" si="236"/>
        <v>0</v>
      </c>
      <c r="ED169" s="161">
        <f t="shared" si="237"/>
        <v>0</v>
      </c>
      <c r="EE169" s="161">
        <f t="shared" si="238"/>
        <v>0</v>
      </c>
      <c r="EF169" s="161">
        <f t="shared" si="239"/>
        <v>0</v>
      </c>
      <c r="EG169" s="161">
        <f t="shared" si="240"/>
        <v>0</v>
      </c>
      <c r="EH169" s="161">
        <f t="shared" si="241"/>
        <v>0</v>
      </c>
      <c r="EI169" s="161">
        <f t="shared" si="242"/>
        <v>0</v>
      </c>
      <c r="EJ169" s="161">
        <f t="shared" si="243"/>
        <v>0</v>
      </c>
      <c r="EK169" s="147">
        <f t="shared" si="175"/>
        <v>0</v>
      </c>
      <c r="EL169" s="149"/>
      <c r="EN169" s="146"/>
      <c r="EO169" s="146"/>
      <c r="EP169" s="139">
        <f t="shared" si="176"/>
        <v>0</v>
      </c>
      <c r="EQ169" s="139">
        <f t="shared" si="177"/>
        <v>0</v>
      </c>
      <c r="ER169" s="139">
        <f t="shared" si="178"/>
        <v>0</v>
      </c>
      <c r="ES169" s="139">
        <f t="shared" si="179"/>
        <v>0</v>
      </c>
      <c r="ET169" s="139">
        <f t="shared" si="180"/>
        <v>0</v>
      </c>
      <c r="EU169" s="139">
        <f t="shared" si="181"/>
        <v>0</v>
      </c>
      <c r="EV169" s="139">
        <f t="shared" si="182"/>
        <v>0</v>
      </c>
      <c r="EW169" s="139">
        <f t="shared" si="183"/>
        <v>0</v>
      </c>
      <c r="EX169" s="139">
        <f t="shared" si="184"/>
        <v>0</v>
      </c>
      <c r="EY169" s="139">
        <f t="shared" si="185"/>
        <v>0</v>
      </c>
      <c r="EZ169" s="139">
        <f t="shared" si="186"/>
        <v>0</v>
      </c>
      <c r="FA169" s="139">
        <f t="shared" si="187"/>
        <v>0</v>
      </c>
      <c r="FB169" s="139">
        <f t="shared" si="188"/>
        <v>0</v>
      </c>
      <c r="FC169" s="139">
        <f t="shared" si="189"/>
        <v>0</v>
      </c>
      <c r="FD169" s="139">
        <f t="shared" si="190"/>
        <v>0</v>
      </c>
      <c r="FE169" s="139">
        <f t="shared" si="191"/>
        <v>0</v>
      </c>
      <c r="FF169" s="139">
        <f t="shared" si="192"/>
        <v>0</v>
      </c>
      <c r="FG169" s="139">
        <f t="shared" si="193"/>
        <v>0</v>
      </c>
      <c r="FH169" s="139">
        <f t="shared" si="194"/>
        <v>0</v>
      </c>
      <c r="FI169" s="139">
        <f t="shared" si="195"/>
        <v>0</v>
      </c>
      <c r="FJ169" s="139">
        <f t="shared" si="196"/>
        <v>0</v>
      </c>
      <c r="FK169" s="139">
        <f t="shared" si="197"/>
        <v>0</v>
      </c>
      <c r="FL169" s="139">
        <f t="shared" si="198"/>
        <v>0</v>
      </c>
      <c r="FM169" s="139">
        <f t="shared" si="199"/>
        <v>0</v>
      </c>
      <c r="FN169" s="139">
        <f t="shared" si="200"/>
        <v>0</v>
      </c>
      <c r="FO169" s="139">
        <f t="shared" si="201"/>
        <v>0</v>
      </c>
      <c r="FP169" s="139">
        <f t="shared" si="202"/>
        <v>0</v>
      </c>
      <c r="FQ169" s="139">
        <f t="shared" si="203"/>
        <v>0</v>
      </c>
      <c r="FR169" s="139">
        <f t="shared" si="204"/>
        <v>0</v>
      </c>
      <c r="FS169" s="139">
        <f t="shared" si="205"/>
        <v>0</v>
      </c>
      <c r="FT169" s="139">
        <f t="shared" si="206"/>
        <v>0</v>
      </c>
      <c r="FU169" s="148">
        <f t="shared" si="207"/>
        <v>0</v>
      </c>
      <c r="FV169" s="149"/>
      <c r="FY169" s="214">
        <v>164</v>
      </c>
      <c r="FZ169">
        <v>1.0662187989144598</v>
      </c>
      <c r="GA169">
        <v>9.5630626699900603</v>
      </c>
      <c r="GB169">
        <v>7.0055346379677523</v>
      </c>
      <c r="GC169">
        <v>2.0878843848259292</v>
      </c>
      <c r="GD169">
        <v>4.9857838520442339</v>
      </c>
      <c r="GE169">
        <v>11.929288243349616</v>
      </c>
      <c r="GF169">
        <v>12.030592055960753</v>
      </c>
      <c r="GG169">
        <v>9.7495105994239033</v>
      </c>
      <c r="GH169">
        <v>7.7044348807015295</v>
      </c>
      <c r="GI169">
        <v>8.4246219359746757</v>
      </c>
      <c r="GJ169"/>
      <c r="GK169"/>
      <c r="GL169"/>
      <c r="GM169"/>
    </row>
    <row r="170" spans="1:195" s="7" customFormat="1">
      <c r="A170" s="1"/>
      <c r="B170" s="76">
        <f t="shared" ca="1" si="172"/>
        <v>0.31689917106139509</v>
      </c>
      <c r="C170">
        <v>1</v>
      </c>
      <c r="D170">
        <v>39949</v>
      </c>
      <c r="E170">
        <v>0</v>
      </c>
      <c r="F170">
        <v>0</v>
      </c>
      <c r="G170">
        <v>40.788152610441763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124.93156926209876</v>
      </c>
      <c r="AO170">
        <v>25.981128898439209</v>
      </c>
      <c r="AP170">
        <v>101.56839083668083</v>
      </c>
      <c r="AQ170">
        <v>149.68233246790854</v>
      </c>
      <c r="AR170">
        <v>23.822491316754743</v>
      </c>
      <c r="AS170">
        <v>122.01707268157404</v>
      </c>
      <c r="AT170">
        <v>13.037120750980423</v>
      </c>
      <c r="AU170">
        <v>22.788903609538409</v>
      </c>
      <c r="AV170"/>
      <c r="AW170"/>
      <c r="AX170" s="146"/>
      <c r="AY170" s="76">
        <f t="shared" ca="1" si="173"/>
        <v>6.394801359446789E-2</v>
      </c>
      <c r="AZ170">
        <v>3</v>
      </c>
      <c r="BA170" s="129">
        <f t="shared" si="247"/>
        <v>39949</v>
      </c>
      <c r="BB170" s="207">
        <v>0</v>
      </c>
      <c r="BC170" s="207">
        <v>0</v>
      </c>
      <c r="BD170" s="207">
        <v>0</v>
      </c>
      <c r="BE170" s="207">
        <v>0</v>
      </c>
      <c r="BF170" s="207">
        <v>0</v>
      </c>
      <c r="BG170" s="207">
        <v>0</v>
      </c>
      <c r="BH170" s="207">
        <v>0</v>
      </c>
      <c r="BI170" s="207">
        <v>0</v>
      </c>
      <c r="BJ170" s="207">
        <v>0</v>
      </c>
      <c r="BK170" s="207">
        <v>0</v>
      </c>
      <c r="BL170" s="207">
        <v>0</v>
      </c>
      <c r="BM170" s="207">
        <v>0</v>
      </c>
      <c r="BN170" s="207">
        <v>0</v>
      </c>
      <c r="BO170" s="207">
        <v>0</v>
      </c>
      <c r="BP170" s="207">
        <v>0</v>
      </c>
      <c r="BQ170" s="207">
        <v>0</v>
      </c>
      <c r="BR170" s="207">
        <v>0</v>
      </c>
      <c r="BS170" s="207">
        <v>0</v>
      </c>
      <c r="BT170" s="207">
        <v>0</v>
      </c>
      <c r="BU170" s="207">
        <v>0</v>
      </c>
      <c r="BV170" s="207">
        <v>0</v>
      </c>
      <c r="BW170" s="207">
        <v>0</v>
      </c>
      <c r="BX170" s="207">
        <v>0</v>
      </c>
      <c r="BY170" s="207">
        <v>0</v>
      </c>
      <c r="BZ170" s="207">
        <v>0</v>
      </c>
      <c r="CA170" s="207">
        <v>0</v>
      </c>
      <c r="CB170" s="207">
        <v>0</v>
      </c>
      <c r="CC170" s="207">
        <v>0</v>
      </c>
      <c r="CD170" s="207">
        <v>0</v>
      </c>
      <c r="CE170" s="207">
        <v>0</v>
      </c>
      <c r="CF170" s="207">
        <v>0</v>
      </c>
      <c r="CG170" s="147"/>
      <c r="CH170" s="176"/>
      <c r="CJ170" s="146"/>
      <c r="CK170" s="76">
        <f t="shared" ca="1" si="208"/>
        <v>0.91037478806420657</v>
      </c>
      <c r="CL170" s="179">
        <f t="shared" si="209"/>
        <v>3</v>
      </c>
      <c r="CM170" s="180">
        <f t="shared" si="210"/>
        <v>39949</v>
      </c>
      <c r="CN170" s="208">
        <v>0</v>
      </c>
      <c r="CO170" s="208">
        <v>0</v>
      </c>
      <c r="CP170" s="208">
        <v>0</v>
      </c>
      <c r="CQ170" s="208">
        <v>0</v>
      </c>
      <c r="CR170" s="208">
        <v>0</v>
      </c>
      <c r="CS170" s="208">
        <v>0</v>
      </c>
      <c r="CT170" s="208">
        <v>0</v>
      </c>
      <c r="CU170" s="208">
        <v>0</v>
      </c>
      <c r="CV170" s="160"/>
      <c r="CW170">
        <v>1</v>
      </c>
      <c r="CX170">
        <f>350/45</f>
        <v>7.7777777777777777</v>
      </c>
      <c r="CY170" s="160"/>
      <c r="CZ170" s="177">
        <f t="shared" si="211"/>
        <v>9.6000000000000002E-2</v>
      </c>
      <c r="DB170" s="146"/>
      <c r="DC170" s="76">
        <f t="shared" ca="1" si="174"/>
        <v>0.1114701096657531</v>
      </c>
      <c r="DD170">
        <f t="shared" si="212"/>
        <v>3</v>
      </c>
      <c r="DE170" s="129">
        <f t="shared" si="246"/>
        <v>39949</v>
      </c>
      <c r="DF170" s="161">
        <f t="shared" si="213"/>
        <v>0</v>
      </c>
      <c r="DG170" s="161">
        <f t="shared" si="214"/>
        <v>0</v>
      </c>
      <c r="DH170" s="161">
        <f t="shared" si="215"/>
        <v>0</v>
      </c>
      <c r="DI170" s="161">
        <f t="shared" si="216"/>
        <v>0</v>
      </c>
      <c r="DJ170" s="161">
        <f t="shared" si="217"/>
        <v>0</v>
      </c>
      <c r="DK170" s="161">
        <f t="shared" si="218"/>
        <v>0</v>
      </c>
      <c r="DL170" s="161">
        <f t="shared" si="219"/>
        <v>0</v>
      </c>
      <c r="DM170" s="161">
        <f t="shared" si="220"/>
        <v>0</v>
      </c>
      <c r="DN170" s="161">
        <f t="shared" si="221"/>
        <v>0</v>
      </c>
      <c r="DO170" s="161">
        <f t="shared" si="222"/>
        <v>0</v>
      </c>
      <c r="DP170" s="161">
        <f t="shared" si="223"/>
        <v>0</v>
      </c>
      <c r="DQ170" s="161">
        <f t="shared" si="224"/>
        <v>0</v>
      </c>
      <c r="DR170" s="161">
        <f t="shared" si="225"/>
        <v>0</v>
      </c>
      <c r="DS170" s="161">
        <f t="shared" si="226"/>
        <v>0</v>
      </c>
      <c r="DT170" s="161">
        <f t="shared" si="227"/>
        <v>0</v>
      </c>
      <c r="DU170" s="161">
        <f t="shared" si="228"/>
        <v>0</v>
      </c>
      <c r="DV170" s="161">
        <f t="shared" si="229"/>
        <v>0</v>
      </c>
      <c r="DW170" s="161">
        <f t="shared" si="230"/>
        <v>0</v>
      </c>
      <c r="DX170" s="161">
        <f t="shared" si="231"/>
        <v>0</v>
      </c>
      <c r="DY170" s="161">
        <f t="shared" si="232"/>
        <v>0</v>
      </c>
      <c r="DZ170" s="161">
        <f t="shared" si="233"/>
        <v>0</v>
      </c>
      <c r="EA170" s="161">
        <f t="shared" si="234"/>
        <v>0</v>
      </c>
      <c r="EB170" s="161">
        <f t="shared" si="235"/>
        <v>0</v>
      </c>
      <c r="EC170" s="161">
        <f t="shared" si="236"/>
        <v>0</v>
      </c>
      <c r="ED170" s="161">
        <f t="shared" si="237"/>
        <v>0</v>
      </c>
      <c r="EE170" s="161">
        <f t="shared" si="238"/>
        <v>0</v>
      </c>
      <c r="EF170" s="161">
        <f t="shared" si="239"/>
        <v>0</v>
      </c>
      <c r="EG170" s="161">
        <f t="shared" si="240"/>
        <v>0</v>
      </c>
      <c r="EH170" s="161">
        <f t="shared" si="241"/>
        <v>0</v>
      </c>
      <c r="EI170" s="161">
        <f t="shared" si="242"/>
        <v>0</v>
      </c>
      <c r="EJ170" s="161">
        <f t="shared" si="243"/>
        <v>0</v>
      </c>
      <c r="EK170" s="147">
        <f t="shared" si="175"/>
        <v>0</v>
      </c>
      <c r="EL170" s="149"/>
      <c r="EN170" s="146"/>
      <c r="EO170" s="146"/>
      <c r="EP170" s="139">
        <f t="shared" si="176"/>
        <v>0</v>
      </c>
      <c r="EQ170" s="139">
        <f t="shared" si="177"/>
        <v>0</v>
      </c>
      <c r="ER170" s="139">
        <f t="shared" si="178"/>
        <v>0</v>
      </c>
      <c r="ES170" s="139">
        <f t="shared" si="179"/>
        <v>0</v>
      </c>
      <c r="ET170" s="139">
        <f t="shared" si="180"/>
        <v>0</v>
      </c>
      <c r="EU170" s="139">
        <f t="shared" si="181"/>
        <v>0</v>
      </c>
      <c r="EV170" s="139">
        <f t="shared" si="182"/>
        <v>0</v>
      </c>
      <c r="EW170" s="139">
        <f t="shared" si="183"/>
        <v>0</v>
      </c>
      <c r="EX170" s="139">
        <f t="shared" si="184"/>
        <v>0</v>
      </c>
      <c r="EY170" s="139">
        <f t="shared" si="185"/>
        <v>0</v>
      </c>
      <c r="EZ170" s="139">
        <f t="shared" si="186"/>
        <v>0</v>
      </c>
      <c r="FA170" s="139">
        <f t="shared" si="187"/>
        <v>0</v>
      </c>
      <c r="FB170" s="139">
        <f t="shared" si="188"/>
        <v>0</v>
      </c>
      <c r="FC170" s="139">
        <f t="shared" si="189"/>
        <v>0</v>
      </c>
      <c r="FD170" s="139">
        <f t="shared" si="190"/>
        <v>0</v>
      </c>
      <c r="FE170" s="139">
        <f t="shared" si="191"/>
        <v>0</v>
      </c>
      <c r="FF170" s="139">
        <f t="shared" si="192"/>
        <v>0</v>
      </c>
      <c r="FG170" s="139">
        <f t="shared" si="193"/>
        <v>0</v>
      </c>
      <c r="FH170" s="139">
        <f t="shared" si="194"/>
        <v>0</v>
      </c>
      <c r="FI170" s="139">
        <f t="shared" si="195"/>
        <v>0</v>
      </c>
      <c r="FJ170" s="139">
        <f t="shared" si="196"/>
        <v>0</v>
      </c>
      <c r="FK170" s="139">
        <f t="shared" si="197"/>
        <v>0</v>
      </c>
      <c r="FL170" s="139">
        <f t="shared" si="198"/>
        <v>0</v>
      </c>
      <c r="FM170" s="139">
        <f t="shared" si="199"/>
        <v>0</v>
      </c>
      <c r="FN170" s="139">
        <f t="shared" si="200"/>
        <v>0</v>
      </c>
      <c r="FO170" s="139">
        <f t="shared" si="201"/>
        <v>0</v>
      </c>
      <c r="FP170" s="139">
        <f t="shared" si="202"/>
        <v>0</v>
      </c>
      <c r="FQ170" s="139">
        <f t="shared" si="203"/>
        <v>0</v>
      </c>
      <c r="FR170" s="139">
        <f t="shared" si="204"/>
        <v>0</v>
      </c>
      <c r="FS170" s="139">
        <f t="shared" si="205"/>
        <v>0</v>
      </c>
      <c r="FT170" s="139">
        <f t="shared" si="206"/>
        <v>0</v>
      </c>
      <c r="FU170" s="148">
        <f t="shared" si="207"/>
        <v>0</v>
      </c>
      <c r="FV170" s="149"/>
      <c r="FY170" s="214">
        <v>165</v>
      </c>
      <c r="FZ170">
        <v>1.4110692471913862</v>
      </c>
      <c r="GA170">
        <v>3.7022353190035355</v>
      </c>
      <c r="GB170">
        <v>7.368221963901763</v>
      </c>
      <c r="GC170">
        <v>4.2855382250356708</v>
      </c>
      <c r="GD170">
        <v>0.76374174037897213</v>
      </c>
      <c r="GE170">
        <v>4.6377403694744732</v>
      </c>
      <c r="GF170">
        <v>17.228882856285765</v>
      </c>
      <c r="GG170">
        <v>9.4649369228508302</v>
      </c>
      <c r="GH170">
        <v>3.6587927325601464</v>
      </c>
      <c r="GI170">
        <v>6.4537628253381216</v>
      </c>
      <c r="GJ170"/>
      <c r="GK170"/>
      <c r="GL170"/>
      <c r="GM170"/>
    </row>
    <row r="171" spans="1:195" s="7" customFormat="1">
      <c r="A171" s="1"/>
      <c r="B171" s="76">
        <f t="shared" ca="1" si="172"/>
        <v>0.61186126089133386</v>
      </c>
      <c r="C171">
        <v>9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57.825502474390269</v>
      </c>
      <c r="AO171">
        <v>11.228634864558884</v>
      </c>
      <c r="AP171">
        <v>77.051810576121099</v>
      </c>
      <c r="AQ171">
        <v>65.046953596975825</v>
      </c>
      <c r="AR171">
        <v>10.577788440287131</v>
      </c>
      <c r="AS171">
        <v>55.945841440102953</v>
      </c>
      <c r="AT171">
        <v>6.4102924724280577</v>
      </c>
      <c r="AU171">
        <v>19.905430078044585</v>
      </c>
      <c r="AV171"/>
      <c r="AW171"/>
      <c r="AX171" s="146"/>
      <c r="AY171" s="76">
        <f t="shared" ca="1" si="173"/>
        <v>0.2801241674489412</v>
      </c>
      <c r="AZ171">
        <v>4</v>
      </c>
      <c r="BA171" s="129">
        <f t="shared" si="247"/>
        <v>39949</v>
      </c>
      <c r="BB171" s="207">
        <v>0</v>
      </c>
      <c r="BC171" s="207">
        <v>0</v>
      </c>
      <c r="BD171" s="207">
        <v>0</v>
      </c>
      <c r="BE171" s="207">
        <v>0</v>
      </c>
      <c r="BF171" s="207">
        <v>0</v>
      </c>
      <c r="BG171" s="207">
        <v>0</v>
      </c>
      <c r="BH171" s="207">
        <v>0</v>
      </c>
      <c r="BI171" s="207">
        <v>0</v>
      </c>
      <c r="BJ171" s="207">
        <v>0</v>
      </c>
      <c r="BK171" s="207">
        <v>0</v>
      </c>
      <c r="BL171" s="207">
        <v>0</v>
      </c>
      <c r="BM171" s="207">
        <v>0</v>
      </c>
      <c r="BN171" s="207">
        <v>0</v>
      </c>
      <c r="BO171" s="207">
        <v>0</v>
      </c>
      <c r="BP171" s="207">
        <v>0</v>
      </c>
      <c r="BQ171" s="207">
        <v>0</v>
      </c>
      <c r="BR171" s="207">
        <v>0</v>
      </c>
      <c r="BS171" s="207">
        <v>0</v>
      </c>
      <c r="BT171" s="207">
        <v>0</v>
      </c>
      <c r="BU171" s="207">
        <v>0</v>
      </c>
      <c r="BV171" s="207">
        <v>0</v>
      </c>
      <c r="BW171" s="207">
        <v>0</v>
      </c>
      <c r="BX171" s="207">
        <v>0</v>
      </c>
      <c r="BY171" s="207">
        <v>0</v>
      </c>
      <c r="BZ171" s="207">
        <v>0</v>
      </c>
      <c r="CA171" s="207">
        <v>0</v>
      </c>
      <c r="CB171" s="207">
        <v>0</v>
      </c>
      <c r="CC171" s="207">
        <v>0</v>
      </c>
      <c r="CD171" s="207">
        <v>0</v>
      </c>
      <c r="CE171" s="207">
        <v>0</v>
      </c>
      <c r="CF171" s="207">
        <v>0</v>
      </c>
      <c r="CG171" s="147"/>
      <c r="CH171" s="176"/>
      <c r="CJ171" s="146"/>
      <c r="CK171" s="76">
        <f t="shared" ca="1" si="208"/>
        <v>0.27060197654646445</v>
      </c>
      <c r="CL171" s="179">
        <f t="shared" si="209"/>
        <v>4</v>
      </c>
      <c r="CM171" s="180">
        <f t="shared" si="210"/>
        <v>39949</v>
      </c>
      <c r="CN171" s="208">
        <v>0</v>
      </c>
      <c r="CO171" s="208">
        <v>0</v>
      </c>
      <c r="CP171" s="208">
        <v>0</v>
      </c>
      <c r="CQ171" s="208">
        <v>0</v>
      </c>
      <c r="CR171" s="208">
        <v>0</v>
      </c>
      <c r="CS171" s="208">
        <v>0</v>
      </c>
      <c r="CT171" s="208">
        <v>0</v>
      </c>
      <c r="CU171" s="208">
        <v>0</v>
      </c>
      <c r="CV171" s="160"/>
      <c r="CW171">
        <v>1</v>
      </c>
      <c r="CX171">
        <f>320/73</f>
        <v>4.3835616438356162</v>
      </c>
      <c r="CY171" s="160"/>
      <c r="CZ171" s="177">
        <f t="shared" si="211"/>
        <v>9.6000000000000002E-2</v>
      </c>
      <c r="DB171" s="146"/>
      <c r="DC171" s="76">
        <f t="shared" ca="1" si="174"/>
        <v>5.1050827335873183E-2</v>
      </c>
      <c r="DD171">
        <f t="shared" si="212"/>
        <v>4</v>
      </c>
      <c r="DE171" s="129">
        <f t="shared" si="246"/>
        <v>39949</v>
      </c>
      <c r="DF171" s="161">
        <f t="shared" si="213"/>
        <v>0</v>
      </c>
      <c r="DG171" s="161">
        <f t="shared" si="214"/>
        <v>0</v>
      </c>
      <c r="DH171" s="161">
        <f t="shared" si="215"/>
        <v>0</v>
      </c>
      <c r="DI171" s="161">
        <f t="shared" si="216"/>
        <v>0</v>
      </c>
      <c r="DJ171" s="161">
        <f t="shared" si="217"/>
        <v>0</v>
      </c>
      <c r="DK171" s="161">
        <f t="shared" si="218"/>
        <v>0</v>
      </c>
      <c r="DL171" s="161">
        <f t="shared" si="219"/>
        <v>0</v>
      </c>
      <c r="DM171" s="161">
        <f t="shared" si="220"/>
        <v>0</v>
      </c>
      <c r="DN171" s="161">
        <f t="shared" si="221"/>
        <v>0</v>
      </c>
      <c r="DO171" s="161">
        <f t="shared" si="222"/>
        <v>0</v>
      </c>
      <c r="DP171" s="161">
        <f t="shared" si="223"/>
        <v>0</v>
      </c>
      <c r="DQ171" s="161">
        <f t="shared" si="224"/>
        <v>0</v>
      </c>
      <c r="DR171" s="161">
        <f t="shared" si="225"/>
        <v>0</v>
      </c>
      <c r="DS171" s="161">
        <f t="shared" si="226"/>
        <v>0</v>
      </c>
      <c r="DT171" s="161">
        <f t="shared" si="227"/>
        <v>0</v>
      </c>
      <c r="DU171" s="161">
        <f t="shared" si="228"/>
        <v>0</v>
      </c>
      <c r="DV171" s="161">
        <f t="shared" si="229"/>
        <v>0</v>
      </c>
      <c r="DW171" s="161">
        <f t="shared" si="230"/>
        <v>0</v>
      </c>
      <c r="DX171" s="161">
        <f t="shared" si="231"/>
        <v>0</v>
      </c>
      <c r="DY171" s="161">
        <f t="shared" si="232"/>
        <v>0</v>
      </c>
      <c r="DZ171" s="161">
        <f t="shared" si="233"/>
        <v>0</v>
      </c>
      <c r="EA171" s="161">
        <f t="shared" si="234"/>
        <v>0</v>
      </c>
      <c r="EB171" s="161">
        <f t="shared" si="235"/>
        <v>0</v>
      </c>
      <c r="EC171" s="161">
        <f t="shared" si="236"/>
        <v>0</v>
      </c>
      <c r="ED171" s="161">
        <f t="shared" si="237"/>
        <v>0</v>
      </c>
      <c r="EE171" s="161">
        <f t="shared" si="238"/>
        <v>0</v>
      </c>
      <c r="EF171" s="161">
        <f t="shared" si="239"/>
        <v>0</v>
      </c>
      <c r="EG171" s="161">
        <f t="shared" si="240"/>
        <v>0</v>
      </c>
      <c r="EH171" s="161">
        <f t="shared" si="241"/>
        <v>0</v>
      </c>
      <c r="EI171" s="161">
        <f t="shared" si="242"/>
        <v>0</v>
      </c>
      <c r="EJ171" s="161">
        <f t="shared" si="243"/>
        <v>0</v>
      </c>
      <c r="EK171" s="147">
        <f t="shared" si="175"/>
        <v>0</v>
      </c>
      <c r="EL171" s="149"/>
      <c r="EN171" s="146"/>
      <c r="EO171" s="146"/>
      <c r="EP171" s="139">
        <f t="shared" si="176"/>
        <v>0</v>
      </c>
      <c r="EQ171" s="139">
        <f t="shared" si="177"/>
        <v>0</v>
      </c>
      <c r="ER171" s="139">
        <f t="shared" si="178"/>
        <v>0</v>
      </c>
      <c r="ES171" s="139">
        <f t="shared" si="179"/>
        <v>0</v>
      </c>
      <c r="ET171" s="139">
        <f t="shared" si="180"/>
        <v>0</v>
      </c>
      <c r="EU171" s="139">
        <f t="shared" si="181"/>
        <v>0</v>
      </c>
      <c r="EV171" s="139">
        <f t="shared" si="182"/>
        <v>0</v>
      </c>
      <c r="EW171" s="139">
        <f t="shared" si="183"/>
        <v>0</v>
      </c>
      <c r="EX171" s="139">
        <f t="shared" si="184"/>
        <v>0</v>
      </c>
      <c r="EY171" s="139">
        <f t="shared" si="185"/>
        <v>0</v>
      </c>
      <c r="EZ171" s="139">
        <f t="shared" si="186"/>
        <v>0</v>
      </c>
      <c r="FA171" s="139">
        <f t="shared" si="187"/>
        <v>0</v>
      </c>
      <c r="FB171" s="139">
        <f t="shared" si="188"/>
        <v>0</v>
      </c>
      <c r="FC171" s="139">
        <f t="shared" si="189"/>
        <v>0</v>
      </c>
      <c r="FD171" s="139">
        <f t="shared" si="190"/>
        <v>0</v>
      </c>
      <c r="FE171" s="139">
        <f t="shared" si="191"/>
        <v>0</v>
      </c>
      <c r="FF171" s="139">
        <f t="shared" si="192"/>
        <v>0</v>
      </c>
      <c r="FG171" s="139">
        <f t="shared" si="193"/>
        <v>0</v>
      </c>
      <c r="FH171" s="139">
        <f t="shared" si="194"/>
        <v>0</v>
      </c>
      <c r="FI171" s="139">
        <f t="shared" si="195"/>
        <v>0</v>
      </c>
      <c r="FJ171" s="139">
        <f t="shared" si="196"/>
        <v>0</v>
      </c>
      <c r="FK171" s="139">
        <f t="shared" si="197"/>
        <v>0</v>
      </c>
      <c r="FL171" s="139">
        <f t="shared" si="198"/>
        <v>0</v>
      </c>
      <c r="FM171" s="139">
        <f t="shared" si="199"/>
        <v>0</v>
      </c>
      <c r="FN171" s="139">
        <f t="shared" si="200"/>
        <v>0</v>
      </c>
      <c r="FO171" s="139">
        <f t="shared" si="201"/>
        <v>0</v>
      </c>
      <c r="FP171" s="139">
        <f t="shared" si="202"/>
        <v>0</v>
      </c>
      <c r="FQ171" s="139">
        <f t="shared" si="203"/>
        <v>0</v>
      </c>
      <c r="FR171" s="139">
        <f t="shared" si="204"/>
        <v>0</v>
      </c>
      <c r="FS171" s="139">
        <f t="shared" si="205"/>
        <v>0</v>
      </c>
      <c r="FT171" s="139">
        <f t="shared" si="206"/>
        <v>0</v>
      </c>
      <c r="FU171" s="148">
        <f t="shared" si="207"/>
        <v>0</v>
      </c>
      <c r="FV171" s="149"/>
      <c r="FY171" s="214">
        <v>166</v>
      </c>
      <c r="FZ171">
        <v>1.075881343209852</v>
      </c>
      <c r="GA171">
        <v>9.8227592677611213</v>
      </c>
      <c r="GB171">
        <v>8.4569104296123214</v>
      </c>
      <c r="GC171">
        <v>3.0943562682739225</v>
      </c>
      <c r="GD171">
        <v>7.1213176673345027</v>
      </c>
      <c r="GE171">
        <v>15.378209415455226</v>
      </c>
      <c r="GF171">
        <v>12.607734183032594</v>
      </c>
      <c r="GG171">
        <v>9.0513676997740582</v>
      </c>
      <c r="GH171">
        <v>2.3440362398958201</v>
      </c>
      <c r="GI171">
        <v>9.7382396795434349</v>
      </c>
      <c r="GJ171"/>
      <c r="GK171"/>
      <c r="GL171"/>
      <c r="GM171"/>
    </row>
    <row r="172" spans="1:195" s="7" customFormat="1">
      <c r="A172" s="1"/>
      <c r="B172" s="76">
        <f t="shared" ca="1" si="172"/>
        <v>0.42097529678763745</v>
      </c>
      <c r="C172">
        <v>3</v>
      </c>
      <c r="D172">
        <v>39949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53.056642872751112</v>
      </c>
      <c r="AO172">
        <v>10.51687563022737</v>
      </c>
      <c r="AP172">
        <v>46.532524410102177</v>
      </c>
      <c r="AQ172">
        <v>62.615300046754648</v>
      </c>
      <c r="AR172">
        <v>9.9300904810463617</v>
      </c>
      <c r="AS172">
        <v>53.083616252997075</v>
      </c>
      <c r="AT172">
        <v>5.9868088197566749</v>
      </c>
      <c r="AU172">
        <v>6.7449381873062695</v>
      </c>
      <c r="AV172"/>
      <c r="AW172"/>
      <c r="AX172" s="146"/>
      <c r="AY172" s="76">
        <f t="shared" ca="1" si="173"/>
        <v>0.60507400911559639</v>
      </c>
      <c r="AZ172">
        <v>5</v>
      </c>
      <c r="BA172" s="129">
        <f t="shared" si="247"/>
        <v>39949</v>
      </c>
      <c r="BB172" s="207">
        <v>0</v>
      </c>
      <c r="BC172" s="207">
        <v>0</v>
      </c>
      <c r="BD172" s="207">
        <v>0</v>
      </c>
      <c r="BE172" s="207">
        <v>0</v>
      </c>
      <c r="BF172" s="207">
        <v>0</v>
      </c>
      <c r="BG172" s="207">
        <v>0</v>
      </c>
      <c r="BH172" s="207">
        <v>0</v>
      </c>
      <c r="BI172" s="207">
        <v>0</v>
      </c>
      <c r="BJ172" s="207">
        <v>0</v>
      </c>
      <c r="BK172" s="207">
        <v>0</v>
      </c>
      <c r="BL172" s="207">
        <v>0</v>
      </c>
      <c r="BM172" s="207">
        <v>0</v>
      </c>
      <c r="BN172" s="207">
        <v>0</v>
      </c>
      <c r="BO172" s="207">
        <v>0</v>
      </c>
      <c r="BP172" s="207">
        <v>0</v>
      </c>
      <c r="BQ172" s="207">
        <v>0</v>
      </c>
      <c r="BR172" s="207">
        <v>0</v>
      </c>
      <c r="BS172" s="207">
        <v>0</v>
      </c>
      <c r="BT172" s="207">
        <v>0</v>
      </c>
      <c r="BU172" s="207">
        <v>0</v>
      </c>
      <c r="BV172" s="207">
        <v>0</v>
      </c>
      <c r="BW172" s="207">
        <v>0</v>
      </c>
      <c r="BX172" s="207">
        <v>0</v>
      </c>
      <c r="BY172" s="207">
        <v>0</v>
      </c>
      <c r="BZ172" s="207">
        <v>0</v>
      </c>
      <c r="CA172" s="207">
        <v>0</v>
      </c>
      <c r="CB172" s="207">
        <v>0</v>
      </c>
      <c r="CC172" s="207">
        <v>0</v>
      </c>
      <c r="CD172" s="207">
        <v>0</v>
      </c>
      <c r="CE172" s="207">
        <v>0</v>
      </c>
      <c r="CF172" s="207">
        <v>0</v>
      </c>
      <c r="CG172" s="147"/>
      <c r="CH172" s="176"/>
      <c r="CJ172" s="146"/>
      <c r="CK172" s="76">
        <f t="shared" ca="1" si="208"/>
        <v>0.33323516854508917</v>
      </c>
      <c r="CL172" s="179">
        <f t="shared" si="209"/>
        <v>5</v>
      </c>
      <c r="CM172" s="180">
        <f t="shared" si="210"/>
        <v>39949</v>
      </c>
      <c r="CN172" s="208">
        <v>0</v>
      </c>
      <c r="CO172" s="208">
        <v>0</v>
      </c>
      <c r="CP172" s="208">
        <v>0</v>
      </c>
      <c r="CQ172" s="208">
        <v>0</v>
      </c>
      <c r="CR172" s="208">
        <v>0</v>
      </c>
      <c r="CS172" s="208">
        <v>0</v>
      </c>
      <c r="CT172" s="208">
        <v>0</v>
      </c>
      <c r="CU172" s="208">
        <v>0</v>
      </c>
      <c r="CV172" s="160"/>
      <c r="CW172">
        <v>1</v>
      </c>
      <c r="CX172">
        <v>1</v>
      </c>
      <c r="CY172" s="160"/>
      <c r="CZ172" s="177">
        <f t="shared" si="211"/>
        <v>9.6000000000000002E-2</v>
      </c>
      <c r="DB172" s="146"/>
      <c r="DC172" s="76">
        <f t="shared" ca="1" si="174"/>
        <v>0.67892685074836479</v>
      </c>
      <c r="DD172">
        <f t="shared" si="212"/>
        <v>5</v>
      </c>
      <c r="DE172" s="129">
        <f t="shared" si="246"/>
        <v>39949</v>
      </c>
      <c r="DF172" s="161">
        <f t="shared" si="213"/>
        <v>0</v>
      </c>
      <c r="DG172" s="161">
        <f t="shared" si="214"/>
        <v>0</v>
      </c>
      <c r="DH172" s="161">
        <f t="shared" si="215"/>
        <v>0</v>
      </c>
      <c r="DI172" s="161">
        <f t="shared" si="216"/>
        <v>0</v>
      </c>
      <c r="DJ172" s="161">
        <f t="shared" si="217"/>
        <v>0</v>
      </c>
      <c r="DK172" s="161">
        <f t="shared" si="218"/>
        <v>0</v>
      </c>
      <c r="DL172" s="161">
        <f t="shared" si="219"/>
        <v>0</v>
      </c>
      <c r="DM172" s="161">
        <f t="shared" si="220"/>
        <v>0</v>
      </c>
      <c r="DN172" s="161">
        <f t="shared" si="221"/>
        <v>0</v>
      </c>
      <c r="DO172" s="161">
        <f t="shared" si="222"/>
        <v>0</v>
      </c>
      <c r="DP172" s="161">
        <f t="shared" si="223"/>
        <v>0</v>
      </c>
      <c r="DQ172" s="161">
        <f t="shared" si="224"/>
        <v>0</v>
      </c>
      <c r="DR172" s="161">
        <f t="shared" si="225"/>
        <v>0</v>
      </c>
      <c r="DS172" s="161">
        <f t="shared" si="226"/>
        <v>0</v>
      </c>
      <c r="DT172" s="161">
        <f t="shared" si="227"/>
        <v>0</v>
      </c>
      <c r="DU172" s="161">
        <f t="shared" si="228"/>
        <v>0</v>
      </c>
      <c r="DV172" s="161">
        <f t="shared" si="229"/>
        <v>0</v>
      </c>
      <c r="DW172" s="161">
        <f t="shared" si="230"/>
        <v>0</v>
      </c>
      <c r="DX172" s="161">
        <f t="shared" si="231"/>
        <v>0</v>
      </c>
      <c r="DY172" s="161">
        <f t="shared" si="232"/>
        <v>0</v>
      </c>
      <c r="DZ172" s="161">
        <f t="shared" si="233"/>
        <v>0</v>
      </c>
      <c r="EA172" s="161">
        <f t="shared" si="234"/>
        <v>0</v>
      </c>
      <c r="EB172" s="161">
        <f t="shared" si="235"/>
        <v>0</v>
      </c>
      <c r="EC172" s="161">
        <f t="shared" si="236"/>
        <v>0</v>
      </c>
      <c r="ED172" s="161">
        <f t="shared" si="237"/>
        <v>0</v>
      </c>
      <c r="EE172" s="161">
        <f t="shared" si="238"/>
        <v>0</v>
      </c>
      <c r="EF172" s="161">
        <f t="shared" si="239"/>
        <v>0</v>
      </c>
      <c r="EG172" s="161">
        <f t="shared" si="240"/>
        <v>0</v>
      </c>
      <c r="EH172" s="161">
        <f t="shared" si="241"/>
        <v>0</v>
      </c>
      <c r="EI172" s="161">
        <f t="shared" si="242"/>
        <v>0</v>
      </c>
      <c r="EJ172" s="161">
        <f t="shared" si="243"/>
        <v>0</v>
      </c>
      <c r="EK172" s="147">
        <f t="shared" si="175"/>
        <v>0</v>
      </c>
      <c r="EL172" s="149"/>
      <c r="EN172" s="146"/>
      <c r="EO172" s="146"/>
      <c r="EP172" s="139">
        <f t="shared" si="176"/>
        <v>0</v>
      </c>
      <c r="EQ172" s="139">
        <f t="shared" si="177"/>
        <v>0</v>
      </c>
      <c r="ER172" s="139">
        <f t="shared" si="178"/>
        <v>0</v>
      </c>
      <c r="ES172" s="139">
        <f t="shared" si="179"/>
        <v>0</v>
      </c>
      <c r="ET172" s="139">
        <f t="shared" si="180"/>
        <v>0</v>
      </c>
      <c r="EU172" s="139">
        <f t="shared" si="181"/>
        <v>0</v>
      </c>
      <c r="EV172" s="139">
        <f t="shared" si="182"/>
        <v>0</v>
      </c>
      <c r="EW172" s="139">
        <f t="shared" si="183"/>
        <v>0</v>
      </c>
      <c r="EX172" s="139">
        <f t="shared" si="184"/>
        <v>0</v>
      </c>
      <c r="EY172" s="139">
        <f t="shared" si="185"/>
        <v>0</v>
      </c>
      <c r="EZ172" s="139">
        <f t="shared" si="186"/>
        <v>0</v>
      </c>
      <c r="FA172" s="139">
        <f t="shared" si="187"/>
        <v>0</v>
      </c>
      <c r="FB172" s="139">
        <f t="shared" si="188"/>
        <v>0</v>
      </c>
      <c r="FC172" s="139">
        <f t="shared" si="189"/>
        <v>0</v>
      </c>
      <c r="FD172" s="139">
        <f t="shared" si="190"/>
        <v>0</v>
      </c>
      <c r="FE172" s="139">
        <f t="shared" si="191"/>
        <v>0</v>
      </c>
      <c r="FF172" s="139">
        <f t="shared" si="192"/>
        <v>0</v>
      </c>
      <c r="FG172" s="139">
        <f t="shared" si="193"/>
        <v>0</v>
      </c>
      <c r="FH172" s="139">
        <f t="shared" si="194"/>
        <v>0</v>
      </c>
      <c r="FI172" s="139">
        <f t="shared" si="195"/>
        <v>0</v>
      </c>
      <c r="FJ172" s="139">
        <f t="shared" si="196"/>
        <v>0</v>
      </c>
      <c r="FK172" s="139">
        <f t="shared" si="197"/>
        <v>0</v>
      </c>
      <c r="FL172" s="139">
        <f t="shared" si="198"/>
        <v>0</v>
      </c>
      <c r="FM172" s="139">
        <f t="shared" si="199"/>
        <v>0</v>
      </c>
      <c r="FN172" s="139">
        <f t="shared" si="200"/>
        <v>0</v>
      </c>
      <c r="FO172" s="139">
        <f t="shared" si="201"/>
        <v>0</v>
      </c>
      <c r="FP172" s="139">
        <f t="shared" si="202"/>
        <v>0</v>
      </c>
      <c r="FQ172" s="139">
        <f t="shared" si="203"/>
        <v>0</v>
      </c>
      <c r="FR172" s="139">
        <f t="shared" si="204"/>
        <v>0</v>
      </c>
      <c r="FS172" s="139">
        <f t="shared" si="205"/>
        <v>0</v>
      </c>
      <c r="FT172" s="139">
        <f t="shared" si="206"/>
        <v>0</v>
      </c>
      <c r="FU172" s="148">
        <f t="shared" si="207"/>
        <v>0</v>
      </c>
      <c r="FV172" s="149"/>
      <c r="FY172" s="214">
        <v>167</v>
      </c>
      <c r="FZ172">
        <v>0.61045559453590226</v>
      </c>
      <c r="GA172">
        <v>11.268311279681138</v>
      </c>
      <c r="GB172">
        <v>5.9429983758823663</v>
      </c>
      <c r="GC172">
        <v>1.053021634033231</v>
      </c>
      <c r="GD172">
        <v>6.3428442105626957</v>
      </c>
      <c r="GE172">
        <v>14.26015270085645</v>
      </c>
      <c r="GF172">
        <v>22.610027684619588</v>
      </c>
      <c r="GG172">
        <v>17.681583368015172</v>
      </c>
      <c r="GH172">
        <v>2.9842986029364886</v>
      </c>
      <c r="GI172">
        <v>10.304590314323763</v>
      </c>
      <c r="GJ172"/>
      <c r="GK172"/>
      <c r="GL172"/>
      <c r="GM172"/>
    </row>
    <row r="173" spans="1:195" s="7" customFormat="1">
      <c r="A173" s="1"/>
      <c r="B173" s="76">
        <f t="shared" ca="1" si="172"/>
        <v>0.42755146256969678</v>
      </c>
      <c r="C173">
        <v>8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10.416666666666666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67.230147876371277</v>
      </c>
      <c r="AO173">
        <v>10.167742375998902</v>
      </c>
      <c r="AP173">
        <v>49.741290464505965</v>
      </c>
      <c r="AQ173">
        <v>57.846932253007786</v>
      </c>
      <c r="AR173">
        <v>9.2559335119611372</v>
      </c>
      <c r="AS173">
        <v>55.447855270747112</v>
      </c>
      <c r="AT173" t="e">
        <v>#DIV/0!</v>
      </c>
      <c r="AU173" t="e">
        <v>#DIV/0!</v>
      </c>
      <c r="AV173"/>
      <c r="AW173"/>
      <c r="AX173" s="146"/>
      <c r="AY173" s="76">
        <f t="shared" ca="1" si="173"/>
        <v>0.26261119312935666</v>
      </c>
      <c r="AZ173">
        <v>6</v>
      </c>
      <c r="BA173" s="129">
        <f t="shared" si="247"/>
        <v>39949</v>
      </c>
      <c r="BB173" s="207">
        <v>0</v>
      </c>
      <c r="BC173" s="207">
        <v>0</v>
      </c>
      <c r="BD173" s="207">
        <v>0</v>
      </c>
      <c r="BE173" s="207">
        <v>0</v>
      </c>
      <c r="BF173" s="207">
        <v>0</v>
      </c>
      <c r="BG173" s="207">
        <v>0</v>
      </c>
      <c r="BH173" s="207">
        <v>0</v>
      </c>
      <c r="BI173" s="207">
        <v>0</v>
      </c>
      <c r="BJ173" s="207">
        <v>0</v>
      </c>
      <c r="BK173" s="207">
        <v>0</v>
      </c>
      <c r="BL173" s="207">
        <v>0</v>
      </c>
      <c r="BM173" s="207">
        <v>0</v>
      </c>
      <c r="BN173" s="207">
        <v>0</v>
      </c>
      <c r="BO173" s="207">
        <v>0</v>
      </c>
      <c r="BP173" s="207">
        <v>0</v>
      </c>
      <c r="BQ173" s="207">
        <v>0</v>
      </c>
      <c r="BR173" s="207">
        <v>0</v>
      </c>
      <c r="BS173" s="207">
        <v>0</v>
      </c>
      <c r="BT173" s="207">
        <v>0</v>
      </c>
      <c r="BU173" s="207">
        <v>0</v>
      </c>
      <c r="BV173" s="207">
        <v>0</v>
      </c>
      <c r="BW173" s="207">
        <v>0</v>
      </c>
      <c r="BX173" s="207">
        <v>0</v>
      </c>
      <c r="BY173" s="207">
        <v>0</v>
      </c>
      <c r="BZ173" s="207">
        <v>0</v>
      </c>
      <c r="CA173" s="207">
        <v>0</v>
      </c>
      <c r="CB173" s="207">
        <v>0</v>
      </c>
      <c r="CC173" s="207">
        <v>0</v>
      </c>
      <c r="CD173" s="207">
        <v>0</v>
      </c>
      <c r="CE173" s="207">
        <v>0</v>
      </c>
      <c r="CF173" s="207">
        <v>0</v>
      </c>
      <c r="CG173" s="147"/>
      <c r="CH173" s="176"/>
      <c r="CJ173" s="146"/>
      <c r="CK173" s="76">
        <f t="shared" ca="1" si="208"/>
        <v>0.52177092510501466</v>
      </c>
      <c r="CL173" s="179">
        <f t="shared" si="209"/>
        <v>6</v>
      </c>
      <c r="CM173" s="180">
        <f t="shared" si="210"/>
        <v>39949</v>
      </c>
      <c r="CN173" s="208">
        <v>0</v>
      </c>
      <c r="CO173" s="208">
        <v>0</v>
      </c>
      <c r="CP173" s="208">
        <v>0</v>
      </c>
      <c r="CQ173" s="208">
        <v>0</v>
      </c>
      <c r="CR173" s="208">
        <v>0</v>
      </c>
      <c r="CS173" s="208">
        <v>0</v>
      </c>
      <c r="CT173" s="208">
        <v>0</v>
      </c>
      <c r="CU173" s="208">
        <v>0</v>
      </c>
      <c r="CV173" s="160"/>
      <c r="CW173">
        <v>1</v>
      </c>
      <c r="CX173">
        <v>1</v>
      </c>
      <c r="CY173" s="160"/>
      <c r="CZ173" s="177">
        <f t="shared" si="211"/>
        <v>9.6000000000000002E-2</v>
      </c>
      <c r="DB173" s="146"/>
      <c r="DC173" s="76">
        <f t="shared" ca="1" si="174"/>
        <v>0.92021388055247688</v>
      </c>
      <c r="DD173">
        <f t="shared" si="212"/>
        <v>6</v>
      </c>
      <c r="DE173" s="129">
        <f t="shared" si="246"/>
        <v>39949</v>
      </c>
      <c r="DF173" s="161">
        <f t="shared" si="213"/>
        <v>0</v>
      </c>
      <c r="DG173" s="161">
        <f t="shared" si="214"/>
        <v>0</v>
      </c>
      <c r="DH173" s="161">
        <f t="shared" si="215"/>
        <v>0</v>
      </c>
      <c r="DI173" s="161">
        <f t="shared" si="216"/>
        <v>0</v>
      </c>
      <c r="DJ173" s="161">
        <f t="shared" si="217"/>
        <v>0</v>
      </c>
      <c r="DK173" s="161">
        <f t="shared" si="218"/>
        <v>0</v>
      </c>
      <c r="DL173" s="161">
        <f t="shared" si="219"/>
        <v>0</v>
      </c>
      <c r="DM173" s="161">
        <f t="shared" si="220"/>
        <v>0</v>
      </c>
      <c r="DN173" s="161">
        <f t="shared" si="221"/>
        <v>0</v>
      </c>
      <c r="DO173" s="161">
        <f t="shared" si="222"/>
        <v>0</v>
      </c>
      <c r="DP173" s="161">
        <f t="shared" si="223"/>
        <v>0</v>
      </c>
      <c r="DQ173" s="161">
        <f t="shared" si="224"/>
        <v>0</v>
      </c>
      <c r="DR173" s="161">
        <f t="shared" si="225"/>
        <v>0</v>
      </c>
      <c r="DS173" s="161">
        <f t="shared" si="226"/>
        <v>0</v>
      </c>
      <c r="DT173" s="161">
        <f t="shared" si="227"/>
        <v>0</v>
      </c>
      <c r="DU173" s="161">
        <f t="shared" si="228"/>
        <v>0</v>
      </c>
      <c r="DV173" s="161">
        <f t="shared" si="229"/>
        <v>0</v>
      </c>
      <c r="DW173" s="161">
        <f t="shared" si="230"/>
        <v>0</v>
      </c>
      <c r="DX173" s="161">
        <f t="shared" si="231"/>
        <v>0</v>
      </c>
      <c r="DY173" s="161">
        <f t="shared" si="232"/>
        <v>0</v>
      </c>
      <c r="DZ173" s="161">
        <f t="shared" si="233"/>
        <v>0</v>
      </c>
      <c r="EA173" s="161">
        <f t="shared" si="234"/>
        <v>0</v>
      </c>
      <c r="EB173" s="161">
        <f t="shared" si="235"/>
        <v>0</v>
      </c>
      <c r="EC173" s="161">
        <f t="shared" si="236"/>
        <v>0</v>
      </c>
      <c r="ED173" s="161">
        <f t="shared" si="237"/>
        <v>0</v>
      </c>
      <c r="EE173" s="161">
        <f t="shared" si="238"/>
        <v>0</v>
      </c>
      <c r="EF173" s="161">
        <f t="shared" si="239"/>
        <v>0</v>
      </c>
      <c r="EG173" s="161">
        <f t="shared" si="240"/>
        <v>0</v>
      </c>
      <c r="EH173" s="161">
        <f t="shared" si="241"/>
        <v>0</v>
      </c>
      <c r="EI173" s="161">
        <f t="shared" si="242"/>
        <v>0</v>
      </c>
      <c r="EJ173" s="161">
        <f t="shared" si="243"/>
        <v>0</v>
      </c>
      <c r="EK173" s="147">
        <f t="shared" si="175"/>
        <v>0</v>
      </c>
      <c r="EL173" s="149"/>
      <c r="EN173" s="146"/>
      <c r="EO173" s="146"/>
      <c r="EP173" s="139">
        <f t="shared" si="176"/>
        <v>0</v>
      </c>
      <c r="EQ173" s="139">
        <f t="shared" si="177"/>
        <v>0</v>
      </c>
      <c r="ER173" s="139">
        <f t="shared" si="178"/>
        <v>0</v>
      </c>
      <c r="ES173" s="139">
        <f t="shared" si="179"/>
        <v>0</v>
      </c>
      <c r="ET173" s="139">
        <f t="shared" si="180"/>
        <v>0</v>
      </c>
      <c r="EU173" s="139">
        <f t="shared" si="181"/>
        <v>0</v>
      </c>
      <c r="EV173" s="139">
        <f t="shared" si="182"/>
        <v>0</v>
      </c>
      <c r="EW173" s="139">
        <f t="shared" si="183"/>
        <v>0</v>
      </c>
      <c r="EX173" s="139">
        <f t="shared" si="184"/>
        <v>0</v>
      </c>
      <c r="EY173" s="139">
        <f t="shared" si="185"/>
        <v>0</v>
      </c>
      <c r="EZ173" s="139">
        <f t="shared" si="186"/>
        <v>0</v>
      </c>
      <c r="FA173" s="139">
        <f t="shared" si="187"/>
        <v>0</v>
      </c>
      <c r="FB173" s="139">
        <f t="shared" si="188"/>
        <v>0</v>
      </c>
      <c r="FC173" s="139">
        <f t="shared" si="189"/>
        <v>0</v>
      </c>
      <c r="FD173" s="139">
        <f t="shared" si="190"/>
        <v>0</v>
      </c>
      <c r="FE173" s="139">
        <f t="shared" si="191"/>
        <v>0</v>
      </c>
      <c r="FF173" s="139">
        <f t="shared" si="192"/>
        <v>0</v>
      </c>
      <c r="FG173" s="139">
        <f t="shared" si="193"/>
        <v>0</v>
      </c>
      <c r="FH173" s="139">
        <f t="shared" si="194"/>
        <v>0</v>
      </c>
      <c r="FI173" s="139">
        <f t="shared" si="195"/>
        <v>0</v>
      </c>
      <c r="FJ173" s="139">
        <f t="shared" si="196"/>
        <v>0</v>
      </c>
      <c r="FK173" s="139">
        <f t="shared" si="197"/>
        <v>0</v>
      </c>
      <c r="FL173" s="139">
        <f t="shared" si="198"/>
        <v>0</v>
      </c>
      <c r="FM173" s="139">
        <f t="shared" si="199"/>
        <v>0</v>
      </c>
      <c r="FN173" s="139">
        <f t="shared" si="200"/>
        <v>0</v>
      </c>
      <c r="FO173" s="139">
        <f t="shared" si="201"/>
        <v>0</v>
      </c>
      <c r="FP173" s="139">
        <f t="shared" si="202"/>
        <v>0</v>
      </c>
      <c r="FQ173" s="139">
        <f t="shared" si="203"/>
        <v>0</v>
      </c>
      <c r="FR173" s="139">
        <f t="shared" si="204"/>
        <v>0</v>
      </c>
      <c r="FS173" s="139">
        <f t="shared" si="205"/>
        <v>0</v>
      </c>
      <c r="FT173" s="139">
        <f t="shared" si="206"/>
        <v>0</v>
      </c>
      <c r="FU173" s="148">
        <f t="shared" si="207"/>
        <v>0</v>
      </c>
      <c r="FV173" s="149"/>
      <c r="FY173" s="214">
        <v>168</v>
      </c>
      <c r="FZ173">
        <v>1.1464776076907297</v>
      </c>
      <c r="GA173">
        <v>17.984347570129525</v>
      </c>
      <c r="GB173">
        <v>14.064431413833844</v>
      </c>
      <c r="GC173">
        <v>3.4436072734281646</v>
      </c>
      <c r="GD173">
        <v>5.0433714594551322</v>
      </c>
      <c r="GE173">
        <v>17.777333502732439</v>
      </c>
      <c r="GF173">
        <v>22.990811062508037</v>
      </c>
      <c r="GG173">
        <v>12.57782648059186</v>
      </c>
      <c r="GH173">
        <v>7.6206865544182483</v>
      </c>
      <c r="GI173">
        <v>12.594905569764849</v>
      </c>
      <c r="GJ173"/>
      <c r="GK173"/>
      <c r="GL173"/>
      <c r="GM173"/>
    </row>
    <row r="174" spans="1:195" s="7" customFormat="1">
      <c r="A174" s="1"/>
      <c r="B174" s="76">
        <f t="shared" ca="1" si="172"/>
        <v>0.18797260304239671</v>
      </c>
      <c r="C174">
        <v>10</v>
      </c>
      <c r="D174">
        <v>39949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60.049378480709969</v>
      </c>
      <c r="AO174">
        <v>13.467975322849867</v>
      </c>
      <c r="AP174">
        <v>60.253730929728313</v>
      </c>
      <c r="AQ174">
        <v>75.417858645939091</v>
      </c>
      <c r="AR174">
        <v>12.422478563052278</v>
      </c>
      <c r="AS174">
        <v>61.334680185809304</v>
      </c>
      <c r="AT174">
        <v>6.6881426102877235</v>
      </c>
      <c r="AU174">
        <v>-2.1060861321045965</v>
      </c>
      <c r="AV174"/>
      <c r="AW174"/>
      <c r="AX174" s="146"/>
      <c r="AY174" s="76">
        <f t="shared" ca="1" si="173"/>
        <v>4.2436815793200466E-2</v>
      </c>
      <c r="AZ174">
        <v>7</v>
      </c>
      <c r="BA174" s="129">
        <f t="shared" si="247"/>
        <v>39949</v>
      </c>
      <c r="BB174" s="207">
        <v>0</v>
      </c>
      <c r="BC174" s="207">
        <v>0</v>
      </c>
      <c r="BD174" s="207">
        <v>0</v>
      </c>
      <c r="BE174" s="207">
        <v>0</v>
      </c>
      <c r="BF174" s="207">
        <v>9</v>
      </c>
      <c r="BG174" s="207">
        <v>4</v>
      </c>
      <c r="BH174" s="207">
        <v>2</v>
      </c>
      <c r="BI174" s="207">
        <v>1</v>
      </c>
      <c r="BJ174" s="207">
        <v>0</v>
      </c>
      <c r="BK174" s="207">
        <v>0</v>
      </c>
      <c r="BL174" s="207">
        <v>0</v>
      </c>
      <c r="BM174" s="207">
        <v>0</v>
      </c>
      <c r="BN174" s="207">
        <v>0</v>
      </c>
      <c r="BO174" s="207">
        <v>0</v>
      </c>
      <c r="BP174" s="207">
        <v>0</v>
      </c>
      <c r="BQ174" s="207">
        <v>0</v>
      </c>
      <c r="BR174" s="207">
        <v>0</v>
      </c>
      <c r="BS174" s="207">
        <v>0</v>
      </c>
      <c r="BT174" s="207">
        <v>0</v>
      </c>
      <c r="BU174" s="207">
        <v>0</v>
      </c>
      <c r="BV174" s="207">
        <v>0</v>
      </c>
      <c r="BW174" s="207">
        <v>0</v>
      </c>
      <c r="BX174" s="207">
        <v>0</v>
      </c>
      <c r="BY174" s="207">
        <v>0</v>
      </c>
      <c r="BZ174" s="207">
        <v>0</v>
      </c>
      <c r="CA174" s="207">
        <v>0</v>
      </c>
      <c r="CB174" s="207">
        <v>0</v>
      </c>
      <c r="CC174" s="207">
        <v>0</v>
      </c>
      <c r="CD174" s="207">
        <v>0</v>
      </c>
      <c r="CE174" s="207">
        <v>0</v>
      </c>
      <c r="CF174" s="207">
        <v>0</v>
      </c>
      <c r="CG174" s="147"/>
      <c r="CH174" s="176"/>
      <c r="CJ174" s="146"/>
      <c r="CK174" s="76">
        <f t="shared" ca="1" si="208"/>
        <v>0.19996445376799166</v>
      </c>
      <c r="CL174" s="179">
        <f t="shared" si="209"/>
        <v>7</v>
      </c>
      <c r="CM174" s="180">
        <f t="shared" si="210"/>
        <v>39949</v>
      </c>
      <c r="CN174" s="208">
        <v>0</v>
      </c>
      <c r="CO174" s="208">
        <v>0</v>
      </c>
      <c r="CP174" s="208">
        <v>0</v>
      </c>
      <c r="CQ174" s="208">
        <v>0</v>
      </c>
      <c r="CR174" s="208">
        <v>0</v>
      </c>
      <c r="CS174" s="208">
        <v>0</v>
      </c>
      <c r="CT174" s="208">
        <v>0</v>
      </c>
      <c r="CU174" s="208">
        <v>0</v>
      </c>
      <c r="CV174" s="160"/>
      <c r="CW174">
        <v>1</v>
      </c>
      <c r="CX174">
        <v>1</v>
      </c>
      <c r="CY174" s="165"/>
      <c r="CZ174" s="177">
        <f t="shared" si="211"/>
        <v>9.6000000000000002E-2</v>
      </c>
      <c r="DB174" s="146"/>
      <c r="DC174" s="76">
        <f t="shared" ca="1" si="174"/>
        <v>0.59213811083206647</v>
      </c>
      <c r="DD174">
        <f t="shared" si="212"/>
        <v>7</v>
      </c>
      <c r="DE174" s="129">
        <f t="shared" si="246"/>
        <v>39949</v>
      </c>
      <c r="DF174" s="161">
        <f t="shared" si="213"/>
        <v>0</v>
      </c>
      <c r="DG174" s="161">
        <f t="shared" si="214"/>
        <v>0</v>
      </c>
      <c r="DH174" s="161">
        <f t="shared" si="215"/>
        <v>0</v>
      </c>
      <c r="DI174" s="161">
        <f t="shared" si="216"/>
        <v>0</v>
      </c>
      <c r="DJ174" s="161">
        <f t="shared" si="217"/>
        <v>93.75</v>
      </c>
      <c r="DK174" s="161">
        <f t="shared" si="218"/>
        <v>41.666666666666664</v>
      </c>
      <c r="DL174" s="161">
        <f t="shared" si="219"/>
        <v>20.833333333333332</v>
      </c>
      <c r="DM174" s="161">
        <f t="shared" si="220"/>
        <v>10.416666666666666</v>
      </c>
      <c r="DN174" s="161">
        <f t="shared" si="221"/>
        <v>0</v>
      </c>
      <c r="DO174" s="161">
        <f t="shared" si="222"/>
        <v>0</v>
      </c>
      <c r="DP174" s="161">
        <f t="shared" si="223"/>
        <v>0</v>
      </c>
      <c r="DQ174" s="161">
        <f t="shared" si="224"/>
        <v>0</v>
      </c>
      <c r="DR174" s="161">
        <f t="shared" si="225"/>
        <v>0</v>
      </c>
      <c r="DS174" s="161">
        <f t="shared" si="226"/>
        <v>0</v>
      </c>
      <c r="DT174" s="161">
        <f t="shared" si="227"/>
        <v>0</v>
      </c>
      <c r="DU174" s="161">
        <f t="shared" si="228"/>
        <v>0</v>
      </c>
      <c r="DV174" s="161">
        <f t="shared" si="229"/>
        <v>0</v>
      </c>
      <c r="DW174" s="161">
        <f t="shared" si="230"/>
        <v>0</v>
      </c>
      <c r="DX174" s="161">
        <f t="shared" si="231"/>
        <v>0</v>
      </c>
      <c r="DY174" s="161">
        <f t="shared" si="232"/>
        <v>0</v>
      </c>
      <c r="DZ174" s="161">
        <f t="shared" si="233"/>
        <v>0</v>
      </c>
      <c r="EA174" s="161">
        <f t="shared" si="234"/>
        <v>0</v>
      </c>
      <c r="EB174" s="161">
        <f t="shared" si="235"/>
        <v>0</v>
      </c>
      <c r="EC174" s="161">
        <f t="shared" si="236"/>
        <v>0</v>
      </c>
      <c r="ED174" s="161">
        <f t="shared" si="237"/>
        <v>0</v>
      </c>
      <c r="EE174" s="161">
        <f t="shared" si="238"/>
        <v>0</v>
      </c>
      <c r="EF174" s="161">
        <f t="shared" si="239"/>
        <v>0</v>
      </c>
      <c r="EG174" s="161">
        <f t="shared" si="240"/>
        <v>0</v>
      </c>
      <c r="EH174" s="161">
        <f t="shared" si="241"/>
        <v>0</v>
      </c>
      <c r="EI174" s="161">
        <f t="shared" si="242"/>
        <v>0</v>
      </c>
      <c r="EJ174" s="161">
        <f t="shared" si="243"/>
        <v>0</v>
      </c>
      <c r="EK174" s="147">
        <f t="shared" si="175"/>
        <v>166.66666666666666</v>
      </c>
      <c r="EL174" s="149"/>
      <c r="EN174" s="146"/>
      <c r="EO174" s="146"/>
      <c r="EP174" s="139">
        <f t="shared" si="176"/>
        <v>0</v>
      </c>
      <c r="EQ174" s="139">
        <f t="shared" si="177"/>
        <v>0</v>
      </c>
      <c r="ER174" s="139">
        <f t="shared" si="178"/>
        <v>0</v>
      </c>
      <c r="ES174" s="139">
        <f t="shared" si="179"/>
        <v>0</v>
      </c>
      <c r="ET174" s="139">
        <f t="shared" si="180"/>
        <v>26.116308553458641</v>
      </c>
      <c r="EU174" s="139">
        <f t="shared" si="181"/>
        <v>21.098631534344598</v>
      </c>
      <c r="EV174" s="139">
        <f t="shared" si="182"/>
        <v>17.189833452502054</v>
      </c>
      <c r="EW174" s="139">
        <f t="shared" si="183"/>
        <v>12.987488497144399</v>
      </c>
      <c r="EX174" s="139">
        <f t="shared" si="184"/>
        <v>0</v>
      </c>
      <c r="EY174" s="139">
        <f t="shared" si="185"/>
        <v>0</v>
      </c>
      <c r="EZ174" s="139">
        <f t="shared" si="186"/>
        <v>0</v>
      </c>
      <c r="FA174" s="139">
        <f t="shared" si="187"/>
        <v>0</v>
      </c>
      <c r="FB174" s="139">
        <f t="shared" si="188"/>
        <v>0</v>
      </c>
      <c r="FC174" s="139">
        <f t="shared" si="189"/>
        <v>0</v>
      </c>
      <c r="FD174" s="139">
        <f t="shared" si="190"/>
        <v>0</v>
      </c>
      <c r="FE174" s="139">
        <f t="shared" si="191"/>
        <v>0</v>
      </c>
      <c r="FF174" s="139">
        <f t="shared" si="192"/>
        <v>0</v>
      </c>
      <c r="FG174" s="139">
        <f t="shared" si="193"/>
        <v>0</v>
      </c>
      <c r="FH174" s="139">
        <f t="shared" si="194"/>
        <v>0</v>
      </c>
      <c r="FI174" s="139">
        <f t="shared" si="195"/>
        <v>0</v>
      </c>
      <c r="FJ174" s="139">
        <f t="shared" si="196"/>
        <v>0</v>
      </c>
      <c r="FK174" s="139">
        <f t="shared" si="197"/>
        <v>0</v>
      </c>
      <c r="FL174" s="139">
        <f t="shared" si="198"/>
        <v>0</v>
      </c>
      <c r="FM174" s="139">
        <f t="shared" si="199"/>
        <v>0</v>
      </c>
      <c r="FN174" s="139">
        <f t="shared" si="200"/>
        <v>0</v>
      </c>
      <c r="FO174" s="139">
        <f t="shared" si="201"/>
        <v>0</v>
      </c>
      <c r="FP174" s="139">
        <f t="shared" si="202"/>
        <v>0</v>
      </c>
      <c r="FQ174" s="139">
        <f t="shared" si="203"/>
        <v>0</v>
      </c>
      <c r="FR174" s="139">
        <f t="shared" si="204"/>
        <v>0</v>
      </c>
      <c r="FS174" s="139">
        <f t="shared" si="205"/>
        <v>0</v>
      </c>
      <c r="FT174" s="139">
        <f t="shared" si="206"/>
        <v>0</v>
      </c>
      <c r="FU174" s="148">
        <f t="shared" si="207"/>
        <v>77.392262037449697</v>
      </c>
      <c r="FV174" s="149"/>
      <c r="FY174" s="214">
        <v>169</v>
      </c>
      <c r="FZ174">
        <v>1.0791613936787969</v>
      </c>
      <c r="GA174">
        <v>12.525766357639649</v>
      </c>
      <c r="GB174">
        <v>7.8516175636557115</v>
      </c>
      <c r="GC174">
        <v>1.6769300219013394</v>
      </c>
      <c r="GD174">
        <v>8.3330756578530032</v>
      </c>
      <c r="GE174">
        <v>21.287807766813295</v>
      </c>
      <c r="GF174">
        <v>13.353031214773441</v>
      </c>
      <c r="GG174">
        <v>7.4412548817692521</v>
      </c>
      <c r="GH174">
        <v>5.3603986408057089</v>
      </c>
      <c r="GI174">
        <v>10.772236880037314</v>
      </c>
      <c r="GJ174"/>
      <c r="GK174"/>
      <c r="GL174"/>
      <c r="GM174"/>
    </row>
    <row r="175" spans="1:195" s="7" customFormat="1">
      <c r="A175" s="1"/>
      <c r="B175" s="76">
        <f t="shared" ca="1" si="172"/>
        <v>0.43106819375402194</v>
      </c>
      <c r="C175">
        <v>5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74.504915408838528</v>
      </c>
      <c r="AO175">
        <v>16.433478595411007</v>
      </c>
      <c r="AP175">
        <v>55.508510850757908</v>
      </c>
      <c r="AQ175">
        <v>100.18794270641662</v>
      </c>
      <c r="AR175">
        <v>14.939525995828189</v>
      </c>
      <c r="AS175">
        <v>74.196886640859532</v>
      </c>
      <c r="AT175" t="e">
        <v>#DIV/0!</v>
      </c>
      <c r="AU175" t="e">
        <v>#DIV/0!</v>
      </c>
      <c r="AV175"/>
      <c r="AW175"/>
      <c r="AX175" s="146"/>
      <c r="AY175" s="76">
        <f t="shared" ca="1" si="173"/>
        <v>0.18614591395995483</v>
      </c>
      <c r="AZ175">
        <v>8</v>
      </c>
      <c r="BA175" s="129">
        <f t="shared" si="247"/>
        <v>39949</v>
      </c>
      <c r="BB175" s="207">
        <v>0</v>
      </c>
      <c r="BC175" s="207">
        <v>0</v>
      </c>
      <c r="BD175" s="207">
        <v>0</v>
      </c>
      <c r="BE175" s="207">
        <v>0</v>
      </c>
      <c r="BF175" s="207">
        <v>0</v>
      </c>
      <c r="BG175" s="207">
        <v>0</v>
      </c>
      <c r="BH175" s="207">
        <v>0</v>
      </c>
      <c r="BI175" s="207">
        <v>1</v>
      </c>
      <c r="BJ175" s="207">
        <v>0</v>
      </c>
      <c r="BK175" s="207">
        <v>0</v>
      </c>
      <c r="BL175" s="207">
        <v>0</v>
      </c>
      <c r="BM175" s="207">
        <v>0</v>
      </c>
      <c r="BN175" s="207">
        <v>0</v>
      </c>
      <c r="BO175" s="207">
        <v>0</v>
      </c>
      <c r="BP175" s="207">
        <v>0</v>
      </c>
      <c r="BQ175" s="207">
        <v>0</v>
      </c>
      <c r="BR175" s="207">
        <v>0</v>
      </c>
      <c r="BS175" s="207">
        <v>0</v>
      </c>
      <c r="BT175" s="207">
        <v>0</v>
      </c>
      <c r="BU175" s="207">
        <v>0</v>
      </c>
      <c r="BV175" s="207">
        <v>0</v>
      </c>
      <c r="BW175" s="207">
        <v>0</v>
      </c>
      <c r="BX175" s="207">
        <v>0</v>
      </c>
      <c r="BY175" s="207">
        <v>0</v>
      </c>
      <c r="BZ175" s="207">
        <v>0</v>
      </c>
      <c r="CA175" s="207">
        <v>0</v>
      </c>
      <c r="CB175" s="207">
        <v>0</v>
      </c>
      <c r="CC175" s="207">
        <v>0</v>
      </c>
      <c r="CD175" s="207">
        <v>0</v>
      </c>
      <c r="CE175" s="207">
        <v>0</v>
      </c>
      <c r="CF175" s="207">
        <v>0</v>
      </c>
      <c r="CG175" s="147"/>
      <c r="CH175" s="176"/>
      <c r="CJ175" s="146"/>
      <c r="CK175" s="76">
        <f t="shared" ca="1" si="208"/>
        <v>9.7313804794905145E-3</v>
      </c>
      <c r="CL175" s="179">
        <f t="shared" si="209"/>
        <v>8</v>
      </c>
      <c r="CM175" s="180">
        <f t="shared" si="210"/>
        <v>39949</v>
      </c>
      <c r="CN175" s="208">
        <v>0</v>
      </c>
      <c r="CO175" s="208">
        <v>0</v>
      </c>
      <c r="CP175" s="208">
        <v>0</v>
      </c>
      <c r="CQ175" s="208">
        <v>0</v>
      </c>
      <c r="CR175" s="208">
        <v>0</v>
      </c>
      <c r="CS175" s="208">
        <v>0</v>
      </c>
      <c r="CT175" s="208">
        <v>0</v>
      </c>
      <c r="CU175" s="208">
        <v>0</v>
      </c>
      <c r="CV175" s="160"/>
      <c r="CW175">
        <v>1</v>
      </c>
      <c r="CX175">
        <v>1</v>
      </c>
      <c r="CY175" s="165"/>
      <c r="CZ175" s="177">
        <f t="shared" si="211"/>
        <v>9.6000000000000002E-2</v>
      </c>
      <c r="DB175" s="146"/>
      <c r="DC175" s="76">
        <f t="shared" ca="1" si="174"/>
        <v>8.347471835970266E-2</v>
      </c>
      <c r="DD175">
        <f t="shared" si="212"/>
        <v>8</v>
      </c>
      <c r="DE175" s="129">
        <f t="shared" si="246"/>
        <v>39949</v>
      </c>
      <c r="DF175" s="161">
        <f t="shared" si="213"/>
        <v>0</v>
      </c>
      <c r="DG175" s="161">
        <f t="shared" si="214"/>
        <v>0</v>
      </c>
      <c r="DH175" s="161">
        <f t="shared" si="215"/>
        <v>0</v>
      </c>
      <c r="DI175" s="161">
        <f t="shared" si="216"/>
        <v>0</v>
      </c>
      <c r="DJ175" s="161">
        <f t="shared" si="217"/>
        <v>0</v>
      </c>
      <c r="DK175" s="161">
        <f t="shared" si="218"/>
        <v>0</v>
      </c>
      <c r="DL175" s="161">
        <f t="shared" si="219"/>
        <v>0</v>
      </c>
      <c r="DM175" s="161">
        <f t="shared" si="220"/>
        <v>10.416666666666666</v>
      </c>
      <c r="DN175" s="161">
        <f t="shared" si="221"/>
        <v>0</v>
      </c>
      <c r="DO175" s="161">
        <f t="shared" si="222"/>
        <v>0</v>
      </c>
      <c r="DP175" s="161">
        <f t="shared" si="223"/>
        <v>0</v>
      </c>
      <c r="DQ175" s="161">
        <f t="shared" si="224"/>
        <v>0</v>
      </c>
      <c r="DR175" s="161">
        <f t="shared" si="225"/>
        <v>0</v>
      </c>
      <c r="DS175" s="161">
        <f t="shared" si="226"/>
        <v>0</v>
      </c>
      <c r="DT175" s="161">
        <f t="shared" si="227"/>
        <v>0</v>
      </c>
      <c r="DU175" s="161">
        <f t="shared" si="228"/>
        <v>0</v>
      </c>
      <c r="DV175" s="161">
        <f t="shared" si="229"/>
        <v>0</v>
      </c>
      <c r="DW175" s="161">
        <f t="shared" si="230"/>
        <v>0</v>
      </c>
      <c r="DX175" s="161">
        <f t="shared" si="231"/>
        <v>0</v>
      </c>
      <c r="DY175" s="161">
        <f t="shared" si="232"/>
        <v>0</v>
      </c>
      <c r="DZ175" s="161">
        <f t="shared" si="233"/>
        <v>0</v>
      </c>
      <c r="EA175" s="161">
        <f t="shared" si="234"/>
        <v>0</v>
      </c>
      <c r="EB175" s="161">
        <f t="shared" si="235"/>
        <v>0</v>
      </c>
      <c r="EC175" s="161">
        <f t="shared" si="236"/>
        <v>0</v>
      </c>
      <c r="ED175" s="161">
        <f t="shared" si="237"/>
        <v>0</v>
      </c>
      <c r="EE175" s="161">
        <f t="shared" si="238"/>
        <v>0</v>
      </c>
      <c r="EF175" s="161">
        <f t="shared" si="239"/>
        <v>0</v>
      </c>
      <c r="EG175" s="161">
        <f t="shared" si="240"/>
        <v>0</v>
      </c>
      <c r="EH175" s="161">
        <f t="shared" si="241"/>
        <v>0</v>
      </c>
      <c r="EI175" s="161">
        <f t="shared" si="242"/>
        <v>0</v>
      </c>
      <c r="EJ175" s="161">
        <f t="shared" si="243"/>
        <v>0</v>
      </c>
      <c r="EK175" s="147">
        <f t="shared" si="175"/>
        <v>10.416666666666666</v>
      </c>
      <c r="EL175" s="149"/>
      <c r="EN175" s="146"/>
      <c r="EO175" s="146"/>
      <c r="EP175" s="139">
        <f t="shared" si="176"/>
        <v>0</v>
      </c>
      <c r="EQ175" s="139">
        <f t="shared" si="177"/>
        <v>0</v>
      </c>
      <c r="ER175" s="139">
        <f t="shared" si="178"/>
        <v>0</v>
      </c>
      <c r="ES175" s="139">
        <f t="shared" si="179"/>
        <v>0</v>
      </c>
      <c r="ET175" s="139">
        <f t="shared" si="180"/>
        <v>0</v>
      </c>
      <c r="EU175" s="139">
        <f t="shared" si="181"/>
        <v>0</v>
      </c>
      <c r="EV175" s="139">
        <f t="shared" si="182"/>
        <v>0</v>
      </c>
      <c r="EW175" s="139">
        <f t="shared" si="183"/>
        <v>12.987488497144399</v>
      </c>
      <c r="EX175" s="139">
        <f t="shared" si="184"/>
        <v>0</v>
      </c>
      <c r="EY175" s="139">
        <f t="shared" si="185"/>
        <v>0</v>
      </c>
      <c r="EZ175" s="139">
        <f t="shared" si="186"/>
        <v>0</v>
      </c>
      <c r="FA175" s="139">
        <f t="shared" si="187"/>
        <v>0</v>
      </c>
      <c r="FB175" s="139">
        <f t="shared" si="188"/>
        <v>0</v>
      </c>
      <c r="FC175" s="139">
        <f t="shared" si="189"/>
        <v>0</v>
      </c>
      <c r="FD175" s="139">
        <f t="shared" si="190"/>
        <v>0</v>
      </c>
      <c r="FE175" s="139">
        <f t="shared" si="191"/>
        <v>0</v>
      </c>
      <c r="FF175" s="139">
        <f t="shared" si="192"/>
        <v>0</v>
      </c>
      <c r="FG175" s="139">
        <f t="shared" si="193"/>
        <v>0</v>
      </c>
      <c r="FH175" s="139">
        <f t="shared" si="194"/>
        <v>0</v>
      </c>
      <c r="FI175" s="139">
        <f t="shared" si="195"/>
        <v>0</v>
      </c>
      <c r="FJ175" s="139">
        <f t="shared" si="196"/>
        <v>0</v>
      </c>
      <c r="FK175" s="139">
        <f t="shared" si="197"/>
        <v>0</v>
      </c>
      <c r="FL175" s="139">
        <f t="shared" si="198"/>
        <v>0</v>
      </c>
      <c r="FM175" s="139">
        <f t="shared" si="199"/>
        <v>0</v>
      </c>
      <c r="FN175" s="139">
        <f t="shared" si="200"/>
        <v>0</v>
      </c>
      <c r="FO175" s="139">
        <f t="shared" si="201"/>
        <v>0</v>
      </c>
      <c r="FP175" s="139">
        <f t="shared" si="202"/>
        <v>0</v>
      </c>
      <c r="FQ175" s="139">
        <f t="shared" si="203"/>
        <v>0</v>
      </c>
      <c r="FR175" s="139">
        <f t="shared" si="204"/>
        <v>0</v>
      </c>
      <c r="FS175" s="139">
        <f t="shared" si="205"/>
        <v>0</v>
      </c>
      <c r="FT175" s="139">
        <f t="shared" si="206"/>
        <v>0</v>
      </c>
      <c r="FU175" s="148">
        <f t="shared" si="207"/>
        <v>12.987488497144399</v>
      </c>
      <c r="FV175" s="149"/>
      <c r="FY175" s="214">
        <v>170</v>
      </c>
      <c r="FZ175">
        <v>0.41188802907323274</v>
      </c>
      <c r="GA175">
        <v>2.2585140267366737</v>
      </c>
      <c r="GB175">
        <v>5.0119564188210362</v>
      </c>
      <c r="GC175">
        <v>3.1160514281475891</v>
      </c>
      <c r="GD175">
        <v>5.2149235028550667</v>
      </c>
      <c r="GE175">
        <v>15.19104214806085</v>
      </c>
      <c r="GF175">
        <v>11.918928058587836</v>
      </c>
      <c r="GG175">
        <v>5.7126124574456165</v>
      </c>
      <c r="GH175">
        <v>6.6409233668870469</v>
      </c>
      <c r="GI175">
        <v>7.820841449710584</v>
      </c>
      <c r="GJ175"/>
      <c r="GK175"/>
      <c r="GL175"/>
      <c r="GM175"/>
    </row>
    <row r="176" spans="1:195" s="7" customFormat="1">
      <c r="A176" s="1"/>
      <c r="B176" s="76">
        <f t="shared" ca="1" si="172"/>
        <v>0.14710195744458066</v>
      </c>
      <c r="C176">
        <v>4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77.495968269031891</v>
      </c>
      <c r="AO176">
        <v>14.825386915613574</v>
      </c>
      <c r="AP176">
        <v>82.862202102538305</v>
      </c>
      <c r="AQ176">
        <v>81.56680015726171</v>
      </c>
      <c r="AR176">
        <v>13.871337516382335</v>
      </c>
      <c r="AS176">
        <v>73.949526984550218</v>
      </c>
      <c r="AT176">
        <v>7.635757443338627</v>
      </c>
      <c r="AU176">
        <v>10.957622759544913</v>
      </c>
      <c r="AV176"/>
      <c r="AW176"/>
      <c r="AX176" s="146"/>
      <c r="AY176" s="76">
        <f t="shared" ca="1" si="173"/>
        <v>0.52605519389647615</v>
      </c>
      <c r="AZ176">
        <v>9</v>
      </c>
      <c r="BA176" s="129">
        <f t="shared" si="247"/>
        <v>39949</v>
      </c>
      <c r="BB176" s="207">
        <v>0</v>
      </c>
      <c r="BC176" s="207">
        <v>0</v>
      </c>
      <c r="BD176" s="207">
        <v>0</v>
      </c>
      <c r="BE176" s="207">
        <v>0</v>
      </c>
      <c r="BF176" s="207">
        <v>0</v>
      </c>
      <c r="BG176" s="207">
        <v>0</v>
      </c>
      <c r="BH176" s="207">
        <v>0</v>
      </c>
      <c r="BI176" s="207">
        <v>0</v>
      </c>
      <c r="BJ176" s="207">
        <v>0</v>
      </c>
      <c r="BK176" s="207">
        <v>0</v>
      </c>
      <c r="BL176" s="207">
        <v>0</v>
      </c>
      <c r="BM176" s="207">
        <v>0</v>
      </c>
      <c r="BN176" s="207">
        <v>0</v>
      </c>
      <c r="BO176" s="207">
        <v>0</v>
      </c>
      <c r="BP176" s="207">
        <v>0</v>
      </c>
      <c r="BQ176" s="207">
        <v>0</v>
      </c>
      <c r="BR176" s="207">
        <v>0</v>
      </c>
      <c r="BS176" s="207">
        <v>0</v>
      </c>
      <c r="BT176" s="207">
        <v>0</v>
      </c>
      <c r="BU176" s="207">
        <v>0</v>
      </c>
      <c r="BV176" s="207">
        <v>0</v>
      </c>
      <c r="BW176" s="207">
        <v>0</v>
      </c>
      <c r="BX176" s="207">
        <v>0</v>
      </c>
      <c r="BY176" s="207">
        <v>0</v>
      </c>
      <c r="BZ176" s="207">
        <v>0</v>
      </c>
      <c r="CA176" s="207">
        <v>0</v>
      </c>
      <c r="CB176" s="207">
        <v>0</v>
      </c>
      <c r="CC176" s="207">
        <v>0</v>
      </c>
      <c r="CD176" s="207">
        <v>0</v>
      </c>
      <c r="CE176" s="207">
        <v>0</v>
      </c>
      <c r="CF176" s="207">
        <v>0</v>
      </c>
      <c r="CG176" s="147"/>
      <c r="CH176" s="176"/>
      <c r="CJ176" s="146"/>
      <c r="CK176" s="76">
        <f t="shared" ca="1" si="208"/>
        <v>7.471023997422499E-2</v>
      </c>
      <c r="CL176" s="179">
        <f t="shared" si="209"/>
        <v>9</v>
      </c>
      <c r="CM176" s="180">
        <f t="shared" si="210"/>
        <v>39949</v>
      </c>
      <c r="CN176" s="208">
        <v>0</v>
      </c>
      <c r="CO176" s="208">
        <v>0</v>
      </c>
      <c r="CP176" s="208">
        <v>0</v>
      </c>
      <c r="CQ176" s="208">
        <v>0</v>
      </c>
      <c r="CR176" s="208">
        <v>0</v>
      </c>
      <c r="CS176" s="208">
        <v>0</v>
      </c>
      <c r="CT176" s="208">
        <v>0</v>
      </c>
      <c r="CU176" s="208">
        <v>0</v>
      </c>
      <c r="CV176" s="160"/>
      <c r="CW176">
        <v>1</v>
      </c>
      <c r="CX176">
        <v>1</v>
      </c>
      <c r="CY176" s="165"/>
      <c r="CZ176" s="177">
        <f t="shared" si="211"/>
        <v>9.6000000000000002E-2</v>
      </c>
      <c r="DB176" s="146"/>
      <c r="DC176" s="76">
        <f t="shared" ca="1" si="174"/>
        <v>0.4001839254103583</v>
      </c>
      <c r="DD176">
        <f t="shared" si="212"/>
        <v>9</v>
      </c>
      <c r="DE176" s="129">
        <f t="shared" si="246"/>
        <v>39949</v>
      </c>
      <c r="DF176" s="161">
        <f t="shared" si="213"/>
        <v>0</v>
      </c>
      <c r="DG176" s="161">
        <f t="shared" si="214"/>
        <v>0</v>
      </c>
      <c r="DH176" s="161">
        <f t="shared" si="215"/>
        <v>0</v>
      </c>
      <c r="DI176" s="161">
        <f t="shared" si="216"/>
        <v>0</v>
      </c>
      <c r="DJ176" s="161">
        <f t="shared" si="217"/>
        <v>0</v>
      </c>
      <c r="DK176" s="161">
        <f t="shared" si="218"/>
        <v>0</v>
      </c>
      <c r="DL176" s="161">
        <f t="shared" si="219"/>
        <v>0</v>
      </c>
      <c r="DM176" s="161">
        <f t="shared" si="220"/>
        <v>0</v>
      </c>
      <c r="DN176" s="161">
        <f t="shared" si="221"/>
        <v>0</v>
      </c>
      <c r="DO176" s="161">
        <f t="shared" si="222"/>
        <v>0</v>
      </c>
      <c r="DP176" s="161">
        <f t="shared" si="223"/>
        <v>0</v>
      </c>
      <c r="DQ176" s="161">
        <f t="shared" si="224"/>
        <v>0</v>
      </c>
      <c r="DR176" s="161">
        <f t="shared" si="225"/>
        <v>0</v>
      </c>
      <c r="DS176" s="161">
        <f t="shared" si="226"/>
        <v>0</v>
      </c>
      <c r="DT176" s="161">
        <f t="shared" si="227"/>
        <v>0</v>
      </c>
      <c r="DU176" s="161">
        <f t="shared" si="228"/>
        <v>0</v>
      </c>
      <c r="DV176" s="161">
        <f t="shared" si="229"/>
        <v>0</v>
      </c>
      <c r="DW176" s="161">
        <f t="shared" si="230"/>
        <v>0</v>
      </c>
      <c r="DX176" s="161">
        <f t="shared" si="231"/>
        <v>0</v>
      </c>
      <c r="DY176" s="161">
        <f t="shared" si="232"/>
        <v>0</v>
      </c>
      <c r="DZ176" s="161">
        <f t="shared" si="233"/>
        <v>0</v>
      </c>
      <c r="EA176" s="161">
        <f t="shared" si="234"/>
        <v>0</v>
      </c>
      <c r="EB176" s="161">
        <f t="shared" si="235"/>
        <v>0</v>
      </c>
      <c r="EC176" s="161">
        <f t="shared" si="236"/>
        <v>0</v>
      </c>
      <c r="ED176" s="161">
        <f t="shared" si="237"/>
        <v>0</v>
      </c>
      <c r="EE176" s="161">
        <f t="shared" si="238"/>
        <v>0</v>
      </c>
      <c r="EF176" s="161">
        <f t="shared" si="239"/>
        <v>0</v>
      </c>
      <c r="EG176" s="161">
        <f t="shared" si="240"/>
        <v>0</v>
      </c>
      <c r="EH176" s="161">
        <f t="shared" si="241"/>
        <v>0</v>
      </c>
      <c r="EI176" s="161">
        <f t="shared" si="242"/>
        <v>0</v>
      </c>
      <c r="EJ176" s="161">
        <f t="shared" si="243"/>
        <v>0</v>
      </c>
      <c r="EK176" s="147">
        <f t="shared" si="175"/>
        <v>0</v>
      </c>
      <c r="EL176" s="149"/>
      <c r="EN176" s="146"/>
      <c r="EO176" s="146"/>
      <c r="EP176" s="139">
        <f t="shared" si="176"/>
        <v>0</v>
      </c>
      <c r="EQ176" s="139">
        <f t="shared" si="177"/>
        <v>0</v>
      </c>
      <c r="ER176" s="139">
        <f t="shared" si="178"/>
        <v>0</v>
      </c>
      <c r="ES176" s="139">
        <f t="shared" si="179"/>
        <v>0</v>
      </c>
      <c r="ET176" s="139">
        <f t="shared" si="180"/>
        <v>0</v>
      </c>
      <c r="EU176" s="139">
        <f t="shared" si="181"/>
        <v>0</v>
      </c>
      <c r="EV176" s="139">
        <f t="shared" si="182"/>
        <v>0</v>
      </c>
      <c r="EW176" s="139">
        <f t="shared" si="183"/>
        <v>0</v>
      </c>
      <c r="EX176" s="139">
        <f t="shared" si="184"/>
        <v>0</v>
      </c>
      <c r="EY176" s="139">
        <f t="shared" si="185"/>
        <v>0</v>
      </c>
      <c r="EZ176" s="139">
        <f t="shared" si="186"/>
        <v>0</v>
      </c>
      <c r="FA176" s="139">
        <f t="shared" si="187"/>
        <v>0</v>
      </c>
      <c r="FB176" s="139">
        <f t="shared" si="188"/>
        <v>0</v>
      </c>
      <c r="FC176" s="139">
        <f t="shared" si="189"/>
        <v>0</v>
      </c>
      <c r="FD176" s="139">
        <f t="shared" si="190"/>
        <v>0</v>
      </c>
      <c r="FE176" s="139">
        <f t="shared" si="191"/>
        <v>0</v>
      </c>
      <c r="FF176" s="139">
        <f t="shared" si="192"/>
        <v>0</v>
      </c>
      <c r="FG176" s="139">
        <f t="shared" si="193"/>
        <v>0</v>
      </c>
      <c r="FH176" s="139">
        <f t="shared" si="194"/>
        <v>0</v>
      </c>
      <c r="FI176" s="139">
        <f t="shared" si="195"/>
        <v>0</v>
      </c>
      <c r="FJ176" s="139">
        <f t="shared" si="196"/>
        <v>0</v>
      </c>
      <c r="FK176" s="139">
        <f t="shared" si="197"/>
        <v>0</v>
      </c>
      <c r="FL176" s="139">
        <f t="shared" si="198"/>
        <v>0</v>
      </c>
      <c r="FM176" s="139">
        <f t="shared" si="199"/>
        <v>0</v>
      </c>
      <c r="FN176" s="139">
        <f t="shared" si="200"/>
        <v>0</v>
      </c>
      <c r="FO176" s="139">
        <f t="shared" si="201"/>
        <v>0</v>
      </c>
      <c r="FP176" s="139">
        <f t="shared" si="202"/>
        <v>0</v>
      </c>
      <c r="FQ176" s="139">
        <f t="shared" si="203"/>
        <v>0</v>
      </c>
      <c r="FR176" s="139">
        <f t="shared" si="204"/>
        <v>0</v>
      </c>
      <c r="FS176" s="139">
        <f t="shared" si="205"/>
        <v>0</v>
      </c>
      <c r="FT176" s="139">
        <f t="shared" si="206"/>
        <v>0</v>
      </c>
      <c r="FU176" s="148">
        <f t="shared" si="207"/>
        <v>0</v>
      </c>
      <c r="FV176" s="149"/>
      <c r="FY176" s="214">
        <v>171</v>
      </c>
      <c r="FZ176">
        <v>1.3608115780596133</v>
      </c>
      <c r="GA176">
        <v>13.104691423147813</v>
      </c>
      <c r="GB176">
        <v>8.0427660280334141</v>
      </c>
      <c r="GC176">
        <v>1.9436004215480085</v>
      </c>
      <c r="GD176">
        <v>3.8151868250250756</v>
      </c>
      <c r="GE176">
        <v>13.458774303810864</v>
      </c>
      <c r="GF176">
        <v>29.197205588423937</v>
      </c>
      <c r="GG176">
        <v>19.4739993456182</v>
      </c>
      <c r="GH176">
        <v>7.064172517660861</v>
      </c>
      <c r="GI176">
        <v>11.437847451705103</v>
      </c>
      <c r="GJ176"/>
      <c r="GK176"/>
      <c r="GL176"/>
      <c r="GM176"/>
    </row>
    <row r="177" spans="1:195" s="7" customFormat="1">
      <c r="A177" s="1"/>
      <c r="B177" s="76">
        <f t="shared" ca="1" si="172"/>
        <v>0.77733278305147757</v>
      </c>
      <c r="C177">
        <v>2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104.00586891326193</v>
      </c>
      <c r="AO177">
        <v>18.438085566616682</v>
      </c>
      <c r="AP177">
        <v>60.073049412185647</v>
      </c>
      <c r="AQ177">
        <v>118.19436787113995</v>
      </c>
      <c r="AR177">
        <v>16.952969899878184</v>
      </c>
      <c r="AS177">
        <v>98.135742679800103</v>
      </c>
      <c r="AT177">
        <v>9.9184933342131245</v>
      </c>
      <c r="AU177">
        <v>-1.7685376411054843</v>
      </c>
      <c r="AV177"/>
      <c r="AW177"/>
      <c r="AX177" s="146"/>
      <c r="AY177" s="76">
        <f t="shared" ca="1" si="173"/>
        <v>0.44120892797641087</v>
      </c>
      <c r="AZ177">
        <v>10</v>
      </c>
      <c r="BA177" s="129">
        <f t="shared" si="247"/>
        <v>39949</v>
      </c>
      <c r="BB177" s="207">
        <v>0</v>
      </c>
      <c r="BC177" s="207">
        <v>0</v>
      </c>
      <c r="BD177" s="207">
        <v>0</v>
      </c>
      <c r="BE177" s="207">
        <v>0</v>
      </c>
      <c r="BF177" s="207">
        <v>0</v>
      </c>
      <c r="BG177" s="207">
        <v>0</v>
      </c>
      <c r="BH177" s="207">
        <v>0</v>
      </c>
      <c r="BI177" s="207">
        <v>0</v>
      </c>
      <c r="BJ177" s="207">
        <v>0</v>
      </c>
      <c r="BK177" s="207">
        <v>0</v>
      </c>
      <c r="BL177" s="207">
        <v>0</v>
      </c>
      <c r="BM177" s="207">
        <v>0</v>
      </c>
      <c r="BN177" s="207">
        <v>0</v>
      </c>
      <c r="BO177" s="207">
        <v>0</v>
      </c>
      <c r="BP177" s="207">
        <v>0</v>
      </c>
      <c r="BQ177" s="207">
        <v>0</v>
      </c>
      <c r="BR177" s="207">
        <v>0</v>
      </c>
      <c r="BS177" s="207">
        <v>0</v>
      </c>
      <c r="BT177" s="207">
        <v>0</v>
      </c>
      <c r="BU177" s="207">
        <v>0</v>
      </c>
      <c r="BV177" s="207">
        <v>0</v>
      </c>
      <c r="BW177" s="207">
        <v>0</v>
      </c>
      <c r="BX177" s="207">
        <v>0</v>
      </c>
      <c r="BY177" s="207">
        <v>0</v>
      </c>
      <c r="BZ177" s="207">
        <v>0</v>
      </c>
      <c r="CA177" s="207">
        <v>0</v>
      </c>
      <c r="CB177" s="207">
        <v>0</v>
      </c>
      <c r="CC177" s="207">
        <v>0</v>
      </c>
      <c r="CD177" s="207">
        <v>0</v>
      </c>
      <c r="CE177" s="207">
        <v>0</v>
      </c>
      <c r="CF177" s="207">
        <v>0</v>
      </c>
      <c r="CG177" s="147"/>
      <c r="CH177" s="176"/>
      <c r="CJ177" s="146"/>
      <c r="CK177" s="76">
        <f t="shared" ca="1" si="208"/>
        <v>0.24430569869426022</v>
      </c>
      <c r="CL177" s="179">
        <f t="shared" si="209"/>
        <v>10</v>
      </c>
      <c r="CM177" s="180">
        <f t="shared" si="210"/>
        <v>39949</v>
      </c>
      <c r="CN177" s="208">
        <v>0</v>
      </c>
      <c r="CO177" s="208">
        <v>0</v>
      </c>
      <c r="CP177" s="208">
        <v>0</v>
      </c>
      <c r="CQ177" s="208">
        <v>0</v>
      </c>
      <c r="CR177" s="208">
        <v>0</v>
      </c>
      <c r="CS177" s="208">
        <v>0</v>
      </c>
      <c r="CT177" s="208">
        <v>0</v>
      </c>
      <c r="CU177" s="208">
        <v>0</v>
      </c>
      <c r="CV177" s="160"/>
      <c r="CW177">
        <v>1</v>
      </c>
      <c r="CX177">
        <f>500/87</f>
        <v>5.7471264367816088</v>
      </c>
      <c r="CY177" s="165"/>
      <c r="CZ177" s="177">
        <f t="shared" si="211"/>
        <v>9.6000000000000002E-2</v>
      </c>
      <c r="DB177" s="146"/>
      <c r="DC177" s="76">
        <f t="shared" ca="1" si="174"/>
        <v>0.85281559444623412</v>
      </c>
      <c r="DD177">
        <f t="shared" si="212"/>
        <v>10</v>
      </c>
      <c r="DE177" s="129">
        <f t="shared" si="246"/>
        <v>39949</v>
      </c>
      <c r="DF177" s="161">
        <f t="shared" si="213"/>
        <v>0</v>
      </c>
      <c r="DG177" s="161">
        <f t="shared" si="214"/>
        <v>0</v>
      </c>
      <c r="DH177" s="161">
        <f t="shared" si="215"/>
        <v>0</v>
      </c>
      <c r="DI177" s="161">
        <f t="shared" si="216"/>
        <v>0</v>
      </c>
      <c r="DJ177" s="161">
        <f t="shared" si="217"/>
        <v>0</v>
      </c>
      <c r="DK177" s="161">
        <f t="shared" si="218"/>
        <v>0</v>
      </c>
      <c r="DL177" s="161">
        <f t="shared" si="219"/>
        <v>0</v>
      </c>
      <c r="DM177" s="161">
        <f t="shared" si="220"/>
        <v>0</v>
      </c>
      <c r="DN177" s="161">
        <f t="shared" si="221"/>
        <v>0</v>
      </c>
      <c r="DO177" s="161">
        <f t="shared" si="222"/>
        <v>0</v>
      </c>
      <c r="DP177" s="161">
        <f t="shared" si="223"/>
        <v>0</v>
      </c>
      <c r="DQ177" s="161">
        <f t="shared" si="224"/>
        <v>0</v>
      </c>
      <c r="DR177" s="161">
        <f t="shared" si="225"/>
        <v>0</v>
      </c>
      <c r="DS177" s="161">
        <f t="shared" si="226"/>
        <v>0</v>
      </c>
      <c r="DT177" s="161">
        <f t="shared" si="227"/>
        <v>0</v>
      </c>
      <c r="DU177" s="161">
        <f t="shared" si="228"/>
        <v>0</v>
      </c>
      <c r="DV177" s="161">
        <f t="shared" si="229"/>
        <v>0</v>
      </c>
      <c r="DW177" s="161">
        <f t="shared" si="230"/>
        <v>0</v>
      </c>
      <c r="DX177" s="161">
        <f t="shared" si="231"/>
        <v>0</v>
      </c>
      <c r="DY177" s="161">
        <f t="shared" si="232"/>
        <v>0</v>
      </c>
      <c r="DZ177" s="161">
        <f t="shared" si="233"/>
        <v>0</v>
      </c>
      <c r="EA177" s="161">
        <f t="shared" si="234"/>
        <v>0</v>
      </c>
      <c r="EB177" s="161">
        <f t="shared" si="235"/>
        <v>0</v>
      </c>
      <c r="EC177" s="161">
        <f t="shared" si="236"/>
        <v>0</v>
      </c>
      <c r="ED177" s="161">
        <f t="shared" si="237"/>
        <v>0</v>
      </c>
      <c r="EE177" s="161">
        <f t="shared" si="238"/>
        <v>0</v>
      </c>
      <c r="EF177" s="161">
        <f t="shared" si="239"/>
        <v>0</v>
      </c>
      <c r="EG177" s="161">
        <f t="shared" si="240"/>
        <v>0</v>
      </c>
      <c r="EH177" s="161">
        <f t="shared" si="241"/>
        <v>0</v>
      </c>
      <c r="EI177" s="161">
        <f t="shared" si="242"/>
        <v>0</v>
      </c>
      <c r="EJ177" s="161">
        <f t="shared" si="243"/>
        <v>0</v>
      </c>
      <c r="EK177" s="147">
        <f t="shared" si="175"/>
        <v>0</v>
      </c>
      <c r="EL177" s="149"/>
      <c r="EN177" s="146"/>
      <c r="EO177" s="146"/>
      <c r="EP177" s="139">
        <f t="shared" si="176"/>
        <v>0</v>
      </c>
      <c r="EQ177" s="139">
        <f t="shared" si="177"/>
        <v>0</v>
      </c>
      <c r="ER177" s="139">
        <f t="shared" si="178"/>
        <v>0</v>
      </c>
      <c r="ES177" s="139">
        <f t="shared" si="179"/>
        <v>0</v>
      </c>
      <c r="ET177" s="139">
        <f t="shared" si="180"/>
        <v>0</v>
      </c>
      <c r="EU177" s="139">
        <f t="shared" si="181"/>
        <v>0</v>
      </c>
      <c r="EV177" s="139">
        <f t="shared" si="182"/>
        <v>0</v>
      </c>
      <c r="EW177" s="139">
        <f t="shared" si="183"/>
        <v>0</v>
      </c>
      <c r="EX177" s="139">
        <f t="shared" si="184"/>
        <v>0</v>
      </c>
      <c r="EY177" s="139">
        <f t="shared" si="185"/>
        <v>0</v>
      </c>
      <c r="EZ177" s="139">
        <f t="shared" si="186"/>
        <v>0</v>
      </c>
      <c r="FA177" s="139">
        <f t="shared" si="187"/>
        <v>0</v>
      </c>
      <c r="FB177" s="139">
        <f t="shared" si="188"/>
        <v>0</v>
      </c>
      <c r="FC177" s="139">
        <f t="shared" si="189"/>
        <v>0</v>
      </c>
      <c r="FD177" s="139">
        <f t="shared" si="190"/>
        <v>0</v>
      </c>
      <c r="FE177" s="139">
        <f t="shared" si="191"/>
        <v>0</v>
      </c>
      <c r="FF177" s="139">
        <f t="shared" si="192"/>
        <v>0</v>
      </c>
      <c r="FG177" s="139">
        <f t="shared" si="193"/>
        <v>0</v>
      </c>
      <c r="FH177" s="139">
        <f t="shared" si="194"/>
        <v>0</v>
      </c>
      <c r="FI177" s="139">
        <f t="shared" si="195"/>
        <v>0</v>
      </c>
      <c r="FJ177" s="139">
        <f t="shared" si="196"/>
        <v>0</v>
      </c>
      <c r="FK177" s="139">
        <f t="shared" si="197"/>
        <v>0</v>
      </c>
      <c r="FL177" s="139">
        <f t="shared" si="198"/>
        <v>0</v>
      </c>
      <c r="FM177" s="139">
        <f t="shared" si="199"/>
        <v>0</v>
      </c>
      <c r="FN177" s="139">
        <f t="shared" si="200"/>
        <v>0</v>
      </c>
      <c r="FO177" s="139">
        <f t="shared" si="201"/>
        <v>0</v>
      </c>
      <c r="FP177" s="139">
        <f t="shared" si="202"/>
        <v>0</v>
      </c>
      <c r="FQ177" s="139">
        <f t="shared" si="203"/>
        <v>0</v>
      </c>
      <c r="FR177" s="139">
        <f t="shared" si="204"/>
        <v>0</v>
      </c>
      <c r="FS177" s="139">
        <f t="shared" si="205"/>
        <v>0</v>
      </c>
      <c r="FT177" s="139">
        <f t="shared" si="206"/>
        <v>0</v>
      </c>
      <c r="FU177" s="148">
        <f t="shared" si="207"/>
        <v>0</v>
      </c>
      <c r="FV177" s="149"/>
      <c r="FY177" s="214">
        <v>172</v>
      </c>
      <c r="FZ177">
        <v>0.68003835225845954</v>
      </c>
      <c r="GA177">
        <v>17.375526233485793</v>
      </c>
      <c r="GB177">
        <v>10.431419015683522</v>
      </c>
      <c r="GC177">
        <v>1.3655431631816382</v>
      </c>
      <c r="GD177">
        <v>0.74340732238314511</v>
      </c>
      <c r="GE177">
        <v>2.4496177835907522</v>
      </c>
      <c r="GF177">
        <v>16.31778557888553</v>
      </c>
      <c r="GG177">
        <v>16.175163237631835</v>
      </c>
      <c r="GH177">
        <v>5.9169126775630962</v>
      </c>
      <c r="GI177">
        <v>7.3986700631369349</v>
      </c>
      <c r="GJ177"/>
      <c r="GK177"/>
      <c r="GL177"/>
      <c r="GM177"/>
    </row>
    <row r="178" spans="1:195" s="7" customFormat="1">
      <c r="A178" s="128"/>
      <c r="B178" s="76">
        <f t="shared" ca="1" si="172"/>
        <v>0.2861733016041339</v>
      </c>
      <c r="C178">
        <v>10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94.004092694251952</v>
      </c>
      <c r="AO178">
        <v>18.474501621303979</v>
      </c>
      <c r="AP178">
        <v>97.722555874002467</v>
      </c>
      <c r="AQ178">
        <v>107.67402015833639</v>
      </c>
      <c r="AR178">
        <v>17.010171943290903</v>
      </c>
      <c r="AS178">
        <v>91.553582288665353</v>
      </c>
      <c r="AT178">
        <v>9.5631294950280044</v>
      </c>
      <c r="AU178">
        <v>12.521759424557096</v>
      </c>
      <c r="AV178"/>
      <c r="AW178"/>
      <c r="AX178" s="128"/>
      <c r="AY178" s="76">
        <f t="shared" ca="1" si="173"/>
        <v>0.81935173610225975</v>
      </c>
      <c r="AZ178">
        <v>1</v>
      </c>
      <c r="BA178" s="129">
        <f>IF(AZ178="", "",$C$13)</f>
        <v>39987</v>
      </c>
      <c r="BB178" s="207">
        <v>0</v>
      </c>
      <c r="BC178" s="207">
        <v>0</v>
      </c>
      <c r="BD178" s="207">
        <v>0</v>
      </c>
      <c r="BE178" s="207">
        <v>0</v>
      </c>
      <c r="BF178" s="207">
        <v>0</v>
      </c>
      <c r="BG178" s="207">
        <v>0</v>
      </c>
      <c r="BH178" s="207">
        <v>0</v>
      </c>
      <c r="BI178" s="207">
        <v>0</v>
      </c>
      <c r="BJ178" s="207">
        <v>0</v>
      </c>
      <c r="BK178" s="207">
        <v>0</v>
      </c>
      <c r="BL178" s="207">
        <v>0</v>
      </c>
      <c r="BM178" s="207">
        <v>0</v>
      </c>
      <c r="BN178" s="207">
        <v>0</v>
      </c>
      <c r="BO178" s="207">
        <v>0</v>
      </c>
      <c r="BP178" s="207">
        <v>0</v>
      </c>
      <c r="BQ178" s="207">
        <v>0</v>
      </c>
      <c r="BR178" s="207">
        <v>0</v>
      </c>
      <c r="BS178" s="207">
        <v>0</v>
      </c>
      <c r="BT178" s="207">
        <v>0</v>
      </c>
      <c r="BU178" s="207">
        <v>0</v>
      </c>
      <c r="BV178" s="207">
        <v>0</v>
      </c>
      <c r="BW178" s="207">
        <v>0</v>
      </c>
      <c r="BX178" s="207">
        <v>0</v>
      </c>
      <c r="BY178" s="207">
        <v>0</v>
      </c>
      <c r="BZ178" s="207">
        <v>0</v>
      </c>
      <c r="CA178" s="207">
        <v>0</v>
      </c>
      <c r="CB178" s="207">
        <v>0</v>
      </c>
      <c r="CC178" s="207">
        <v>0</v>
      </c>
      <c r="CD178" s="207">
        <v>0</v>
      </c>
      <c r="CE178" s="207">
        <v>0</v>
      </c>
      <c r="CF178" s="207">
        <v>0</v>
      </c>
      <c r="CG178" s="147"/>
      <c r="CH178" s="176"/>
      <c r="CJ178" s="128"/>
      <c r="CK178" s="76">
        <f t="shared" ca="1" si="208"/>
        <v>0.43281317511902806</v>
      </c>
      <c r="CL178" s="179">
        <f t="shared" si="209"/>
        <v>1</v>
      </c>
      <c r="CM178" s="180">
        <f t="shared" si="210"/>
        <v>39987</v>
      </c>
      <c r="CN178" s="208">
        <v>0</v>
      </c>
      <c r="CO178" s="208">
        <v>0</v>
      </c>
      <c r="CP178" s="208">
        <v>0</v>
      </c>
      <c r="CQ178" s="208">
        <v>0</v>
      </c>
      <c r="CR178" s="208">
        <v>0</v>
      </c>
      <c r="CS178" s="208">
        <v>1</v>
      </c>
      <c r="CT178" s="208">
        <v>0</v>
      </c>
      <c r="CU178" s="208">
        <v>0</v>
      </c>
      <c r="CV178" s="160"/>
      <c r="CW178">
        <v>1</v>
      </c>
      <c r="CX178">
        <f>350/47</f>
        <v>7.4468085106382977</v>
      </c>
      <c r="CY178" s="160"/>
      <c r="CZ178" s="177">
        <f t="shared" si="211"/>
        <v>9.6000000000000002E-2</v>
      </c>
      <c r="DB178" s="128"/>
      <c r="DC178" s="76">
        <f t="shared" ca="1" si="174"/>
        <v>0.87417089268530845</v>
      </c>
      <c r="DD178">
        <f t="shared" si="212"/>
        <v>1</v>
      </c>
      <c r="DE178" s="129">
        <f t="shared" ref="DE178:DE187" si="248">IF((DD178)="", "", $C$13)</f>
        <v>39987</v>
      </c>
      <c r="DF178" s="161">
        <f t="shared" si="213"/>
        <v>0</v>
      </c>
      <c r="DG178" s="161">
        <f t="shared" si="214"/>
        <v>0</v>
      </c>
      <c r="DH178" s="161">
        <f t="shared" si="215"/>
        <v>0</v>
      </c>
      <c r="DI178" s="161">
        <f t="shared" si="216"/>
        <v>0</v>
      </c>
      <c r="DJ178" s="161">
        <f t="shared" si="217"/>
        <v>0</v>
      </c>
      <c r="DK178" s="161">
        <f t="shared" si="218"/>
        <v>77.570921985815602</v>
      </c>
      <c r="DL178" s="161">
        <f t="shared" si="219"/>
        <v>0</v>
      </c>
      <c r="DM178" s="161">
        <f t="shared" si="220"/>
        <v>0</v>
      </c>
      <c r="DN178" s="161">
        <f t="shared" si="221"/>
        <v>0</v>
      </c>
      <c r="DO178" s="161">
        <f t="shared" si="222"/>
        <v>0</v>
      </c>
      <c r="DP178" s="161">
        <f t="shared" si="223"/>
        <v>0</v>
      </c>
      <c r="DQ178" s="161">
        <f t="shared" si="224"/>
        <v>0</v>
      </c>
      <c r="DR178" s="161">
        <f t="shared" si="225"/>
        <v>0</v>
      </c>
      <c r="DS178" s="161">
        <f t="shared" si="226"/>
        <v>0</v>
      </c>
      <c r="DT178" s="161">
        <f t="shared" si="227"/>
        <v>0</v>
      </c>
      <c r="DU178" s="161">
        <f t="shared" si="228"/>
        <v>0</v>
      </c>
      <c r="DV178" s="161">
        <f t="shared" si="229"/>
        <v>0</v>
      </c>
      <c r="DW178" s="161">
        <f t="shared" si="230"/>
        <v>0</v>
      </c>
      <c r="DX178" s="161">
        <f t="shared" si="231"/>
        <v>0</v>
      </c>
      <c r="DY178" s="161">
        <f t="shared" si="232"/>
        <v>0</v>
      </c>
      <c r="DZ178" s="161">
        <f t="shared" si="233"/>
        <v>0</v>
      </c>
      <c r="EA178" s="161">
        <f t="shared" si="234"/>
        <v>0</v>
      </c>
      <c r="EB178" s="161">
        <f t="shared" si="235"/>
        <v>0</v>
      </c>
      <c r="EC178" s="161">
        <f t="shared" si="236"/>
        <v>0</v>
      </c>
      <c r="ED178" s="161">
        <f t="shared" si="237"/>
        <v>0</v>
      </c>
      <c r="EE178" s="161">
        <f t="shared" si="238"/>
        <v>0</v>
      </c>
      <c r="EF178" s="161">
        <f t="shared" si="239"/>
        <v>0</v>
      </c>
      <c r="EG178" s="161">
        <f t="shared" si="240"/>
        <v>0</v>
      </c>
      <c r="EH178" s="161">
        <f t="shared" si="241"/>
        <v>0</v>
      </c>
      <c r="EI178" s="161">
        <f t="shared" si="242"/>
        <v>0</v>
      </c>
      <c r="EJ178" s="161">
        <f t="shared" si="243"/>
        <v>0</v>
      </c>
      <c r="EK178" s="147">
        <f t="shared" si="175"/>
        <v>77.570921985815602</v>
      </c>
      <c r="EL178" s="149"/>
      <c r="EN178" s="146"/>
      <c r="EO178" s="146"/>
      <c r="EP178" s="139">
        <f t="shared" si="176"/>
        <v>0</v>
      </c>
      <c r="EQ178" s="139">
        <f t="shared" si="177"/>
        <v>0</v>
      </c>
      <c r="ER178" s="139">
        <f t="shared" si="178"/>
        <v>0</v>
      </c>
      <c r="ES178" s="139">
        <f t="shared" si="179"/>
        <v>0</v>
      </c>
      <c r="ET178" s="139">
        <f t="shared" si="180"/>
        <v>0</v>
      </c>
      <c r="EU178" s="139">
        <f t="shared" si="181"/>
        <v>39.279367218194729</v>
      </c>
      <c r="EV178" s="139">
        <f t="shared" si="182"/>
        <v>0</v>
      </c>
      <c r="EW178" s="139">
        <f t="shared" si="183"/>
        <v>0</v>
      </c>
      <c r="EX178" s="139">
        <f t="shared" si="184"/>
        <v>0</v>
      </c>
      <c r="EY178" s="139">
        <f t="shared" si="185"/>
        <v>0</v>
      </c>
      <c r="EZ178" s="139">
        <f t="shared" si="186"/>
        <v>0</v>
      </c>
      <c r="FA178" s="139">
        <f t="shared" si="187"/>
        <v>0</v>
      </c>
      <c r="FB178" s="139">
        <f t="shared" si="188"/>
        <v>0</v>
      </c>
      <c r="FC178" s="139">
        <f t="shared" si="189"/>
        <v>0</v>
      </c>
      <c r="FD178" s="139">
        <f t="shared" si="190"/>
        <v>0</v>
      </c>
      <c r="FE178" s="139">
        <f t="shared" si="191"/>
        <v>0</v>
      </c>
      <c r="FF178" s="139">
        <f t="shared" si="192"/>
        <v>0</v>
      </c>
      <c r="FG178" s="139">
        <f t="shared" si="193"/>
        <v>0</v>
      </c>
      <c r="FH178" s="139">
        <f t="shared" si="194"/>
        <v>0</v>
      </c>
      <c r="FI178" s="139">
        <f t="shared" si="195"/>
        <v>0</v>
      </c>
      <c r="FJ178" s="139">
        <f t="shared" si="196"/>
        <v>0</v>
      </c>
      <c r="FK178" s="139">
        <f t="shared" si="197"/>
        <v>0</v>
      </c>
      <c r="FL178" s="139">
        <f t="shared" si="198"/>
        <v>0</v>
      </c>
      <c r="FM178" s="139">
        <f t="shared" si="199"/>
        <v>0</v>
      </c>
      <c r="FN178" s="139">
        <f t="shared" si="200"/>
        <v>0</v>
      </c>
      <c r="FO178" s="139">
        <f t="shared" si="201"/>
        <v>0</v>
      </c>
      <c r="FP178" s="139">
        <f t="shared" si="202"/>
        <v>0</v>
      </c>
      <c r="FQ178" s="139">
        <f t="shared" si="203"/>
        <v>0</v>
      </c>
      <c r="FR178" s="139">
        <f t="shared" si="204"/>
        <v>0</v>
      </c>
      <c r="FS178" s="139">
        <f t="shared" si="205"/>
        <v>0</v>
      </c>
      <c r="FT178" s="139">
        <f t="shared" si="206"/>
        <v>0</v>
      </c>
      <c r="FU178" s="148">
        <f t="shared" si="207"/>
        <v>39.279367218194729</v>
      </c>
      <c r="FV178" s="149"/>
      <c r="FY178" s="214">
        <v>173</v>
      </c>
      <c r="FZ178">
        <v>0.48960166092325197</v>
      </c>
      <c r="GA178">
        <v>16.540773997181123</v>
      </c>
      <c r="GB178">
        <v>12.347919892882725</v>
      </c>
      <c r="GC178">
        <v>2.9587754056263629</v>
      </c>
      <c r="GD178">
        <v>8.2969852559777539</v>
      </c>
      <c r="GE178">
        <v>20.382336724167679</v>
      </c>
      <c r="GF178">
        <v>18.855387591268943</v>
      </c>
      <c r="GG178">
        <v>16.374070287511987</v>
      </c>
      <c r="GH178">
        <v>9.4897891152303728</v>
      </c>
      <c r="GI178">
        <v>13.474419362125341</v>
      </c>
      <c r="GJ178"/>
      <c r="GK178"/>
      <c r="GL178"/>
      <c r="GM178"/>
    </row>
    <row r="179" spans="1:195" s="7" customFormat="1">
      <c r="A179" s="1"/>
      <c r="B179" s="76">
        <f t="shared" ca="1" si="172"/>
        <v>0.30604995709782723</v>
      </c>
      <c r="C179">
        <v>1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77.570921985815602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51.995899654434524</v>
      </c>
      <c r="AO179">
        <v>16.602695741825492</v>
      </c>
      <c r="AP179">
        <v>77.408527790217263</v>
      </c>
      <c r="AQ179">
        <v>102.36299171856976</v>
      </c>
      <c r="AR179">
        <v>15.807852133278228</v>
      </c>
      <c r="AS179">
        <v>66.961640354907402</v>
      </c>
      <c r="AT179">
        <v>9.5215078872860435</v>
      </c>
      <c r="AU179">
        <v>5.8664271544270772</v>
      </c>
      <c r="AV179"/>
      <c r="AW179"/>
      <c r="AX179" s="146"/>
      <c r="AY179" s="76">
        <f t="shared" ca="1" si="173"/>
        <v>0.31112541682656936</v>
      </c>
      <c r="AZ179">
        <v>2</v>
      </c>
      <c r="BA179" s="129">
        <f t="shared" ref="BA179:BA187" si="249">IF(AZ179="", "",$C$13)</f>
        <v>39987</v>
      </c>
      <c r="BB179" s="207">
        <v>0</v>
      </c>
      <c r="BC179" s="207">
        <v>0</v>
      </c>
      <c r="BD179" s="207">
        <v>0</v>
      </c>
      <c r="BE179" s="207">
        <v>0</v>
      </c>
      <c r="BF179" s="207">
        <v>0</v>
      </c>
      <c r="BG179" s="207">
        <v>0</v>
      </c>
      <c r="BH179" s="207">
        <v>0</v>
      </c>
      <c r="BI179" s="207">
        <v>0</v>
      </c>
      <c r="BJ179" s="207">
        <v>0</v>
      </c>
      <c r="BK179" s="207">
        <v>0</v>
      </c>
      <c r="BL179" s="207">
        <v>0</v>
      </c>
      <c r="BM179" s="207">
        <v>0</v>
      </c>
      <c r="BN179" s="207">
        <v>0</v>
      </c>
      <c r="BO179" s="207">
        <v>0</v>
      </c>
      <c r="BP179" s="207">
        <v>0</v>
      </c>
      <c r="BQ179" s="207">
        <v>0</v>
      </c>
      <c r="BR179" s="207">
        <v>0</v>
      </c>
      <c r="BS179" s="207">
        <v>0</v>
      </c>
      <c r="BT179" s="207">
        <v>0</v>
      </c>
      <c r="BU179" s="207">
        <v>0</v>
      </c>
      <c r="BV179" s="207">
        <v>0</v>
      </c>
      <c r="BW179" s="207">
        <v>0</v>
      </c>
      <c r="BX179" s="207">
        <v>0</v>
      </c>
      <c r="BY179" s="207">
        <v>0</v>
      </c>
      <c r="BZ179" s="207">
        <v>0</v>
      </c>
      <c r="CA179" s="207">
        <v>0</v>
      </c>
      <c r="CB179" s="207">
        <v>0</v>
      </c>
      <c r="CC179" s="207">
        <v>0</v>
      </c>
      <c r="CD179" s="207">
        <v>0</v>
      </c>
      <c r="CE179" s="207">
        <v>0</v>
      </c>
      <c r="CF179" s="207">
        <v>0</v>
      </c>
      <c r="CG179" s="147"/>
      <c r="CH179" s="176"/>
      <c r="CJ179" s="146"/>
      <c r="CK179" s="76">
        <f t="shared" ca="1" si="208"/>
        <v>0.69491852424813616</v>
      </c>
      <c r="CL179" s="179">
        <f t="shared" si="209"/>
        <v>2</v>
      </c>
      <c r="CM179" s="180">
        <f t="shared" si="210"/>
        <v>39987</v>
      </c>
      <c r="CN179" s="208">
        <v>0</v>
      </c>
      <c r="CO179" s="208">
        <v>0</v>
      </c>
      <c r="CP179" s="208">
        <v>0</v>
      </c>
      <c r="CQ179" s="208">
        <v>0</v>
      </c>
      <c r="CR179" s="208">
        <v>0</v>
      </c>
      <c r="CS179" s="208">
        <v>0</v>
      </c>
      <c r="CT179" s="208">
        <v>0</v>
      </c>
      <c r="CU179" s="208">
        <v>0</v>
      </c>
      <c r="CV179" s="160"/>
      <c r="CW179">
        <v>1</v>
      </c>
      <c r="CX179">
        <f>355/64</f>
        <v>5.546875</v>
      </c>
      <c r="CY179" s="160"/>
      <c r="CZ179" s="177">
        <f t="shared" si="211"/>
        <v>9.6000000000000002E-2</v>
      </c>
      <c r="DB179" s="146"/>
      <c r="DC179" s="76">
        <f t="shared" ca="1" si="174"/>
        <v>0.58204647763914519</v>
      </c>
      <c r="DD179">
        <f t="shared" si="212"/>
        <v>2</v>
      </c>
      <c r="DE179" s="129">
        <f t="shared" si="248"/>
        <v>39987</v>
      </c>
      <c r="DF179" s="161">
        <f t="shared" si="213"/>
        <v>0</v>
      </c>
      <c r="DG179" s="161">
        <f t="shared" si="214"/>
        <v>0</v>
      </c>
      <c r="DH179" s="161">
        <f t="shared" si="215"/>
        <v>0</v>
      </c>
      <c r="DI179" s="161">
        <f t="shared" si="216"/>
        <v>0</v>
      </c>
      <c r="DJ179" s="161">
        <f t="shared" si="217"/>
        <v>0</v>
      </c>
      <c r="DK179" s="161">
        <f t="shared" si="218"/>
        <v>0</v>
      </c>
      <c r="DL179" s="161">
        <f t="shared" si="219"/>
        <v>0</v>
      </c>
      <c r="DM179" s="161">
        <f t="shared" si="220"/>
        <v>0</v>
      </c>
      <c r="DN179" s="161">
        <f t="shared" si="221"/>
        <v>0</v>
      </c>
      <c r="DO179" s="161">
        <f t="shared" si="222"/>
        <v>0</v>
      </c>
      <c r="DP179" s="161">
        <f t="shared" si="223"/>
        <v>0</v>
      </c>
      <c r="DQ179" s="161">
        <f t="shared" si="224"/>
        <v>0</v>
      </c>
      <c r="DR179" s="161">
        <f t="shared" si="225"/>
        <v>0</v>
      </c>
      <c r="DS179" s="161">
        <f t="shared" si="226"/>
        <v>0</v>
      </c>
      <c r="DT179" s="161">
        <f t="shared" si="227"/>
        <v>0</v>
      </c>
      <c r="DU179" s="161">
        <f t="shared" si="228"/>
        <v>0</v>
      </c>
      <c r="DV179" s="161">
        <f t="shared" si="229"/>
        <v>0</v>
      </c>
      <c r="DW179" s="161">
        <f t="shared" si="230"/>
        <v>0</v>
      </c>
      <c r="DX179" s="161">
        <f t="shared" si="231"/>
        <v>0</v>
      </c>
      <c r="DY179" s="161">
        <f t="shared" si="232"/>
        <v>0</v>
      </c>
      <c r="DZ179" s="161">
        <f t="shared" si="233"/>
        <v>0</v>
      </c>
      <c r="EA179" s="161">
        <f t="shared" si="234"/>
        <v>0</v>
      </c>
      <c r="EB179" s="161">
        <f t="shared" si="235"/>
        <v>0</v>
      </c>
      <c r="EC179" s="161">
        <f t="shared" si="236"/>
        <v>0</v>
      </c>
      <c r="ED179" s="161">
        <f t="shared" si="237"/>
        <v>0</v>
      </c>
      <c r="EE179" s="161">
        <f t="shared" si="238"/>
        <v>0</v>
      </c>
      <c r="EF179" s="161">
        <f t="shared" si="239"/>
        <v>0</v>
      </c>
      <c r="EG179" s="161">
        <f t="shared" si="240"/>
        <v>0</v>
      </c>
      <c r="EH179" s="161">
        <f t="shared" si="241"/>
        <v>0</v>
      </c>
      <c r="EI179" s="161">
        <f t="shared" si="242"/>
        <v>0</v>
      </c>
      <c r="EJ179" s="161">
        <f t="shared" si="243"/>
        <v>0</v>
      </c>
      <c r="EK179" s="147">
        <f t="shared" si="175"/>
        <v>0</v>
      </c>
      <c r="EL179" s="149"/>
      <c r="EN179" s="146"/>
      <c r="EO179" s="146"/>
      <c r="EP179" s="139">
        <f t="shared" si="176"/>
        <v>0</v>
      </c>
      <c r="EQ179" s="139">
        <f t="shared" si="177"/>
        <v>0</v>
      </c>
      <c r="ER179" s="139">
        <f t="shared" si="178"/>
        <v>0</v>
      </c>
      <c r="ES179" s="139">
        <f t="shared" si="179"/>
        <v>0</v>
      </c>
      <c r="ET179" s="139">
        <f t="shared" si="180"/>
        <v>0</v>
      </c>
      <c r="EU179" s="139">
        <f t="shared" si="181"/>
        <v>0</v>
      </c>
      <c r="EV179" s="139">
        <f t="shared" si="182"/>
        <v>0</v>
      </c>
      <c r="EW179" s="139">
        <f t="shared" si="183"/>
        <v>0</v>
      </c>
      <c r="EX179" s="139">
        <f t="shared" si="184"/>
        <v>0</v>
      </c>
      <c r="EY179" s="139">
        <f t="shared" si="185"/>
        <v>0</v>
      </c>
      <c r="EZ179" s="139">
        <f t="shared" si="186"/>
        <v>0</v>
      </c>
      <c r="FA179" s="139">
        <f t="shared" si="187"/>
        <v>0</v>
      </c>
      <c r="FB179" s="139">
        <f t="shared" si="188"/>
        <v>0</v>
      </c>
      <c r="FC179" s="139">
        <f t="shared" si="189"/>
        <v>0</v>
      </c>
      <c r="FD179" s="139">
        <f t="shared" si="190"/>
        <v>0</v>
      </c>
      <c r="FE179" s="139">
        <f t="shared" si="191"/>
        <v>0</v>
      </c>
      <c r="FF179" s="139">
        <f t="shared" si="192"/>
        <v>0</v>
      </c>
      <c r="FG179" s="139">
        <f t="shared" si="193"/>
        <v>0</v>
      </c>
      <c r="FH179" s="139">
        <f t="shared" si="194"/>
        <v>0</v>
      </c>
      <c r="FI179" s="139">
        <f t="shared" si="195"/>
        <v>0</v>
      </c>
      <c r="FJ179" s="139">
        <f t="shared" si="196"/>
        <v>0</v>
      </c>
      <c r="FK179" s="139">
        <f t="shared" si="197"/>
        <v>0</v>
      </c>
      <c r="FL179" s="139">
        <f t="shared" si="198"/>
        <v>0</v>
      </c>
      <c r="FM179" s="139">
        <f t="shared" si="199"/>
        <v>0</v>
      </c>
      <c r="FN179" s="139">
        <f t="shared" si="200"/>
        <v>0</v>
      </c>
      <c r="FO179" s="139">
        <f t="shared" si="201"/>
        <v>0</v>
      </c>
      <c r="FP179" s="139">
        <f t="shared" si="202"/>
        <v>0</v>
      </c>
      <c r="FQ179" s="139">
        <f t="shared" si="203"/>
        <v>0</v>
      </c>
      <c r="FR179" s="139">
        <f t="shared" si="204"/>
        <v>0</v>
      </c>
      <c r="FS179" s="139">
        <f t="shared" si="205"/>
        <v>0</v>
      </c>
      <c r="FT179" s="139">
        <f t="shared" si="206"/>
        <v>0</v>
      </c>
      <c r="FU179" s="148">
        <f t="shared" si="207"/>
        <v>0</v>
      </c>
      <c r="FV179" s="149"/>
      <c r="FY179" s="214">
        <v>174</v>
      </c>
      <c r="FZ179">
        <v>0.61655945514672372</v>
      </c>
      <c r="GA179">
        <v>9.1099264548227374</v>
      </c>
      <c r="GB179">
        <v>11.208311401501502</v>
      </c>
      <c r="GC179">
        <v>4.35388946600205</v>
      </c>
      <c r="GD179">
        <v>3.7708672097667102</v>
      </c>
      <c r="GE179">
        <v>14.055497503441714</v>
      </c>
      <c r="GF179">
        <v>28.349903021405012</v>
      </c>
      <c r="GG179">
        <v>15.110495934270844</v>
      </c>
      <c r="GH179">
        <v>0</v>
      </c>
      <c r="GI179">
        <v>10.679259377698768</v>
      </c>
      <c r="GJ179"/>
      <c r="GK179"/>
      <c r="GL179"/>
      <c r="GM179"/>
    </row>
    <row r="180" spans="1:195" s="7" customFormat="1">
      <c r="A180" s="1"/>
      <c r="B180" s="76">
        <f t="shared" ca="1" si="172"/>
        <v>0.63553522046882716</v>
      </c>
      <c r="C180">
        <v>7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62.640763559039144</v>
      </c>
      <c r="AO180">
        <v>12.448096988214539</v>
      </c>
      <c r="AP180">
        <v>53.519886729998099</v>
      </c>
      <c r="AQ180">
        <v>74.546932059152908</v>
      </c>
      <c r="AR180">
        <v>11.686068315958941</v>
      </c>
      <c r="AS180">
        <v>60.070160741093417</v>
      </c>
      <c r="AT180">
        <v>6.847152834115473</v>
      </c>
      <c r="AU180">
        <v>13.090566675014424</v>
      </c>
      <c r="AV180"/>
      <c r="AW180"/>
      <c r="AX180" s="146"/>
      <c r="AY180" s="76">
        <f t="shared" ca="1" si="173"/>
        <v>0.76604177423407505</v>
      </c>
      <c r="AZ180">
        <v>3</v>
      </c>
      <c r="BA180" s="129">
        <f t="shared" si="249"/>
        <v>39987</v>
      </c>
      <c r="BB180" s="207">
        <v>0</v>
      </c>
      <c r="BC180" s="207">
        <v>0</v>
      </c>
      <c r="BD180" s="207">
        <v>0</v>
      </c>
      <c r="BE180" s="207">
        <v>0</v>
      </c>
      <c r="BF180" s="207">
        <v>0</v>
      </c>
      <c r="BG180" s="207">
        <v>0</v>
      </c>
      <c r="BH180" s="207">
        <v>0</v>
      </c>
      <c r="BI180" s="207">
        <v>0</v>
      </c>
      <c r="BJ180" s="207">
        <v>0</v>
      </c>
      <c r="BK180" s="207">
        <v>0</v>
      </c>
      <c r="BL180" s="207">
        <v>0</v>
      </c>
      <c r="BM180" s="207">
        <v>0</v>
      </c>
      <c r="BN180" s="207">
        <v>0</v>
      </c>
      <c r="BO180" s="207">
        <v>0</v>
      </c>
      <c r="BP180" s="207">
        <v>0</v>
      </c>
      <c r="BQ180" s="207">
        <v>0</v>
      </c>
      <c r="BR180" s="207">
        <v>0</v>
      </c>
      <c r="BS180" s="207">
        <v>0</v>
      </c>
      <c r="BT180" s="207">
        <v>0</v>
      </c>
      <c r="BU180" s="207">
        <v>0</v>
      </c>
      <c r="BV180" s="207">
        <v>0</v>
      </c>
      <c r="BW180" s="207">
        <v>0</v>
      </c>
      <c r="BX180" s="207">
        <v>0</v>
      </c>
      <c r="BY180" s="207">
        <v>0</v>
      </c>
      <c r="BZ180" s="207">
        <v>0</v>
      </c>
      <c r="CA180" s="207">
        <v>0</v>
      </c>
      <c r="CB180" s="207">
        <v>0</v>
      </c>
      <c r="CC180" s="207">
        <v>0</v>
      </c>
      <c r="CD180" s="207">
        <v>0</v>
      </c>
      <c r="CE180" s="207">
        <v>0</v>
      </c>
      <c r="CF180" s="207">
        <v>0</v>
      </c>
      <c r="CG180" s="147"/>
      <c r="CH180" s="176"/>
      <c r="CJ180" s="146"/>
      <c r="CK180" s="76">
        <f t="shared" ca="1" si="208"/>
        <v>0.99972755730759832</v>
      </c>
      <c r="CL180" s="179">
        <f t="shared" si="209"/>
        <v>3</v>
      </c>
      <c r="CM180" s="180">
        <f t="shared" si="210"/>
        <v>39987</v>
      </c>
      <c r="CN180" s="208">
        <v>0</v>
      </c>
      <c r="CO180" s="208">
        <v>0</v>
      </c>
      <c r="CP180" s="208">
        <v>0</v>
      </c>
      <c r="CQ180" s="208">
        <v>0</v>
      </c>
      <c r="CR180" s="208">
        <v>0</v>
      </c>
      <c r="CS180" s="208">
        <v>0</v>
      </c>
      <c r="CT180" s="208">
        <v>0</v>
      </c>
      <c r="CU180" s="208">
        <v>0</v>
      </c>
      <c r="CV180" s="160"/>
      <c r="CW180">
        <v>1</v>
      </c>
      <c r="CX180">
        <f>350/54</f>
        <v>6.4814814814814818</v>
      </c>
      <c r="CY180" s="160"/>
      <c r="CZ180" s="177">
        <f t="shared" si="211"/>
        <v>9.6000000000000002E-2</v>
      </c>
      <c r="DB180" s="146"/>
      <c r="DC180" s="76">
        <f t="shared" ca="1" si="174"/>
        <v>0.55994269894593285</v>
      </c>
      <c r="DD180">
        <f t="shared" si="212"/>
        <v>3</v>
      </c>
      <c r="DE180" s="129">
        <f t="shared" si="248"/>
        <v>39987</v>
      </c>
      <c r="DF180" s="161">
        <f t="shared" si="213"/>
        <v>0</v>
      </c>
      <c r="DG180" s="161">
        <f t="shared" si="214"/>
        <v>0</v>
      </c>
      <c r="DH180" s="161">
        <f t="shared" si="215"/>
        <v>0</v>
      </c>
      <c r="DI180" s="161">
        <f t="shared" si="216"/>
        <v>0</v>
      </c>
      <c r="DJ180" s="161">
        <f t="shared" si="217"/>
        <v>0</v>
      </c>
      <c r="DK180" s="161">
        <f t="shared" si="218"/>
        <v>0</v>
      </c>
      <c r="DL180" s="161">
        <f t="shared" si="219"/>
        <v>0</v>
      </c>
      <c r="DM180" s="161">
        <f t="shared" si="220"/>
        <v>0</v>
      </c>
      <c r="DN180" s="161">
        <f t="shared" si="221"/>
        <v>0</v>
      </c>
      <c r="DO180" s="161">
        <f t="shared" si="222"/>
        <v>0</v>
      </c>
      <c r="DP180" s="161">
        <f t="shared" si="223"/>
        <v>0</v>
      </c>
      <c r="DQ180" s="161">
        <f t="shared" si="224"/>
        <v>0</v>
      </c>
      <c r="DR180" s="161">
        <f t="shared" si="225"/>
        <v>0</v>
      </c>
      <c r="DS180" s="161">
        <f t="shared" si="226"/>
        <v>0</v>
      </c>
      <c r="DT180" s="161">
        <f t="shared" si="227"/>
        <v>0</v>
      </c>
      <c r="DU180" s="161">
        <f t="shared" si="228"/>
        <v>0</v>
      </c>
      <c r="DV180" s="161">
        <f t="shared" si="229"/>
        <v>0</v>
      </c>
      <c r="DW180" s="161">
        <f t="shared" si="230"/>
        <v>0</v>
      </c>
      <c r="DX180" s="161">
        <f t="shared" si="231"/>
        <v>0</v>
      </c>
      <c r="DY180" s="161">
        <f t="shared" si="232"/>
        <v>0</v>
      </c>
      <c r="DZ180" s="161">
        <f t="shared" si="233"/>
        <v>0</v>
      </c>
      <c r="EA180" s="161">
        <f t="shared" si="234"/>
        <v>0</v>
      </c>
      <c r="EB180" s="161">
        <f t="shared" si="235"/>
        <v>0</v>
      </c>
      <c r="EC180" s="161">
        <f t="shared" si="236"/>
        <v>0</v>
      </c>
      <c r="ED180" s="161">
        <f t="shared" si="237"/>
        <v>0</v>
      </c>
      <c r="EE180" s="161">
        <f t="shared" si="238"/>
        <v>0</v>
      </c>
      <c r="EF180" s="161">
        <f t="shared" si="239"/>
        <v>0</v>
      </c>
      <c r="EG180" s="161">
        <f t="shared" si="240"/>
        <v>0</v>
      </c>
      <c r="EH180" s="161">
        <f t="shared" si="241"/>
        <v>0</v>
      </c>
      <c r="EI180" s="161">
        <f t="shared" si="242"/>
        <v>0</v>
      </c>
      <c r="EJ180" s="161">
        <f t="shared" si="243"/>
        <v>0</v>
      </c>
      <c r="EK180" s="147">
        <f t="shared" si="175"/>
        <v>0</v>
      </c>
      <c r="EL180" s="149"/>
      <c r="EN180" s="146"/>
      <c r="EO180" s="146"/>
      <c r="EP180" s="139">
        <f t="shared" si="176"/>
        <v>0</v>
      </c>
      <c r="EQ180" s="139">
        <f t="shared" si="177"/>
        <v>0</v>
      </c>
      <c r="ER180" s="139">
        <f t="shared" si="178"/>
        <v>0</v>
      </c>
      <c r="ES180" s="139">
        <f t="shared" si="179"/>
        <v>0</v>
      </c>
      <c r="ET180" s="139">
        <f t="shared" si="180"/>
        <v>0</v>
      </c>
      <c r="EU180" s="139">
        <f t="shared" si="181"/>
        <v>0</v>
      </c>
      <c r="EV180" s="139">
        <f t="shared" si="182"/>
        <v>0</v>
      </c>
      <c r="EW180" s="139">
        <f t="shared" si="183"/>
        <v>0</v>
      </c>
      <c r="EX180" s="139">
        <f t="shared" si="184"/>
        <v>0</v>
      </c>
      <c r="EY180" s="139">
        <f t="shared" si="185"/>
        <v>0</v>
      </c>
      <c r="EZ180" s="139">
        <f t="shared" si="186"/>
        <v>0</v>
      </c>
      <c r="FA180" s="139">
        <f t="shared" si="187"/>
        <v>0</v>
      </c>
      <c r="FB180" s="139">
        <f t="shared" si="188"/>
        <v>0</v>
      </c>
      <c r="FC180" s="139">
        <f t="shared" si="189"/>
        <v>0</v>
      </c>
      <c r="FD180" s="139">
        <f t="shared" si="190"/>
        <v>0</v>
      </c>
      <c r="FE180" s="139">
        <f t="shared" si="191"/>
        <v>0</v>
      </c>
      <c r="FF180" s="139">
        <f t="shared" si="192"/>
        <v>0</v>
      </c>
      <c r="FG180" s="139">
        <f t="shared" si="193"/>
        <v>0</v>
      </c>
      <c r="FH180" s="139">
        <f t="shared" si="194"/>
        <v>0</v>
      </c>
      <c r="FI180" s="139">
        <f t="shared" si="195"/>
        <v>0</v>
      </c>
      <c r="FJ180" s="139">
        <f t="shared" si="196"/>
        <v>0</v>
      </c>
      <c r="FK180" s="139">
        <f t="shared" si="197"/>
        <v>0</v>
      </c>
      <c r="FL180" s="139">
        <f t="shared" si="198"/>
        <v>0</v>
      </c>
      <c r="FM180" s="139">
        <f t="shared" si="199"/>
        <v>0</v>
      </c>
      <c r="FN180" s="139">
        <f t="shared" si="200"/>
        <v>0</v>
      </c>
      <c r="FO180" s="139">
        <f t="shared" si="201"/>
        <v>0</v>
      </c>
      <c r="FP180" s="139">
        <f t="shared" si="202"/>
        <v>0</v>
      </c>
      <c r="FQ180" s="139">
        <f t="shared" si="203"/>
        <v>0</v>
      </c>
      <c r="FR180" s="139">
        <f t="shared" si="204"/>
        <v>0</v>
      </c>
      <c r="FS180" s="139">
        <f t="shared" si="205"/>
        <v>0</v>
      </c>
      <c r="FT180" s="139">
        <f t="shared" si="206"/>
        <v>0</v>
      </c>
      <c r="FU180" s="148">
        <f t="shared" si="207"/>
        <v>0</v>
      </c>
      <c r="FV180" s="149"/>
      <c r="FY180" s="214">
        <v>175</v>
      </c>
      <c r="FZ180">
        <v>0.74707593305476638</v>
      </c>
      <c r="GA180">
        <v>11.074509332839185</v>
      </c>
      <c r="GB180">
        <v>7.356602920772696</v>
      </c>
      <c r="GC180">
        <v>1.9625309580692036</v>
      </c>
      <c r="GD180">
        <v>4.296526869916665</v>
      </c>
      <c r="GE180">
        <v>11.018031975215255</v>
      </c>
      <c r="GF180">
        <v>12.880762664057002</v>
      </c>
      <c r="GG180">
        <v>6.8100350986212588</v>
      </c>
      <c r="GH180">
        <v>0.55651403675738742</v>
      </c>
      <c r="GI180">
        <v>7.0180567304637096</v>
      </c>
      <c r="GJ180"/>
      <c r="GK180"/>
      <c r="GL180"/>
      <c r="GM180"/>
    </row>
    <row r="181" spans="1:195" s="7" customFormat="1">
      <c r="A181" s="1"/>
      <c r="B181" s="76">
        <f t="shared" ca="1" si="172"/>
        <v>0.97561529738680375</v>
      </c>
      <c r="C181">
        <v>2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56.107907657730799</v>
      </c>
      <c r="AO181">
        <v>9.554474827925187</v>
      </c>
      <c r="AP181">
        <v>53.190437096630838</v>
      </c>
      <c r="AQ181">
        <v>58.974922202020664</v>
      </c>
      <c r="AR181">
        <v>9.0555027156958943</v>
      </c>
      <c r="AS181">
        <v>48.826027342292633</v>
      </c>
      <c r="AT181">
        <v>5.2102238167143096</v>
      </c>
      <c r="AU181">
        <v>7.7461995599866409</v>
      </c>
      <c r="AV181"/>
      <c r="AW181"/>
      <c r="AX181" s="146"/>
      <c r="AY181" s="76">
        <f t="shared" ca="1" si="173"/>
        <v>0.22321950027976811</v>
      </c>
      <c r="AZ181">
        <v>4</v>
      </c>
      <c r="BA181" s="129">
        <f t="shared" si="249"/>
        <v>39987</v>
      </c>
      <c r="BB181" s="207">
        <v>0</v>
      </c>
      <c r="BC181" s="207">
        <v>0</v>
      </c>
      <c r="BD181" s="207">
        <v>0</v>
      </c>
      <c r="BE181" s="207">
        <v>0</v>
      </c>
      <c r="BF181" s="207">
        <v>0</v>
      </c>
      <c r="BG181" s="207">
        <v>0</v>
      </c>
      <c r="BH181" s="207">
        <v>0</v>
      </c>
      <c r="BI181" s="207">
        <v>0</v>
      </c>
      <c r="BJ181" s="207">
        <v>0</v>
      </c>
      <c r="BK181" s="207">
        <v>0</v>
      </c>
      <c r="BL181" s="207">
        <v>0</v>
      </c>
      <c r="BM181" s="207">
        <v>0</v>
      </c>
      <c r="BN181" s="207">
        <v>0</v>
      </c>
      <c r="BO181" s="207">
        <v>0</v>
      </c>
      <c r="BP181" s="207">
        <v>0</v>
      </c>
      <c r="BQ181" s="207">
        <v>0</v>
      </c>
      <c r="BR181" s="207">
        <v>0</v>
      </c>
      <c r="BS181" s="207">
        <v>0</v>
      </c>
      <c r="BT181" s="207">
        <v>0</v>
      </c>
      <c r="BU181" s="207">
        <v>0</v>
      </c>
      <c r="BV181" s="207">
        <v>0</v>
      </c>
      <c r="BW181" s="207">
        <v>0</v>
      </c>
      <c r="BX181" s="207">
        <v>0</v>
      </c>
      <c r="BY181" s="207">
        <v>0</v>
      </c>
      <c r="BZ181" s="207">
        <v>0</v>
      </c>
      <c r="CA181" s="207">
        <v>0</v>
      </c>
      <c r="CB181" s="207">
        <v>0</v>
      </c>
      <c r="CC181" s="207">
        <v>0</v>
      </c>
      <c r="CD181" s="207">
        <v>0</v>
      </c>
      <c r="CE181" s="207">
        <v>0</v>
      </c>
      <c r="CF181" s="207">
        <v>0</v>
      </c>
      <c r="CG181" s="147"/>
      <c r="CH181" s="176"/>
      <c r="CJ181" s="146"/>
      <c r="CK181" s="76">
        <f t="shared" ca="1" si="208"/>
        <v>0.30274422747967655</v>
      </c>
      <c r="CL181" s="179">
        <f t="shared" si="209"/>
        <v>4</v>
      </c>
      <c r="CM181" s="180">
        <f t="shared" si="210"/>
        <v>39987</v>
      </c>
      <c r="CN181" s="208">
        <v>0</v>
      </c>
      <c r="CO181" s="208">
        <v>0</v>
      </c>
      <c r="CP181" s="208">
        <v>0</v>
      </c>
      <c r="CQ181" s="208">
        <v>0</v>
      </c>
      <c r="CR181" s="208">
        <v>0</v>
      </c>
      <c r="CS181" s="208">
        <v>0</v>
      </c>
      <c r="CT181" s="208">
        <v>0</v>
      </c>
      <c r="CU181" s="208">
        <v>0</v>
      </c>
      <c r="CV181" s="160"/>
      <c r="CW181">
        <v>1</v>
      </c>
      <c r="CX181">
        <f>350/41</f>
        <v>8.536585365853659</v>
      </c>
      <c r="CY181" s="160"/>
      <c r="CZ181" s="177">
        <f t="shared" si="211"/>
        <v>9.6000000000000002E-2</v>
      </c>
      <c r="DB181" s="146"/>
      <c r="DC181" s="76">
        <f t="shared" ca="1" si="174"/>
        <v>6.5849702387171138E-2</v>
      </c>
      <c r="DD181">
        <f t="shared" si="212"/>
        <v>4</v>
      </c>
      <c r="DE181" s="129">
        <f t="shared" si="248"/>
        <v>39987</v>
      </c>
      <c r="DF181" s="161">
        <f t="shared" si="213"/>
        <v>0</v>
      </c>
      <c r="DG181" s="161">
        <f t="shared" si="214"/>
        <v>0</v>
      </c>
      <c r="DH181" s="161">
        <f t="shared" si="215"/>
        <v>0</v>
      </c>
      <c r="DI181" s="161">
        <f t="shared" si="216"/>
        <v>0</v>
      </c>
      <c r="DJ181" s="161">
        <f t="shared" si="217"/>
        <v>0</v>
      </c>
      <c r="DK181" s="161">
        <f t="shared" si="218"/>
        <v>0</v>
      </c>
      <c r="DL181" s="161">
        <f t="shared" si="219"/>
        <v>0</v>
      </c>
      <c r="DM181" s="161">
        <f t="shared" si="220"/>
        <v>0</v>
      </c>
      <c r="DN181" s="161">
        <f t="shared" si="221"/>
        <v>0</v>
      </c>
      <c r="DO181" s="161">
        <f t="shared" si="222"/>
        <v>0</v>
      </c>
      <c r="DP181" s="161">
        <f t="shared" si="223"/>
        <v>0</v>
      </c>
      <c r="DQ181" s="161">
        <f t="shared" si="224"/>
        <v>0</v>
      </c>
      <c r="DR181" s="161">
        <f t="shared" si="225"/>
        <v>0</v>
      </c>
      <c r="DS181" s="161">
        <f t="shared" si="226"/>
        <v>0</v>
      </c>
      <c r="DT181" s="161">
        <f t="shared" si="227"/>
        <v>0</v>
      </c>
      <c r="DU181" s="161">
        <f t="shared" si="228"/>
        <v>0</v>
      </c>
      <c r="DV181" s="161">
        <f t="shared" si="229"/>
        <v>0</v>
      </c>
      <c r="DW181" s="161">
        <f t="shared" si="230"/>
        <v>0</v>
      </c>
      <c r="DX181" s="161">
        <f t="shared" si="231"/>
        <v>0</v>
      </c>
      <c r="DY181" s="161">
        <f t="shared" si="232"/>
        <v>0</v>
      </c>
      <c r="DZ181" s="161">
        <f t="shared" si="233"/>
        <v>0</v>
      </c>
      <c r="EA181" s="161">
        <f t="shared" si="234"/>
        <v>0</v>
      </c>
      <c r="EB181" s="161">
        <f t="shared" si="235"/>
        <v>0</v>
      </c>
      <c r="EC181" s="161">
        <f t="shared" si="236"/>
        <v>0</v>
      </c>
      <c r="ED181" s="161">
        <f t="shared" si="237"/>
        <v>0</v>
      </c>
      <c r="EE181" s="161">
        <f t="shared" si="238"/>
        <v>0</v>
      </c>
      <c r="EF181" s="161">
        <f t="shared" si="239"/>
        <v>0</v>
      </c>
      <c r="EG181" s="161">
        <f t="shared" si="240"/>
        <v>0</v>
      </c>
      <c r="EH181" s="161">
        <f t="shared" si="241"/>
        <v>0</v>
      </c>
      <c r="EI181" s="161">
        <f t="shared" si="242"/>
        <v>0</v>
      </c>
      <c r="EJ181" s="161">
        <f t="shared" si="243"/>
        <v>0</v>
      </c>
      <c r="EK181" s="147">
        <f t="shared" si="175"/>
        <v>0</v>
      </c>
      <c r="EL181" s="149"/>
      <c r="EN181" s="146"/>
      <c r="EO181" s="146"/>
      <c r="EP181" s="139">
        <f t="shared" si="176"/>
        <v>0</v>
      </c>
      <c r="EQ181" s="139">
        <f t="shared" si="177"/>
        <v>0</v>
      </c>
      <c r="ER181" s="139">
        <f t="shared" si="178"/>
        <v>0</v>
      </c>
      <c r="ES181" s="139">
        <f t="shared" si="179"/>
        <v>0</v>
      </c>
      <c r="ET181" s="139">
        <f t="shared" si="180"/>
        <v>0</v>
      </c>
      <c r="EU181" s="139">
        <f t="shared" si="181"/>
        <v>0</v>
      </c>
      <c r="EV181" s="139">
        <f t="shared" si="182"/>
        <v>0</v>
      </c>
      <c r="EW181" s="139">
        <f t="shared" si="183"/>
        <v>0</v>
      </c>
      <c r="EX181" s="139">
        <f t="shared" si="184"/>
        <v>0</v>
      </c>
      <c r="EY181" s="139">
        <f t="shared" si="185"/>
        <v>0</v>
      </c>
      <c r="EZ181" s="139">
        <f t="shared" si="186"/>
        <v>0</v>
      </c>
      <c r="FA181" s="139">
        <f t="shared" si="187"/>
        <v>0</v>
      </c>
      <c r="FB181" s="139">
        <f t="shared" si="188"/>
        <v>0</v>
      </c>
      <c r="FC181" s="139">
        <f t="shared" si="189"/>
        <v>0</v>
      </c>
      <c r="FD181" s="139">
        <f t="shared" si="190"/>
        <v>0</v>
      </c>
      <c r="FE181" s="139">
        <f t="shared" si="191"/>
        <v>0</v>
      </c>
      <c r="FF181" s="139">
        <f t="shared" si="192"/>
        <v>0</v>
      </c>
      <c r="FG181" s="139">
        <f t="shared" si="193"/>
        <v>0</v>
      </c>
      <c r="FH181" s="139">
        <f t="shared" si="194"/>
        <v>0</v>
      </c>
      <c r="FI181" s="139">
        <f t="shared" si="195"/>
        <v>0</v>
      </c>
      <c r="FJ181" s="139">
        <f t="shared" si="196"/>
        <v>0</v>
      </c>
      <c r="FK181" s="139">
        <f t="shared" si="197"/>
        <v>0</v>
      </c>
      <c r="FL181" s="139">
        <f t="shared" si="198"/>
        <v>0</v>
      </c>
      <c r="FM181" s="139">
        <f t="shared" si="199"/>
        <v>0</v>
      </c>
      <c r="FN181" s="139">
        <f t="shared" si="200"/>
        <v>0</v>
      </c>
      <c r="FO181" s="139">
        <f t="shared" si="201"/>
        <v>0</v>
      </c>
      <c r="FP181" s="139">
        <f t="shared" si="202"/>
        <v>0</v>
      </c>
      <c r="FQ181" s="139">
        <f t="shared" si="203"/>
        <v>0</v>
      </c>
      <c r="FR181" s="139">
        <f t="shared" si="204"/>
        <v>0</v>
      </c>
      <c r="FS181" s="139">
        <f t="shared" si="205"/>
        <v>0</v>
      </c>
      <c r="FT181" s="139">
        <f t="shared" si="206"/>
        <v>0</v>
      </c>
      <c r="FU181" s="148">
        <f t="shared" si="207"/>
        <v>0</v>
      </c>
      <c r="FV181" s="149"/>
      <c r="FY181" s="214">
        <v>176</v>
      </c>
      <c r="FZ181">
        <v>0.955027409597202</v>
      </c>
      <c r="GA181">
        <v>3.3640056908748752</v>
      </c>
      <c r="GB181">
        <v>5.5954050304297756</v>
      </c>
      <c r="GC181">
        <v>2.9636731073452403</v>
      </c>
      <c r="GD181">
        <v>8.1623732887392748</v>
      </c>
      <c r="GE181">
        <v>22.077818032104926</v>
      </c>
      <c r="GF181">
        <v>11.871629614468063</v>
      </c>
      <c r="GG181">
        <v>2.6681766160516371</v>
      </c>
      <c r="GH181">
        <v>1.6695421102721626</v>
      </c>
      <c r="GI181">
        <v>9.0927045017881412</v>
      </c>
      <c r="GJ181"/>
      <c r="GK181"/>
      <c r="GL181"/>
      <c r="GM181"/>
    </row>
    <row r="182" spans="1:195" s="7" customFormat="1">
      <c r="A182" s="1"/>
      <c r="B182" s="76">
        <f t="shared" ca="1" si="172"/>
        <v>0.63421341910578555</v>
      </c>
      <c r="C182">
        <v>3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71.060787704308581</v>
      </c>
      <c r="AO182">
        <v>15.052165985167534</v>
      </c>
      <c r="AP182">
        <v>101.74868995232833</v>
      </c>
      <c r="AQ182">
        <v>78.690812193892853</v>
      </c>
      <c r="AR182">
        <v>13.874861189469868</v>
      </c>
      <c r="AS182">
        <v>68.919705445968503</v>
      </c>
      <c r="AT182">
        <v>6.8749265034261287</v>
      </c>
      <c r="AU182">
        <v>29.235313948993159</v>
      </c>
      <c r="AV182"/>
      <c r="AW182"/>
      <c r="AX182" s="146"/>
      <c r="AY182" s="76">
        <f t="shared" ca="1" si="173"/>
        <v>0.5448829689485768</v>
      </c>
      <c r="AZ182">
        <v>5</v>
      </c>
      <c r="BA182" s="129">
        <f t="shared" si="249"/>
        <v>39987</v>
      </c>
      <c r="BB182" s="207">
        <v>0</v>
      </c>
      <c r="BC182" s="207">
        <v>0</v>
      </c>
      <c r="BD182" s="207">
        <v>0</v>
      </c>
      <c r="BE182" s="207">
        <v>0</v>
      </c>
      <c r="BF182" s="207">
        <v>0</v>
      </c>
      <c r="BG182" s="207">
        <v>0</v>
      </c>
      <c r="BH182" s="207">
        <v>0</v>
      </c>
      <c r="BI182" s="207">
        <v>0</v>
      </c>
      <c r="BJ182" s="207">
        <v>0</v>
      </c>
      <c r="BK182" s="207">
        <v>0</v>
      </c>
      <c r="BL182" s="207">
        <v>0</v>
      </c>
      <c r="BM182" s="207">
        <v>0</v>
      </c>
      <c r="BN182" s="207">
        <v>0</v>
      </c>
      <c r="BO182" s="207">
        <v>0</v>
      </c>
      <c r="BP182" s="207">
        <v>0</v>
      </c>
      <c r="BQ182" s="207">
        <v>0</v>
      </c>
      <c r="BR182" s="207">
        <v>0</v>
      </c>
      <c r="BS182" s="207">
        <v>0</v>
      </c>
      <c r="BT182" s="207">
        <v>0</v>
      </c>
      <c r="BU182" s="207">
        <v>0</v>
      </c>
      <c r="BV182" s="207">
        <v>0</v>
      </c>
      <c r="BW182" s="207">
        <v>0</v>
      </c>
      <c r="BX182" s="207">
        <v>0</v>
      </c>
      <c r="BY182" s="207">
        <v>0</v>
      </c>
      <c r="BZ182" s="207">
        <v>0</v>
      </c>
      <c r="CA182" s="207">
        <v>0</v>
      </c>
      <c r="CB182" s="207">
        <v>0</v>
      </c>
      <c r="CC182" s="207">
        <v>0</v>
      </c>
      <c r="CD182" s="207">
        <v>0</v>
      </c>
      <c r="CE182" s="207">
        <v>0</v>
      </c>
      <c r="CF182" s="207">
        <v>0</v>
      </c>
      <c r="CG182" s="147"/>
      <c r="CH182" s="176"/>
      <c r="CJ182" s="146"/>
      <c r="CK182" s="76">
        <f t="shared" ca="1" si="208"/>
        <v>0.44051814222401298</v>
      </c>
      <c r="CL182" s="179">
        <f t="shared" si="209"/>
        <v>5</v>
      </c>
      <c r="CM182" s="180">
        <f t="shared" si="210"/>
        <v>39987</v>
      </c>
      <c r="CN182" s="208">
        <v>0</v>
      </c>
      <c r="CO182" s="208">
        <v>0</v>
      </c>
      <c r="CP182" s="208">
        <v>0</v>
      </c>
      <c r="CQ182" s="208">
        <v>0</v>
      </c>
      <c r="CR182" s="208">
        <v>0</v>
      </c>
      <c r="CS182" s="208">
        <v>0</v>
      </c>
      <c r="CT182" s="208">
        <v>0</v>
      </c>
      <c r="CU182" s="208">
        <v>0</v>
      </c>
      <c r="CV182" s="160"/>
      <c r="CW182">
        <v>1</v>
      </c>
      <c r="CX182">
        <f>350/60</f>
        <v>5.833333333333333</v>
      </c>
      <c r="CY182" s="160"/>
      <c r="CZ182" s="177">
        <f t="shared" si="211"/>
        <v>9.6000000000000002E-2</v>
      </c>
      <c r="DB182" s="146"/>
      <c r="DC182" s="76">
        <f t="shared" ca="1" si="174"/>
        <v>0.14398327110250642</v>
      </c>
      <c r="DD182">
        <f t="shared" si="212"/>
        <v>5</v>
      </c>
      <c r="DE182" s="129">
        <f t="shared" si="248"/>
        <v>39987</v>
      </c>
      <c r="DF182" s="161">
        <f t="shared" si="213"/>
        <v>0</v>
      </c>
      <c r="DG182" s="161">
        <f t="shared" si="214"/>
        <v>0</v>
      </c>
      <c r="DH182" s="161">
        <f t="shared" si="215"/>
        <v>0</v>
      </c>
      <c r="DI182" s="161">
        <f t="shared" si="216"/>
        <v>0</v>
      </c>
      <c r="DJ182" s="161">
        <f t="shared" si="217"/>
        <v>0</v>
      </c>
      <c r="DK182" s="161">
        <f t="shared" si="218"/>
        <v>0</v>
      </c>
      <c r="DL182" s="161">
        <f t="shared" si="219"/>
        <v>0</v>
      </c>
      <c r="DM182" s="161">
        <f t="shared" si="220"/>
        <v>0</v>
      </c>
      <c r="DN182" s="161">
        <f t="shared" si="221"/>
        <v>0</v>
      </c>
      <c r="DO182" s="161">
        <f t="shared" si="222"/>
        <v>0</v>
      </c>
      <c r="DP182" s="161">
        <f t="shared" si="223"/>
        <v>0</v>
      </c>
      <c r="DQ182" s="161">
        <f t="shared" si="224"/>
        <v>0</v>
      </c>
      <c r="DR182" s="161">
        <f t="shared" si="225"/>
        <v>0</v>
      </c>
      <c r="DS182" s="161">
        <f t="shared" si="226"/>
        <v>0</v>
      </c>
      <c r="DT182" s="161">
        <f t="shared" si="227"/>
        <v>0</v>
      </c>
      <c r="DU182" s="161">
        <f t="shared" si="228"/>
        <v>0</v>
      </c>
      <c r="DV182" s="161">
        <f t="shared" si="229"/>
        <v>0</v>
      </c>
      <c r="DW182" s="161">
        <f t="shared" si="230"/>
        <v>0</v>
      </c>
      <c r="DX182" s="161">
        <f t="shared" si="231"/>
        <v>0</v>
      </c>
      <c r="DY182" s="161">
        <f t="shared" si="232"/>
        <v>0</v>
      </c>
      <c r="DZ182" s="161">
        <f t="shared" si="233"/>
        <v>0</v>
      </c>
      <c r="EA182" s="161">
        <f t="shared" si="234"/>
        <v>0</v>
      </c>
      <c r="EB182" s="161">
        <f t="shared" si="235"/>
        <v>0</v>
      </c>
      <c r="EC182" s="161">
        <f t="shared" si="236"/>
        <v>0</v>
      </c>
      <c r="ED182" s="161">
        <f t="shared" si="237"/>
        <v>0</v>
      </c>
      <c r="EE182" s="161">
        <f t="shared" si="238"/>
        <v>0</v>
      </c>
      <c r="EF182" s="161">
        <f t="shared" si="239"/>
        <v>0</v>
      </c>
      <c r="EG182" s="161">
        <f t="shared" si="240"/>
        <v>0</v>
      </c>
      <c r="EH182" s="161">
        <f t="shared" si="241"/>
        <v>0</v>
      </c>
      <c r="EI182" s="161">
        <f t="shared" si="242"/>
        <v>0</v>
      </c>
      <c r="EJ182" s="161">
        <f t="shared" si="243"/>
        <v>0</v>
      </c>
      <c r="EK182" s="147">
        <f t="shared" si="175"/>
        <v>0</v>
      </c>
      <c r="EL182" s="149"/>
      <c r="EN182" s="146"/>
      <c r="EO182" s="146"/>
      <c r="EP182" s="139">
        <f t="shared" si="176"/>
        <v>0</v>
      </c>
      <c r="EQ182" s="139">
        <f t="shared" si="177"/>
        <v>0</v>
      </c>
      <c r="ER182" s="139">
        <f t="shared" si="178"/>
        <v>0</v>
      </c>
      <c r="ES182" s="139">
        <f t="shared" si="179"/>
        <v>0</v>
      </c>
      <c r="ET182" s="139">
        <f t="shared" si="180"/>
        <v>0</v>
      </c>
      <c r="EU182" s="139">
        <f t="shared" si="181"/>
        <v>0</v>
      </c>
      <c r="EV182" s="139">
        <f t="shared" si="182"/>
        <v>0</v>
      </c>
      <c r="EW182" s="139">
        <f t="shared" si="183"/>
        <v>0</v>
      </c>
      <c r="EX182" s="139">
        <f t="shared" si="184"/>
        <v>0</v>
      </c>
      <c r="EY182" s="139">
        <f t="shared" si="185"/>
        <v>0</v>
      </c>
      <c r="EZ182" s="139">
        <f t="shared" si="186"/>
        <v>0</v>
      </c>
      <c r="FA182" s="139">
        <f t="shared" si="187"/>
        <v>0</v>
      </c>
      <c r="FB182" s="139">
        <f t="shared" si="188"/>
        <v>0</v>
      </c>
      <c r="FC182" s="139">
        <f t="shared" si="189"/>
        <v>0</v>
      </c>
      <c r="FD182" s="139">
        <f t="shared" si="190"/>
        <v>0</v>
      </c>
      <c r="FE182" s="139">
        <f t="shared" si="191"/>
        <v>0</v>
      </c>
      <c r="FF182" s="139">
        <f t="shared" si="192"/>
        <v>0</v>
      </c>
      <c r="FG182" s="139">
        <f t="shared" si="193"/>
        <v>0</v>
      </c>
      <c r="FH182" s="139">
        <f t="shared" si="194"/>
        <v>0</v>
      </c>
      <c r="FI182" s="139">
        <f t="shared" si="195"/>
        <v>0</v>
      </c>
      <c r="FJ182" s="139">
        <f t="shared" si="196"/>
        <v>0</v>
      </c>
      <c r="FK182" s="139">
        <f t="shared" si="197"/>
        <v>0</v>
      </c>
      <c r="FL182" s="139">
        <f t="shared" si="198"/>
        <v>0</v>
      </c>
      <c r="FM182" s="139">
        <f t="shared" si="199"/>
        <v>0</v>
      </c>
      <c r="FN182" s="139">
        <f t="shared" si="200"/>
        <v>0</v>
      </c>
      <c r="FO182" s="139">
        <f t="shared" si="201"/>
        <v>0</v>
      </c>
      <c r="FP182" s="139">
        <f t="shared" si="202"/>
        <v>0</v>
      </c>
      <c r="FQ182" s="139">
        <f t="shared" si="203"/>
        <v>0</v>
      </c>
      <c r="FR182" s="139">
        <f t="shared" si="204"/>
        <v>0</v>
      </c>
      <c r="FS182" s="139">
        <f t="shared" si="205"/>
        <v>0</v>
      </c>
      <c r="FT182" s="139">
        <f t="shared" si="206"/>
        <v>0</v>
      </c>
      <c r="FU182" s="148">
        <f t="shared" si="207"/>
        <v>0</v>
      </c>
      <c r="FV182" s="149"/>
      <c r="FY182" s="214">
        <v>177</v>
      </c>
      <c r="FZ182">
        <v>1.3106494501774528</v>
      </c>
      <c r="GA182">
        <v>3.8243024616882808</v>
      </c>
      <c r="GB182">
        <v>11.316244620056164</v>
      </c>
      <c r="GC182">
        <v>6.2158382484143448</v>
      </c>
      <c r="GD182">
        <v>5.0502990149296103</v>
      </c>
      <c r="GE182">
        <v>15.291356617131973</v>
      </c>
      <c r="GF182">
        <v>18.884359564445329</v>
      </c>
      <c r="GG182">
        <v>8.7294940431493639</v>
      </c>
      <c r="GH182">
        <v>1.1130280735147748</v>
      </c>
      <c r="GI182">
        <v>9.8193571280196608</v>
      </c>
      <c r="GJ182"/>
      <c r="GK182"/>
      <c r="GL182"/>
      <c r="GM182"/>
    </row>
    <row r="183" spans="1:195" s="7" customFormat="1">
      <c r="A183" s="1"/>
      <c r="B183" s="76">
        <f t="shared" ca="1" si="172"/>
        <v>2.0076219376346849E-2</v>
      </c>
      <c r="C183">
        <v>6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74.906892789383932</v>
      </c>
      <c r="AO183">
        <v>15.683164286361057</v>
      </c>
      <c r="AP183">
        <v>96.216838189191165</v>
      </c>
      <c r="AQ183">
        <v>93.058283765446788</v>
      </c>
      <c r="AR183">
        <v>14.436608766623058</v>
      </c>
      <c r="AS183">
        <v>72.017834702841341</v>
      </c>
      <c r="AT183">
        <v>8.406311166028221</v>
      </c>
      <c r="AU183">
        <v>19.418583106585853</v>
      </c>
      <c r="AV183"/>
      <c r="AW183"/>
      <c r="AX183" s="146"/>
      <c r="AY183" s="76">
        <f t="shared" ca="1" si="173"/>
        <v>0.53641949717183346</v>
      </c>
      <c r="AZ183">
        <v>6</v>
      </c>
      <c r="BA183" s="129">
        <f t="shared" si="249"/>
        <v>39987</v>
      </c>
      <c r="BB183" s="207">
        <v>0</v>
      </c>
      <c r="BC183" s="207">
        <v>0</v>
      </c>
      <c r="BD183" s="207">
        <v>0</v>
      </c>
      <c r="BE183" s="207">
        <v>0</v>
      </c>
      <c r="BF183" s="207">
        <v>0</v>
      </c>
      <c r="BG183" s="207">
        <v>0</v>
      </c>
      <c r="BH183" s="207">
        <v>0</v>
      </c>
      <c r="BI183" s="207">
        <v>0</v>
      </c>
      <c r="BJ183" s="207">
        <v>0</v>
      </c>
      <c r="BK183" s="207">
        <v>0</v>
      </c>
      <c r="BL183" s="207">
        <v>0</v>
      </c>
      <c r="BM183" s="207">
        <v>0</v>
      </c>
      <c r="BN183" s="207">
        <v>0</v>
      </c>
      <c r="BO183" s="207">
        <v>0</v>
      </c>
      <c r="BP183" s="207">
        <v>0</v>
      </c>
      <c r="BQ183" s="207">
        <v>0</v>
      </c>
      <c r="BR183" s="207">
        <v>0</v>
      </c>
      <c r="BS183" s="207">
        <v>0</v>
      </c>
      <c r="BT183" s="207">
        <v>0</v>
      </c>
      <c r="BU183" s="207">
        <v>0</v>
      </c>
      <c r="BV183" s="207">
        <v>0</v>
      </c>
      <c r="BW183" s="207">
        <v>0</v>
      </c>
      <c r="BX183" s="207">
        <v>0</v>
      </c>
      <c r="BY183" s="207">
        <v>0</v>
      </c>
      <c r="BZ183" s="207">
        <v>0</v>
      </c>
      <c r="CA183" s="207">
        <v>0</v>
      </c>
      <c r="CB183" s="207">
        <v>0</v>
      </c>
      <c r="CC183" s="207">
        <v>0</v>
      </c>
      <c r="CD183" s="207">
        <v>0</v>
      </c>
      <c r="CE183" s="207">
        <v>0</v>
      </c>
      <c r="CF183" s="207">
        <v>0</v>
      </c>
      <c r="CG183" s="147"/>
      <c r="CH183" s="176"/>
      <c r="CJ183" s="146"/>
      <c r="CK183" s="76">
        <f t="shared" ca="1" si="208"/>
        <v>0.13023249692210137</v>
      </c>
      <c r="CL183" s="179">
        <f t="shared" si="209"/>
        <v>6</v>
      </c>
      <c r="CM183" s="180">
        <f t="shared" si="210"/>
        <v>39987</v>
      </c>
      <c r="CN183" s="208">
        <v>0</v>
      </c>
      <c r="CO183" s="208">
        <v>0</v>
      </c>
      <c r="CP183" s="208">
        <v>0</v>
      </c>
      <c r="CQ183" s="208">
        <v>0</v>
      </c>
      <c r="CR183" s="208">
        <v>0</v>
      </c>
      <c r="CS183" s="208">
        <v>0</v>
      </c>
      <c r="CT183" s="208">
        <v>0</v>
      </c>
      <c r="CU183" s="208">
        <v>0</v>
      </c>
      <c r="CV183" s="160"/>
      <c r="CW183">
        <v>1</v>
      </c>
      <c r="CX183">
        <f>350/50</f>
        <v>7</v>
      </c>
      <c r="CY183" s="160"/>
      <c r="CZ183" s="177">
        <f t="shared" si="211"/>
        <v>9.6000000000000002E-2</v>
      </c>
      <c r="DB183" s="146"/>
      <c r="DC183" s="76">
        <f t="shared" ca="1" si="174"/>
        <v>6.5549208334741982E-2</v>
      </c>
      <c r="DD183">
        <f t="shared" si="212"/>
        <v>6</v>
      </c>
      <c r="DE183" s="129">
        <f t="shared" si="248"/>
        <v>39987</v>
      </c>
      <c r="DF183" s="161">
        <f t="shared" si="213"/>
        <v>0</v>
      </c>
      <c r="DG183" s="161">
        <f t="shared" si="214"/>
        <v>0</v>
      </c>
      <c r="DH183" s="161">
        <f t="shared" si="215"/>
        <v>0</v>
      </c>
      <c r="DI183" s="161">
        <f t="shared" si="216"/>
        <v>0</v>
      </c>
      <c r="DJ183" s="161">
        <f t="shared" si="217"/>
        <v>0</v>
      </c>
      <c r="DK183" s="161">
        <f t="shared" si="218"/>
        <v>0</v>
      </c>
      <c r="DL183" s="161">
        <f t="shared" si="219"/>
        <v>0</v>
      </c>
      <c r="DM183" s="161">
        <f t="shared" si="220"/>
        <v>0</v>
      </c>
      <c r="DN183" s="161">
        <f t="shared" si="221"/>
        <v>0</v>
      </c>
      <c r="DO183" s="161">
        <f t="shared" si="222"/>
        <v>0</v>
      </c>
      <c r="DP183" s="161">
        <f t="shared" si="223"/>
        <v>0</v>
      </c>
      <c r="DQ183" s="161">
        <f t="shared" si="224"/>
        <v>0</v>
      </c>
      <c r="DR183" s="161">
        <f t="shared" si="225"/>
        <v>0</v>
      </c>
      <c r="DS183" s="161">
        <f t="shared" si="226"/>
        <v>0</v>
      </c>
      <c r="DT183" s="161">
        <f t="shared" si="227"/>
        <v>0</v>
      </c>
      <c r="DU183" s="161">
        <f t="shared" si="228"/>
        <v>0</v>
      </c>
      <c r="DV183" s="161">
        <f t="shared" si="229"/>
        <v>0</v>
      </c>
      <c r="DW183" s="161">
        <f t="shared" si="230"/>
        <v>0</v>
      </c>
      <c r="DX183" s="161">
        <f t="shared" si="231"/>
        <v>0</v>
      </c>
      <c r="DY183" s="161">
        <f t="shared" si="232"/>
        <v>0</v>
      </c>
      <c r="DZ183" s="161">
        <f t="shared" si="233"/>
        <v>0</v>
      </c>
      <c r="EA183" s="161">
        <f t="shared" si="234"/>
        <v>0</v>
      </c>
      <c r="EB183" s="161">
        <f t="shared" si="235"/>
        <v>0</v>
      </c>
      <c r="EC183" s="161">
        <f t="shared" si="236"/>
        <v>0</v>
      </c>
      <c r="ED183" s="161">
        <f t="shared" si="237"/>
        <v>0</v>
      </c>
      <c r="EE183" s="161">
        <f t="shared" si="238"/>
        <v>0</v>
      </c>
      <c r="EF183" s="161">
        <f t="shared" si="239"/>
        <v>0</v>
      </c>
      <c r="EG183" s="161">
        <f t="shared" si="240"/>
        <v>0</v>
      </c>
      <c r="EH183" s="161">
        <f t="shared" si="241"/>
        <v>0</v>
      </c>
      <c r="EI183" s="161">
        <f t="shared" si="242"/>
        <v>0</v>
      </c>
      <c r="EJ183" s="161">
        <f t="shared" si="243"/>
        <v>0</v>
      </c>
      <c r="EK183" s="147">
        <f t="shared" si="175"/>
        <v>0</v>
      </c>
      <c r="EL183" s="149"/>
      <c r="EN183" s="146"/>
      <c r="EO183" s="146"/>
      <c r="EP183" s="139">
        <f t="shared" si="176"/>
        <v>0</v>
      </c>
      <c r="EQ183" s="139">
        <f t="shared" si="177"/>
        <v>0</v>
      </c>
      <c r="ER183" s="139">
        <f t="shared" si="178"/>
        <v>0</v>
      </c>
      <c r="ES183" s="139">
        <f t="shared" si="179"/>
        <v>0</v>
      </c>
      <c r="ET183" s="139">
        <f t="shared" si="180"/>
        <v>0</v>
      </c>
      <c r="EU183" s="139">
        <f t="shared" si="181"/>
        <v>0</v>
      </c>
      <c r="EV183" s="139">
        <f t="shared" si="182"/>
        <v>0</v>
      </c>
      <c r="EW183" s="139">
        <f t="shared" si="183"/>
        <v>0</v>
      </c>
      <c r="EX183" s="139">
        <f t="shared" si="184"/>
        <v>0</v>
      </c>
      <c r="EY183" s="139">
        <f t="shared" si="185"/>
        <v>0</v>
      </c>
      <c r="EZ183" s="139">
        <f t="shared" si="186"/>
        <v>0</v>
      </c>
      <c r="FA183" s="139">
        <f t="shared" si="187"/>
        <v>0</v>
      </c>
      <c r="FB183" s="139">
        <f t="shared" si="188"/>
        <v>0</v>
      </c>
      <c r="FC183" s="139">
        <f t="shared" si="189"/>
        <v>0</v>
      </c>
      <c r="FD183" s="139">
        <f t="shared" si="190"/>
        <v>0</v>
      </c>
      <c r="FE183" s="139">
        <f t="shared" si="191"/>
        <v>0</v>
      </c>
      <c r="FF183" s="139">
        <f t="shared" si="192"/>
        <v>0</v>
      </c>
      <c r="FG183" s="139">
        <f t="shared" si="193"/>
        <v>0</v>
      </c>
      <c r="FH183" s="139">
        <f t="shared" si="194"/>
        <v>0</v>
      </c>
      <c r="FI183" s="139">
        <f t="shared" si="195"/>
        <v>0</v>
      </c>
      <c r="FJ183" s="139">
        <f t="shared" si="196"/>
        <v>0</v>
      </c>
      <c r="FK183" s="139">
        <f t="shared" si="197"/>
        <v>0</v>
      </c>
      <c r="FL183" s="139">
        <f t="shared" si="198"/>
        <v>0</v>
      </c>
      <c r="FM183" s="139">
        <f t="shared" si="199"/>
        <v>0</v>
      </c>
      <c r="FN183" s="139">
        <f t="shared" si="200"/>
        <v>0</v>
      </c>
      <c r="FO183" s="139">
        <f t="shared" si="201"/>
        <v>0</v>
      </c>
      <c r="FP183" s="139">
        <f t="shared" si="202"/>
        <v>0</v>
      </c>
      <c r="FQ183" s="139">
        <f t="shared" si="203"/>
        <v>0</v>
      </c>
      <c r="FR183" s="139">
        <f t="shared" si="204"/>
        <v>0</v>
      </c>
      <c r="FS183" s="139">
        <f t="shared" si="205"/>
        <v>0</v>
      </c>
      <c r="FT183" s="139">
        <f t="shared" si="206"/>
        <v>0</v>
      </c>
      <c r="FU183" s="148">
        <f t="shared" si="207"/>
        <v>0</v>
      </c>
      <c r="FV183" s="149"/>
      <c r="FY183" s="214">
        <v>178</v>
      </c>
      <c r="FZ183">
        <v>0.6637146809209935</v>
      </c>
      <c r="GA183">
        <v>17.934550706778783</v>
      </c>
      <c r="GB183">
        <v>11.352023850461165</v>
      </c>
      <c r="GC183">
        <v>2.1185500710330123</v>
      </c>
      <c r="GD183">
        <v>7.1792688680879948</v>
      </c>
      <c r="GE183">
        <v>17.21739221831286</v>
      </c>
      <c r="GF183">
        <v>15.904198407594427</v>
      </c>
      <c r="GG183">
        <v>12.676289703843359</v>
      </c>
      <c r="GH183">
        <v>7.0299407510778718</v>
      </c>
      <c r="GI183">
        <v>11.439682214787362</v>
      </c>
      <c r="GJ183"/>
      <c r="GK183"/>
      <c r="GL183"/>
      <c r="GM183"/>
    </row>
    <row r="184" spans="1:195" s="7" customFormat="1">
      <c r="A184" s="1"/>
      <c r="B184" s="76">
        <f t="shared" ref="B184:B215" ca="1" si="250">IF(C184="", "", RAND())</f>
        <v>0.49847264392357182</v>
      </c>
      <c r="C184">
        <v>8</v>
      </c>
      <c r="D184">
        <v>39987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105.3992518128252</v>
      </c>
      <c r="AO184">
        <v>19.121133574695918</v>
      </c>
      <c r="AP184">
        <v>113.19721546108704</v>
      </c>
      <c r="AQ184">
        <v>115.24379849455282</v>
      </c>
      <c r="AR184">
        <v>17.75278726768444</v>
      </c>
      <c r="AS184">
        <v>92.003053222010607</v>
      </c>
      <c r="AT184">
        <v>9.6805593887041219</v>
      </c>
      <c r="AU184">
        <v>63.319713414566031</v>
      </c>
      <c r="AV184"/>
      <c r="AW184"/>
      <c r="AX184" s="146"/>
      <c r="AY184" s="76">
        <f t="shared" ca="1" si="173"/>
        <v>0.27290221539587889</v>
      </c>
      <c r="AZ184">
        <v>7</v>
      </c>
      <c r="BA184" s="129">
        <f t="shared" si="249"/>
        <v>39987</v>
      </c>
      <c r="BB184" s="207">
        <v>0</v>
      </c>
      <c r="BC184" s="207">
        <v>0</v>
      </c>
      <c r="BD184" s="207">
        <v>0</v>
      </c>
      <c r="BE184" s="207">
        <v>0</v>
      </c>
      <c r="BF184" s="207">
        <v>0</v>
      </c>
      <c r="BG184" s="207">
        <v>0</v>
      </c>
      <c r="BH184" s="207">
        <v>0</v>
      </c>
      <c r="BI184" s="207">
        <v>0</v>
      </c>
      <c r="BJ184" s="207">
        <v>0</v>
      </c>
      <c r="BK184" s="207">
        <v>0</v>
      </c>
      <c r="BL184" s="207">
        <v>0</v>
      </c>
      <c r="BM184" s="207">
        <v>0</v>
      </c>
      <c r="BN184" s="207">
        <v>0</v>
      </c>
      <c r="BO184" s="207">
        <v>0</v>
      </c>
      <c r="BP184" s="207">
        <v>0</v>
      </c>
      <c r="BQ184" s="207">
        <v>0</v>
      </c>
      <c r="BR184" s="207">
        <v>0</v>
      </c>
      <c r="BS184" s="207">
        <v>0</v>
      </c>
      <c r="BT184" s="207">
        <v>0</v>
      </c>
      <c r="BU184" s="207">
        <v>0</v>
      </c>
      <c r="BV184" s="207">
        <v>0</v>
      </c>
      <c r="BW184" s="207">
        <v>0</v>
      </c>
      <c r="BX184" s="207">
        <v>0</v>
      </c>
      <c r="BY184" s="207">
        <v>0</v>
      </c>
      <c r="BZ184" s="207">
        <v>0</v>
      </c>
      <c r="CA184" s="207">
        <v>0</v>
      </c>
      <c r="CB184" s="207">
        <v>0</v>
      </c>
      <c r="CC184" s="207">
        <v>0</v>
      </c>
      <c r="CD184" s="207">
        <v>0</v>
      </c>
      <c r="CE184" s="207">
        <v>0</v>
      </c>
      <c r="CF184" s="207">
        <v>0</v>
      </c>
      <c r="CG184" s="147"/>
      <c r="CH184" s="176"/>
      <c r="CJ184" s="146"/>
      <c r="CK184" s="76">
        <f t="shared" ca="1" si="208"/>
        <v>0.1978864841980903</v>
      </c>
      <c r="CL184" s="179">
        <f t="shared" si="209"/>
        <v>7</v>
      </c>
      <c r="CM184" s="180">
        <f t="shared" si="210"/>
        <v>39987</v>
      </c>
      <c r="CN184" s="208">
        <v>0</v>
      </c>
      <c r="CO184" s="208">
        <v>0</v>
      </c>
      <c r="CP184" s="208">
        <v>0</v>
      </c>
      <c r="CQ184" s="208">
        <v>0</v>
      </c>
      <c r="CR184" s="208">
        <v>0</v>
      </c>
      <c r="CS184" s="208">
        <v>0</v>
      </c>
      <c r="CT184" s="208">
        <v>0</v>
      </c>
      <c r="CU184" s="208">
        <v>0</v>
      </c>
      <c r="CV184" s="160"/>
      <c r="CW184">
        <v>1</v>
      </c>
      <c r="CX184">
        <f>350/51</f>
        <v>6.8627450980392153</v>
      </c>
      <c r="CY184" s="165"/>
      <c r="CZ184" s="177">
        <f t="shared" si="211"/>
        <v>9.6000000000000002E-2</v>
      </c>
      <c r="DB184" s="146"/>
      <c r="DC184" s="76">
        <f t="shared" ca="1" si="174"/>
        <v>0.4706029663756599</v>
      </c>
      <c r="DD184">
        <f t="shared" si="212"/>
        <v>7</v>
      </c>
      <c r="DE184" s="129">
        <f t="shared" si="248"/>
        <v>39987</v>
      </c>
      <c r="DF184" s="161">
        <f t="shared" si="213"/>
        <v>0</v>
      </c>
      <c r="DG184" s="161">
        <f t="shared" si="214"/>
        <v>0</v>
      </c>
      <c r="DH184" s="161">
        <f t="shared" si="215"/>
        <v>0</v>
      </c>
      <c r="DI184" s="161">
        <f t="shared" si="216"/>
        <v>0</v>
      </c>
      <c r="DJ184" s="161">
        <f t="shared" si="217"/>
        <v>0</v>
      </c>
      <c r="DK184" s="161">
        <f t="shared" si="218"/>
        <v>0</v>
      </c>
      <c r="DL184" s="161">
        <f t="shared" si="219"/>
        <v>0</v>
      </c>
      <c r="DM184" s="161">
        <f t="shared" si="220"/>
        <v>0</v>
      </c>
      <c r="DN184" s="161">
        <f t="shared" si="221"/>
        <v>0</v>
      </c>
      <c r="DO184" s="161">
        <f t="shared" si="222"/>
        <v>0</v>
      </c>
      <c r="DP184" s="161">
        <f t="shared" si="223"/>
        <v>0</v>
      </c>
      <c r="DQ184" s="161">
        <f t="shared" si="224"/>
        <v>0</v>
      </c>
      <c r="DR184" s="161">
        <f t="shared" si="225"/>
        <v>0</v>
      </c>
      <c r="DS184" s="161">
        <f t="shared" si="226"/>
        <v>0</v>
      </c>
      <c r="DT184" s="161">
        <f t="shared" si="227"/>
        <v>0</v>
      </c>
      <c r="DU184" s="161">
        <f t="shared" si="228"/>
        <v>0</v>
      </c>
      <c r="DV184" s="161">
        <f t="shared" si="229"/>
        <v>0</v>
      </c>
      <c r="DW184" s="161">
        <f t="shared" si="230"/>
        <v>0</v>
      </c>
      <c r="DX184" s="161">
        <f t="shared" si="231"/>
        <v>0</v>
      </c>
      <c r="DY184" s="161">
        <f t="shared" si="232"/>
        <v>0</v>
      </c>
      <c r="DZ184" s="161">
        <f t="shared" si="233"/>
        <v>0</v>
      </c>
      <c r="EA184" s="161">
        <f t="shared" si="234"/>
        <v>0</v>
      </c>
      <c r="EB184" s="161">
        <f t="shared" si="235"/>
        <v>0</v>
      </c>
      <c r="EC184" s="161">
        <f t="shared" si="236"/>
        <v>0</v>
      </c>
      <c r="ED184" s="161">
        <f t="shared" si="237"/>
        <v>0</v>
      </c>
      <c r="EE184" s="161">
        <f t="shared" si="238"/>
        <v>0</v>
      </c>
      <c r="EF184" s="161">
        <f t="shared" si="239"/>
        <v>0</v>
      </c>
      <c r="EG184" s="161">
        <f t="shared" si="240"/>
        <v>0</v>
      </c>
      <c r="EH184" s="161">
        <f t="shared" si="241"/>
        <v>0</v>
      </c>
      <c r="EI184" s="161">
        <f t="shared" si="242"/>
        <v>0</v>
      </c>
      <c r="EJ184" s="161">
        <f t="shared" si="243"/>
        <v>0</v>
      </c>
      <c r="EK184" s="147">
        <f t="shared" ref="EK184:EK207" si="251">IF(DF184="", "", SUM(DF184:EJ184))</f>
        <v>0</v>
      </c>
      <c r="EL184" s="149"/>
      <c r="EN184" s="146"/>
      <c r="EO184" s="146"/>
      <c r="EP184" s="139">
        <f t="shared" ref="EP184:EP207" si="252">IF(DF184="", "", DF184*G$36)</f>
        <v>0</v>
      </c>
      <c r="EQ184" s="139">
        <f t="shared" ref="EQ184:EQ207" si="253">IF(DG184="", "", DG184*H$36)</f>
        <v>0</v>
      </c>
      <c r="ER184" s="139">
        <f t="shared" ref="ER184:ER207" si="254">IF(DH184="", "", DH184*I$36)</f>
        <v>0</v>
      </c>
      <c r="ES184" s="139">
        <f t="shared" ref="ES184:ES207" si="255">IF(DI184="", "", DI184*J$36)</f>
        <v>0</v>
      </c>
      <c r="ET184" s="139">
        <f t="shared" ref="ET184:ET207" si="256">IF(DJ184="", "", DJ184*K$36)</f>
        <v>0</v>
      </c>
      <c r="EU184" s="139">
        <f t="shared" ref="EU184:EU207" si="257">IF(DK184="", "", DK184*L$36)</f>
        <v>0</v>
      </c>
      <c r="EV184" s="139">
        <f t="shared" ref="EV184:EV207" si="258">IF(DL184="", "", DL184*M$36)</f>
        <v>0</v>
      </c>
      <c r="EW184" s="139">
        <f t="shared" ref="EW184:EW207" si="259">IF(DM184="", "", DM184*N$36)</f>
        <v>0</v>
      </c>
      <c r="EX184" s="139">
        <f t="shared" ref="EX184:EX207" si="260">IF(DN184="", "", DN184*O$36)</f>
        <v>0</v>
      </c>
      <c r="EY184" s="139">
        <f t="shared" ref="EY184:EY207" si="261">IF(DO184="", "", DO184*P$36)</f>
        <v>0</v>
      </c>
      <c r="EZ184" s="139">
        <f t="shared" ref="EZ184:EZ207" si="262">IF(DP184="", "", DP184*Q$36)</f>
        <v>0</v>
      </c>
      <c r="FA184" s="139">
        <f t="shared" ref="FA184:FA207" si="263">IF(DQ184="", "", DQ184*R$36)</f>
        <v>0</v>
      </c>
      <c r="FB184" s="139">
        <f t="shared" ref="FB184:FB207" si="264">IF(DR184="", "", DR184*S$36)</f>
        <v>0</v>
      </c>
      <c r="FC184" s="139">
        <f t="shared" ref="FC184:FC207" si="265">IF(DS184="", "", DS184*T$36)</f>
        <v>0</v>
      </c>
      <c r="FD184" s="139">
        <f t="shared" ref="FD184:FD207" si="266">IF(DT184="", "", DT184*U$36)</f>
        <v>0</v>
      </c>
      <c r="FE184" s="139">
        <f t="shared" ref="FE184:FE207" si="267">IF(DU184="", "", DU184*V$36)</f>
        <v>0</v>
      </c>
      <c r="FF184" s="139">
        <f t="shared" ref="FF184:FF207" si="268">IF(DV184="", "", DV184*W$36)</f>
        <v>0</v>
      </c>
      <c r="FG184" s="139">
        <f t="shared" ref="FG184:FG207" si="269">IF(DW184="", "", DW184*X$36)</f>
        <v>0</v>
      </c>
      <c r="FH184" s="139">
        <f t="shared" ref="FH184:FH207" si="270">IF(DX184="", "", DX184*Y$36)</f>
        <v>0</v>
      </c>
      <c r="FI184" s="139">
        <f t="shared" ref="FI184:FI207" si="271">IF(DY184="", "", DY184*Z$36)</f>
        <v>0</v>
      </c>
      <c r="FJ184" s="139">
        <f t="shared" ref="FJ184:FJ207" si="272">IF(DZ184="", "", DZ184*AA$36)</f>
        <v>0</v>
      </c>
      <c r="FK184" s="139">
        <f t="shared" ref="FK184:FK207" si="273">IF(EA184="", "", EA184*AB$36)</f>
        <v>0</v>
      </c>
      <c r="FL184" s="139">
        <f t="shared" ref="FL184:FL207" si="274">IF(EB184="", "", EB184*AC$36)</f>
        <v>0</v>
      </c>
      <c r="FM184" s="139">
        <f t="shared" ref="FM184:FM207" si="275">IF(EC184="", "", EC184*AD$36)</f>
        <v>0</v>
      </c>
      <c r="FN184" s="139">
        <f t="shared" ref="FN184:FN207" si="276">IF(ED184="", "", ED184*AE$36)</f>
        <v>0</v>
      </c>
      <c r="FO184" s="139">
        <f t="shared" ref="FO184:FO207" si="277">IF(EE184="", "", EE184*AF$36)</f>
        <v>0</v>
      </c>
      <c r="FP184" s="139">
        <f t="shared" ref="FP184:FP207" si="278">IF(EF184="", "", EF184*AG$36)</f>
        <v>0</v>
      </c>
      <c r="FQ184" s="139">
        <f t="shared" ref="FQ184:FQ207" si="279">IF(EG184="", "", EG184*AH$36)</f>
        <v>0</v>
      </c>
      <c r="FR184" s="139">
        <f t="shared" ref="FR184:FR207" si="280">IF(EH184="", "", EH184*AI$36)</f>
        <v>0</v>
      </c>
      <c r="FS184" s="139">
        <f t="shared" ref="FS184:FS207" si="281">IF(EI184="", "", EI184*AJ$36)</f>
        <v>0</v>
      </c>
      <c r="FT184" s="139">
        <f t="shared" ref="FT184:FT207" si="282">IF(EJ184="", "", EJ184*AK$36)</f>
        <v>0</v>
      </c>
      <c r="FU184" s="148">
        <f t="shared" ref="FU184:FU207" si="283">IF(EP184="","",SUM(EP184:FT184))</f>
        <v>0</v>
      </c>
      <c r="FV184" s="149"/>
      <c r="FY184" s="214">
        <v>179</v>
      </c>
      <c r="FZ184">
        <v>1.0891025711898155</v>
      </c>
      <c r="GA184">
        <v>17.215650551514251</v>
      </c>
      <c r="GB184">
        <v>15.786678672822868</v>
      </c>
      <c r="GC184">
        <v>4.7396169484045831</v>
      </c>
      <c r="GD184">
        <v>3.7859588919683</v>
      </c>
      <c r="GE184">
        <v>11.457844397360608</v>
      </c>
      <c r="GF184">
        <v>13.987155050739554</v>
      </c>
      <c r="GG184">
        <v>6.5819417814428274</v>
      </c>
      <c r="GH184">
        <v>2.3440362398958201</v>
      </c>
      <c r="GI184">
        <v>9.5832859801488404</v>
      </c>
      <c r="GJ184"/>
      <c r="GK184"/>
      <c r="GL184"/>
      <c r="GM184"/>
    </row>
    <row r="185" spans="1:195" s="7" customFormat="1">
      <c r="A185" s="1"/>
      <c r="B185" s="76">
        <f t="shared" ca="1" si="250"/>
        <v>4.3627878792307229E-3</v>
      </c>
      <c r="C185">
        <v>4</v>
      </c>
      <c r="D185">
        <v>39987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81.535143379103687</v>
      </c>
      <c r="AO185">
        <v>16.435028752504124</v>
      </c>
      <c r="AP185">
        <v>104.71615051072617</v>
      </c>
      <c r="AQ185">
        <v>89.681280378927511</v>
      </c>
      <c r="AR185">
        <v>15.144540511737995</v>
      </c>
      <c r="AS185">
        <v>75.423253472855293</v>
      </c>
      <c r="AT185">
        <v>7.9801993516369372</v>
      </c>
      <c r="AU185">
        <v>11.083870834194839</v>
      </c>
      <c r="AV185"/>
      <c r="AW185"/>
      <c r="AX185" s="146"/>
      <c r="AY185" s="76">
        <f t="shared" ca="1" si="173"/>
        <v>0.29443042448977885</v>
      </c>
      <c r="AZ185">
        <v>8</v>
      </c>
      <c r="BA185" s="129">
        <f t="shared" si="249"/>
        <v>39987</v>
      </c>
      <c r="BB185" s="207">
        <v>0</v>
      </c>
      <c r="BC185" s="207">
        <v>0</v>
      </c>
      <c r="BD185" s="207">
        <v>0</v>
      </c>
      <c r="BE185" s="207">
        <v>0</v>
      </c>
      <c r="BF185" s="207">
        <v>0</v>
      </c>
      <c r="BG185" s="207">
        <v>0</v>
      </c>
      <c r="BH185" s="207">
        <v>0</v>
      </c>
      <c r="BI185" s="207">
        <v>0</v>
      </c>
      <c r="BJ185" s="207">
        <v>0</v>
      </c>
      <c r="BK185" s="207">
        <v>0</v>
      </c>
      <c r="BL185" s="207">
        <v>0</v>
      </c>
      <c r="BM185" s="207">
        <v>0</v>
      </c>
      <c r="BN185" s="207">
        <v>0</v>
      </c>
      <c r="BO185" s="207">
        <v>0</v>
      </c>
      <c r="BP185" s="207">
        <v>0</v>
      </c>
      <c r="BQ185" s="207">
        <v>0</v>
      </c>
      <c r="BR185" s="207">
        <v>0</v>
      </c>
      <c r="BS185" s="207">
        <v>0</v>
      </c>
      <c r="BT185" s="207">
        <v>0</v>
      </c>
      <c r="BU185" s="207">
        <v>0</v>
      </c>
      <c r="BV185" s="207">
        <v>0</v>
      </c>
      <c r="BW185" s="207">
        <v>0</v>
      </c>
      <c r="BX185" s="207">
        <v>0</v>
      </c>
      <c r="BY185" s="207">
        <v>0</v>
      </c>
      <c r="BZ185" s="207">
        <v>0</v>
      </c>
      <c r="CA185" s="207">
        <v>0</v>
      </c>
      <c r="CB185" s="207">
        <v>0</v>
      </c>
      <c r="CC185" s="207">
        <v>0</v>
      </c>
      <c r="CD185" s="207">
        <v>0</v>
      </c>
      <c r="CE185" s="207">
        <v>0</v>
      </c>
      <c r="CF185" s="207">
        <v>0</v>
      </c>
      <c r="CG185" s="147"/>
      <c r="CH185" s="176"/>
      <c r="CJ185" s="146"/>
      <c r="CK185" s="76">
        <f t="shared" ca="1" si="208"/>
        <v>4.8020544580007263E-2</v>
      </c>
      <c r="CL185" s="179">
        <f t="shared" si="209"/>
        <v>8</v>
      </c>
      <c r="CM185" s="180">
        <f t="shared" si="210"/>
        <v>39987</v>
      </c>
      <c r="CN185" s="208">
        <v>0</v>
      </c>
      <c r="CO185" s="208">
        <v>0</v>
      </c>
      <c r="CP185" s="208">
        <v>0</v>
      </c>
      <c r="CQ185" s="208">
        <v>0</v>
      </c>
      <c r="CR185" s="208">
        <v>0</v>
      </c>
      <c r="CS185" s="208">
        <v>0</v>
      </c>
      <c r="CT185" s="208">
        <v>0</v>
      </c>
      <c r="CU185" s="208">
        <v>0</v>
      </c>
      <c r="CV185" s="160"/>
      <c r="CW185">
        <v>1</v>
      </c>
      <c r="CX185">
        <f>350/65</f>
        <v>5.384615384615385</v>
      </c>
      <c r="CY185" s="165"/>
      <c r="CZ185" s="177">
        <f t="shared" si="211"/>
        <v>9.6000000000000002E-2</v>
      </c>
      <c r="DB185" s="146"/>
      <c r="DC185" s="76">
        <f t="shared" ca="1" si="174"/>
        <v>0.87972818707914247</v>
      </c>
      <c r="DD185">
        <f t="shared" si="212"/>
        <v>8</v>
      </c>
      <c r="DE185" s="129">
        <f t="shared" si="248"/>
        <v>39987</v>
      </c>
      <c r="DF185" s="161">
        <f t="shared" si="213"/>
        <v>0</v>
      </c>
      <c r="DG185" s="161">
        <f t="shared" si="214"/>
        <v>0</v>
      </c>
      <c r="DH185" s="161">
        <f t="shared" si="215"/>
        <v>0</v>
      </c>
      <c r="DI185" s="161">
        <f t="shared" si="216"/>
        <v>0</v>
      </c>
      <c r="DJ185" s="161">
        <f t="shared" si="217"/>
        <v>0</v>
      </c>
      <c r="DK185" s="161">
        <f t="shared" si="218"/>
        <v>0</v>
      </c>
      <c r="DL185" s="161">
        <f t="shared" si="219"/>
        <v>0</v>
      </c>
      <c r="DM185" s="161">
        <f t="shared" si="220"/>
        <v>0</v>
      </c>
      <c r="DN185" s="161">
        <f t="shared" si="221"/>
        <v>0</v>
      </c>
      <c r="DO185" s="161">
        <f t="shared" si="222"/>
        <v>0</v>
      </c>
      <c r="DP185" s="161">
        <f t="shared" si="223"/>
        <v>0</v>
      </c>
      <c r="DQ185" s="161">
        <f t="shared" si="224"/>
        <v>0</v>
      </c>
      <c r="DR185" s="161">
        <f t="shared" si="225"/>
        <v>0</v>
      </c>
      <c r="DS185" s="161">
        <f t="shared" si="226"/>
        <v>0</v>
      </c>
      <c r="DT185" s="161">
        <f t="shared" si="227"/>
        <v>0</v>
      </c>
      <c r="DU185" s="161">
        <f t="shared" si="228"/>
        <v>0</v>
      </c>
      <c r="DV185" s="161">
        <f t="shared" si="229"/>
        <v>0</v>
      </c>
      <c r="DW185" s="161">
        <f t="shared" si="230"/>
        <v>0</v>
      </c>
      <c r="DX185" s="161">
        <f t="shared" si="231"/>
        <v>0</v>
      </c>
      <c r="DY185" s="161">
        <f t="shared" si="232"/>
        <v>0</v>
      </c>
      <c r="DZ185" s="161">
        <f t="shared" si="233"/>
        <v>0</v>
      </c>
      <c r="EA185" s="161">
        <f t="shared" si="234"/>
        <v>0</v>
      </c>
      <c r="EB185" s="161">
        <f t="shared" si="235"/>
        <v>0</v>
      </c>
      <c r="EC185" s="161">
        <f t="shared" si="236"/>
        <v>0</v>
      </c>
      <c r="ED185" s="161">
        <f t="shared" si="237"/>
        <v>0</v>
      </c>
      <c r="EE185" s="161">
        <f t="shared" si="238"/>
        <v>0</v>
      </c>
      <c r="EF185" s="161">
        <f t="shared" si="239"/>
        <v>0</v>
      </c>
      <c r="EG185" s="161">
        <f t="shared" si="240"/>
        <v>0</v>
      </c>
      <c r="EH185" s="161">
        <f t="shared" si="241"/>
        <v>0</v>
      </c>
      <c r="EI185" s="161">
        <f t="shared" si="242"/>
        <v>0</v>
      </c>
      <c r="EJ185" s="161">
        <f t="shared" si="243"/>
        <v>0</v>
      </c>
      <c r="EK185" s="147">
        <f t="shared" si="251"/>
        <v>0</v>
      </c>
      <c r="EL185" s="149"/>
      <c r="EN185" s="146"/>
      <c r="EO185" s="146"/>
      <c r="EP185" s="139">
        <f t="shared" si="252"/>
        <v>0</v>
      </c>
      <c r="EQ185" s="139">
        <f t="shared" si="253"/>
        <v>0</v>
      </c>
      <c r="ER185" s="139">
        <f t="shared" si="254"/>
        <v>0</v>
      </c>
      <c r="ES185" s="139">
        <f t="shared" si="255"/>
        <v>0</v>
      </c>
      <c r="ET185" s="139">
        <f t="shared" si="256"/>
        <v>0</v>
      </c>
      <c r="EU185" s="139">
        <f t="shared" si="257"/>
        <v>0</v>
      </c>
      <c r="EV185" s="139">
        <f t="shared" si="258"/>
        <v>0</v>
      </c>
      <c r="EW185" s="139">
        <f t="shared" si="259"/>
        <v>0</v>
      </c>
      <c r="EX185" s="139">
        <f t="shared" si="260"/>
        <v>0</v>
      </c>
      <c r="EY185" s="139">
        <f t="shared" si="261"/>
        <v>0</v>
      </c>
      <c r="EZ185" s="139">
        <f t="shared" si="262"/>
        <v>0</v>
      </c>
      <c r="FA185" s="139">
        <f t="shared" si="263"/>
        <v>0</v>
      </c>
      <c r="FB185" s="139">
        <f t="shared" si="264"/>
        <v>0</v>
      </c>
      <c r="FC185" s="139">
        <f t="shared" si="265"/>
        <v>0</v>
      </c>
      <c r="FD185" s="139">
        <f t="shared" si="266"/>
        <v>0</v>
      </c>
      <c r="FE185" s="139">
        <f t="shared" si="267"/>
        <v>0</v>
      </c>
      <c r="FF185" s="139">
        <f t="shared" si="268"/>
        <v>0</v>
      </c>
      <c r="FG185" s="139">
        <f t="shared" si="269"/>
        <v>0</v>
      </c>
      <c r="FH185" s="139">
        <f t="shared" si="270"/>
        <v>0</v>
      </c>
      <c r="FI185" s="139">
        <f t="shared" si="271"/>
        <v>0</v>
      </c>
      <c r="FJ185" s="139">
        <f t="shared" si="272"/>
        <v>0</v>
      </c>
      <c r="FK185" s="139">
        <f t="shared" si="273"/>
        <v>0</v>
      </c>
      <c r="FL185" s="139">
        <f t="shared" si="274"/>
        <v>0</v>
      </c>
      <c r="FM185" s="139">
        <f t="shared" si="275"/>
        <v>0</v>
      </c>
      <c r="FN185" s="139">
        <f t="shared" si="276"/>
        <v>0</v>
      </c>
      <c r="FO185" s="139">
        <f t="shared" si="277"/>
        <v>0</v>
      </c>
      <c r="FP185" s="139">
        <f t="shared" si="278"/>
        <v>0</v>
      </c>
      <c r="FQ185" s="139">
        <f t="shared" si="279"/>
        <v>0</v>
      </c>
      <c r="FR185" s="139">
        <f t="shared" si="280"/>
        <v>0</v>
      </c>
      <c r="FS185" s="139">
        <f t="shared" si="281"/>
        <v>0</v>
      </c>
      <c r="FT185" s="139">
        <f t="shared" si="282"/>
        <v>0</v>
      </c>
      <c r="FU185" s="148">
        <f t="shared" si="283"/>
        <v>0</v>
      </c>
      <c r="FV185" s="149"/>
      <c r="FY185" s="214">
        <v>180</v>
      </c>
      <c r="FZ185">
        <v>1.187528972854178</v>
      </c>
      <c r="GA185">
        <v>16.999615225228897</v>
      </c>
      <c r="GB185">
        <v>10.258513072321971</v>
      </c>
      <c r="GC185">
        <v>1.9103627658840423</v>
      </c>
      <c r="GD185">
        <v>0.6731404324530732</v>
      </c>
      <c r="GE185">
        <v>5.7313068531116773</v>
      </c>
      <c r="GF185">
        <v>19.659117689615108</v>
      </c>
      <c r="GG185">
        <v>10.379697301511042</v>
      </c>
      <c r="GH185">
        <v>0.72401068932394974</v>
      </c>
      <c r="GI185">
        <v>6.8771986553515125</v>
      </c>
      <c r="GJ185"/>
      <c r="GK185"/>
      <c r="GL185"/>
      <c r="GM185"/>
    </row>
    <row r="186" spans="1:195" s="7" customFormat="1">
      <c r="A186" s="1"/>
      <c r="B186" s="76">
        <f t="shared" ca="1" si="250"/>
        <v>0.42174618645011108</v>
      </c>
      <c r="C186">
        <v>5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68.022275165281499</v>
      </c>
      <c r="AO186">
        <v>11.802742377027545</v>
      </c>
      <c r="AP186">
        <v>58.15495283703514</v>
      </c>
      <c r="AQ186">
        <v>63.29768088632553</v>
      </c>
      <c r="AR186">
        <v>10.90830837556229</v>
      </c>
      <c r="AS186">
        <v>58.142888755013622</v>
      </c>
      <c r="AT186" t="e">
        <v>#DIV/0!</v>
      </c>
      <c r="AU186" t="e">
        <v>#DIV/0!</v>
      </c>
      <c r="AV186"/>
      <c r="AW186"/>
      <c r="AX186" s="146"/>
      <c r="AY186" s="76">
        <f t="shared" ca="1" si="173"/>
        <v>0.50439158382625049</v>
      </c>
      <c r="AZ186">
        <v>9</v>
      </c>
      <c r="BA186" s="129">
        <f t="shared" si="249"/>
        <v>39987</v>
      </c>
      <c r="BB186" s="207">
        <v>0</v>
      </c>
      <c r="BC186" s="207">
        <v>0</v>
      </c>
      <c r="BD186" s="207">
        <v>0</v>
      </c>
      <c r="BE186" s="207">
        <v>0</v>
      </c>
      <c r="BF186" s="207">
        <v>0</v>
      </c>
      <c r="BG186" s="207">
        <v>0</v>
      </c>
      <c r="BH186" s="207">
        <v>0</v>
      </c>
      <c r="BI186" s="207">
        <v>0</v>
      </c>
      <c r="BJ186" s="207">
        <v>0</v>
      </c>
      <c r="BK186" s="207">
        <v>0</v>
      </c>
      <c r="BL186" s="207">
        <v>0</v>
      </c>
      <c r="BM186" s="207">
        <v>0</v>
      </c>
      <c r="BN186" s="207">
        <v>0</v>
      </c>
      <c r="BO186" s="207">
        <v>0</v>
      </c>
      <c r="BP186" s="207">
        <v>0</v>
      </c>
      <c r="BQ186" s="207">
        <v>0</v>
      </c>
      <c r="BR186" s="207">
        <v>0</v>
      </c>
      <c r="BS186" s="207">
        <v>0</v>
      </c>
      <c r="BT186" s="207">
        <v>0</v>
      </c>
      <c r="BU186" s="207">
        <v>0</v>
      </c>
      <c r="BV186" s="207">
        <v>0</v>
      </c>
      <c r="BW186" s="207">
        <v>0</v>
      </c>
      <c r="BX186" s="207">
        <v>0</v>
      </c>
      <c r="BY186" s="207">
        <v>0</v>
      </c>
      <c r="BZ186" s="207">
        <v>0</v>
      </c>
      <c r="CA186" s="207">
        <v>0</v>
      </c>
      <c r="CB186" s="207">
        <v>0</v>
      </c>
      <c r="CC186" s="207">
        <v>0</v>
      </c>
      <c r="CD186" s="207">
        <v>0</v>
      </c>
      <c r="CE186" s="207">
        <v>0</v>
      </c>
      <c r="CF186" s="207">
        <v>0</v>
      </c>
      <c r="CG186" s="147"/>
      <c r="CH186" s="176"/>
      <c r="CJ186" s="146"/>
      <c r="CK186" s="76">
        <f t="shared" ca="1" si="208"/>
        <v>0.49156498570151941</v>
      </c>
      <c r="CL186" s="179">
        <f t="shared" si="209"/>
        <v>9</v>
      </c>
      <c r="CM186" s="180">
        <f t="shared" si="210"/>
        <v>39987</v>
      </c>
      <c r="CN186" s="208">
        <v>0</v>
      </c>
      <c r="CO186" s="208">
        <v>0</v>
      </c>
      <c r="CP186" s="208">
        <v>0</v>
      </c>
      <c r="CQ186" s="208">
        <v>0</v>
      </c>
      <c r="CR186" s="208">
        <v>0</v>
      </c>
      <c r="CS186" s="208">
        <v>0</v>
      </c>
      <c r="CT186" s="208">
        <v>0</v>
      </c>
      <c r="CU186" s="208">
        <v>0</v>
      </c>
      <c r="CV186" s="160"/>
      <c r="CW186">
        <v>1</v>
      </c>
      <c r="CX186">
        <f>350/52</f>
        <v>6.7307692307692308</v>
      </c>
      <c r="CY186" s="165"/>
      <c r="CZ186" s="177">
        <f t="shared" si="211"/>
        <v>9.6000000000000002E-2</v>
      </c>
      <c r="DB186" s="146"/>
      <c r="DC186" s="76">
        <f t="shared" ca="1" si="174"/>
        <v>0.84195481020526852</v>
      </c>
      <c r="DD186">
        <f t="shared" si="212"/>
        <v>9</v>
      </c>
      <c r="DE186" s="129">
        <f t="shared" si="248"/>
        <v>39987</v>
      </c>
      <c r="DF186" s="161">
        <f t="shared" si="213"/>
        <v>0</v>
      </c>
      <c r="DG186" s="161">
        <f t="shared" si="214"/>
        <v>0</v>
      </c>
      <c r="DH186" s="161">
        <f t="shared" si="215"/>
        <v>0</v>
      </c>
      <c r="DI186" s="161">
        <f t="shared" si="216"/>
        <v>0</v>
      </c>
      <c r="DJ186" s="161">
        <f t="shared" si="217"/>
        <v>0</v>
      </c>
      <c r="DK186" s="161">
        <f t="shared" si="218"/>
        <v>0</v>
      </c>
      <c r="DL186" s="161">
        <f t="shared" si="219"/>
        <v>0</v>
      </c>
      <c r="DM186" s="161">
        <f t="shared" si="220"/>
        <v>0</v>
      </c>
      <c r="DN186" s="161">
        <f t="shared" si="221"/>
        <v>0</v>
      </c>
      <c r="DO186" s="161">
        <f t="shared" si="222"/>
        <v>0</v>
      </c>
      <c r="DP186" s="161">
        <f t="shared" si="223"/>
        <v>0</v>
      </c>
      <c r="DQ186" s="161">
        <f t="shared" si="224"/>
        <v>0</v>
      </c>
      <c r="DR186" s="161">
        <f t="shared" si="225"/>
        <v>0</v>
      </c>
      <c r="DS186" s="161">
        <f t="shared" si="226"/>
        <v>0</v>
      </c>
      <c r="DT186" s="161">
        <f t="shared" si="227"/>
        <v>0</v>
      </c>
      <c r="DU186" s="161">
        <f t="shared" si="228"/>
        <v>0</v>
      </c>
      <c r="DV186" s="161">
        <f t="shared" si="229"/>
        <v>0</v>
      </c>
      <c r="DW186" s="161">
        <f t="shared" si="230"/>
        <v>0</v>
      </c>
      <c r="DX186" s="161">
        <f t="shared" si="231"/>
        <v>0</v>
      </c>
      <c r="DY186" s="161">
        <f t="shared" si="232"/>
        <v>0</v>
      </c>
      <c r="DZ186" s="161">
        <f t="shared" si="233"/>
        <v>0</v>
      </c>
      <c r="EA186" s="161">
        <f t="shared" si="234"/>
        <v>0</v>
      </c>
      <c r="EB186" s="161">
        <f t="shared" si="235"/>
        <v>0</v>
      </c>
      <c r="EC186" s="161">
        <f t="shared" si="236"/>
        <v>0</v>
      </c>
      <c r="ED186" s="161">
        <f t="shared" si="237"/>
        <v>0</v>
      </c>
      <c r="EE186" s="161">
        <f t="shared" si="238"/>
        <v>0</v>
      </c>
      <c r="EF186" s="161">
        <f t="shared" si="239"/>
        <v>0</v>
      </c>
      <c r="EG186" s="161">
        <f t="shared" si="240"/>
        <v>0</v>
      </c>
      <c r="EH186" s="161">
        <f t="shared" si="241"/>
        <v>0</v>
      </c>
      <c r="EI186" s="161">
        <f t="shared" si="242"/>
        <v>0</v>
      </c>
      <c r="EJ186" s="161">
        <f t="shared" si="243"/>
        <v>0</v>
      </c>
      <c r="EK186" s="147">
        <f t="shared" si="251"/>
        <v>0</v>
      </c>
      <c r="EL186" s="149"/>
      <c r="EN186" s="146"/>
      <c r="EO186" s="146"/>
      <c r="EP186" s="139">
        <f t="shared" si="252"/>
        <v>0</v>
      </c>
      <c r="EQ186" s="139">
        <f t="shared" si="253"/>
        <v>0</v>
      </c>
      <c r="ER186" s="139">
        <f t="shared" si="254"/>
        <v>0</v>
      </c>
      <c r="ES186" s="139">
        <f t="shared" si="255"/>
        <v>0</v>
      </c>
      <c r="ET186" s="139">
        <f t="shared" si="256"/>
        <v>0</v>
      </c>
      <c r="EU186" s="139">
        <f t="shared" si="257"/>
        <v>0</v>
      </c>
      <c r="EV186" s="139">
        <f t="shared" si="258"/>
        <v>0</v>
      </c>
      <c r="EW186" s="139">
        <f t="shared" si="259"/>
        <v>0</v>
      </c>
      <c r="EX186" s="139">
        <f t="shared" si="260"/>
        <v>0</v>
      </c>
      <c r="EY186" s="139">
        <f t="shared" si="261"/>
        <v>0</v>
      </c>
      <c r="EZ186" s="139">
        <f t="shared" si="262"/>
        <v>0</v>
      </c>
      <c r="FA186" s="139">
        <f t="shared" si="263"/>
        <v>0</v>
      </c>
      <c r="FB186" s="139">
        <f t="shared" si="264"/>
        <v>0</v>
      </c>
      <c r="FC186" s="139">
        <f t="shared" si="265"/>
        <v>0</v>
      </c>
      <c r="FD186" s="139">
        <f t="shared" si="266"/>
        <v>0</v>
      </c>
      <c r="FE186" s="139">
        <f t="shared" si="267"/>
        <v>0</v>
      </c>
      <c r="FF186" s="139">
        <f t="shared" si="268"/>
        <v>0</v>
      </c>
      <c r="FG186" s="139">
        <f t="shared" si="269"/>
        <v>0</v>
      </c>
      <c r="FH186" s="139">
        <f t="shared" si="270"/>
        <v>0</v>
      </c>
      <c r="FI186" s="139">
        <f t="shared" si="271"/>
        <v>0</v>
      </c>
      <c r="FJ186" s="139">
        <f t="shared" si="272"/>
        <v>0</v>
      </c>
      <c r="FK186" s="139">
        <f t="shared" si="273"/>
        <v>0</v>
      </c>
      <c r="FL186" s="139">
        <f t="shared" si="274"/>
        <v>0</v>
      </c>
      <c r="FM186" s="139">
        <f t="shared" si="275"/>
        <v>0</v>
      </c>
      <c r="FN186" s="139">
        <f t="shared" si="276"/>
        <v>0</v>
      </c>
      <c r="FO186" s="139">
        <f t="shared" si="277"/>
        <v>0</v>
      </c>
      <c r="FP186" s="139">
        <f t="shared" si="278"/>
        <v>0</v>
      </c>
      <c r="FQ186" s="139">
        <f t="shared" si="279"/>
        <v>0</v>
      </c>
      <c r="FR186" s="139">
        <f t="shared" si="280"/>
        <v>0</v>
      </c>
      <c r="FS186" s="139">
        <f t="shared" si="281"/>
        <v>0</v>
      </c>
      <c r="FT186" s="139">
        <f t="shared" si="282"/>
        <v>0</v>
      </c>
      <c r="FU186" s="148">
        <f t="shared" si="283"/>
        <v>0</v>
      </c>
      <c r="FV186" s="149"/>
      <c r="FY186" s="214">
        <v>181</v>
      </c>
      <c r="FZ186">
        <v>0.54596319066584609</v>
      </c>
      <c r="GA186">
        <v>16.098968337995117</v>
      </c>
      <c r="GB186">
        <v>12.247130828337188</v>
      </c>
      <c r="GC186">
        <v>2.8420465610491155</v>
      </c>
      <c r="GD186">
        <v>8.0135567448581089</v>
      </c>
      <c r="GE186">
        <v>22.567678037822052</v>
      </c>
      <c r="GF186">
        <v>25.852614467856789</v>
      </c>
      <c r="GG186">
        <v>18.960904856832538</v>
      </c>
      <c r="GH186">
        <v>8.8495267521897034</v>
      </c>
      <c r="GI186">
        <v>14.661038578795809</v>
      </c>
      <c r="GJ186"/>
      <c r="GK186"/>
      <c r="GL186"/>
      <c r="GM186"/>
    </row>
    <row r="187" spans="1:195" s="7" customFormat="1">
      <c r="A187" s="1"/>
      <c r="B187" s="76">
        <f t="shared" ca="1" si="250"/>
        <v>0.36168462113072852</v>
      </c>
      <c r="C187">
        <v>9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80.5196540767691</v>
      </c>
      <c r="AO187">
        <v>17.342664530728072</v>
      </c>
      <c r="AP187">
        <v>81.944998715441187</v>
      </c>
      <c r="AQ187">
        <v>108.8990554830329</v>
      </c>
      <c r="AR187">
        <v>16.13631928263791</v>
      </c>
      <c r="AS187">
        <v>79.087907433065354</v>
      </c>
      <c r="AT187">
        <v>9.4863071968927049</v>
      </c>
      <c r="AU187">
        <v>43.294777414206038</v>
      </c>
      <c r="AV187"/>
      <c r="AW187"/>
      <c r="AX187" s="146"/>
      <c r="AY187" s="76">
        <f t="shared" ca="1" si="173"/>
        <v>7.1171773681799388E-2</v>
      </c>
      <c r="AZ187">
        <v>10</v>
      </c>
      <c r="BA187" s="129">
        <f t="shared" si="249"/>
        <v>39987</v>
      </c>
      <c r="BB187" s="207">
        <v>0</v>
      </c>
      <c r="BC187" s="207">
        <v>0</v>
      </c>
      <c r="BD187" s="207">
        <v>0</v>
      </c>
      <c r="BE187" s="207">
        <v>0</v>
      </c>
      <c r="BF187" s="207">
        <v>0</v>
      </c>
      <c r="BG187" s="207">
        <v>0</v>
      </c>
      <c r="BH187" s="207">
        <v>0</v>
      </c>
      <c r="BI187" s="207">
        <v>0</v>
      </c>
      <c r="BJ187" s="207">
        <v>0</v>
      </c>
      <c r="BK187" s="207">
        <v>0</v>
      </c>
      <c r="BL187" s="207">
        <v>0</v>
      </c>
      <c r="BM187" s="207">
        <v>0</v>
      </c>
      <c r="BN187" s="207">
        <v>0</v>
      </c>
      <c r="BO187" s="207">
        <v>0</v>
      </c>
      <c r="BP187" s="207">
        <v>0</v>
      </c>
      <c r="BQ187" s="207">
        <v>0</v>
      </c>
      <c r="BR187" s="207">
        <v>0</v>
      </c>
      <c r="BS187" s="207">
        <v>0</v>
      </c>
      <c r="BT187" s="207">
        <v>0</v>
      </c>
      <c r="BU187" s="207">
        <v>0</v>
      </c>
      <c r="BV187" s="207">
        <v>0</v>
      </c>
      <c r="BW187" s="207">
        <v>0</v>
      </c>
      <c r="BX187" s="207">
        <v>0</v>
      </c>
      <c r="BY187" s="207">
        <v>0</v>
      </c>
      <c r="BZ187" s="207">
        <v>0</v>
      </c>
      <c r="CA187" s="207">
        <v>0</v>
      </c>
      <c r="CB187" s="207">
        <v>0</v>
      </c>
      <c r="CC187" s="207">
        <v>0</v>
      </c>
      <c r="CD187" s="207">
        <v>0</v>
      </c>
      <c r="CE187" s="207">
        <v>0</v>
      </c>
      <c r="CF187" s="207">
        <v>0</v>
      </c>
      <c r="CG187" s="147"/>
      <c r="CH187" s="176"/>
      <c r="CJ187" s="146"/>
      <c r="CK187" s="76">
        <f t="shared" ca="1" si="208"/>
        <v>0.4010775606888064</v>
      </c>
      <c r="CL187" s="179">
        <f t="shared" si="209"/>
        <v>10</v>
      </c>
      <c r="CM187" s="180">
        <f t="shared" si="210"/>
        <v>39987</v>
      </c>
      <c r="CN187" s="208">
        <v>0</v>
      </c>
      <c r="CO187" s="208">
        <v>0</v>
      </c>
      <c r="CP187" s="208">
        <v>0</v>
      </c>
      <c r="CQ187" s="208">
        <v>0</v>
      </c>
      <c r="CR187" s="208">
        <v>0</v>
      </c>
      <c r="CS187" s="208">
        <v>0</v>
      </c>
      <c r="CT187" s="208">
        <v>0</v>
      </c>
      <c r="CU187" s="208">
        <v>0</v>
      </c>
      <c r="CV187" s="160"/>
      <c r="CW187">
        <v>1</v>
      </c>
      <c r="CX187">
        <f>350/73</f>
        <v>4.7945205479452051</v>
      </c>
      <c r="CY187" s="165"/>
      <c r="CZ187" s="177">
        <f t="shared" si="211"/>
        <v>9.6000000000000002E-2</v>
      </c>
      <c r="DB187" s="146"/>
      <c r="DC187" s="76">
        <f t="shared" ca="1" si="174"/>
        <v>8.3755798020202388E-2</v>
      </c>
      <c r="DD187">
        <f t="shared" si="212"/>
        <v>10</v>
      </c>
      <c r="DE187" s="129">
        <f t="shared" si="248"/>
        <v>39987</v>
      </c>
      <c r="DF187" s="161">
        <f t="shared" si="213"/>
        <v>0</v>
      </c>
      <c r="DG187" s="161">
        <f t="shared" si="214"/>
        <v>0</v>
      </c>
      <c r="DH187" s="161">
        <f t="shared" si="215"/>
        <v>0</v>
      </c>
      <c r="DI187" s="161">
        <f t="shared" si="216"/>
        <v>0</v>
      </c>
      <c r="DJ187" s="161">
        <f t="shared" si="217"/>
        <v>0</v>
      </c>
      <c r="DK187" s="161">
        <f t="shared" si="218"/>
        <v>0</v>
      </c>
      <c r="DL187" s="161">
        <f t="shared" si="219"/>
        <v>0</v>
      </c>
      <c r="DM187" s="161">
        <f t="shared" si="220"/>
        <v>0</v>
      </c>
      <c r="DN187" s="161">
        <f t="shared" si="221"/>
        <v>0</v>
      </c>
      <c r="DO187" s="161">
        <f t="shared" si="222"/>
        <v>0</v>
      </c>
      <c r="DP187" s="161">
        <f t="shared" si="223"/>
        <v>0</v>
      </c>
      <c r="DQ187" s="161">
        <f t="shared" si="224"/>
        <v>0</v>
      </c>
      <c r="DR187" s="161">
        <f t="shared" si="225"/>
        <v>0</v>
      </c>
      <c r="DS187" s="161">
        <f t="shared" si="226"/>
        <v>0</v>
      </c>
      <c r="DT187" s="161">
        <f t="shared" si="227"/>
        <v>0</v>
      </c>
      <c r="DU187" s="161">
        <f t="shared" si="228"/>
        <v>0</v>
      </c>
      <c r="DV187" s="161">
        <f t="shared" si="229"/>
        <v>0</v>
      </c>
      <c r="DW187" s="161">
        <f t="shared" si="230"/>
        <v>0</v>
      </c>
      <c r="DX187" s="161">
        <f t="shared" si="231"/>
        <v>0</v>
      </c>
      <c r="DY187" s="161">
        <f t="shared" si="232"/>
        <v>0</v>
      </c>
      <c r="DZ187" s="161">
        <f t="shared" si="233"/>
        <v>0</v>
      </c>
      <c r="EA187" s="161">
        <f t="shared" si="234"/>
        <v>0</v>
      </c>
      <c r="EB187" s="161">
        <f t="shared" si="235"/>
        <v>0</v>
      </c>
      <c r="EC187" s="161">
        <f t="shared" si="236"/>
        <v>0</v>
      </c>
      <c r="ED187" s="161">
        <f t="shared" si="237"/>
        <v>0</v>
      </c>
      <c r="EE187" s="161">
        <f t="shared" si="238"/>
        <v>0</v>
      </c>
      <c r="EF187" s="161">
        <f t="shared" si="239"/>
        <v>0</v>
      </c>
      <c r="EG187" s="161">
        <f t="shared" si="240"/>
        <v>0</v>
      </c>
      <c r="EH187" s="161">
        <f t="shared" si="241"/>
        <v>0</v>
      </c>
      <c r="EI187" s="161">
        <f t="shared" si="242"/>
        <v>0</v>
      </c>
      <c r="EJ187" s="161">
        <f t="shared" si="243"/>
        <v>0</v>
      </c>
      <c r="EK187" s="147">
        <f t="shared" si="251"/>
        <v>0</v>
      </c>
      <c r="EL187" s="149"/>
      <c r="EN187" s="146"/>
      <c r="EO187" s="146"/>
      <c r="EP187" s="139">
        <f t="shared" si="252"/>
        <v>0</v>
      </c>
      <c r="EQ187" s="139">
        <f t="shared" si="253"/>
        <v>0</v>
      </c>
      <c r="ER187" s="139">
        <f t="shared" si="254"/>
        <v>0</v>
      </c>
      <c r="ES187" s="139">
        <f t="shared" si="255"/>
        <v>0</v>
      </c>
      <c r="ET187" s="139">
        <f t="shared" si="256"/>
        <v>0</v>
      </c>
      <c r="EU187" s="139">
        <f t="shared" si="257"/>
        <v>0</v>
      </c>
      <c r="EV187" s="139">
        <f t="shared" si="258"/>
        <v>0</v>
      </c>
      <c r="EW187" s="139">
        <f t="shared" si="259"/>
        <v>0</v>
      </c>
      <c r="EX187" s="139">
        <f t="shared" si="260"/>
        <v>0</v>
      </c>
      <c r="EY187" s="139">
        <f t="shared" si="261"/>
        <v>0</v>
      </c>
      <c r="EZ187" s="139">
        <f t="shared" si="262"/>
        <v>0</v>
      </c>
      <c r="FA187" s="139">
        <f t="shared" si="263"/>
        <v>0</v>
      </c>
      <c r="FB187" s="139">
        <f t="shared" si="264"/>
        <v>0</v>
      </c>
      <c r="FC187" s="139">
        <f t="shared" si="265"/>
        <v>0</v>
      </c>
      <c r="FD187" s="139">
        <f t="shared" si="266"/>
        <v>0</v>
      </c>
      <c r="FE187" s="139">
        <f t="shared" si="267"/>
        <v>0</v>
      </c>
      <c r="FF187" s="139">
        <f t="shared" si="268"/>
        <v>0</v>
      </c>
      <c r="FG187" s="139">
        <f t="shared" si="269"/>
        <v>0</v>
      </c>
      <c r="FH187" s="139">
        <f t="shared" si="270"/>
        <v>0</v>
      </c>
      <c r="FI187" s="139">
        <f t="shared" si="271"/>
        <v>0</v>
      </c>
      <c r="FJ187" s="139">
        <f t="shared" si="272"/>
        <v>0</v>
      </c>
      <c r="FK187" s="139">
        <f t="shared" si="273"/>
        <v>0</v>
      </c>
      <c r="FL187" s="139">
        <f t="shared" si="274"/>
        <v>0</v>
      </c>
      <c r="FM187" s="139">
        <f t="shared" si="275"/>
        <v>0</v>
      </c>
      <c r="FN187" s="139">
        <f t="shared" si="276"/>
        <v>0</v>
      </c>
      <c r="FO187" s="139">
        <f t="shared" si="277"/>
        <v>0</v>
      </c>
      <c r="FP187" s="139">
        <f t="shared" si="278"/>
        <v>0</v>
      </c>
      <c r="FQ187" s="139">
        <f t="shared" si="279"/>
        <v>0</v>
      </c>
      <c r="FR187" s="139">
        <f t="shared" si="280"/>
        <v>0</v>
      </c>
      <c r="FS187" s="139">
        <f t="shared" si="281"/>
        <v>0</v>
      </c>
      <c r="FT187" s="139">
        <f t="shared" si="282"/>
        <v>0</v>
      </c>
      <c r="FU187" s="148">
        <f t="shared" si="283"/>
        <v>0</v>
      </c>
      <c r="FV187" s="149"/>
      <c r="FY187" s="214">
        <v>182</v>
      </c>
      <c r="FZ187">
        <v>0.91369741121812786</v>
      </c>
      <c r="GA187">
        <v>11.491667728372862</v>
      </c>
      <c r="GB187">
        <v>12.42707614321851</v>
      </c>
      <c r="GC187">
        <v>4.6612336584736571</v>
      </c>
      <c r="GD187">
        <v>7.0303568817993645</v>
      </c>
      <c r="GE187">
        <v>18.186352458326557</v>
      </c>
      <c r="GF187">
        <v>18.895316366214754</v>
      </c>
      <c r="GG187">
        <v>12.939932834406713</v>
      </c>
      <c r="GH187">
        <v>4.2131388007079451</v>
      </c>
      <c r="GI187">
        <v>11.936403689243395</v>
      </c>
      <c r="GJ187"/>
      <c r="GK187"/>
      <c r="GL187"/>
      <c r="GM187"/>
    </row>
    <row r="188" spans="1:195" s="7" customFormat="1">
      <c r="A188" s="128"/>
      <c r="B188" s="76" t="str">
        <f t="shared" ca="1" si="250"/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51.381164472215133</v>
      </c>
      <c r="AO188">
        <v>11.286667914017533</v>
      </c>
      <c r="AP188">
        <v>44.695336829692344</v>
      </c>
      <c r="AQ188">
        <v>78.854083427800703</v>
      </c>
      <c r="AR188">
        <v>10.463568366901701</v>
      </c>
      <c r="AS188">
        <v>56.615825967051606</v>
      </c>
      <c r="AT188">
        <v>6.5720945608512409</v>
      </c>
      <c r="AU188">
        <v>6.0517911561483686</v>
      </c>
      <c r="AV188"/>
      <c r="AW188"/>
      <c r="AX188" s="128"/>
      <c r="AY188" s="76" t="str">
        <f t="shared" ca="1" si="173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8"/>
        <v/>
      </c>
      <c r="CL188" s="179" t="str">
        <f t="shared" si="209"/>
        <v/>
      </c>
      <c r="CM188" s="180" t="str">
        <f t="shared" si="210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11"/>
        <v/>
      </c>
      <c r="DB188" s="128"/>
      <c r="DC188" s="76" t="str">
        <f t="shared" ca="1" si="174"/>
        <v/>
      </c>
      <c r="DD188" t="str">
        <f t="shared" si="212"/>
        <v/>
      </c>
      <c r="DE188" s="129" t="str">
        <f t="shared" ref="DE188:DE197" si="284">IF((DD188)="", "", $C$14)</f>
        <v/>
      </c>
      <c r="DF188" s="161" t="str">
        <f t="shared" ref="DF188:DF207" si="285">IF($AZ188="", "", ((BB188*$CW188)+(CN188*$CX188))/$CZ188)</f>
        <v/>
      </c>
      <c r="DG188" s="161" t="str">
        <f t="shared" ref="DG188:DG207" si="286">IF($AZ188="", "", ((BC188*$CW188)+(CO188*$CX188))/$CZ188)</f>
        <v/>
      </c>
      <c r="DH188" s="161" t="str">
        <f t="shared" ref="DH188:DH207" si="287">IF($AZ188="", "", ((BD188*$CW188)+(CP188*$CX188))/$CZ188)</f>
        <v/>
      </c>
      <c r="DI188" s="161" t="str">
        <f t="shared" ref="DI188:DI207" si="288">IF($AZ188="", "", ((BE188*$CW188)+(CQ188*$CX188))/$CZ188)</f>
        <v/>
      </c>
      <c r="DJ188" s="161" t="str">
        <f t="shared" ref="DJ188:DJ207" si="289">IF($AZ188="", "", ((BF188*$CW188)+(CR188*$CX188))/$CZ188)</f>
        <v/>
      </c>
      <c r="DK188" s="161" t="str">
        <f t="shared" ref="DK188:DK207" si="290">IF($AZ188="", "", ((BG188*$CW188)+(CS188*$CX188))/$CZ188)</f>
        <v/>
      </c>
      <c r="DL188" s="161" t="str">
        <f t="shared" ref="DL188:DL207" si="291">IF($AZ188="", "", ((BH188*$CW188)+(CT188*$CX188))/$CZ188)</f>
        <v/>
      </c>
      <c r="DM188" s="161" t="str">
        <f t="shared" ref="DM188:DM207" si="292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93">IF($AZ188="", "", (BK187*$CW188)/$CZ188)</f>
        <v/>
      </c>
      <c r="DP188" s="161" t="str">
        <f t="shared" ref="DP188:DP193" si="294">IF($AZ188="", "", (BL187*$CW188)/$CZ188)</f>
        <v/>
      </c>
      <c r="DQ188" s="161" t="str">
        <f t="shared" ref="DQ188:DQ193" si="295">IF($AZ188="", "", (BM187*$CW188)/$CZ188)</f>
        <v/>
      </c>
      <c r="DR188" s="161" t="str">
        <f t="shared" ref="DR188:DR193" si="296">IF($AZ188="", "", (BN187*$CW188)/$CZ188)</f>
        <v/>
      </c>
      <c r="DS188" s="161" t="str">
        <f t="shared" ref="DS188:DS193" si="297">IF($AZ188="", "", (BO187*$CW188)/$CZ188)</f>
        <v/>
      </c>
      <c r="DT188" s="161" t="str">
        <f t="shared" ref="DT188:DT193" si="298">IF($AZ188="", "", (BP187*$CW188)/$CZ188)</f>
        <v/>
      </c>
      <c r="DU188" s="161" t="str">
        <f t="shared" ref="DU188:DU193" si="299">IF($AZ188="", "", (BQ187*$CW188)/$CZ188)</f>
        <v/>
      </c>
      <c r="DV188" s="161" t="str">
        <f t="shared" ref="DV188:DV193" si="300">IF($AZ188="", "", (BR187*$CW188)/$CZ188)</f>
        <v/>
      </c>
      <c r="DW188" s="161" t="str">
        <f t="shared" ref="DW188:DW193" si="301">IF($AZ188="", "", (BS187*$CW188)/$CZ188)</f>
        <v/>
      </c>
      <c r="DX188" s="161" t="str">
        <f t="shared" ref="DX188:DX193" si="302">IF($AZ188="", "", (BT187*$CW188)/$CZ188)</f>
        <v/>
      </c>
      <c r="DY188" s="161" t="str">
        <f t="shared" ref="DY188:DY193" si="303">IF($AZ188="", "", (BU187*$CW188)/$CZ188)</f>
        <v/>
      </c>
      <c r="DZ188" s="161" t="str">
        <f t="shared" ref="DZ188:DZ193" si="304">IF($AZ188="", "", (BV187*$CW188)/$CZ188)</f>
        <v/>
      </c>
      <c r="EA188" s="161" t="str">
        <f t="shared" ref="EA188:EA193" si="305">IF($AZ188="", "", (BW187*$CW188)/$CZ188)</f>
        <v/>
      </c>
      <c r="EB188" s="161" t="str">
        <f t="shared" ref="EB188:EB193" si="306">IF($AZ188="", "", (BX187*$CW188)/$CZ188)</f>
        <v/>
      </c>
      <c r="EC188" s="161" t="str">
        <f t="shared" ref="EC188:EC193" si="307">IF($AZ188="", "", (BY187*$CW188)/$CZ188)</f>
        <v/>
      </c>
      <c r="ED188" s="161" t="str">
        <f t="shared" ref="ED188:ED193" si="308">IF($AZ188="", "", (BZ187*$CW188)/$CZ188)</f>
        <v/>
      </c>
      <c r="EE188" s="161" t="str">
        <f t="shared" ref="EE188:EE193" si="309">IF($AZ188="", "", (CA187*$CW188)/$CZ188)</f>
        <v/>
      </c>
      <c r="EF188" s="161" t="str">
        <f t="shared" ref="EF188:EF193" si="310">IF($AZ188="", "", (CB187*$CW188)/$CZ188)</f>
        <v/>
      </c>
      <c r="EG188" s="161" t="str">
        <f t="shared" ref="EG188:EG193" si="311">IF($AZ188="", "", (CC187*$CW188)/$CZ188)</f>
        <v/>
      </c>
      <c r="EH188" s="161" t="str">
        <f t="shared" ref="EH188:EH193" si="312">IF($AZ188="", "", (CD187*$CW188)/$CZ188)</f>
        <v/>
      </c>
      <c r="EI188" s="161" t="str">
        <f t="shared" ref="EI188:EI193" si="313">IF($AZ188="", "", (CE187*$CW188)/$CZ188)</f>
        <v/>
      </c>
      <c r="EJ188" s="161" t="str">
        <f t="shared" ref="EJ188:EJ193" si="314">IF($AZ188="", "", (CF187*$CW188)/$CZ188)</f>
        <v/>
      </c>
      <c r="EK188" s="147" t="str">
        <f t="shared" si="251"/>
        <v/>
      </c>
      <c r="EL188" s="149"/>
      <c r="EN188" s="146"/>
      <c r="EO188" s="146"/>
      <c r="EP188" s="139" t="str">
        <f t="shared" si="252"/>
        <v/>
      </c>
      <c r="EQ188" s="139" t="str">
        <f t="shared" si="253"/>
        <v/>
      </c>
      <c r="ER188" s="139" t="str">
        <f t="shared" si="254"/>
        <v/>
      </c>
      <c r="ES188" s="139" t="str">
        <f t="shared" si="255"/>
        <v/>
      </c>
      <c r="ET188" s="139" t="str">
        <f t="shared" si="256"/>
        <v/>
      </c>
      <c r="EU188" s="139" t="str">
        <f t="shared" si="257"/>
        <v/>
      </c>
      <c r="EV188" s="139" t="str">
        <f t="shared" si="258"/>
        <v/>
      </c>
      <c r="EW188" s="139" t="str">
        <f t="shared" si="259"/>
        <v/>
      </c>
      <c r="EX188" s="139" t="str">
        <f t="shared" si="260"/>
        <v/>
      </c>
      <c r="EY188" s="139" t="str">
        <f t="shared" si="261"/>
        <v/>
      </c>
      <c r="EZ188" s="139" t="str">
        <f t="shared" si="262"/>
        <v/>
      </c>
      <c r="FA188" s="139" t="str">
        <f t="shared" si="263"/>
        <v/>
      </c>
      <c r="FB188" s="139" t="str">
        <f t="shared" si="264"/>
        <v/>
      </c>
      <c r="FC188" s="139" t="str">
        <f t="shared" si="265"/>
        <v/>
      </c>
      <c r="FD188" s="139" t="str">
        <f t="shared" si="266"/>
        <v/>
      </c>
      <c r="FE188" s="139" t="str">
        <f t="shared" si="267"/>
        <v/>
      </c>
      <c r="FF188" s="139" t="str">
        <f t="shared" si="268"/>
        <v/>
      </c>
      <c r="FG188" s="139" t="str">
        <f t="shared" si="269"/>
        <v/>
      </c>
      <c r="FH188" s="139" t="str">
        <f t="shared" si="270"/>
        <v/>
      </c>
      <c r="FI188" s="139" t="str">
        <f t="shared" si="271"/>
        <v/>
      </c>
      <c r="FJ188" s="139" t="str">
        <f t="shared" si="272"/>
        <v/>
      </c>
      <c r="FK188" s="139" t="str">
        <f t="shared" si="273"/>
        <v/>
      </c>
      <c r="FL188" s="139" t="str">
        <f t="shared" si="274"/>
        <v/>
      </c>
      <c r="FM188" s="139" t="str">
        <f t="shared" si="275"/>
        <v/>
      </c>
      <c r="FN188" s="139" t="str">
        <f t="shared" si="276"/>
        <v/>
      </c>
      <c r="FO188" s="139" t="str">
        <f t="shared" si="277"/>
        <v/>
      </c>
      <c r="FP188" s="139" t="str">
        <f t="shared" si="278"/>
        <v/>
      </c>
      <c r="FQ188" s="139" t="str">
        <f t="shared" si="279"/>
        <v/>
      </c>
      <c r="FR188" s="139" t="str">
        <f t="shared" si="280"/>
        <v/>
      </c>
      <c r="FS188" s="139" t="str">
        <f t="shared" si="281"/>
        <v/>
      </c>
      <c r="FT188" s="139" t="str">
        <f t="shared" si="282"/>
        <v/>
      </c>
      <c r="FU188" s="148" t="str">
        <f t="shared" si="283"/>
        <v/>
      </c>
      <c r="FV188" s="149"/>
      <c r="FY188" s="214">
        <v>183</v>
      </c>
      <c r="FZ188">
        <v>1.210235138018092</v>
      </c>
      <c r="GA188">
        <v>17.072966138912026</v>
      </c>
      <c r="GB188">
        <v>12.32095706981381</v>
      </c>
      <c r="GC188">
        <v>3.0802882760839028</v>
      </c>
      <c r="GD188">
        <v>7.2407664262474958</v>
      </c>
      <c r="GE188">
        <v>16.048305599560365</v>
      </c>
      <c r="GF188">
        <v>17.685023506433623</v>
      </c>
      <c r="GG188">
        <v>15.659481022607611</v>
      </c>
      <c r="GH188">
        <v>4.6021561848987709</v>
      </c>
      <c r="GI188">
        <v>11.900349792133163</v>
      </c>
      <c r="GJ188"/>
      <c r="GK188"/>
      <c r="GL188"/>
      <c r="GM188"/>
    </row>
    <row r="189" spans="1:195" s="7" customFormat="1">
      <c r="A189" s="1"/>
      <c r="B189" s="76" t="str">
        <f t="shared" ca="1" si="250"/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96.740040108716855</v>
      </c>
      <c r="AO189">
        <v>20.581247101409726</v>
      </c>
      <c r="AP189">
        <v>77.580353059422478</v>
      </c>
      <c r="AQ189">
        <v>119.21005929289554</v>
      </c>
      <c r="AR189">
        <v>18.889733380682458</v>
      </c>
      <c r="AS189">
        <v>94.619822143918256</v>
      </c>
      <c r="AT189">
        <v>10.195428191085501</v>
      </c>
      <c r="AU189">
        <v>19.45702480101772</v>
      </c>
      <c r="AV189"/>
      <c r="AW189"/>
      <c r="AX189" s="146"/>
      <c r="AY189" s="76" t="str">
        <f t="shared" ca="1" si="173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8"/>
        <v/>
      </c>
      <c r="CL189" s="179" t="str">
        <f t="shared" si="209"/>
        <v/>
      </c>
      <c r="CM189" s="180" t="str">
        <f t="shared" si="210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11"/>
        <v/>
      </c>
      <c r="DB189" s="146"/>
      <c r="DC189" s="76" t="str">
        <f t="shared" ca="1" si="174"/>
        <v/>
      </c>
      <c r="DD189" t="str">
        <f t="shared" si="212"/>
        <v/>
      </c>
      <c r="DE189" s="129" t="str">
        <f t="shared" si="284"/>
        <v/>
      </c>
      <c r="DF189" s="161" t="str">
        <f t="shared" si="285"/>
        <v/>
      </c>
      <c r="DG189" s="161" t="str">
        <f t="shared" si="286"/>
        <v/>
      </c>
      <c r="DH189" s="161" t="str">
        <f t="shared" si="287"/>
        <v/>
      </c>
      <c r="DI189" s="161" t="str">
        <f t="shared" si="288"/>
        <v/>
      </c>
      <c r="DJ189" s="161" t="str">
        <f t="shared" si="289"/>
        <v/>
      </c>
      <c r="DK189" s="161" t="str">
        <f t="shared" si="290"/>
        <v/>
      </c>
      <c r="DL189" s="161" t="str">
        <f t="shared" si="291"/>
        <v/>
      </c>
      <c r="DM189" s="161" t="str">
        <f t="shared" si="292"/>
        <v/>
      </c>
      <c r="DN189" s="161" t="str">
        <f>IF($AZ189="", "", (BJ189*$CW189)/$CZ189)</f>
        <v/>
      </c>
      <c r="DO189" s="161" t="str">
        <f t="shared" si="293"/>
        <v/>
      </c>
      <c r="DP189" s="161" t="str">
        <f t="shared" si="294"/>
        <v/>
      </c>
      <c r="DQ189" s="161" t="str">
        <f t="shared" si="295"/>
        <v/>
      </c>
      <c r="DR189" s="161" t="str">
        <f t="shared" si="296"/>
        <v/>
      </c>
      <c r="DS189" s="161" t="str">
        <f t="shared" si="297"/>
        <v/>
      </c>
      <c r="DT189" s="161" t="str">
        <f t="shared" si="298"/>
        <v/>
      </c>
      <c r="DU189" s="161" t="str">
        <f t="shared" si="299"/>
        <v/>
      </c>
      <c r="DV189" s="161" t="str">
        <f t="shared" si="300"/>
        <v/>
      </c>
      <c r="DW189" s="161" t="str">
        <f t="shared" si="301"/>
        <v/>
      </c>
      <c r="DX189" s="161" t="str">
        <f t="shared" si="302"/>
        <v/>
      </c>
      <c r="DY189" s="161" t="str">
        <f t="shared" si="303"/>
        <v/>
      </c>
      <c r="DZ189" s="161" t="str">
        <f t="shared" si="304"/>
        <v/>
      </c>
      <c r="EA189" s="161" t="str">
        <f t="shared" si="305"/>
        <v/>
      </c>
      <c r="EB189" s="161" t="str">
        <f t="shared" si="306"/>
        <v/>
      </c>
      <c r="EC189" s="161" t="str">
        <f t="shared" si="307"/>
        <v/>
      </c>
      <c r="ED189" s="161" t="str">
        <f t="shared" si="308"/>
        <v/>
      </c>
      <c r="EE189" s="161" t="str">
        <f t="shared" si="309"/>
        <v/>
      </c>
      <c r="EF189" s="161" t="str">
        <f t="shared" si="310"/>
        <v/>
      </c>
      <c r="EG189" s="161" t="str">
        <f t="shared" si="311"/>
        <v/>
      </c>
      <c r="EH189" s="161" t="str">
        <f t="shared" si="312"/>
        <v/>
      </c>
      <c r="EI189" s="161" t="str">
        <f t="shared" si="313"/>
        <v/>
      </c>
      <c r="EJ189" s="161" t="str">
        <f t="shared" si="314"/>
        <v/>
      </c>
      <c r="EK189" s="147" t="str">
        <f t="shared" si="251"/>
        <v/>
      </c>
      <c r="EL189" s="149"/>
      <c r="EN189" s="146"/>
      <c r="EO189" s="146"/>
      <c r="EP189" s="139" t="str">
        <f t="shared" si="252"/>
        <v/>
      </c>
      <c r="EQ189" s="139" t="str">
        <f t="shared" si="253"/>
        <v/>
      </c>
      <c r="ER189" s="139" t="str">
        <f t="shared" si="254"/>
        <v/>
      </c>
      <c r="ES189" s="139" t="str">
        <f t="shared" si="255"/>
        <v/>
      </c>
      <c r="ET189" s="139" t="str">
        <f t="shared" si="256"/>
        <v/>
      </c>
      <c r="EU189" s="139" t="str">
        <f t="shared" si="257"/>
        <v/>
      </c>
      <c r="EV189" s="139" t="str">
        <f t="shared" si="258"/>
        <v/>
      </c>
      <c r="EW189" s="139" t="str">
        <f t="shared" si="259"/>
        <v/>
      </c>
      <c r="EX189" s="139" t="str">
        <f t="shared" si="260"/>
        <v/>
      </c>
      <c r="EY189" s="139" t="str">
        <f t="shared" si="261"/>
        <v/>
      </c>
      <c r="EZ189" s="139" t="str">
        <f t="shared" si="262"/>
        <v/>
      </c>
      <c r="FA189" s="139" t="str">
        <f t="shared" si="263"/>
        <v/>
      </c>
      <c r="FB189" s="139" t="str">
        <f t="shared" si="264"/>
        <v/>
      </c>
      <c r="FC189" s="139" t="str">
        <f t="shared" si="265"/>
        <v/>
      </c>
      <c r="FD189" s="139" t="str">
        <f t="shared" si="266"/>
        <v/>
      </c>
      <c r="FE189" s="139" t="str">
        <f t="shared" si="267"/>
        <v/>
      </c>
      <c r="FF189" s="139" t="str">
        <f t="shared" si="268"/>
        <v/>
      </c>
      <c r="FG189" s="139" t="str">
        <f t="shared" si="269"/>
        <v/>
      </c>
      <c r="FH189" s="139" t="str">
        <f t="shared" si="270"/>
        <v/>
      </c>
      <c r="FI189" s="139" t="str">
        <f t="shared" si="271"/>
        <v/>
      </c>
      <c r="FJ189" s="139" t="str">
        <f t="shared" si="272"/>
        <v/>
      </c>
      <c r="FK189" s="139" t="str">
        <f t="shared" si="273"/>
        <v/>
      </c>
      <c r="FL189" s="139" t="str">
        <f t="shared" si="274"/>
        <v/>
      </c>
      <c r="FM189" s="139" t="str">
        <f t="shared" si="275"/>
        <v/>
      </c>
      <c r="FN189" s="139" t="str">
        <f t="shared" si="276"/>
        <v/>
      </c>
      <c r="FO189" s="139" t="str">
        <f t="shared" si="277"/>
        <v/>
      </c>
      <c r="FP189" s="139" t="str">
        <f t="shared" si="278"/>
        <v/>
      </c>
      <c r="FQ189" s="139" t="str">
        <f t="shared" si="279"/>
        <v/>
      </c>
      <c r="FR189" s="139" t="str">
        <f t="shared" si="280"/>
        <v/>
      </c>
      <c r="FS189" s="139" t="str">
        <f t="shared" si="281"/>
        <v/>
      </c>
      <c r="FT189" s="139" t="str">
        <f t="shared" si="282"/>
        <v/>
      </c>
      <c r="FU189" s="148" t="str">
        <f t="shared" si="283"/>
        <v/>
      </c>
      <c r="FV189" s="149"/>
      <c r="FY189" s="214">
        <v>184</v>
      </c>
      <c r="FZ189">
        <v>1.0829987105789938</v>
      </c>
      <c r="GA189">
        <v>16.065987567126179</v>
      </c>
      <c r="GB189">
        <v>12.613752420053526</v>
      </c>
      <c r="GC189">
        <v>3.5457205005210066</v>
      </c>
      <c r="GD189">
        <v>3.4109203942563555</v>
      </c>
      <c r="GE189">
        <v>8.6122463292596816</v>
      </c>
      <c r="GF189">
        <v>15.764078041807622</v>
      </c>
      <c r="GG189">
        <v>13.520659451674719</v>
      </c>
      <c r="GH189">
        <v>5.1586702216561573</v>
      </c>
      <c r="GI189">
        <v>9.1070124721727215</v>
      </c>
      <c r="GJ189"/>
      <c r="GK189"/>
      <c r="GL189"/>
      <c r="GM189"/>
    </row>
    <row r="190" spans="1:195" s="7" customFormat="1">
      <c r="A190" s="1"/>
      <c r="B190" s="76" t="str">
        <f t="shared" ca="1" si="250"/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80.221851255140237</v>
      </c>
      <c r="AO190">
        <v>16.440110111773048</v>
      </c>
      <c r="AP190">
        <v>77.392901556363938</v>
      </c>
      <c r="AQ190">
        <v>97.254709824056064</v>
      </c>
      <c r="AR190">
        <v>14.958085999028542</v>
      </c>
      <c r="AS190">
        <v>80.507596584198154</v>
      </c>
      <c r="AT190" t="e">
        <v>#DIV/0!</v>
      </c>
      <c r="AU190" t="e">
        <v>#DIV/0!</v>
      </c>
      <c r="AV190"/>
      <c r="AW190"/>
      <c r="AX190" s="146"/>
      <c r="AY190" s="76" t="str">
        <f t="shared" ca="1" si="173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8"/>
        <v/>
      </c>
      <c r="CL190" s="179" t="str">
        <f t="shared" si="209"/>
        <v/>
      </c>
      <c r="CM190" s="180" t="str">
        <f t="shared" si="210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11"/>
        <v/>
      </c>
      <c r="DB190" s="146"/>
      <c r="DC190" s="76" t="str">
        <f t="shared" ca="1" si="174"/>
        <v/>
      </c>
      <c r="DD190" t="str">
        <f t="shared" si="212"/>
        <v/>
      </c>
      <c r="DE190" s="129" t="str">
        <f t="shared" si="284"/>
        <v/>
      </c>
      <c r="DF190" s="161" t="str">
        <f t="shared" si="285"/>
        <v/>
      </c>
      <c r="DG190" s="161" t="str">
        <f t="shared" si="286"/>
        <v/>
      </c>
      <c r="DH190" s="161" t="str">
        <f t="shared" si="287"/>
        <v/>
      </c>
      <c r="DI190" s="161" t="str">
        <f t="shared" si="288"/>
        <v/>
      </c>
      <c r="DJ190" s="161" t="str">
        <f t="shared" si="289"/>
        <v/>
      </c>
      <c r="DK190" s="161" t="str">
        <f t="shared" si="290"/>
        <v/>
      </c>
      <c r="DL190" s="161" t="str">
        <f t="shared" si="291"/>
        <v/>
      </c>
      <c r="DM190" s="161" t="str">
        <f t="shared" si="292"/>
        <v/>
      </c>
      <c r="DN190" s="161" t="str">
        <f>IF($AZ190="", "", (BJ190*$CW190)/$CZ190)</f>
        <v/>
      </c>
      <c r="DO190" s="161" t="str">
        <f t="shared" si="293"/>
        <v/>
      </c>
      <c r="DP190" s="161" t="str">
        <f t="shared" si="294"/>
        <v/>
      </c>
      <c r="DQ190" s="161" t="str">
        <f t="shared" si="295"/>
        <v/>
      </c>
      <c r="DR190" s="161" t="str">
        <f t="shared" si="296"/>
        <v/>
      </c>
      <c r="DS190" s="161" t="str">
        <f t="shared" si="297"/>
        <v/>
      </c>
      <c r="DT190" s="161" t="str">
        <f t="shared" si="298"/>
        <v/>
      </c>
      <c r="DU190" s="161" t="str">
        <f t="shared" si="299"/>
        <v/>
      </c>
      <c r="DV190" s="161" t="str">
        <f t="shared" si="300"/>
        <v/>
      </c>
      <c r="DW190" s="161" t="str">
        <f t="shared" si="301"/>
        <v/>
      </c>
      <c r="DX190" s="161" t="str">
        <f t="shared" si="302"/>
        <v/>
      </c>
      <c r="DY190" s="161" t="str">
        <f t="shared" si="303"/>
        <v/>
      </c>
      <c r="DZ190" s="161" t="str">
        <f t="shared" si="304"/>
        <v/>
      </c>
      <c r="EA190" s="161" t="str">
        <f t="shared" si="305"/>
        <v/>
      </c>
      <c r="EB190" s="161" t="str">
        <f t="shared" si="306"/>
        <v/>
      </c>
      <c r="EC190" s="161" t="str">
        <f t="shared" si="307"/>
        <v/>
      </c>
      <c r="ED190" s="161" t="str">
        <f t="shared" si="308"/>
        <v/>
      </c>
      <c r="EE190" s="161" t="str">
        <f t="shared" si="309"/>
        <v/>
      </c>
      <c r="EF190" s="161" t="str">
        <f t="shared" si="310"/>
        <v/>
      </c>
      <c r="EG190" s="161" t="str">
        <f t="shared" si="311"/>
        <v/>
      </c>
      <c r="EH190" s="161" t="str">
        <f t="shared" si="312"/>
        <v/>
      </c>
      <c r="EI190" s="161" t="str">
        <f t="shared" si="313"/>
        <v/>
      </c>
      <c r="EJ190" s="161" t="str">
        <f t="shared" si="314"/>
        <v/>
      </c>
      <c r="EK190" s="147" t="str">
        <f t="shared" si="251"/>
        <v/>
      </c>
      <c r="EL190" s="149"/>
      <c r="EN190" s="146"/>
      <c r="EO190" s="146"/>
      <c r="EP190" s="139" t="str">
        <f t="shared" si="252"/>
        <v/>
      </c>
      <c r="EQ190" s="139" t="str">
        <f t="shared" si="253"/>
        <v/>
      </c>
      <c r="ER190" s="139" t="str">
        <f t="shared" si="254"/>
        <v/>
      </c>
      <c r="ES190" s="139" t="str">
        <f t="shared" si="255"/>
        <v/>
      </c>
      <c r="ET190" s="139" t="str">
        <f t="shared" si="256"/>
        <v/>
      </c>
      <c r="EU190" s="139" t="str">
        <f t="shared" si="257"/>
        <v/>
      </c>
      <c r="EV190" s="139" t="str">
        <f t="shared" si="258"/>
        <v/>
      </c>
      <c r="EW190" s="139" t="str">
        <f t="shared" si="259"/>
        <v/>
      </c>
      <c r="EX190" s="139" t="str">
        <f t="shared" si="260"/>
        <v/>
      </c>
      <c r="EY190" s="139" t="str">
        <f t="shared" si="261"/>
        <v/>
      </c>
      <c r="EZ190" s="139" t="str">
        <f t="shared" si="262"/>
        <v/>
      </c>
      <c r="FA190" s="139" t="str">
        <f t="shared" si="263"/>
        <v/>
      </c>
      <c r="FB190" s="139" t="str">
        <f t="shared" si="264"/>
        <v/>
      </c>
      <c r="FC190" s="139" t="str">
        <f t="shared" si="265"/>
        <v/>
      </c>
      <c r="FD190" s="139" t="str">
        <f t="shared" si="266"/>
        <v/>
      </c>
      <c r="FE190" s="139" t="str">
        <f t="shared" si="267"/>
        <v/>
      </c>
      <c r="FF190" s="139" t="str">
        <f t="shared" si="268"/>
        <v/>
      </c>
      <c r="FG190" s="139" t="str">
        <f t="shared" si="269"/>
        <v/>
      </c>
      <c r="FH190" s="139" t="str">
        <f t="shared" si="270"/>
        <v/>
      </c>
      <c r="FI190" s="139" t="str">
        <f t="shared" si="271"/>
        <v/>
      </c>
      <c r="FJ190" s="139" t="str">
        <f t="shared" si="272"/>
        <v/>
      </c>
      <c r="FK190" s="139" t="str">
        <f t="shared" si="273"/>
        <v/>
      </c>
      <c r="FL190" s="139" t="str">
        <f t="shared" si="274"/>
        <v/>
      </c>
      <c r="FM190" s="139" t="str">
        <f t="shared" si="275"/>
        <v/>
      </c>
      <c r="FN190" s="139" t="str">
        <f t="shared" si="276"/>
        <v/>
      </c>
      <c r="FO190" s="139" t="str">
        <f t="shared" si="277"/>
        <v/>
      </c>
      <c r="FP190" s="139" t="str">
        <f t="shared" si="278"/>
        <v/>
      </c>
      <c r="FQ190" s="139" t="str">
        <f t="shared" si="279"/>
        <v/>
      </c>
      <c r="FR190" s="139" t="str">
        <f t="shared" si="280"/>
        <v/>
      </c>
      <c r="FS190" s="139" t="str">
        <f t="shared" si="281"/>
        <v/>
      </c>
      <c r="FT190" s="139" t="str">
        <f t="shared" si="282"/>
        <v/>
      </c>
      <c r="FU190" s="148" t="str">
        <f t="shared" si="283"/>
        <v/>
      </c>
      <c r="FV190" s="149"/>
      <c r="FY190" s="214">
        <v>185</v>
      </c>
      <c r="FZ190">
        <v>0.20467142607349095</v>
      </c>
      <c r="GA190">
        <v>9.4790312556901597</v>
      </c>
      <c r="GB190">
        <v>8.9862738687715389</v>
      </c>
      <c r="GC190">
        <v>3.1831476489178083</v>
      </c>
      <c r="GD190">
        <v>1.1587039237334331</v>
      </c>
      <c r="GE190">
        <v>9.1107911318647634</v>
      </c>
      <c r="GF190">
        <v>19.574992013452235</v>
      </c>
      <c r="GG190">
        <v>6.8062981795867392</v>
      </c>
      <c r="GH190">
        <v>3.0680469292197698</v>
      </c>
      <c r="GI190">
        <v>7.0893821776470425</v>
      </c>
      <c r="GJ190"/>
      <c r="GK190"/>
      <c r="GL190"/>
      <c r="GM190"/>
    </row>
    <row r="191" spans="1:195" s="7" customFormat="1">
      <c r="A191" s="1"/>
      <c r="B191" s="76" t="str">
        <f t="shared" ca="1" si="250"/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64.904498707851673</v>
      </c>
      <c r="AO191">
        <v>10.641259380438957</v>
      </c>
      <c r="AP191">
        <v>54.000167886631857</v>
      </c>
      <c r="AQ191">
        <v>63.720646519767122</v>
      </c>
      <c r="AR191">
        <v>9.686081461073309</v>
      </c>
      <c r="AS191">
        <v>55.973306936271577</v>
      </c>
      <c r="AT191" t="e">
        <v>#DIV/0!</v>
      </c>
      <c r="AU191" t="e">
        <v>#DIV/0!</v>
      </c>
      <c r="AV191"/>
      <c r="AW191"/>
      <c r="AX191" s="146"/>
      <c r="AY191" s="76" t="str">
        <f t="shared" ca="1" si="173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8"/>
        <v/>
      </c>
      <c r="CL191" s="179" t="str">
        <f t="shared" si="209"/>
        <v/>
      </c>
      <c r="CM191" s="180" t="str">
        <f t="shared" si="210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11"/>
        <v/>
      </c>
      <c r="DB191" s="146"/>
      <c r="DC191" s="76" t="str">
        <f t="shared" ca="1" si="174"/>
        <v/>
      </c>
      <c r="DD191" t="str">
        <f t="shared" si="212"/>
        <v/>
      </c>
      <c r="DE191" s="129" t="str">
        <f t="shared" si="284"/>
        <v/>
      </c>
      <c r="DF191" s="161" t="str">
        <f t="shared" si="285"/>
        <v/>
      </c>
      <c r="DG191" s="161" t="str">
        <f t="shared" si="286"/>
        <v/>
      </c>
      <c r="DH191" s="161" t="str">
        <f t="shared" si="287"/>
        <v/>
      </c>
      <c r="DI191" s="161" t="str">
        <f t="shared" si="288"/>
        <v/>
      </c>
      <c r="DJ191" s="161" t="str">
        <f t="shared" si="289"/>
        <v/>
      </c>
      <c r="DK191" s="161" t="str">
        <f t="shared" si="290"/>
        <v/>
      </c>
      <c r="DL191" s="161" t="str">
        <f t="shared" si="291"/>
        <v/>
      </c>
      <c r="DM191" s="161" t="str">
        <f t="shared" si="292"/>
        <v/>
      </c>
      <c r="DN191" s="161" t="str">
        <f>IF($AZ191="", "", (BJ191*$CW191)/$CZ191)</f>
        <v/>
      </c>
      <c r="DO191" s="161" t="str">
        <f t="shared" si="293"/>
        <v/>
      </c>
      <c r="DP191" s="161" t="str">
        <f t="shared" si="294"/>
        <v/>
      </c>
      <c r="DQ191" s="161" t="str">
        <f t="shared" si="295"/>
        <v/>
      </c>
      <c r="DR191" s="161" t="str">
        <f t="shared" si="296"/>
        <v/>
      </c>
      <c r="DS191" s="161" t="str">
        <f t="shared" si="297"/>
        <v/>
      </c>
      <c r="DT191" s="161" t="str">
        <f t="shared" si="298"/>
        <v/>
      </c>
      <c r="DU191" s="161" t="str">
        <f t="shared" si="299"/>
        <v/>
      </c>
      <c r="DV191" s="161" t="str">
        <f t="shared" si="300"/>
        <v/>
      </c>
      <c r="DW191" s="161" t="str">
        <f t="shared" si="301"/>
        <v/>
      </c>
      <c r="DX191" s="161" t="str">
        <f t="shared" si="302"/>
        <v/>
      </c>
      <c r="DY191" s="161" t="str">
        <f t="shared" si="303"/>
        <v/>
      </c>
      <c r="DZ191" s="161" t="str">
        <f t="shared" si="304"/>
        <v/>
      </c>
      <c r="EA191" s="161" t="str">
        <f t="shared" si="305"/>
        <v/>
      </c>
      <c r="EB191" s="161" t="str">
        <f t="shared" si="306"/>
        <v/>
      </c>
      <c r="EC191" s="161" t="str">
        <f t="shared" si="307"/>
        <v/>
      </c>
      <c r="ED191" s="161" t="str">
        <f t="shared" si="308"/>
        <v/>
      </c>
      <c r="EE191" s="161" t="str">
        <f t="shared" si="309"/>
        <v/>
      </c>
      <c r="EF191" s="161" t="str">
        <f t="shared" si="310"/>
        <v/>
      </c>
      <c r="EG191" s="161" t="str">
        <f t="shared" si="311"/>
        <v/>
      </c>
      <c r="EH191" s="161" t="str">
        <f t="shared" si="312"/>
        <v/>
      </c>
      <c r="EI191" s="161" t="str">
        <f t="shared" si="313"/>
        <v/>
      </c>
      <c r="EJ191" s="161" t="str">
        <f t="shared" si="314"/>
        <v/>
      </c>
      <c r="EK191" s="147" t="str">
        <f t="shared" si="251"/>
        <v/>
      </c>
      <c r="EL191" s="149"/>
      <c r="EN191" s="146"/>
      <c r="EO191" s="146"/>
      <c r="EP191" s="139" t="str">
        <f t="shared" si="252"/>
        <v/>
      </c>
      <c r="EQ191" s="139" t="str">
        <f t="shared" si="253"/>
        <v/>
      </c>
      <c r="ER191" s="139" t="str">
        <f t="shared" si="254"/>
        <v/>
      </c>
      <c r="ES191" s="139" t="str">
        <f t="shared" si="255"/>
        <v/>
      </c>
      <c r="ET191" s="139" t="str">
        <f t="shared" si="256"/>
        <v/>
      </c>
      <c r="EU191" s="139" t="str">
        <f t="shared" si="257"/>
        <v/>
      </c>
      <c r="EV191" s="139" t="str">
        <f t="shared" si="258"/>
        <v/>
      </c>
      <c r="EW191" s="139" t="str">
        <f t="shared" si="259"/>
        <v/>
      </c>
      <c r="EX191" s="139" t="str">
        <f t="shared" si="260"/>
        <v/>
      </c>
      <c r="EY191" s="139" t="str">
        <f t="shared" si="261"/>
        <v/>
      </c>
      <c r="EZ191" s="139" t="str">
        <f t="shared" si="262"/>
        <v/>
      </c>
      <c r="FA191" s="139" t="str">
        <f t="shared" si="263"/>
        <v/>
      </c>
      <c r="FB191" s="139" t="str">
        <f t="shared" si="264"/>
        <v/>
      </c>
      <c r="FC191" s="139" t="str">
        <f t="shared" si="265"/>
        <v/>
      </c>
      <c r="FD191" s="139" t="str">
        <f t="shared" si="266"/>
        <v/>
      </c>
      <c r="FE191" s="139" t="str">
        <f t="shared" si="267"/>
        <v/>
      </c>
      <c r="FF191" s="139" t="str">
        <f t="shared" si="268"/>
        <v/>
      </c>
      <c r="FG191" s="139" t="str">
        <f t="shared" si="269"/>
        <v/>
      </c>
      <c r="FH191" s="139" t="str">
        <f t="shared" si="270"/>
        <v/>
      </c>
      <c r="FI191" s="139" t="str">
        <f t="shared" si="271"/>
        <v/>
      </c>
      <c r="FJ191" s="139" t="str">
        <f t="shared" si="272"/>
        <v/>
      </c>
      <c r="FK191" s="139" t="str">
        <f t="shared" si="273"/>
        <v/>
      </c>
      <c r="FL191" s="139" t="str">
        <f t="shared" si="274"/>
        <v/>
      </c>
      <c r="FM191" s="139" t="str">
        <f t="shared" si="275"/>
        <v/>
      </c>
      <c r="FN191" s="139" t="str">
        <f t="shared" si="276"/>
        <v/>
      </c>
      <c r="FO191" s="139" t="str">
        <f t="shared" si="277"/>
        <v/>
      </c>
      <c r="FP191" s="139" t="str">
        <f t="shared" si="278"/>
        <v/>
      </c>
      <c r="FQ191" s="139" t="str">
        <f t="shared" si="279"/>
        <v/>
      </c>
      <c r="FR191" s="139" t="str">
        <f t="shared" si="280"/>
        <v/>
      </c>
      <c r="FS191" s="139" t="str">
        <f t="shared" si="281"/>
        <v/>
      </c>
      <c r="FT191" s="139" t="str">
        <f t="shared" si="282"/>
        <v/>
      </c>
      <c r="FU191" s="148" t="str">
        <f t="shared" si="283"/>
        <v/>
      </c>
      <c r="FV191" s="149"/>
      <c r="FY191" s="214">
        <v>186</v>
      </c>
      <c r="FZ191">
        <v>0.5566392417195587</v>
      </c>
      <c r="GA191">
        <v>11.323015381229316</v>
      </c>
      <c r="GB191">
        <v>11.736341501190337</v>
      </c>
      <c r="GC191">
        <v>4.1264928269293328</v>
      </c>
      <c r="GD191">
        <v>0.75212313428621536</v>
      </c>
      <c r="GE191">
        <v>5.0049944860306343</v>
      </c>
      <c r="GF191">
        <v>17.436764289978903</v>
      </c>
      <c r="GG191">
        <v>15.002835786921905</v>
      </c>
      <c r="GH191">
        <v>7.5347702595253789</v>
      </c>
      <c r="GI191">
        <v>8.087031832241216</v>
      </c>
      <c r="GJ191"/>
      <c r="GK191"/>
      <c r="GL191"/>
      <c r="GM191"/>
    </row>
    <row r="192" spans="1:195" s="7" customFormat="1">
      <c r="A192" s="1"/>
      <c r="B192" s="76" t="str">
        <f t="shared" ca="1" si="250"/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72.091844407960409</v>
      </c>
      <c r="AO192">
        <v>13.976688484129388</v>
      </c>
      <c r="AP192">
        <v>77.370721572280118</v>
      </c>
      <c r="AQ192">
        <v>68.420355401671287</v>
      </c>
      <c r="AR192">
        <v>12.718933847004005</v>
      </c>
      <c r="AS192">
        <v>66.442264451848501</v>
      </c>
      <c r="AT192" t="e">
        <v>#DIV/0!</v>
      </c>
      <c r="AU192" t="e">
        <v>#DIV/0!</v>
      </c>
      <c r="AV192"/>
      <c r="AW192"/>
      <c r="AX192" s="146"/>
      <c r="AY192" s="76" t="str">
        <f t="shared" ca="1" si="173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8"/>
        <v/>
      </c>
      <c r="CL192" s="179" t="str">
        <f t="shared" si="209"/>
        <v/>
      </c>
      <c r="CM192" s="180" t="str">
        <f t="shared" si="210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11"/>
        <v/>
      </c>
      <c r="DB192" s="146"/>
      <c r="DC192" s="76" t="str">
        <f t="shared" ca="1" si="174"/>
        <v/>
      </c>
      <c r="DD192" t="str">
        <f t="shared" si="212"/>
        <v/>
      </c>
      <c r="DE192" s="129" t="str">
        <f t="shared" si="284"/>
        <v/>
      </c>
      <c r="DF192" s="161" t="str">
        <f t="shared" si="285"/>
        <v/>
      </c>
      <c r="DG192" s="161" t="str">
        <f t="shared" si="286"/>
        <v/>
      </c>
      <c r="DH192" s="161" t="str">
        <f t="shared" si="287"/>
        <v/>
      </c>
      <c r="DI192" s="161" t="str">
        <f t="shared" si="288"/>
        <v/>
      </c>
      <c r="DJ192" s="161" t="str">
        <f t="shared" si="289"/>
        <v/>
      </c>
      <c r="DK192" s="161" t="str">
        <f t="shared" si="290"/>
        <v/>
      </c>
      <c r="DL192" s="161" t="str">
        <f t="shared" si="291"/>
        <v/>
      </c>
      <c r="DM192" s="161" t="str">
        <f t="shared" si="292"/>
        <v/>
      </c>
      <c r="DN192" s="161" t="str">
        <f>IF($AZ192="", "", (BJ192*$CW192)/$CZ192)</f>
        <v/>
      </c>
      <c r="DO192" s="161" t="str">
        <f t="shared" si="293"/>
        <v/>
      </c>
      <c r="DP192" s="161" t="str">
        <f t="shared" si="294"/>
        <v/>
      </c>
      <c r="DQ192" s="161" t="str">
        <f t="shared" si="295"/>
        <v/>
      </c>
      <c r="DR192" s="161" t="str">
        <f t="shared" si="296"/>
        <v/>
      </c>
      <c r="DS192" s="161" t="str">
        <f t="shared" si="297"/>
        <v/>
      </c>
      <c r="DT192" s="161" t="str">
        <f t="shared" si="298"/>
        <v/>
      </c>
      <c r="DU192" s="161" t="str">
        <f t="shared" si="299"/>
        <v/>
      </c>
      <c r="DV192" s="161" t="str">
        <f t="shared" si="300"/>
        <v/>
      </c>
      <c r="DW192" s="161" t="str">
        <f t="shared" si="301"/>
        <v/>
      </c>
      <c r="DX192" s="161" t="str">
        <f t="shared" si="302"/>
        <v/>
      </c>
      <c r="DY192" s="161" t="str">
        <f t="shared" si="303"/>
        <v/>
      </c>
      <c r="DZ192" s="161" t="str">
        <f t="shared" si="304"/>
        <v/>
      </c>
      <c r="EA192" s="161" t="str">
        <f t="shared" si="305"/>
        <v/>
      </c>
      <c r="EB192" s="161" t="str">
        <f t="shared" si="306"/>
        <v/>
      </c>
      <c r="EC192" s="161" t="str">
        <f t="shared" si="307"/>
        <v/>
      </c>
      <c r="ED192" s="161" t="str">
        <f t="shared" si="308"/>
        <v/>
      </c>
      <c r="EE192" s="161" t="str">
        <f t="shared" si="309"/>
        <v/>
      </c>
      <c r="EF192" s="161" t="str">
        <f t="shared" si="310"/>
        <v/>
      </c>
      <c r="EG192" s="161" t="str">
        <f t="shared" si="311"/>
        <v/>
      </c>
      <c r="EH192" s="161" t="str">
        <f t="shared" si="312"/>
        <v/>
      </c>
      <c r="EI192" s="161" t="str">
        <f t="shared" si="313"/>
        <v/>
      </c>
      <c r="EJ192" s="161" t="str">
        <f t="shared" si="314"/>
        <v/>
      </c>
      <c r="EK192" s="147" t="str">
        <f t="shared" si="251"/>
        <v/>
      </c>
      <c r="EL192" s="149"/>
      <c r="EN192" s="146"/>
      <c r="EO192" s="146"/>
      <c r="EP192" s="139" t="str">
        <f t="shared" si="252"/>
        <v/>
      </c>
      <c r="EQ192" s="139" t="str">
        <f t="shared" si="253"/>
        <v/>
      </c>
      <c r="ER192" s="139" t="str">
        <f t="shared" si="254"/>
        <v/>
      </c>
      <c r="ES192" s="139" t="str">
        <f t="shared" si="255"/>
        <v/>
      </c>
      <c r="ET192" s="139" t="str">
        <f t="shared" si="256"/>
        <v/>
      </c>
      <c r="EU192" s="139" t="str">
        <f t="shared" si="257"/>
        <v/>
      </c>
      <c r="EV192" s="139" t="str">
        <f t="shared" si="258"/>
        <v/>
      </c>
      <c r="EW192" s="139" t="str">
        <f t="shared" si="259"/>
        <v/>
      </c>
      <c r="EX192" s="139" t="str">
        <f t="shared" si="260"/>
        <v/>
      </c>
      <c r="EY192" s="139" t="str">
        <f t="shared" si="261"/>
        <v/>
      </c>
      <c r="EZ192" s="139" t="str">
        <f t="shared" si="262"/>
        <v/>
      </c>
      <c r="FA192" s="139" t="str">
        <f t="shared" si="263"/>
        <v/>
      </c>
      <c r="FB192" s="139" t="str">
        <f t="shared" si="264"/>
        <v/>
      </c>
      <c r="FC192" s="139" t="str">
        <f t="shared" si="265"/>
        <v/>
      </c>
      <c r="FD192" s="139" t="str">
        <f t="shared" si="266"/>
        <v/>
      </c>
      <c r="FE192" s="139" t="str">
        <f t="shared" si="267"/>
        <v/>
      </c>
      <c r="FF192" s="139" t="str">
        <f t="shared" si="268"/>
        <v/>
      </c>
      <c r="FG192" s="139" t="str">
        <f t="shared" si="269"/>
        <v/>
      </c>
      <c r="FH192" s="139" t="str">
        <f t="shared" si="270"/>
        <v/>
      </c>
      <c r="FI192" s="139" t="str">
        <f t="shared" si="271"/>
        <v/>
      </c>
      <c r="FJ192" s="139" t="str">
        <f t="shared" si="272"/>
        <v/>
      </c>
      <c r="FK192" s="139" t="str">
        <f t="shared" si="273"/>
        <v/>
      </c>
      <c r="FL192" s="139" t="str">
        <f t="shared" si="274"/>
        <v/>
      </c>
      <c r="FM192" s="139" t="str">
        <f t="shared" si="275"/>
        <v/>
      </c>
      <c r="FN192" s="139" t="str">
        <f t="shared" si="276"/>
        <v/>
      </c>
      <c r="FO192" s="139" t="str">
        <f t="shared" si="277"/>
        <v/>
      </c>
      <c r="FP192" s="139" t="str">
        <f t="shared" si="278"/>
        <v/>
      </c>
      <c r="FQ192" s="139" t="str">
        <f t="shared" si="279"/>
        <v/>
      </c>
      <c r="FR192" s="139" t="str">
        <f t="shared" si="280"/>
        <v/>
      </c>
      <c r="FS192" s="139" t="str">
        <f t="shared" si="281"/>
        <v/>
      </c>
      <c r="FT192" s="139" t="str">
        <f t="shared" si="282"/>
        <v/>
      </c>
      <c r="FU192" s="148" t="str">
        <f t="shared" si="283"/>
        <v/>
      </c>
      <c r="FV192" s="149"/>
      <c r="FY192" s="214">
        <v>187</v>
      </c>
      <c r="FZ192">
        <v>1.6692783928655943</v>
      </c>
      <c r="GA192">
        <v>11.231300515077349</v>
      </c>
      <c r="GB192">
        <v>5.2850171790436473</v>
      </c>
      <c r="GC192">
        <v>0.95496621833995832</v>
      </c>
      <c r="GD192">
        <v>11.823237399842039</v>
      </c>
      <c r="GE192">
        <v>29.11522715818661</v>
      </c>
      <c r="GF192">
        <v>18.112775195934038</v>
      </c>
      <c r="GG192">
        <v>13.296318817090086</v>
      </c>
      <c r="GH192">
        <v>9.4060407889470916</v>
      </c>
      <c r="GI192">
        <v>13.940944731169793</v>
      </c>
      <c r="GJ192"/>
      <c r="GK192"/>
      <c r="GL192"/>
      <c r="GM192"/>
    </row>
    <row r="193" spans="1:195" s="7" customFormat="1">
      <c r="A193" s="1"/>
      <c r="B193" s="76" t="str">
        <f t="shared" ca="1" si="250"/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76.118527665645189</v>
      </c>
      <c r="AO193">
        <v>14.997803117514749</v>
      </c>
      <c r="AP193">
        <v>81.703326487056742</v>
      </c>
      <c r="AQ193">
        <v>81.554929221526947</v>
      </c>
      <c r="AR193">
        <v>13.646575767505848</v>
      </c>
      <c r="AS193">
        <v>71.013491575055653</v>
      </c>
      <c r="AT193" t="e">
        <v>#DIV/0!</v>
      </c>
      <c r="AU193" t="e">
        <v>#DIV/0!</v>
      </c>
      <c r="AV193"/>
      <c r="AW193"/>
      <c r="AX193" s="146"/>
      <c r="AY193" s="76" t="str">
        <f t="shared" ca="1" si="173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8"/>
        <v/>
      </c>
      <c r="CL193" s="179" t="str">
        <f t="shared" si="209"/>
        <v/>
      </c>
      <c r="CM193" s="180" t="str">
        <f t="shared" si="210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11"/>
        <v/>
      </c>
      <c r="DB193" s="146"/>
      <c r="DC193" s="76" t="str">
        <f t="shared" ca="1" si="174"/>
        <v/>
      </c>
      <c r="DD193" t="str">
        <f t="shared" si="212"/>
        <v/>
      </c>
      <c r="DE193" s="129" t="str">
        <f t="shared" si="284"/>
        <v/>
      </c>
      <c r="DF193" s="161" t="str">
        <f t="shared" si="285"/>
        <v/>
      </c>
      <c r="DG193" s="161" t="str">
        <f t="shared" si="286"/>
        <v/>
      </c>
      <c r="DH193" s="161" t="str">
        <f t="shared" si="287"/>
        <v/>
      </c>
      <c r="DI193" s="161" t="str">
        <f t="shared" si="288"/>
        <v/>
      </c>
      <c r="DJ193" s="161" t="str">
        <f t="shared" si="289"/>
        <v/>
      </c>
      <c r="DK193" s="161" t="str">
        <f t="shared" si="290"/>
        <v/>
      </c>
      <c r="DL193" s="161" t="str">
        <f t="shared" si="291"/>
        <v/>
      </c>
      <c r="DM193" s="161" t="str">
        <f t="shared" si="292"/>
        <v/>
      </c>
      <c r="DN193" s="161" t="str">
        <f t="shared" ref="DN193:DN207" si="315">IF($AZ193="", "", (BJ193*$CW193)/$CZ193)</f>
        <v/>
      </c>
      <c r="DO193" s="161" t="str">
        <f t="shared" si="293"/>
        <v/>
      </c>
      <c r="DP193" s="161" t="str">
        <f t="shared" si="294"/>
        <v/>
      </c>
      <c r="DQ193" s="161" t="str">
        <f t="shared" si="295"/>
        <v/>
      </c>
      <c r="DR193" s="161" t="str">
        <f t="shared" si="296"/>
        <v/>
      </c>
      <c r="DS193" s="161" t="str">
        <f t="shared" si="297"/>
        <v/>
      </c>
      <c r="DT193" s="161" t="str">
        <f t="shared" si="298"/>
        <v/>
      </c>
      <c r="DU193" s="161" t="str">
        <f t="shared" si="299"/>
        <v/>
      </c>
      <c r="DV193" s="161" t="str">
        <f t="shared" si="300"/>
        <v/>
      </c>
      <c r="DW193" s="161" t="str">
        <f t="shared" si="301"/>
        <v/>
      </c>
      <c r="DX193" s="161" t="str">
        <f t="shared" si="302"/>
        <v/>
      </c>
      <c r="DY193" s="161" t="str">
        <f t="shared" si="303"/>
        <v/>
      </c>
      <c r="DZ193" s="161" t="str">
        <f t="shared" si="304"/>
        <v/>
      </c>
      <c r="EA193" s="161" t="str">
        <f t="shared" si="305"/>
        <v/>
      </c>
      <c r="EB193" s="161" t="str">
        <f t="shared" si="306"/>
        <v/>
      </c>
      <c r="EC193" s="161" t="str">
        <f t="shared" si="307"/>
        <v/>
      </c>
      <c r="ED193" s="161" t="str">
        <f t="shared" si="308"/>
        <v/>
      </c>
      <c r="EE193" s="161" t="str">
        <f t="shared" si="309"/>
        <v/>
      </c>
      <c r="EF193" s="161" t="str">
        <f t="shared" si="310"/>
        <v/>
      </c>
      <c r="EG193" s="161" t="str">
        <f t="shared" si="311"/>
        <v/>
      </c>
      <c r="EH193" s="161" t="str">
        <f t="shared" si="312"/>
        <v/>
      </c>
      <c r="EI193" s="161" t="str">
        <f t="shared" si="313"/>
        <v/>
      </c>
      <c r="EJ193" s="161" t="str">
        <f t="shared" si="314"/>
        <v/>
      </c>
      <c r="EK193" s="147" t="str">
        <f t="shared" si="251"/>
        <v/>
      </c>
      <c r="EL193" s="149"/>
      <c r="EN193" s="146"/>
      <c r="EO193" s="146"/>
      <c r="EP193" s="139" t="str">
        <f t="shared" si="252"/>
        <v/>
      </c>
      <c r="EQ193" s="139" t="str">
        <f t="shared" si="253"/>
        <v/>
      </c>
      <c r="ER193" s="139" t="str">
        <f t="shared" si="254"/>
        <v/>
      </c>
      <c r="ES193" s="139" t="str">
        <f t="shared" si="255"/>
        <v/>
      </c>
      <c r="ET193" s="139" t="str">
        <f t="shared" si="256"/>
        <v/>
      </c>
      <c r="EU193" s="139" t="str">
        <f t="shared" si="257"/>
        <v/>
      </c>
      <c r="EV193" s="139" t="str">
        <f t="shared" si="258"/>
        <v/>
      </c>
      <c r="EW193" s="139" t="str">
        <f t="shared" si="259"/>
        <v/>
      </c>
      <c r="EX193" s="139" t="str">
        <f t="shared" si="260"/>
        <v/>
      </c>
      <c r="EY193" s="139" t="str">
        <f t="shared" si="261"/>
        <v/>
      </c>
      <c r="EZ193" s="139" t="str">
        <f t="shared" si="262"/>
        <v/>
      </c>
      <c r="FA193" s="139" t="str">
        <f t="shared" si="263"/>
        <v/>
      </c>
      <c r="FB193" s="139" t="str">
        <f t="shared" si="264"/>
        <v/>
      </c>
      <c r="FC193" s="139" t="str">
        <f t="shared" si="265"/>
        <v/>
      </c>
      <c r="FD193" s="139" t="str">
        <f t="shared" si="266"/>
        <v/>
      </c>
      <c r="FE193" s="139" t="str">
        <f t="shared" si="267"/>
        <v/>
      </c>
      <c r="FF193" s="139" t="str">
        <f t="shared" si="268"/>
        <v/>
      </c>
      <c r="FG193" s="139" t="str">
        <f t="shared" si="269"/>
        <v/>
      </c>
      <c r="FH193" s="139" t="str">
        <f t="shared" si="270"/>
        <v/>
      </c>
      <c r="FI193" s="139" t="str">
        <f t="shared" si="271"/>
        <v/>
      </c>
      <c r="FJ193" s="139" t="str">
        <f t="shared" si="272"/>
        <v/>
      </c>
      <c r="FK193" s="139" t="str">
        <f t="shared" si="273"/>
        <v/>
      </c>
      <c r="FL193" s="139" t="str">
        <f t="shared" si="274"/>
        <v/>
      </c>
      <c r="FM193" s="139" t="str">
        <f t="shared" si="275"/>
        <v/>
      </c>
      <c r="FN193" s="139" t="str">
        <f t="shared" si="276"/>
        <v/>
      </c>
      <c r="FO193" s="139" t="str">
        <f t="shared" si="277"/>
        <v/>
      </c>
      <c r="FP193" s="139" t="str">
        <f t="shared" si="278"/>
        <v/>
      </c>
      <c r="FQ193" s="139" t="str">
        <f t="shared" si="279"/>
        <v/>
      </c>
      <c r="FR193" s="139" t="str">
        <f t="shared" si="280"/>
        <v/>
      </c>
      <c r="FS193" s="139" t="str">
        <f t="shared" si="281"/>
        <v/>
      </c>
      <c r="FT193" s="139" t="str">
        <f t="shared" si="282"/>
        <v/>
      </c>
      <c r="FU193" s="148" t="str">
        <f t="shared" si="283"/>
        <v/>
      </c>
      <c r="FV193" s="149"/>
      <c r="FY193" s="214">
        <v>188</v>
      </c>
      <c r="FZ193">
        <v>0.99918121811815308</v>
      </c>
      <c r="GA193">
        <v>2.8105256637020464</v>
      </c>
      <c r="GB193">
        <v>2.9028061966602143</v>
      </c>
      <c r="GC193">
        <v>1.6046380615974969</v>
      </c>
      <c r="GD193">
        <v>3.212919678532745</v>
      </c>
      <c r="GE193">
        <v>10.007028791086816</v>
      </c>
      <c r="GF193">
        <v>17.340704454339807</v>
      </c>
      <c r="GG193">
        <v>12.142926516450622</v>
      </c>
      <c r="GH193">
        <v>5.833164351279815</v>
      </c>
      <c r="GI193">
        <v>6.991624947412765</v>
      </c>
      <c r="GJ193"/>
      <c r="GK193"/>
      <c r="GL193"/>
      <c r="GM193"/>
    </row>
    <row r="194" spans="1:195" s="7" customFormat="1">
      <c r="A194" s="1"/>
      <c r="B194" s="76" t="str">
        <f t="shared" ca="1" si="250"/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83.675939081226488</v>
      </c>
      <c r="AO194">
        <v>17.302216553022877</v>
      </c>
      <c r="AP194">
        <v>67.692350630781121</v>
      </c>
      <c r="AQ194">
        <v>103.51561147289785</v>
      </c>
      <c r="AR194">
        <v>15.908152408664108</v>
      </c>
      <c r="AS194">
        <v>83.099971726253926</v>
      </c>
      <c r="AT194">
        <v>8.8000431732182154</v>
      </c>
      <c r="AU194">
        <v>-11.132636910195099</v>
      </c>
      <c r="AV194"/>
      <c r="AW194"/>
      <c r="AX194" s="146"/>
      <c r="AY194" s="76" t="str">
        <f t="shared" ca="1" si="173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8"/>
        <v/>
      </c>
      <c r="CL194" s="179" t="str">
        <f t="shared" si="209"/>
        <v/>
      </c>
      <c r="CM194" s="180" t="str">
        <f t="shared" si="210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11"/>
        <v/>
      </c>
      <c r="DB194" s="146"/>
      <c r="DC194" s="76" t="str">
        <f t="shared" ca="1" si="174"/>
        <v/>
      </c>
      <c r="DD194" t="str">
        <f t="shared" si="212"/>
        <v/>
      </c>
      <c r="DE194" s="129" t="str">
        <f t="shared" si="284"/>
        <v/>
      </c>
      <c r="DF194" s="161" t="str">
        <f t="shared" si="285"/>
        <v/>
      </c>
      <c r="DG194" s="161" t="str">
        <f t="shared" si="286"/>
        <v/>
      </c>
      <c r="DH194" s="161" t="str">
        <f t="shared" si="287"/>
        <v/>
      </c>
      <c r="DI194" s="161" t="str">
        <f t="shared" si="288"/>
        <v/>
      </c>
      <c r="DJ194" s="161" t="str">
        <f t="shared" si="289"/>
        <v/>
      </c>
      <c r="DK194" s="161" t="str">
        <f t="shared" si="290"/>
        <v/>
      </c>
      <c r="DL194" s="161" t="str">
        <f t="shared" si="291"/>
        <v/>
      </c>
      <c r="DM194" s="161" t="str">
        <f t="shared" si="292"/>
        <v/>
      </c>
      <c r="DN194" s="161" t="str">
        <f t="shared" si="315"/>
        <v/>
      </c>
      <c r="DO194" s="161" t="str">
        <f t="shared" ref="DO194:DO206" si="316">IF($AZ194="", "", (BK193*$CW194)/$CZ194)</f>
        <v/>
      </c>
      <c r="DP194" s="161" t="str">
        <f t="shared" ref="DP194:DP206" si="317">IF($AZ194="", "", (BL193*$CW194)/$CZ194)</f>
        <v/>
      </c>
      <c r="DQ194" s="161" t="str">
        <f t="shared" ref="DQ194:DQ206" si="318">IF($AZ194="", "", (BM193*$CW194)/$CZ194)</f>
        <v/>
      </c>
      <c r="DR194" s="161" t="str">
        <f t="shared" ref="DR194:DR206" si="319">IF($AZ194="", "", (BN193*$CW194)/$CZ194)</f>
        <v/>
      </c>
      <c r="DS194" s="161" t="str">
        <f t="shared" ref="DS194:DS206" si="320">IF($AZ194="", "", (BO193*$CW194)/$CZ194)</f>
        <v/>
      </c>
      <c r="DT194" s="161" t="str">
        <f t="shared" ref="DT194:DT206" si="321">IF($AZ194="", "", (BP193*$CW194)/$CZ194)</f>
        <v/>
      </c>
      <c r="DU194" s="161" t="str">
        <f t="shared" ref="DU194:DU206" si="322">IF($AZ194="", "", (BQ193*$CW194)/$CZ194)</f>
        <v/>
      </c>
      <c r="DV194" s="161" t="str">
        <f t="shared" ref="DV194:DV206" si="323">IF($AZ194="", "", (BR193*$CW194)/$CZ194)</f>
        <v/>
      </c>
      <c r="DW194" s="161" t="str">
        <f t="shared" ref="DW194:DW206" si="324">IF($AZ194="", "", (BS193*$CW194)/$CZ194)</f>
        <v/>
      </c>
      <c r="DX194" s="161" t="str">
        <f t="shared" ref="DX194:DX206" si="325">IF($AZ194="", "", (BT193*$CW194)/$CZ194)</f>
        <v/>
      </c>
      <c r="DY194" s="161" t="str">
        <f t="shared" ref="DY194:DY206" si="326">IF($AZ194="", "", (BU193*$CW194)/$CZ194)</f>
        <v/>
      </c>
      <c r="DZ194" s="161" t="str">
        <f t="shared" ref="DZ194:DZ206" si="327">IF($AZ194="", "", (BV193*$CW194)/$CZ194)</f>
        <v/>
      </c>
      <c r="EA194" s="161" t="str">
        <f t="shared" ref="EA194:EA206" si="328">IF($AZ194="", "", (BW193*$CW194)/$CZ194)</f>
        <v/>
      </c>
      <c r="EB194" s="161" t="str">
        <f t="shared" ref="EB194:EB206" si="329">IF($AZ194="", "", (BX193*$CW194)/$CZ194)</f>
        <v/>
      </c>
      <c r="EC194" s="161" t="str">
        <f t="shared" ref="EC194:EC206" si="330">IF($AZ194="", "", (BY193*$CW194)/$CZ194)</f>
        <v/>
      </c>
      <c r="ED194" s="161" t="str">
        <f t="shared" ref="ED194:ED206" si="331">IF($AZ194="", "", (BZ193*$CW194)/$CZ194)</f>
        <v/>
      </c>
      <c r="EE194" s="161" t="str">
        <f t="shared" ref="EE194:EE206" si="332">IF($AZ194="", "", (CA193*$CW194)/$CZ194)</f>
        <v/>
      </c>
      <c r="EF194" s="161" t="str">
        <f t="shared" ref="EF194:EF206" si="333">IF($AZ194="", "", (CB193*$CW194)/$CZ194)</f>
        <v/>
      </c>
      <c r="EG194" s="161" t="str">
        <f t="shared" ref="EG194:EG206" si="334">IF($AZ194="", "", (CC193*$CW194)/$CZ194)</f>
        <v/>
      </c>
      <c r="EH194" s="161" t="str">
        <f t="shared" ref="EH194:EH206" si="335">IF($AZ194="", "", (CD193*$CW194)/$CZ194)</f>
        <v/>
      </c>
      <c r="EI194" s="161" t="str">
        <f t="shared" ref="EI194:EI206" si="336">IF($AZ194="", "", (CE193*$CW194)/$CZ194)</f>
        <v/>
      </c>
      <c r="EJ194" s="161" t="str">
        <f t="shared" ref="EJ194:EJ206" si="337">IF($AZ194="", "", (CF193*$CW194)/$CZ194)</f>
        <v/>
      </c>
      <c r="EK194" s="147" t="str">
        <f t="shared" si="251"/>
        <v/>
      </c>
      <c r="EL194" s="149"/>
      <c r="EN194" s="146"/>
      <c r="EO194" s="146"/>
      <c r="EP194" s="139" t="str">
        <f t="shared" si="252"/>
        <v/>
      </c>
      <c r="EQ194" s="139" t="str">
        <f t="shared" si="253"/>
        <v/>
      </c>
      <c r="ER194" s="139" t="str">
        <f t="shared" si="254"/>
        <v/>
      </c>
      <c r="ES194" s="139" t="str">
        <f t="shared" si="255"/>
        <v/>
      </c>
      <c r="ET194" s="139" t="str">
        <f t="shared" si="256"/>
        <v/>
      </c>
      <c r="EU194" s="139" t="str">
        <f t="shared" si="257"/>
        <v/>
      </c>
      <c r="EV194" s="139" t="str">
        <f t="shared" si="258"/>
        <v/>
      </c>
      <c r="EW194" s="139" t="str">
        <f t="shared" si="259"/>
        <v/>
      </c>
      <c r="EX194" s="139" t="str">
        <f t="shared" si="260"/>
        <v/>
      </c>
      <c r="EY194" s="139" t="str">
        <f t="shared" si="261"/>
        <v/>
      </c>
      <c r="EZ194" s="139" t="str">
        <f t="shared" si="262"/>
        <v/>
      </c>
      <c r="FA194" s="139" t="str">
        <f t="shared" si="263"/>
        <v/>
      </c>
      <c r="FB194" s="139" t="str">
        <f t="shared" si="264"/>
        <v/>
      </c>
      <c r="FC194" s="139" t="str">
        <f t="shared" si="265"/>
        <v/>
      </c>
      <c r="FD194" s="139" t="str">
        <f t="shared" si="266"/>
        <v/>
      </c>
      <c r="FE194" s="139" t="str">
        <f t="shared" si="267"/>
        <v/>
      </c>
      <c r="FF194" s="139" t="str">
        <f t="shared" si="268"/>
        <v/>
      </c>
      <c r="FG194" s="139" t="str">
        <f t="shared" si="269"/>
        <v/>
      </c>
      <c r="FH194" s="139" t="str">
        <f t="shared" si="270"/>
        <v/>
      </c>
      <c r="FI194" s="139" t="str">
        <f t="shared" si="271"/>
        <v/>
      </c>
      <c r="FJ194" s="139" t="str">
        <f t="shared" si="272"/>
        <v/>
      </c>
      <c r="FK194" s="139" t="str">
        <f t="shared" si="273"/>
        <v/>
      </c>
      <c r="FL194" s="139" t="str">
        <f t="shared" si="274"/>
        <v/>
      </c>
      <c r="FM194" s="139" t="str">
        <f t="shared" si="275"/>
        <v/>
      </c>
      <c r="FN194" s="139" t="str">
        <f t="shared" si="276"/>
        <v/>
      </c>
      <c r="FO194" s="139" t="str">
        <f t="shared" si="277"/>
        <v/>
      </c>
      <c r="FP194" s="139" t="str">
        <f t="shared" si="278"/>
        <v/>
      </c>
      <c r="FQ194" s="139" t="str">
        <f t="shared" si="279"/>
        <v/>
      </c>
      <c r="FR194" s="139" t="str">
        <f t="shared" si="280"/>
        <v/>
      </c>
      <c r="FS194" s="139" t="str">
        <f t="shared" si="281"/>
        <v/>
      </c>
      <c r="FT194" s="139" t="str">
        <f t="shared" si="282"/>
        <v/>
      </c>
      <c r="FU194" s="148" t="str">
        <f t="shared" si="283"/>
        <v/>
      </c>
      <c r="FV194" s="149"/>
      <c r="FY194" s="214">
        <v>189</v>
      </c>
      <c r="FZ194">
        <v>0.93214363732184635</v>
      </c>
      <c r="GA194">
        <v>4.8978257397677849</v>
      </c>
      <c r="GB194">
        <v>7.5333066656630603</v>
      </c>
      <c r="GC194">
        <v>3.6237065090077536</v>
      </c>
      <c r="GD194">
        <v>4.7502625145722082</v>
      </c>
      <c r="GE194">
        <v>12.040852211117139</v>
      </c>
      <c r="GF194">
        <v>9.9628100367996968</v>
      </c>
      <c r="GG194">
        <v>8.485382862520396</v>
      </c>
      <c r="GH194">
        <v>5.7989325846968267</v>
      </c>
      <c r="GI194">
        <v>7.7197560373570795</v>
      </c>
      <c r="GJ194"/>
      <c r="GK194"/>
      <c r="GL194"/>
      <c r="GM194"/>
    </row>
    <row r="195" spans="1:195" s="7" customFormat="1">
      <c r="A195" s="1"/>
      <c r="B195" s="76" t="str">
        <f t="shared" ca="1" si="250"/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73.582743459433189</v>
      </c>
      <c r="AO195">
        <v>14.591507264508184</v>
      </c>
      <c r="AP195">
        <v>72.496448080395197</v>
      </c>
      <c r="AQ195">
        <v>86.571271085487467</v>
      </c>
      <c r="AR195">
        <v>13.444193292211356</v>
      </c>
      <c r="AS195">
        <v>68.376222883505179</v>
      </c>
      <c r="AT195">
        <v>7.2993481611225777</v>
      </c>
      <c r="AU195">
        <v>34.110174002186717</v>
      </c>
      <c r="AV195"/>
      <c r="AW195"/>
      <c r="AX195" s="146"/>
      <c r="AY195" s="76" t="str">
        <f t="shared" ca="1" si="173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8"/>
        <v/>
      </c>
      <c r="CL195" s="179" t="str">
        <f t="shared" si="209"/>
        <v/>
      </c>
      <c r="CM195" s="180" t="str">
        <f t="shared" si="210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11"/>
        <v/>
      </c>
      <c r="DB195" s="146"/>
      <c r="DC195" s="76" t="str">
        <f t="shared" ca="1" si="174"/>
        <v/>
      </c>
      <c r="DD195" t="str">
        <f t="shared" si="212"/>
        <v/>
      </c>
      <c r="DE195" s="129" t="str">
        <f t="shared" si="284"/>
        <v/>
      </c>
      <c r="DF195" s="161" t="str">
        <f t="shared" si="285"/>
        <v/>
      </c>
      <c r="DG195" s="161" t="str">
        <f t="shared" si="286"/>
        <v/>
      </c>
      <c r="DH195" s="161" t="str">
        <f t="shared" si="287"/>
        <v/>
      </c>
      <c r="DI195" s="161" t="str">
        <f t="shared" si="288"/>
        <v/>
      </c>
      <c r="DJ195" s="161" t="str">
        <f t="shared" si="289"/>
        <v/>
      </c>
      <c r="DK195" s="161" t="str">
        <f t="shared" si="290"/>
        <v/>
      </c>
      <c r="DL195" s="161" t="str">
        <f t="shared" si="291"/>
        <v/>
      </c>
      <c r="DM195" s="161" t="str">
        <f t="shared" si="292"/>
        <v/>
      </c>
      <c r="DN195" s="161" t="str">
        <f t="shared" si="315"/>
        <v/>
      </c>
      <c r="DO195" s="161" t="str">
        <f t="shared" si="316"/>
        <v/>
      </c>
      <c r="DP195" s="161" t="str">
        <f t="shared" si="317"/>
        <v/>
      </c>
      <c r="DQ195" s="161" t="str">
        <f t="shared" si="318"/>
        <v/>
      </c>
      <c r="DR195" s="161" t="str">
        <f t="shared" si="319"/>
        <v/>
      </c>
      <c r="DS195" s="161" t="str">
        <f t="shared" si="320"/>
        <v/>
      </c>
      <c r="DT195" s="161" t="str">
        <f t="shared" si="321"/>
        <v/>
      </c>
      <c r="DU195" s="161" t="str">
        <f t="shared" si="322"/>
        <v/>
      </c>
      <c r="DV195" s="161" t="str">
        <f t="shared" si="323"/>
        <v/>
      </c>
      <c r="DW195" s="161" t="str">
        <f t="shared" si="324"/>
        <v/>
      </c>
      <c r="DX195" s="161" t="str">
        <f t="shared" si="325"/>
        <v/>
      </c>
      <c r="DY195" s="161" t="str">
        <f t="shared" si="326"/>
        <v/>
      </c>
      <c r="DZ195" s="161" t="str">
        <f t="shared" si="327"/>
        <v/>
      </c>
      <c r="EA195" s="161" t="str">
        <f t="shared" si="328"/>
        <v/>
      </c>
      <c r="EB195" s="161" t="str">
        <f t="shared" si="329"/>
        <v/>
      </c>
      <c r="EC195" s="161" t="str">
        <f t="shared" si="330"/>
        <v/>
      </c>
      <c r="ED195" s="161" t="str">
        <f t="shared" si="331"/>
        <v/>
      </c>
      <c r="EE195" s="161" t="str">
        <f t="shared" si="332"/>
        <v/>
      </c>
      <c r="EF195" s="161" t="str">
        <f t="shared" si="333"/>
        <v/>
      </c>
      <c r="EG195" s="161" t="str">
        <f t="shared" si="334"/>
        <v/>
      </c>
      <c r="EH195" s="161" t="str">
        <f t="shared" si="335"/>
        <v/>
      </c>
      <c r="EI195" s="161" t="str">
        <f t="shared" si="336"/>
        <v/>
      </c>
      <c r="EJ195" s="161" t="str">
        <f t="shared" si="337"/>
        <v/>
      </c>
      <c r="EK195" s="147" t="str">
        <f t="shared" si="251"/>
        <v/>
      </c>
      <c r="EL195" s="149"/>
      <c r="EN195" s="146"/>
      <c r="EO195" s="146"/>
      <c r="EP195" s="139" t="str">
        <f t="shared" si="252"/>
        <v/>
      </c>
      <c r="EQ195" s="139" t="str">
        <f t="shared" si="253"/>
        <v/>
      </c>
      <c r="ER195" s="139" t="str">
        <f t="shared" si="254"/>
        <v/>
      </c>
      <c r="ES195" s="139" t="str">
        <f t="shared" si="255"/>
        <v/>
      </c>
      <c r="ET195" s="139" t="str">
        <f t="shared" si="256"/>
        <v/>
      </c>
      <c r="EU195" s="139" t="str">
        <f t="shared" si="257"/>
        <v/>
      </c>
      <c r="EV195" s="139" t="str">
        <f t="shared" si="258"/>
        <v/>
      </c>
      <c r="EW195" s="139" t="str">
        <f t="shared" si="259"/>
        <v/>
      </c>
      <c r="EX195" s="139" t="str">
        <f t="shared" si="260"/>
        <v/>
      </c>
      <c r="EY195" s="139" t="str">
        <f t="shared" si="261"/>
        <v/>
      </c>
      <c r="EZ195" s="139" t="str">
        <f t="shared" si="262"/>
        <v/>
      </c>
      <c r="FA195" s="139" t="str">
        <f t="shared" si="263"/>
        <v/>
      </c>
      <c r="FB195" s="139" t="str">
        <f t="shared" si="264"/>
        <v/>
      </c>
      <c r="FC195" s="139" t="str">
        <f t="shared" si="265"/>
        <v/>
      </c>
      <c r="FD195" s="139" t="str">
        <f t="shared" si="266"/>
        <v/>
      </c>
      <c r="FE195" s="139" t="str">
        <f t="shared" si="267"/>
        <v/>
      </c>
      <c r="FF195" s="139" t="str">
        <f t="shared" si="268"/>
        <v/>
      </c>
      <c r="FG195" s="139" t="str">
        <f t="shared" si="269"/>
        <v/>
      </c>
      <c r="FH195" s="139" t="str">
        <f t="shared" si="270"/>
        <v/>
      </c>
      <c r="FI195" s="139" t="str">
        <f t="shared" si="271"/>
        <v/>
      </c>
      <c r="FJ195" s="139" t="str">
        <f t="shared" si="272"/>
        <v/>
      </c>
      <c r="FK195" s="139" t="str">
        <f t="shared" si="273"/>
        <v/>
      </c>
      <c r="FL195" s="139" t="str">
        <f t="shared" si="274"/>
        <v/>
      </c>
      <c r="FM195" s="139" t="str">
        <f t="shared" si="275"/>
        <v/>
      </c>
      <c r="FN195" s="139" t="str">
        <f t="shared" si="276"/>
        <v/>
      </c>
      <c r="FO195" s="139" t="str">
        <f t="shared" si="277"/>
        <v/>
      </c>
      <c r="FP195" s="139" t="str">
        <f t="shared" si="278"/>
        <v/>
      </c>
      <c r="FQ195" s="139" t="str">
        <f t="shared" si="279"/>
        <v/>
      </c>
      <c r="FR195" s="139" t="str">
        <f t="shared" si="280"/>
        <v/>
      </c>
      <c r="FS195" s="139" t="str">
        <f t="shared" si="281"/>
        <v/>
      </c>
      <c r="FT195" s="139" t="str">
        <f t="shared" si="282"/>
        <v/>
      </c>
      <c r="FU195" s="148" t="str">
        <f t="shared" si="283"/>
        <v/>
      </c>
      <c r="FV195" s="149"/>
      <c r="FY195" s="214">
        <v>190</v>
      </c>
      <c r="FZ195">
        <v>0.82451093168915945</v>
      </c>
      <c r="GA195">
        <v>17.509125694837266</v>
      </c>
      <c r="GB195">
        <v>14.867680490381668</v>
      </c>
      <c r="GC195">
        <v>4.3044393629354607</v>
      </c>
      <c r="GD195">
        <v>4.3705474499459642</v>
      </c>
      <c r="GE195">
        <v>15.525469026442936</v>
      </c>
      <c r="GF195">
        <v>20.466996015986428</v>
      </c>
      <c r="GG195">
        <v>13.377141169380277</v>
      </c>
      <c r="GH195">
        <v>7.7022669120919414</v>
      </c>
      <c r="GI195">
        <v>11.922175767002646</v>
      </c>
      <c r="GJ195"/>
      <c r="GK195"/>
      <c r="GL195"/>
      <c r="GM195"/>
    </row>
    <row r="196" spans="1:195" s="7" customFormat="1">
      <c r="A196" s="1"/>
      <c r="B196" s="76" t="str">
        <f t="shared" ca="1" si="250"/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76.1546659758923</v>
      </c>
      <c r="AO196">
        <v>10.382757497684601</v>
      </c>
      <c r="AP196">
        <v>39.736901101720832</v>
      </c>
      <c r="AQ196">
        <v>74.400491657655436</v>
      </c>
      <c r="AR196">
        <v>9.4398366172132739</v>
      </c>
      <c r="AS196">
        <v>60.523111964163874</v>
      </c>
      <c r="AT196" t="e">
        <v>#DIV/0!</v>
      </c>
      <c r="AU196" t="e">
        <v>#DIV/0!</v>
      </c>
      <c r="AV196"/>
      <c r="AW196"/>
      <c r="AX196" s="146"/>
      <c r="AY196" s="76" t="str">
        <f t="shared" ca="1" si="173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8"/>
        <v/>
      </c>
      <c r="CL196" s="179" t="str">
        <f t="shared" si="209"/>
        <v/>
      </c>
      <c r="CM196" s="180" t="str">
        <f t="shared" si="210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11"/>
        <v/>
      </c>
      <c r="DB196" s="146"/>
      <c r="DC196" s="76" t="str">
        <f t="shared" ca="1" si="174"/>
        <v/>
      </c>
      <c r="DD196" t="str">
        <f t="shared" si="212"/>
        <v/>
      </c>
      <c r="DE196" s="129" t="str">
        <f t="shared" si="284"/>
        <v/>
      </c>
      <c r="DF196" s="161" t="str">
        <f t="shared" si="285"/>
        <v/>
      </c>
      <c r="DG196" s="161" t="str">
        <f t="shared" si="286"/>
        <v/>
      </c>
      <c r="DH196" s="161" t="str">
        <f t="shared" si="287"/>
        <v/>
      </c>
      <c r="DI196" s="161" t="str">
        <f t="shared" si="288"/>
        <v/>
      </c>
      <c r="DJ196" s="161" t="str">
        <f t="shared" si="289"/>
        <v/>
      </c>
      <c r="DK196" s="161" t="str">
        <f t="shared" si="290"/>
        <v/>
      </c>
      <c r="DL196" s="161" t="str">
        <f t="shared" si="291"/>
        <v/>
      </c>
      <c r="DM196" s="161" t="str">
        <f t="shared" si="292"/>
        <v/>
      </c>
      <c r="DN196" s="161" t="str">
        <f t="shared" si="315"/>
        <v/>
      </c>
      <c r="DO196" s="161" t="str">
        <f t="shared" si="316"/>
        <v/>
      </c>
      <c r="DP196" s="161" t="str">
        <f t="shared" si="317"/>
        <v/>
      </c>
      <c r="DQ196" s="161" t="str">
        <f t="shared" si="318"/>
        <v/>
      </c>
      <c r="DR196" s="161" t="str">
        <f t="shared" si="319"/>
        <v/>
      </c>
      <c r="DS196" s="161" t="str">
        <f t="shared" si="320"/>
        <v/>
      </c>
      <c r="DT196" s="161" t="str">
        <f t="shared" si="321"/>
        <v/>
      </c>
      <c r="DU196" s="161" t="str">
        <f t="shared" si="322"/>
        <v/>
      </c>
      <c r="DV196" s="161" t="str">
        <f t="shared" si="323"/>
        <v/>
      </c>
      <c r="DW196" s="161" t="str">
        <f t="shared" si="324"/>
        <v/>
      </c>
      <c r="DX196" s="161" t="str">
        <f t="shared" si="325"/>
        <v/>
      </c>
      <c r="DY196" s="161" t="str">
        <f t="shared" si="326"/>
        <v/>
      </c>
      <c r="DZ196" s="161" t="str">
        <f t="shared" si="327"/>
        <v/>
      </c>
      <c r="EA196" s="161" t="str">
        <f t="shared" si="328"/>
        <v/>
      </c>
      <c r="EB196" s="161" t="str">
        <f t="shared" si="329"/>
        <v/>
      </c>
      <c r="EC196" s="161" t="str">
        <f t="shared" si="330"/>
        <v/>
      </c>
      <c r="ED196" s="161" t="str">
        <f t="shared" si="331"/>
        <v/>
      </c>
      <c r="EE196" s="161" t="str">
        <f t="shared" si="332"/>
        <v/>
      </c>
      <c r="EF196" s="161" t="str">
        <f t="shared" si="333"/>
        <v/>
      </c>
      <c r="EG196" s="161" t="str">
        <f t="shared" si="334"/>
        <v/>
      </c>
      <c r="EH196" s="161" t="str">
        <f t="shared" si="335"/>
        <v/>
      </c>
      <c r="EI196" s="161" t="str">
        <f t="shared" si="336"/>
        <v/>
      </c>
      <c r="EJ196" s="161" t="str">
        <f t="shared" si="337"/>
        <v/>
      </c>
      <c r="EK196" s="147" t="str">
        <f t="shared" si="251"/>
        <v/>
      </c>
      <c r="EL196" s="149"/>
      <c r="EN196" s="146"/>
      <c r="EO196" s="146"/>
      <c r="EP196" s="139" t="str">
        <f t="shared" si="252"/>
        <v/>
      </c>
      <c r="EQ196" s="139" t="str">
        <f t="shared" si="253"/>
        <v/>
      </c>
      <c r="ER196" s="139" t="str">
        <f t="shared" si="254"/>
        <v/>
      </c>
      <c r="ES196" s="139" t="str">
        <f t="shared" si="255"/>
        <v/>
      </c>
      <c r="ET196" s="139" t="str">
        <f t="shared" si="256"/>
        <v/>
      </c>
      <c r="EU196" s="139" t="str">
        <f t="shared" si="257"/>
        <v/>
      </c>
      <c r="EV196" s="139" t="str">
        <f t="shared" si="258"/>
        <v/>
      </c>
      <c r="EW196" s="139" t="str">
        <f t="shared" si="259"/>
        <v/>
      </c>
      <c r="EX196" s="139" t="str">
        <f t="shared" si="260"/>
        <v/>
      </c>
      <c r="EY196" s="139" t="str">
        <f t="shared" si="261"/>
        <v/>
      </c>
      <c r="EZ196" s="139" t="str">
        <f t="shared" si="262"/>
        <v/>
      </c>
      <c r="FA196" s="139" t="str">
        <f t="shared" si="263"/>
        <v/>
      </c>
      <c r="FB196" s="139" t="str">
        <f t="shared" si="264"/>
        <v/>
      </c>
      <c r="FC196" s="139" t="str">
        <f t="shared" si="265"/>
        <v/>
      </c>
      <c r="FD196" s="139" t="str">
        <f t="shared" si="266"/>
        <v/>
      </c>
      <c r="FE196" s="139" t="str">
        <f t="shared" si="267"/>
        <v/>
      </c>
      <c r="FF196" s="139" t="str">
        <f t="shared" si="268"/>
        <v/>
      </c>
      <c r="FG196" s="139" t="str">
        <f t="shared" si="269"/>
        <v/>
      </c>
      <c r="FH196" s="139" t="str">
        <f t="shared" si="270"/>
        <v/>
      </c>
      <c r="FI196" s="139" t="str">
        <f t="shared" si="271"/>
        <v/>
      </c>
      <c r="FJ196" s="139" t="str">
        <f t="shared" si="272"/>
        <v/>
      </c>
      <c r="FK196" s="139" t="str">
        <f t="shared" si="273"/>
        <v/>
      </c>
      <c r="FL196" s="139" t="str">
        <f t="shared" si="274"/>
        <v/>
      </c>
      <c r="FM196" s="139" t="str">
        <f t="shared" si="275"/>
        <v/>
      </c>
      <c r="FN196" s="139" t="str">
        <f t="shared" si="276"/>
        <v/>
      </c>
      <c r="FO196" s="139" t="str">
        <f t="shared" si="277"/>
        <v/>
      </c>
      <c r="FP196" s="139" t="str">
        <f t="shared" si="278"/>
        <v/>
      </c>
      <c r="FQ196" s="139" t="str">
        <f t="shared" si="279"/>
        <v/>
      </c>
      <c r="FR196" s="139" t="str">
        <f t="shared" si="280"/>
        <v/>
      </c>
      <c r="FS196" s="139" t="str">
        <f t="shared" si="281"/>
        <v/>
      </c>
      <c r="FT196" s="139" t="str">
        <f t="shared" si="282"/>
        <v/>
      </c>
      <c r="FU196" s="148" t="str">
        <f t="shared" si="283"/>
        <v/>
      </c>
      <c r="FV196" s="149"/>
      <c r="FY196" s="214">
        <v>191</v>
      </c>
      <c r="FZ196">
        <v>0.48858815416493184</v>
      </c>
      <c r="GA196">
        <v>10.588244627484459</v>
      </c>
      <c r="GB196">
        <v>13.03093211989129</v>
      </c>
      <c r="GC196">
        <v>5.0869098324944844</v>
      </c>
      <c r="GD196">
        <v>3.9724057727061579</v>
      </c>
      <c r="GE196">
        <v>11.364144398013543</v>
      </c>
      <c r="GF196">
        <v>14.941558821618319</v>
      </c>
      <c r="GG196">
        <v>7.2242219507917174</v>
      </c>
      <c r="GH196">
        <v>5.4463149356985801</v>
      </c>
      <c r="GI196">
        <v>9.5662247503081641</v>
      </c>
      <c r="GJ196"/>
      <c r="GK196"/>
      <c r="GL196"/>
      <c r="GM196"/>
    </row>
    <row r="197" spans="1:195" s="7" customFormat="1">
      <c r="A197" s="1"/>
      <c r="B197" s="76" t="str">
        <f t="shared" ca="1" si="250"/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102.38087560886501</v>
      </c>
      <c r="AO197">
        <v>22.541983081180717</v>
      </c>
      <c r="AP197">
        <v>133.50790748068366</v>
      </c>
      <c r="AQ197">
        <v>130.63942835640228</v>
      </c>
      <c r="AR197">
        <v>20.683463767284888</v>
      </c>
      <c r="AS197">
        <v>105.07555774465226</v>
      </c>
      <c r="AT197">
        <v>11.497881505084569</v>
      </c>
      <c r="AU197">
        <v>44.751932535121647</v>
      </c>
      <c r="AV197"/>
      <c r="AW197"/>
      <c r="AX197" s="146"/>
      <c r="AY197" s="76" t="str">
        <f t="shared" ca="1" si="173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8"/>
        <v/>
      </c>
      <c r="CL197" s="179" t="str">
        <f t="shared" si="209"/>
        <v/>
      </c>
      <c r="CM197" s="180" t="str">
        <f t="shared" si="210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11"/>
        <v/>
      </c>
      <c r="DB197" s="146"/>
      <c r="DC197" s="76" t="str">
        <f t="shared" ca="1" si="174"/>
        <v/>
      </c>
      <c r="DD197" t="str">
        <f t="shared" si="212"/>
        <v/>
      </c>
      <c r="DE197" s="129" t="str">
        <f t="shared" si="284"/>
        <v/>
      </c>
      <c r="DF197" s="161" t="str">
        <f t="shared" si="285"/>
        <v/>
      </c>
      <c r="DG197" s="161" t="str">
        <f t="shared" si="286"/>
        <v/>
      </c>
      <c r="DH197" s="161" t="str">
        <f t="shared" si="287"/>
        <v/>
      </c>
      <c r="DI197" s="161" t="str">
        <f t="shared" si="288"/>
        <v/>
      </c>
      <c r="DJ197" s="161" t="str">
        <f t="shared" si="289"/>
        <v/>
      </c>
      <c r="DK197" s="161" t="str">
        <f t="shared" si="290"/>
        <v/>
      </c>
      <c r="DL197" s="161" t="str">
        <f t="shared" si="291"/>
        <v/>
      </c>
      <c r="DM197" s="161" t="str">
        <f t="shared" si="292"/>
        <v/>
      </c>
      <c r="DN197" s="161" t="str">
        <f t="shared" si="315"/>
        <v/>
      </c>
      <c r="DO197" s="161" t="str">
        <f t="shared" si="316"/>
        <v/>
      </c>
      <c r="DP197" s="161" t="str">
        <f t="shared" si="317"/>
        <v/>
      </c>
      <c r="DQ197" s="161" t="str">
        <f t="shared" si="318"/>
        <v/>
      </c>
      <c r="DR197" s="161" t="str">
        <f t="shared" si="319"/>
        <v/>
      </c>
      <c r="DS197" s="161" t="str">
        <f t="shared" si="320"/>
        <v/>
      </c>
      <c r="DT197" s="161" t="str">
        <f t="shared" si="321"/>
        <v/>
      </c>
      <c r="DU197" s="161" t="str">
        <f t="shared" si="322"/>
        <v/>
      </c>
      <c r="DV197" s="161" t="str">
        <f t="shared" si="323"/>
        <v/>
      </c>
      <c r="DW197" s="161" t="str">
        <f t="shared" si="324"/>
        <v/>
      </c>
      <c r="DX197" s="161" t="str">
        <f t="shared" si="325"/>
        <v/>
      </c>
      <c r="DY197" s="161" t="str">
        <f t="shared" si="326"/>
        <v/>
      </c>
      <c r="DZ197" s="161" t="str">
        <f t="shared" si="327"/>
        <v/>
      </c>
      <c r="EA197" s="161" t="str">
        <f t="shared" si="328"/>
        <v/>
      </c>
      <c r="EB197" s="161" t="str">
        <f t="shared" si="329"/>
        <v/>
      </c>
      <c r="EC197" s="161" t="str">
        <f t="shared" si="330"/>
        <v/>
      </c>
      <c r="ED197" s="161" t="str">
        <f t="shared" si="331"/>
        <v/>
      </c>
      <c r="EE197" s="161" t="str">
        <f t="shared" si="332"/>
        <v/>
      </c>
      <c r="EF197" s="161" t="str">
        <f t="shared" si="333"/>
        <v/>
      </c>
      <c r="EG197" s="161" t="str">
        <f t="shared" si="334"/>
        <v/>
      </c>
      <c r="EH197" s="161" t="str">
        <f t="shared" si="335"/>
        <v/>
      </c>
      <c r="EI197" s="161" t="str">
        <f t="shared" si="336"/>
        <v/>
      </c>
      <c r="EJ197" s="161" t="str">
        <f t="shared" si="337"/>
        <v/>
      </c>
      <c r="EK197" s="147" t="str">
        <f t="shared" si="251"/>
        <v/>
      </c>
      <c r="EL197" s="149"/>
      <c r="EN197" s="146"/>
      <c r="EO197" s="146"/>
      <c r="EP197" s="139" t="str">
        <f t="shared" si="252"/>
        <v/>
      </c>
      <c r="EQ197" s="139" t="str">
        <f t="shared" si="253"/>
        <v/>
      </c>
      <c r="ER197" s="139" t="str">
        <f t="shared" si="254"/>
        <v/>
      </c>
      <c r="ES197" s="139" t="str">
        <f t="shared" si="255"/>
        <v/>
      </c>
      <c r="ET197" s="139" t="str">
        <f t="shared" si="256"/>
        <v/>
      </c>
      <c r="EU197" s="139" t="str">
        <f t="shared" si="257"/>
        <v/>
      </c>
      <c r="EV197" s="139" t="str">
        <f t="shared" si="258"/>
        <v/>
      </c>
      <c r="EW197" s="139" t="str">
        <f t="shared" si="259"/>
        <v/>
      </c>
      <c r="EX197" s="139" t="str">
        <f t="shared" si="260"/>
        <v/>
      </c>
      <c r="EY197" s="139" t="str">
        <f t="shared" si="261"/>
        <v/>
      </c>
      <c r="EZ197" s="139" t="str">
        <f t="shared" si="262"/>
        <v/>
      </c>
      <c r="FA197" s="139" t="str">
        <f t="shared" si="263"/>
        <v/>
      </c>
      <c r="FB197" s="139" t="str">
        <f t="shared" si="264"/>
        <v/>
      </c>
      <c r="FC197" s="139" t="str">
        <f t="shared" si="265"/>
        <v/>
      </c>
      <c r="FD197" s="139" t="str">
        <f t="shared" si="266"/>
        <v/>
      </c>
      <c r="FE197" s="139" t="str">
        <f t="shared" si="267"/>
        <v/>
      </c>
      <c r="FF197" s="139" t="str">
        <f t="shared" si="268"/>
        <v/>
      </c>
      <c r="FG197" s="139" t="str">
        <f t="shared" si="269"/>
        <v/>
      </c>
      <c r="FH197" s="139" t="str">
        <f t="shared" si="270"/>
        <v/>
      </c>
      <c r="FI197" s="139" t="str">
        <f t="shared" si="271"/>
        <v/>
      </c>
      <c r="FJ197" s="139" t="str">
        <f t="shared" si="272"/>
        <v/>
      </c>
      <c r="FK197" s="139" t="str">
        <f t="shared" si="273"/>
        <v/>
      </c>
      <c r="FL197" s="139" t="str">
        <f t="shared" si="274"/>
        <v/>
      </c>
      <c r="FM197" s="139" t="str">
        <f t="shared" si="275"/>
        <v/>
      </c>
      <c r="FN197" s="139" t="str">
        <f t="shared" si="276"/>
        <v/>
      </c>
      <c r="FO197" s="139" t="str">
        <f t="shared" si="277"/>
        <v/>
      </c>
      <c r="FP197" s="139" t="str">
        <f t="shared" si="278"/>
        <v/>
      </c>
      <c r="FQ197" s="139" t="str">
        <f t="shared" si="279"/>
        <v/>
      </c>
      <c r="FR197" s="139" t="str">
        <f t="shared" si="280"/>
        <v/>
      </c>
      <c r="FS197" s="139" t="str">
        <f t="shared" si="281"/>
        <v/>
      </c>
      <c r="FT197" s="139" t="str">
        <f t="shared" si="282"/>
        <v/>
      </c>
      <c r="FU197" s="148" t="str">
        <f t="shared" si="283"/>
        <v/>
      </c>
      <c r="FV197" s="149"/>
      <c r="FY197" s="214">
        <v>192</v>
      </c>
      <c r="FZ197">
        <v>0.80773102002462538</v>
      </c>
      <c r="GA197">
        <v>5.0320958166437038</v>
      </c>
      <c r="GB197">
        <v>6.8159619238808364</v>
      </c>
      <c r="GC197">
        <v>3.2993443343595317</v>
      </c>
      <c r="GD197">
        <v>4.3148701423997737</v>
      </c>
      <c r="GE197">
        <v>20.070781310906881</v>
      </c>
      <c r="GF197">
        <v>28.783264141230845</v>
      </c>
      <c r="GG197">
        <v>11.063702362446898</v>
      </c>
      <c r="GH197">
        <v>5.3603986408057089</v>
      </c>
      <c r="GI197">
        <v>10.890925138738092</v>
      </c>
      <c r="GJ197"/>
      <c r="GK197"/>
      <c r="GL197"/>
      <c r="GM197"/>
    </row>
    <row r="198" spans="1:195" s="7" customFormat="1">
      <c r="A198" s="128"/>
      <c r="B198" s="76" t="str">
        <f t="shared" ca="1" si="250"/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89.439748908141723</v>
      </c>
      <c r="AO198">
        <v>18.440143785391026</v>
      </c>
      <c r="AP198">
        <v>97.63180357559375</v>
      </c>
      <c r="AQ198">
        <v>102.6951759719819</v>
      </c>
      <c r="AR198">
        <v>16.764089132552442</v>
      </c>
      <c r="AS198">
        <v>83.414953958690845</v>
      </c>
      <c r="AT198" t="e">
        <v>#DIV/0!</v>
      </c>
      <c r="AU198" t="e">
        <v>#DIV/0!</v>
      </c>
      <c r="AV198"/>
      <c r="AW198"/>
      <c r="AX198" s="128"/>
      <c r="AY198" s="76" t="str">
        <f t="shared" ca="1" si="173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8"/>
        <v/>
      </c>
      <c r="CL198" s="179" t="str">
        <f t="shared" si="209"/>
        <v/>
      </c>
      <c r="CM198" s="180" t="str">
        <f t="shared" si="210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11"/>
        <v/>
      </c>
      <c r="DB198" s="128"/>
      <c r="DC198" s="76" t="str">
        <f t="shared" ca="1" si="174"/>
        <v/>
      </c>
      <c r="DD198" t="str">
        <f t="shared" si="212"/>
        <v/>
      </c>
      <c r="DE198" s="129" t="str">
        <f t="shared" ref="DE198:DE207" si="338">IF((DD198)="", "", $C$15)</f>
        <v/>
      </c>
      <c r="DF198" s="161" t="str">
        <f t="shared" si="285"/>
        <v/>
      </c>
      <c r="DG198" s="161" t="str">
        <f t="shared" si="286"/>
        <v/>
      </c>
      <c r="DH198" s="161" t="str">
        <f t="shared" si="287"/>
        <v/>
      </c>
      <c r="DI198" s="161" t="str">
        <f t="shared" si="288"/>
        <v/>
      </c>
      <c r="DJ198" s="161" t="str">
        <f t="shared" si="289"/>
        <v/>
      </c>
      <c r="DK198" s="161" t="str">
        <f t="shared" si="290"/>
        <v/>
      </c>
      <c r="DL198" s="161" t="str">
        <f t="shared" si="291"/>
        <v/>
      </c>
      <c r="DM198" s="161" t="str">
        <f t="shared" si="292"/>
        <v/>
      </c>
      <c r="DN198" s="161" t="str">
        <f t="shared" si="315"/>
        <v/>
      </c>
      <c r="DO198" s="161" t="str">
        <f t="shared" si="316"/>
        <v/>
      </c>
      <c r="DP198" s="161" t="str">
        <f t="shared" si="317"/>
        <v/>
      </c>
      <c r="DQ198" s="161" t="str">
        <f t="shared" si="318"/>
        <v/>
      </c>
      <c r="DR198" s="161" t="str">
        <f t="shared" si="319"/>
        <v/>
      </c>
      <c r="DS198" s="161" t="str">
        <f t="shared" si="320"/>
        <v/>
      </c>
      <c r="DT198" s="161" t="str">
        <f t="shared" si="321"/>
        <v/>
      </c>
      <c r="DU198" s="161" t="str">
        <f t="shared" si="322"/>
        <v/>
      </c>
      <c r="DV198" s="161" t="str">
        <f t="shared" si="323"/>
        <v/>
      </c>
      <c r="DW198" s="161" t="str">
        <f t="shared" si="324"/>
        <v/>
      </c>
      <c r="DX198" s="161" t="str">
        <f t="shared" si="325"/>
        <v/>
      </c>
      <c r="DY198" s="161" t="str">
        <f t="shared" si="326"/>
        <v/>
      </c>
      <c r="DZ198" s="161" t="str">
        <f t="shared" si="327"/>
        <v/>
      </c>
      <c r="EA198" s="161" t="str">
        <f t="shared" si="328"/>
        <v/>
      </c>
      <c r="EB198" s="161" t="str">
        <f t="shared" si="329"/>
        <v/>
      </c>
      <c r="EC198" s="161" t="str">
        <f t="shared" si="330"/>
        <v/>
      </c>
      <c r="ED198" s="161" t="str">
        <f t="shared" si="331"/>
        <v/>
      </c>
      <c r="EE198" s="161" t="str">
        <f t="shared" si="332"/>
        <v/>
      </c>
      <c r="EF198" s="161" t="str">
        <f t="shared" si="333"/>
        <v/>
      </c>
      <c r="EG198" s="161" t="str">
        <f t="shared" si="334"/>
        <v/>
      </c>
      <c r="EH198" s="161" t="str">
        <f t="shared" si="335"/>
        <v/>
      </c>
      <c r="EI198" s="161" t="str">
        <f t="shared" si="336"/>
        <v/>
      </c>
      <c r="EJ198" s="161" t="str">
        <f t="shared" si="337"/>
        <v/>
      </c>
      <c r="EK198" s="147" t="str">
        <f t="shared" si="251"/>
        <v/>
      </c>
      <c r="EL198" s="149"/>
      <c r="EN198" s="146"/>
      <c r="EO198" s="146"/>
      <c r="EP198" s="139" t="str">
        <f t="shared" si="252"/>
        <v/>
      </c>
      <c r="EQ198" s="139" t="str">
        <f t="shared" si="253"/>
        <v/>
      </c>
      <c r="ER198" s="139" t="str">
        <f t="shared" si="254"/>
        <v/>
      </c>
      <c r="ES198" s="139" t="str">
        <f t="shared" si="255"/>
        <v/>
      </c>
      <c r="ET198" s="139" t="str">
        <f t="shared" si="256"/>
        <v/>
      </c>
      <c r="EU198" s="139" t="str">
        <f t="shared" si="257"/>
        <v/>
      </c>
      <c r="EV198" s="139" t="str">
        <f t="shared" si="258"/>
        <v/>
      </c>
      <c r="EW198" s="139" t="str">
        <f t="shared" si="259"/>
        <v/>
      </c>
      <c r="EX198" s="139" t="str">
        <f t="shared" si="260"/>
        <v/>
      </c>
      <c r="EY198" s="139" t="str">
        <f t="shared" si="261"/>
        <v/>
      </c>
      <c r="EZ198" s="139" t="str">
        <f t="shared" si="262"/>
        <v/>
      </c>
      <c r="FA198" s="139" t="str">
        <f t="shared" si="263"/>
        <v/>
      </c>
      <c r="FB198" s="139" t="str">
        <f t="shared" si="264"/>
        <v/>
      </c>
      <c r="FC198" s="139" t="str">
        <f t="shared" si="265"/>
        <v/>
      </c>
      <c r="FD198" s="139" t="str">
        <f t="shared" si="266"/>
        <v/>
      </c>
      <c r="FE198" s="139" t="str">
        <f t="shared" si="267"/>
        <v/>
      </c>
      <c r="FF198" s="139" t="str">
        <f t="shared" si="268"/>
        <v/>
      </c>
      <c r="FG198" s="139" t="str">
        <f t="shared" si="269"/>
        <v/>
      </c>
      <c r="FH198" s="139" t="str">
        <f t="shared" si="270"/>
        <v/>
      </c>
      <c r="FI198" s="139" t="str">
        <f t="shared" si="271"/>
        <v/>
      </c>
      <c r="FJ198" s="139" t="str">
        <f t="shared" si="272"/>
        <v/>
      </c>
      <c r="FK198" s="139" t="str">
        <f t="shared" si="273"/>
        <v/>
      </c>
      <c r="FL198" s="139" t="str">
        <f t="shared" si="274"/>
        <v/>
      </c>
      <c r="FM198" s="139" t="str">
        <f t="shared" si="275"/>
        <v/>
      </c>
      <c r="FN198" s="139" t="str">
        <f t="shared" si="276"/>
        <v/>
      </c>
      <c r="FO198" s="139" t="str">
        <f t="shared" si="277"/>
        <v/>
      </c>
      <c r="FP198" s="139" t="str">
        <f t="shared" si="278"/>
        <v/>
      </c>
      <c r="FQ198" s="139" t="str">
        <f t="shared" si="279"/>
        <v/>
      </c>
      <c r="FR198" s="139" t="str">
        <f t="shared" si="280"/>
        <v/>
      </c>
      <c r="FS198" s="139" t="str">
        <f t="shared" si="281"/>
        <v/>
      </c>
      <c r="FT198" s="139" t="str">
        <f t="shared" si="282"/>
        <v/>
      </c>
      <c r="FU198" s="148" t="str">
        <f t="shared" si="283"/>
        <v/>
      </c>
      <c r="FV198" s="149"/>
      <c r="FY198" s="214">
        <v>193</v>
      </c>
      <c r="FZ198">
        <v>0.95174735912825725</v>
      </c>
      <c r="GA198">
        <v>8.8310681298998244</v>
      </c>
      <c r="GB198">
        <v>6.5176261176858086</v>
      </c>
      <c r="GC198">
        <v>2.1870793068375551</v>
      </c>
      <c r="GD198">
        <v>9.4317193609434824</v>
      </c>
      <c r="GE198">
        <v>19.829145749828175</v>
      </c>
      <c r="GF198">
        <v>11.728310688858455</v>
      </c>
      <c r="GG198">
        <v>10.478298778105758</v>
      </c>
      <c r="GH198">
        <v>5.3603986408057089</v>
      </c>
      <c r="GI198">
        <v>10.768929335673706</v>
      </c>
      <c r="GJ198"/>
      <c r="GK198"/>
      <c r="GL198"/>
      <c r="GM198"/>
    </row>
    <row r="199" spans="1:195" s="7" customFormat="1">
      <c r="A199" s="1"/>
      <c r="B199" s="76" t="str">
        <f t="shared" ca="1" si="250"/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84.931897186722864</v>
      </c>
      <c r="AO199">
        <v>18.297048495778405</v>
      </c>
      <c r="AP199">
        <v>85.043308910006616</v>
      </c>
      <c r="AQ199">
        <v>106.82052915470885</v>
      </c>
      <c r="AR199">
        <v>16.670630396745565</v>
      </c>
      <c r="AS199">
        <v>86.912291129239605</v>
      </c>
      <c r="AT199" t="e">
        <v>#DIV/0!</v>
      </c>
      <c r="AU199" t="e">
        <v>#DIV/0!</v>
      </c>
      <c r="AV199"/>
      <c r="AW199"/>
      <c r="AX199" s="146"/>
      <c r="AY199" s="76" t="str">
        <f t="shared" ca="1" si="173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8"/>
        <v/>
      </c>
      <c r="CL199" s="179" t="str">
        <f t="shared" si="209"/>
        <v/>
      </c>
      <c r="CM199" s="180" t="str">
        <f t="shared" si="210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11"/>
        <v/>
      </c>
      <c r="DB199" s="146"/>
      <c r="DC199" s="76" t="str">
        <f t="shared" ca="1" si="174"/>
        <v/>
      </c>
      <c r="DD199" t="str">
        <f t="shared" si="212"/>
        <v/>
      </c>
      <c r="DE199" s="129" t="str">
        <f t="shared" si="338"/>
        <v/>
      </c>
      <c r="DF199" s="161" t="str">
        <f t="shared" si="285"/>
        <v/>
      </c>
      <c r="DG199" s="161" t="str">
        <f t="shared" si="286"/>
        <v/>
      </c>
      <c r="DH199" s="161" t="str">
        <f t="shared" si="287"/>
        <v/>
      </c>
      <c r="DI199" s="161" t="str">
        <f t="shared" si="288"/>
        <v/>
      </c>
      <c r="DJ199" s="161" t="str">
        <f t="shared" si="289"/>
        <v/>
      </c>
      <c r="DK199" s="161" t="str">
        <f t="shared" si="290"/>
        <v/>
      </c>
      <c r="DL199" s="161" t="str">
        <f t="shared" si="291"/>
        <v/>
      </c>
      <c r="DM199" s="161" t="str">
        <f t="shared" si="292"/>
        <v/>
      </c>
      <c r="DN199" s="161" t="str">
        <f t="shared" si="315"/>
        <v/>
      </c>
      <c r="DO199" s="161" t="str">
        <f t="shared" si="316"/>
        <v/>
      </c>
      <c r="DP199" s="161" t="str">
        <f t="shared" si="317"/>
        <v/>
      </c>
      <c r="DQ199" s="161" t="str">
        <f t="shared" si="318"/>
        <v/>
      </c>
      <c r="DR199" s="161" t="str">
        <f t="shared" si="319"/>
        <v/>
      </c>
      <c r="DS199" s="161" t="str">
        <f t="shared" si="320"/>
        <v/>
      </c>
      <c r="DT199" s="161" t="str">
        <f t="shared" si="321"/>
        <v/>
      </c>
      <c r="DU199" s="161" t="str">
        <f t="shared" si="322"/>
        <v/>
      </c>
      <c r="DV199" s="161" t="str">
        <f t="shared" si="323"/>
        <v/>
      </c>
      <c r="DW199" s="161" t="str">
        <f t="shared" si="324"/>
        <v/>
      </c>
      <c r="DX199" s="161" t="str">
        <f t="shared" si="325"/>
        <v/>
      </c>
      <c r="DY199" s="161" t="str">
        <f t="shared" si="326"/>
        <v/>
      </c>
      <c r="DZ199" s="161" t="str">
        <f t="shared" si="327"/>
        <v/>
      </c>
      <c r="EA199" s="161" t="str">
        <f t="shared" si="328"/>
        <v/>
      </c>
      <c r="EB199" s="161" t="str">
        <f t="shared" si="329"/>
        <v/>
      </c>
      <c r="EC199" s="161" t="str">
        <f t="shared" si="330"/>
        <v/>
      </c>
      <c r="ED199" s="161" t="str">
        <f t="shared" si="331"/>
        <v/>
      </c>
      <c r="EE199" s="161" t="str">
        <f t="shared" si="332"/>
        <v/>
      </c>
      <c r="EF199" s="161" t="str">
        <f t="shared" si="333"/>
        <v/>
      </c>
      <c r="EG199" s="161" t="str">
        <f t="shared" si="334"/>
        <v/>
      </c>
      <c r="EH199" s="161" t="str">
        <f t="shared" si="335"/>
        <v/>
      </c>
      <c r="EI199" s="161" t="str">
        <f t="shared" si="336"/>
        <v/>
      </c>
      <c r="EJ199" s="161" t="str">
        <f t="shared" si="337"/>
        <v/>
      </c>
      <c r="EK199" s="147" t="str">
        <f t="shared" si="251"/>
        <v/>
      </c>
      <c r="EL199" s="149"/>
      <c r="EN199" s="146"/>
      <c r="EO199" s="146"/>
      <c r="EP199" s="139" t="str">
        <f t="shared" si="252"/>
        <v/>
      </c>
      <c r="EQ199" s="139" t="str">
        <f t="shared" si="253"/>
        <v/>
      </c>
      <c r="ER199" s="139" t="str">
        <f t="shared" si="254"/>
        <v/>
      </c>
      <c r="ES199" s="139" t="str">
        <f t="shared" si="255"/>
        <v/>
      </c>
      <c r="ET199" s="139" t="str">
        <f t="shared" si="256"/>
        <v/>
      </c>
      <c r="EU199" s="139" t="str">
        <f t="shared" si="257"/>
        <v/>
      </c>
      <c r="EV199" s="139" t="str">
        <f t="shared" si="258"/>
        <v/>
      </c>
      <c r="EW199" s="139" t="str">
        <f t="shared" si="259"/>
        <v/>
      </c>
      <c r="EX199" s="139" t="str">
        <f t="shared" si="260"/>
        <v/>
      </c>
      <c r="EY199" s="139" t="str">
        <f t="shared" si="261"/>
        <v/>
      </c>
      <c r="EZ199" s="139" t="str">
        <f t="shared" si="262"/>
        <v/>
      </c>
      <c r="FA199" s="139" t="str">
        <f t="shared" si="263"/>
        <v/>
      </c>
      <c r="FB199" s="139" t="str">
        <f t="shared" si="264"/>
        <v/>
      </c>
      <c r="FC199" s="139" t="str">
        <f t="shared" si="265"/>
        <v/>
      </c>
      <c r="FD199" s="139" t="str">
        <f t="shared" si="266"/>
        <v/>
      </c>
      <c r="FE199" s="139" t="str">
        <f t="shared" si="267"/>
        <v/>
      </c>
      <c r="FF199" s="139" t="str">
        <f t="shared" si="268"/>
        <v/>
      </c>
      <c r="FG199" s="139" t="str">
        <f t="shared" si="269"/>
        <v/>
      </c>
      <c r="FH199" s="139" t="str">
        <f t="shared" si="270"/>
        <v/>
      </c>
      <c r="FI199" s="139" t="str">
        <f t="shared" si="271"/>
        <v/>
      </c>
      <c r="FJ199" s="139" t="str">
        <f t="shared" si="272"/>
        <v/>
      </c>
      <c r="FK199" s="139" t="str">
        <f t="shared" si="273"/>
        <v/>
      </c>
      <c r="FL199" s="139" t="str">
        <f t="shared" si="274"/>
        <v/>
      </c>
      <c r="FM199" s="139" t="str">
        <f t="shared" si="275"/>
        <v/>
      </c>
      <c r="FN199" s="139" t="str">
        <f t="shared" si="276"/>
        <v/>
      </c>
      <c r="FO199" s="139" t="str">
        <f t="shared" si="277"/>
        <v/>
      </c>
      <c r="FP199" s="139" t="str">
        <f t="shared" si="278"/>
        <v/>
      </c>
      <c r="FQ199" s="139" t="str">
        <f t="shared" si="279"/>
        <v/>
      </c>
      <c r="FR199" s="139" t="str">
        <f t="shared" si="280"/>
        <v/>
      </c>
      <c r="FS199" s="139" t="str">
        <f t="shared" si="281"/>
        <v/>
      </c>
      <c r="FT199" s="139" t="str">
        <f t="shared" si="282"/>
        <v/>
      </c>
      <c r="FU199" s="148" t="str">
        <f t="shared" si="283"/>
        <v/>
      </c>
      <c r="FV199" s="149"/>
      <c r="FY199" s="214">
        <v>194</v>
      </c>
      <c r="FZ199">
        <v>0.95757258652345278</v>
      </c>
      <c r="GA199">
        <v>16.853558586974447</v>
      </c>
      <c r="GB199">
        <v>17.566867567702069</v>
      </c>
      <c r="GC199">
        <v>5.6069233245402472</v>
      </c>
      <c r="GD199">
        <v>6.8623171475387332</v>
      </c>
      <c r="GE199">
        <v>16.969967051687096</v>
      </c>
      <c r="GF199">
        <v>14.55185985214681</v>
      </c>
      <c r="GG199">
        <v>8.3288514520334722</v>
      </c>
      <c r="GH199">
        <v>2.5115328924623825</v>
      </c>
      <c r="GI199">
        <v>12.022915289440784</v>
      </c>
      <c r="GJ199"/>
      <c r="GK199"/>
      <c r="GL199"/>
      <c r="GM199"/>
    </row>
    <row r="200" spans="1:195" s="7" customFormat="1">
      <c r="A200" s="1"/>
      <c r="B200" s="76" t="str">
        <f t="shared" ca="1" si="250"/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81.954045230248923</v>
      </c>
      <c r="AO200">
        <v>13.832805657045208</v>
      </c>
      <c r="AP200">
        <v>59.877889749099822</v>
      </c>
      <c r="AQ200">
        <v>88.882046109106966</v>
      </c>
      <c r="AR200">
        <v>12.588453331851721</v>
      </c>
      <c r="AS200">
        <v>70.510460185648341</v>
      </c>
      <c r="AT200" t="e">
        <v>#DIV/0!</v>
      </c>
      <c r="AU200" t="e">
        <v>#DIV/0!</v>
      </c>
      <c r="AV200"/>
      <c r="AW200"/>
      <c r="AX200" s="146"/>
      <c r="AY200" s="76" t="str">
        <f t="shared" ca="1" si="173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8"/>
        <v/>
      </c>
      <c r="CL200" s="179" t="str">
        <f t="shared" si="209"/>
        <v/>
      </c>
      <c r="CM200" s="180" t="str">
        <f t="shared" si="210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11"/>
        <v/>
      </c>
      <c r="DB200" s="146"/>
      <c r="DC200" s="76" t="str">
        <f t="shared" ca="1" si="174"/>
        <v/>
      </c>
      <c r="DD200" t="str">
        <f t="shared" si="212"/>
        <v/>
      </c>
      <c r="DE200" s="129" t="str">
        <f t="shared" si="338"/>
        <v/>
      </c>
      <c r="DF200" s="161" t="str">
        <f t="shared" si="285"/>
        <v/>
      </c>
      <c r="DG200" s="161" t="str">
        <f t="shared" si="286"/>
        <v/>
      </c>
      <c r="DH200" s="161" t="str">
        <f t="shared" si="287"/>
        <v/>
      </c>
      <c r="DI200" s="161" t="str">
        <f t="shared" si="288"/>
        <v/>
      </c>
      <c r="DJ200" s="161" t="str">
        <f t="shared" si="289"/>
        <v/>
      </c>
      <c r="DK200" s="161" t="str">
        <f t="shared" si="290"/>
        <v/>
      </c>
      <c r="DL200" s="161" t="str">
        <f t="shared" si="291"/>
        <v/>
      </c>
      <c r="DM200" s="161" t="str">
        <f t="shared" si="292"/>
        <v/>
      </c>
      <c r="DN200" s="161" t="str">
        <f t="shared" si="315"/>
        <v/>
      </c>
      <c r="DO200" s="161" t="str">
        <f t="shared" si="316"/>
        <v/>
      </c>
      <c r="DP200" s="161" t="str">
        <f t="shared" si="317"/>
        <v/>
      </c>
      <c r="DQ200" s="161" t="str">
        <f t="shared" si="318"/>
        <v/>
      </c>
      <c r="DR200" s="161" t="str">
        <f t="shared" si="319"/>
        <v/>
      </c>
      <c r="DS200" s="161" t="str">
        <f t="shared" si="320"/>
        <v/>
      </c>
      <c r="DT200" s="161" t="str">
        <f t="shared" si="321"/>
        <v/>
      </c>
      <c r="DU200" s="161" t="str">
        <f t="shared" si="322"/>
        <v/>
      </c>
      <c r="DV200" s="161" t="str">
        <f t="shared" si="323"/>
        <v/>
      </c>
      <c r="DW200" s="161" t="str">
        <f t="shared" si="324"/>
        <v/>
      </c>
      <c r="DX200" s="161" t="str">
        <f t="shared" si="325"/>
        <v/>
      </c>
      <c r="DY200" s="161" t="str">
        <f t="shared" si="326"/>
        <v/>
      </c>
      <c r="DZ200" s="161" t="str">
        <f t="shared" si="327"/>
        <v/>
      </c>
      <c r="EA200" s="161" t="str">
        <f t="shared" si="328"/>
        <v/>
      </c>
      <c r="EB200" s="161" t="str">
        <f t="shared" si="329"/>
        <v/>
      </c>
      <c r="EC200" s="161" t="str">
        <f t="shared" si="330"/>
        <v/>
      </c>
      <c r="ED200" s="161" t="str">
        <f t="shared" si="331"/>
        <v/>
      </c>
      <c r="EE200" s="161" t="str">
        <f t="shared" si="332"/>
        <v/>
      </c>
      <c r="EF200" s="161" t="str">
        <f t="shared" si="333"/>
        <v/>
      </c>
      <c r="EG200" s="161" t="str">
        <f t="shared" si="334"/>
        <v/>
      </c>
      <c r="EH200" s="161" t="str">
        <f t="shared" si="335"/>
        <v/>
      </c>
      <c r="EI200" s="161" t="str">
        <f t="shared" si="336"/>
        <v/>
      </c>
      <c r="EJ200" s="161" t="str">
        <f t="shared" si="337"/>
        <v/>
      </c>
      <c r="EK200" s="147" t="str">
        <f t="shared" si="251"/>
        <v/>
      </c>
      <c r="EL200" s="149"/>
      <c r="EN200" s="146"/>
      <c r="EO200" s="146"/>
      <c r="EP200" s="139" t="str">
        <f t="shared" si="252"/>
        <v/>
      </c>
      <c r="EQ200" s="139" t="str">
        <f t="shared" si="253"/>
        <v/>
      </c>
      <c r="ER200" s="139" t="str">
        <f t="shared" si="254"/>
        <v/>
      </c>
      <c r="ES200" s="139" t="str">
        <f t="shared" si="255"/>
        <v/>
      </c>
      <c r="ET200" s="139" t="str">
        <f t="shared" si="256"/>
        <v/>
      </c>
      <c r="EU200" s="139" t="str">
        <f t="shared" si="257"/>
        <v/>
      </c>
      <c r="EV200" s="139" t="str">
        <f t="shared" si="258"/>
        <v/>
      </c>
      <c r="EW200" s="139" t="str">
        <f t="shared" si="259"/>
        <v/>
      </c>
      <c r="EX200" s="139" t="str">
        <f t="shared" si="260"/>
        <v/>
      </c>
      <c r="EY200" s="139" t="str">
        <f t="shared" si="261"/>
        <v/>
      </c>
      <c r="EZ200" s="139" t="str">
        <f t="shared" si="262"/>
        <v/>
      </c>
      <c r="FA200" s="139" t="str">
        <f t="shared" si="263"/>
        <v/>
      </c>
      <c r="FB200" s="139" t="str">
        <f t="shared" si="264"/>
        <v/>
      </c>
      <c r="FC200" s="139" t="str">
        <f t="shared" si="265"/>
        <v/>
      </c>
      <c r="FD200" s="139" t="str">
        <f t="shared" si="266"/>
        <v/>
      </c>
      <c r="FE200" s="139" t="str">
        <f t="shared" si="267"/>
        <v/>
      </c>
      <c r="FF200" s="139" t="str">
        <f t="shared" si="268"/>
        <v/>
      </c>
      <c r="FG200" s="139" t="str">
        <f t="shared" si="269"/>
        <v/>
      </c>
      <c r="FH200" s="139" t="str">
        <f t="shared" si="270"/>
        <v/>
      </c>
      <c r="FI200" s="139" t="str">
        <f t="shared" si="271"/>
        <v/>
      </c>
      <c r="FJ200" s="139" t="str">
        <f t="shared" si="272"/>
        <v/>
      </c>
      <c r="FK200" s="139" t="str">
        <f t="shared" si="273"/>
        <v/>
      </c>
      <c r="FL200" s="139" t="str">
        <f t="shared" si="274"/>
        <v/>
      </c>
      <c r="FM200" s="139" t="str">
        <f t="shared" si="275"/>
        <v/>
      </c>
      <c r="FN200" s="139" t="str">
        <f t="shared" si="276"/>
        <v/>
      </c>
      <c r="FO200" s="139" t="str">
        <f t="shared" si="277"/>
        <v/>
      </c>
      <c r="FP200" s="139" t="str">
        <f t="shared" si="278"/>
        <v/>
      </c>
      <c r="FQ200" s="139" t="str">
        <f t="shared" si="279"/>
        <v/>
      </c>
      <c r="FR200" s="139" t="str">
        <f t="shared" si="280"/>
        <v/>
      </c>
      <c r="FS200" s="139" t="str">
        <f t="shared" si="281"/>
        <v/>
      </c>
      <c r="FT200" s="139" t="str">
        <f t="shared" si="282"/>
        <v/>
      </c>
      <c r="FU200" s="148" t="str">
        <f t="shared" si="283"/>
        <v/>
      </c>
      <c r="FV200" s="149"/>
      <c r="FY200" s="214">
        <v>195</v>
      </c>
      <c r="FZ200">
        <v>0.8516061953299503</v>
      </c>
      <c r="GA200">
        <v>11.228886630868422</v>
      </c>
      <c r="GB200">
        <v>9.3687760788602361</v>
      </c>
      <c r="GC200">
        <v>2.9177573991133436</v>
      </c>
      <c r="GD200">
        <v>1.6933632445824278</v>
      </c>
      <c r="GE200">
        <v>9.8360001138988515</v>
      </c>
      <c r="GF200">
        <v>22.215470225168392</v>
      </c>
      <c r="GG200">
        <v>9.1503274641726691</v>
      </c>
      <c r="GH200">
        <v>2.038767181988276</v>
      </c>
      <c r="GI200">
        <v>7.9771838927025058</v>
      </c>
      <c r="GJ200"/>
      <c r="GK200"/>
      <c r="GL200"/>
      <c r="GM200"/>
    </row>
    <row r="201" spans="1:195" s="7" customFormat="1">
      <c r="A201" s="1"/>
      <c r="B201" s="76" t="str">
        <f t="shared" ca="1" si="250"/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75.412262707658428</v>
      </c>
      <c r="AO201">
        <v>10.554684725297745</v>
      </c>
      <c r="AP201">
        <v>32.78580633147503</v>
      </c>
      <c r="AQ201">
        <v>68.661338554956984</v>
      </c>
      <c r="AR201">
        <v>9.786241862315519</v>
      </c>
      <c r="AS201">
        <v>60.3176694470774</v>
      </c>
      <c r="AT201">
        <v>5.6949797660462558</v>
      </c>
      <c r="AU201">
        <v>18.139230515975726</v>
      </c>
      <c r="AV201"/>
      <c r="AW201"/>
      <c r="AX201" s="146"/>
      <c r="AY201" s="76" t="str">
        <f t="shared" ca="1" si="173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8"/>
        <v/>
      </c>
      <c r="CL201" s="179" t="str">
        <f t="shared" si="209"/>
        <v/>
      </c>
      <c r="CM201" s="180" t="str">
        <f t="shared" si="210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11"/>
        <v/>
      </c>
      <c r="DB201" s="146"/>
      <c r="DC201" s="76" t="str">
        <f t="shared" ca="1" si="174"/>
        <v/>
      </c>
      <c r="DD201" t="str">
        <f t="shared" si="212"/>
        <v/>
      </c>
      <c r="DE201" s="129" t="str">
        <f t="shared" si="338"/>
        <v/>
      </c>
      <c r="DF201" s="161" t="str">
        <f t="shared" si="285"/>
        <v/>
      </c>
      <c r="DG201" s="161" t="str">
        <f t="shared" si="286"/>
        <v/>
      </c>
      <c r="DH201" s="161" t="str">
        <f t="shared" si="287"/>
        <v/>
      </c>
      <c r="DI201" s="161" t="str">
        <f t="shared" si="288"/>
        <v/>
      </c>
      <c r="DJ201" s="161" t="str">
        <f t="shared" si="289"/>
        <v/>
      </c>
      <c r="DK201" s="161" t="str">
        <f t="shared" si="290"/>
        <v/>
      </c>
      <c r="DL201" s="161" t="str">
        <f t="shared" si="291"/>
        <v/>
      </c>
      <c r="DM201" s="161" t="str">
        <f t="shared" si="292"/>
        <v/>
      </c>
      <c r="DN201" s="161" t="str">
        <f t="shared" si="315"/>
        <v/>
      </c>
      <c r="DO201" s="161" t="str">
        <f t="shared" si="316"/>
        <v/>
      </c>
      <c r="DP201" s="161" t="str">
        <f t="shared" si="317"/>
        <v/>
      </c>
      <c r="DQ201" s="161" t="str">
        <f t="shared" si="318"/>
        <v/>
      </c>
      <c r="DR201" s="161" t="str">
        <f t="shared" si="319"/>
        <v/>
      </c>
      <c r="DS201" s="161" t="str">
        <f t="shared" si="320"/>
        <v/>
      </c>
      <c r="DT201" s="161" t="str">
        <f t="shared" si="321"/>
        <v/>
      </c>
      <c r="DU201" s="161" t="str">
        <f t="shared" si="322"/>
        <v/>
      </c>
      <c r="DV201" s="161" t="str">
        <f t="shared" si="323"/>
        <v/>
      </c>
      <c r="DW201" s="161" t="str">
        <f t="shared" si="324"/>
        <v/>
      </c>
      <c r="DX201" s="161" t="str">
        <f t="shared" si="325"/>
        <v/>
      </c>
      <c r="DY201" s="161" t="str">
        <f t="shared" si="326"/>
        <v/>
      </c>
      <c r="DZ201" s="161" t="str">
        <f t="shared" si="327"/>
        <v/>
      </c>
      <c r="EA201" s="161" t="str">
        <f t="shared" si="328"/>
        <v/>
      </c>
      <c r="EB201" s="161" t="str">
        <f t="shared" si="329"/>
        <v/>
      </c>
      <c r="EC201" s="161" t="str">
        <f t="shared" si="330"/>
        <v/>
      </c>
      <c r="ED201" s="161" t="str">
        <f t="shared" si="331"/>
        <v/>
      </c>
      <c r="EE201" s="161" t="str">
        <f t="shared" si="332"/>
        <v/>
      </c>
      <c r="EF201" s="161" t="str">
        <f t="shared" si="333"/>
        <v/>
      </c>
      <c r="EG201" s="161" t="str">
        <f t="shared" si="334"/>
        <v/>
      </c>
      <c r="EH201" s="161" t="str">
        <f t="shared" si="335"/>
        <v/>
      </c>
      <c r="EI201" s="161" t="str">
        <f t="shared" si="336"/>
        <v/>
      </c>
      <c r="EJ201" s="161" t="str">
        <f t="shared" si="337"/>
        <v/>
      </c>
      <c r="EK201" s="147" t="str">
        <f t="shared" si="251"/>
        <v/>
      </c>
      <c r="EL201" s="149"/>
      <c r="EN201" s="146"/>
      <c r="EO201" s="146"/>
      <c r="EP201" s="139" t="str">
        <f t="shared" si="252"/>
        <v/>
      </c>
      <c r="EQ201" s="139" t="str">
        <f t="shared" si="253"/>
        <v/>
      </c>
      <c r="ER201" s="139" t="str">
        <f t="shared" si="254"/>
        <v/>
      </c>
      <c r="ES201" s="139" t="str">
        <f t="shared" si="255"/>
        <v/>
      </c>
      <c r="ET201" s="139" t="str">
        <f t="shared" si="256"/>
        <v/>
      </c>
      <c r="EU201" s="139" t="str">
        <f t="shared" si="257"/>
        <v/>
      </c>
      <c r="EV201" s="139" t="str">
        <f t="shared" si="258"/>
        <v/>
      </c>
      <c r="EW201" s="139" t="str">
        <f t="shared" si="259"/>
        <v/>
      </c>
      <c r="EX201" s="139" t="str">
        <f t="shared" si="260"/>
        <v/>
      </c>
      <c r="EY201" s="139" t="str">
        <f t="shared" si="261"/>
        <v/>
      </c>
      <c r="EZ201" s="139" t="str">
        <f t="shared" si="262"/>
        <v/>
      </c>
      <c r="FA201" s="139" t="str">
        <f t="shared" si="263"/>
        <v/>
      </c>
      <c r="FB201" s="139" t="str">
        <f t="shared" si="264"/>
        <v/>
      </c>
      <c r="FC201" s="139" t="str">
        <f t="shared" si="265"/>
        <v/>
      </c>
      <c r="FD201" s="139" t="str">
        <f t="shared" si="266"/>
        <v/>
      </c>
      <c r="FE201" s="139" t="str">
        <f t="shared" si="267"/>
        <v/>
      </c>
      <c r="FF201" s="139" t="str">
        <f t="shared" si="268"/>
        <v/>
      </c>
      <c r="FG201" s="139" t="str">
        <f t="shared" si="269"/>
        <v/>
      </c>
      <c r="FH201" s="139" t="str">
        <f t="shared" si="270"/>
        <v/>
      </c>
      <c r="FI201" s="139" t="str">
        <f t="shared" si="271"/>
        <v/>
      </c>
      <c r="FJ201" s="139" t="str">
        <f t="shared" si="272"/>
        <v/>
      </c>
      <c r="FK201" s="139" t="str">
        <f t="shared" si="273"/>
        <v/>
      </c>
      <c r="FL201" s="139" t="str">
        <f t="shared" si="274"/>
        <v/>
      </c>
      <c r="FM201" s="139" t="str">
        <f t="shared" si="275"/>
        <v/>
      </c>
      <c r="FN201" s="139" t="str">
        <f t="shared" si="276"/>
        <v/>
      </c>
      <c r="FO201" s="139" t="str">
        <f t="shared" si="277"/>
        <v/>
      </c>
      <c r="FP201" s="139" t="str">
        <f t="shared" si="278"/>
        <v/>
      </c>
      <c r="FQ201" s="139" t="str">
        <f t="shared" si="279"/>
        <v/>
      </c>
      <c r="FR201" s="139" t="str">
        <f t="shared" si="280"/>
        <v/>
      </c>
      <c r="FS201" s="139" t="str">
        <f t="shared" si="281"/>
        <v/>
      </c>
      <c r="FT201" s="139" t="str">
        <f t="shared" si="282"/>
        <v/>
      </c>
      <c r="FU201" s="148" t="str">
        <f t="shared" si="283"/>
        <v/>
      </c>
      <c r="FV201" s="149"/>
      <c r="FY201" s="214">
        <v>196</v>
      </c>
      <c r="FZ201">
        <v>0.6262219994421161</v>
      </c>
      <c r="GA201">
        <v>4.8666756885519966</v>
      </c>
      <c r="GB201">
        <v>7.0643561292385364</v>
      </c>
      <c r="GC201">
        <v>3.2291511552019818</v>
      </c>
      <c r="GD201">
        <v>3.7364807027867326</v>
      </c>
      <c r="GE201">
        <v>8.4613796276955995</v>
      </c>
      <c r="GF201">
        <v>17.303701460400312</v>
      </c>
      <c r="GG201">
        <v>16.229790865453634</v>
      </c>
      <c r="GH201">
        <v>3.4891281113839954</v>
      </c>
      <c r="GI201">
        <v>8.2573163943668586</v>
      </c>
      <c r="GJ201"/>
      <c r="GK201"/>
      <c r="GL201"/>
      <c r="GM201"/>
    </row>
    <row r="202" spans="1:195" s="7" customFormat="1">
      <c r="A202" s="1"/>
      <c r="B202" s="76" t="str">
        <f t="shared" ca="1" si="250"/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67.003244551997767</v>
      </c>
      <c r="AO202">
        <v>12.495123779630321</v>
      </c>
      <c r="AP202">
        <v>45.492753419148322</v>
      </c>
      <c r="AQ202">
        <v>81.561008740052785</v>
      </c>
      <c r="AR202">
        <v>11.36016960080029</v>
      </c>
      <c r="AS202">
        <v>59.035093091720789</v>
      </c>
      <c r="AT202" t="e">
        <v>#DIV/0!</v>
      </c>
      <c r="AU202" t="e">
        <v>#DIV/0!</v>
      </c>
      <c r="AV202"/>
      <c r="AW202"/>
      <c r="AX202" s="146"/>
      <c r="AY202" s="76" t="str">
        <f t="shared" ca="1" si="173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8"/>
        <v/>
      </c>
      <c r="CL202" s="179" t="str">
        <f t="shared" si="209"/>
        <v/>
      </c>
      <c r="CM202" s="180" t="str">
        <f t="shared" si="210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11"/>
        <v/>
      </c>
      <c r="DB202" s="146"/>
      <c r="DC202" s="76" t="str">
        <f t="shared" ca="1" si="174"/>
        <v/>
      </c>
      <c r="DD202" t="str">
        <f t="shared" si="212"/>
        <v/>
      </c>
      <c r="DE202" s="129" t="str">
        <f t="shared" si="338"/>
        <v/>
      </c>
      <c r="DF202" s="161" t="str">
        <f t="shared" si="285"/>
        <v/>
      </c>
      <c r="DG202" s="161" t="str">
        <f t="shared" si="286"/>
        <v/>
      </c>
      <c r="DH202" s="161" t="str">
        <f t="shared" si="287"/>
        <v/>
      </c>
      <c r="DI202" s="161" t="str">
        <f t="shared" si="288"/>
        <v/>
      </c>
      <c r="DJ202" s="161" t="str">
        <f t="shared" si="289"/>
        <v/>
      </c>
      <c r="DK202" s="161" t="str">
        <f t="shared" si="290"/>
        <v/>
      </c>
      <c r="DL202" s="161" t="str">
        <f t="shared" si="291"/>
        <v/>
      </c>
      <c r="DM202" s="161" t="str">
        <f t="shared" si="292"/>
        <v/>
      </c>
      <c r="DN202" s="161" t="str">
        <f t="shared" si="315"/>
        <v/>
      </c>
      <c r="DO202" s="161" t="str">
        <f t="shared" si="316"/>
        <v/>
      </c>
      <c r="DP202" s="161" t="str">
        <f t="shared" si="317"/>
        <v/>
      </c>
      <c r="DQ202" s="161" t="str">
        <f t="shared" si="318"/>
        <v/>
      </c>
      <c r="DR202" s="161" t="str">
        <f t="shared" si="319"/>
        <v/>
      </c>
      <c r="DS202" s="161" t="str">
        <f t="shared" si="320"/>
        <v/>
      </c>
      <c r="DT202" s="161" t="str">
        <f t="shared" si="321"/>
        <v/>
      </c>
      <c r="DU202" s="161" t="str">
        <f t="shared" si="322"/>
        <v/>
      </c>
      <c r="DV202" s="161" t="str">
        <f t="shared" si="323"/>
        <v/>
      </c>
      <c r="DW202" s="161" t="str">
        <f t="shared" si="324"/>
        <v/>
      </c>
      <c r="DX202" s="161" t="str">
        <f t="shared" si="325"/>
        <v/>
      </c>
      <c r="DY202" s="161" t="str">
        <f t="shared" si="326"/>
        <v/>
      </c>
      <c r="DZ202" s="161" t="str">
        <f t="shared" si="327"/>
        <v/>
      </c>
      <c r="EA202" s="161" t="str">
        <f t="shared" si="328"/>
        <v/>
      </c>
      <c r="EB202" s="161" t="str">
        <f t="shared" si="329"/>
        <v/>
      </c>
      <c r="EC202" s="161" t="str">
        <f t="shared" si="330"/>
        <v/>
      </c>
      <c r="ED202" s="161" t="str">
        <f t="shared" si="331"/>
        <v/>
      </c>
      <c r="EE202" s="161" t="str">
        <f t="shared" si="332"/>
        <v/>
      </c>
      <c r="EF202" s="161" t="str">
        <f t="shared" si="333"/>
        <v/>
      </c>
      <c r="EG202" s="161" t="str">
        <f t="shared" si="334"/>
        <v/>
      </c>
      <c r="EH202" s="161" t="str">
        <f t="shared" si="335"/>
        <v/>
      </c>
      <c r="EI202" s="161" t="str">
        <f t="shared" si="336"/>
        <v/>
      </c>
      <c r="EJ202" s="161" t="str">
        <f t="shared" si="337"/>
        <v/>
      </c>
      <c r="EK202" s="147" t="str">
        <f t="shared" si="251"/>
        <v/>
      </c>
      <c r="EL202" s="149"/>
      <c r="EN202" s="146"/>
      <c r="EO202" s="146"/>
      <c r="EP202" s="139" t="str">
        <f t="shared" si="252"/>
        <v/>
      </c>
      <c r="EQ202" s="139" t="str">
        <f t="shared" si="253"/>
        <v/>
      </c>
      <c r="ER202" s="139" t="str">
        <f t="shared" si="254"/>
        <v/>
      </c>
      <c r="ES202" s="139" t="str">
        <f t="shared" si="255"/>
        <v/>
      </c>
      <c r="ET202" s="139" t="str">
        <f t="shared" si="256"/>
        <v/>
      </c>
      <c r="EU202" s="139" t="str">
        <f t="shared" si="257"/>
        <v/>
      </c>
      <c r="EV202" s="139" t="str">
        <f t="shared" si="258"/>
        <v/>
      </c>
      <c r="EW202" s="139" t="str">
        <f t="shared" si="259"/>
        <v/>
      </c>
      <c r="EX202" s="139" t="str">
        <f t="shared" si="260"/>
        <v/>
      </c>
      <c r="EY202" s="139" t="str">
        <f t="shared" si="261"/>
        <v/>
      </c>
      <c r="EZ202" s="139" t="str">
        <f t="shared" si="262"/>
        <v/>
      </c>
      <c r="FA202" s="139" t="str">
        <f t="shared" si="263"/>
        <v/>
      </c>
      <c r="FB202" s="139" t="str">
        <f t="shared" si="264"/>
        <v/>
      </c>
      <c r="FC202" s="139" t="str">
        <f t="shared" si="265"/>
        <v/>
      </c>
      <c r="FD202" s="139" t="str">
        <f t="shared" si="266"/>
        <v/>
      </c>
      <c r="FE202" s="139" t="str">
        <f t="shared" si="267"/>
        <v/>
      </c>
      <c r="FF202" s="139" t="str">
        <f t="shared" si="268"/>
        <v/>
      </c>
      <c r="FG202" s="139" t="str">
        <f t="shared" si="269"/>
        <v/>
      </c>
      <c r="FH202" s="139" t="str">
        <f t="shared" si="270"/>
        <v/>
      </c>
      <c r="FI202" s="139" t="str">
        <f t="shared" si="271"/>
        <v/>
      </c>
      <c r="FJ202" s="139" t="str">
        <f t="shared" si="272"/>
        <v/>
      </c>
      <c r="FK202" s="139" t="str">
        <f t="shared" si="273"/>
        <v/>
      </c>
      <c r="FL202" s="139" t="str">
        <f t="shared" si="274"/>
        <v/>
      </c>
      <c r="FM202" s="139" t="str">
        <f t="shared" si="275"/>
        <v/>
      </c>
      <c r="FN202" s="139" t="str">
        <f t="shared" si="276"/>
        <v/>
      </c>
      <c r="FO202" s="139" t="str">
        <f t="shared" si="277"/>
        <v/>
      </c>
      <c r="FP202" s="139" t="str">
        <f t="shared" si="278"/>
        <v/>
      </c>
      <c r="FQ202" s="139" t="str">
        <f t="shared" si="279"/>
        <v/>
      </c>
      <c r="FR202" s="139" t="str">
        <f t="shared" si="280"/>
        <v/>
      </c>
      <c r="FS202" s="139" t="str">
        <f t="shared" si="281"/>
        <v/>
      </c>
      <c r="FT202" s="139" t="str">
        <f t="shared" si="282"/>
        <v/>
      </c>
      <c r="FU202" s="148" t="str">
        <f t="shared" si="283"/>
        <v/>
      </c>
      <c r="FV202" s="149"/>
      <c r="FY202" s="214">
        <v>197</v>
      </c>
      <c r="FZ202">
        <v>1.0085651291979194</v>
      </c>
      <c r="GA202">
        <v>8.1122676948593462</v>
      </c>
      <c r="GB202">
        <v>9.1313695200297182</v>
      </c>
      <c r="GC202">
        <v>3.9634503546546105</v>
      </c>
      <c r="GD202">
        <v>1.8075226082584868</v>
      </c>
      <c r="GE202">
        <v>2.8090429637038445</v>
      </c>
      <c r="GF202">
        <v>8.3835110237724155</v>
      </c>
      <c r="GG202">
        <v>12.137852006470197</v>
      </c>
      <c r="GH202">
        <v>8.7657784259064222</v>
      </c>
      <c r="GI202">
        <v>6.6122136403896548</v>
      </c>
      <c r="GJ202"/>
      <c r="GK202"/>
      <c r="GL202"/>
      <c r="GM202"/>
    </row>
    <row r="203" spans="1:195" s="7" customFormat="1">
      <c r="A203" s="1"/>
      <c r="B203" s="76" t="str">
        <f t="shared" ca="1" si="250"/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93.186811884315176</v>
      </c>
      <c r="AO203">
        <v>21.345600150415038</v>
      </c>
      <c r="AP203">
        <v>117.76322503051139</v>
      </c>
      <c r="AQ203">
        <v>114.8351063964962</v>
      </c>
      <c r="AR203">
        <v>19.608374273096402</v>
      </c>
      <c r="AS203">
        <v>97.434013081274983</v>
      </c>
      <c r="AT203">
        <v>10.700696462349763</v>
      </c>
      <c r="AU203">
        <v>29.519129746839095</v>
      </c>
      <c r="AV203"/>
      <c r="AW203"/>
      <c r="AX203" s="146"/>
      <c r="AY203" s="76" t="str">
        <f t="shared" ca="1" si="173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8"/>
        <v/>
      </c>
      <c r="CL203" s="179" t="str">
        <f t="shared" si="209"/>
        <v/>
      </c>
      <c r="CM203" s="180" t="str">
        <f t="shared" si="210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11"/>
        <v/>
      </c>
      <c r="DB203" s="146"/>
      <c r="DC203" s="76" t="str">
        <f t="shared" ca="1" si="174"/>
        <v/>
      </c>
      <c r="DD203" t="str">
        <f t="shared" si="212"/>
        <v/>
      </c>
      <c r="DE203" s="129" t="str">
        <f t="shared" si="338"/>
        <v/>
      </c>
      <c r="DF203" s="161" t="str">
        <f t="shared" si="285"/>
        <v/>
      </c>
      <c r="DG203" s="161" t="str">
        <f t="shared" si="286"/>
        <v/>
      </c>
      <c r="DH203" s="161" t="str">
        <f t="shared" si="287"/>
        <v/>
      </c>
      <c r="DI203" s="161" t="str">
        <f t="shared" si="288"/>
        <v/>
      </c>
      <c r="DJ203" s="161" t="str">
        <f t="shared" si="289"/>
        <v/>
      </c>
      <c r="DK203" s="161" t="str">
        <f t="shared" si="290"/>
        <v/>
      </c>
      <c r="DL203" s="161" t="str">
        <f t="shared" si="291"/>
        <v/>
      </c>
      <c r="DM203" s="161" t="str">
        <f t="shared" si="292"/>
        <v/>
      </c>
      <c r="DN203" s="161" t="str">
        <f t="shared" si="315"/>
        <v/>
      </c>
      <c r="DO203" s="161" t="str">
        <f t="shared" si="316"/>
        <v/>
      </c>
      <c r="DP203" s="161" t="str">
        <f t="shared" si="317"/>
        <v/>
      </c>
      <c r="DQ203" s="161" t="str">
        <f t="shared" si="318"/>
        <v/>
      </c>
      <c r="DR203" s="161" t="str">
        <f t="shared" si="319"/>
        <v/>
      </c>
      <c r="DS203" s="161" t="str">
        <f t="shared" si="320"/>
        <v/>
      </c>
      <c r="DT203" s="161" t="str">
        <f t="shared" si="321"/>
        <v/>
      </c>
      <c r="DU203" s="161" t="str">
        <f t="shared" si="322"/>
        <v/>
      </c>
      <c r="DV203" s="161" t="str">
        <f t="shared" si="323"/>
        <v/>
      </c>
      <c r="DW203" s="161" t="str">
        <f t="shared" si="324"/>
        <v/>
      </c>
      <c r="DX203" s="161" t="str">
        <f t="shared" si="325"/>
        <v/>
      </c>
      <c r="DY203" s="161" t="str">
        <f t="shared" si="326"/>
        <v/>
      </c>
      <c r="DZ203" s="161" t="str">
        <f t="shared" si="327"/>
        <v/>
      </c>
      <c r="EA203" s="161" t="str">
        <f t="shared" si="328"/>
        <v/>
      </c>
      <c r="EB203" s="161" t="str">
        <f t="shared" si="329"/>
        <v/>
      </c>
      <c r="EC203" s="161" t="str">
        <f t="shared" si="330"/>
        <v/>
      </c>
      <c r="ED203" s="161" t="str">
        <f t="shared" si="331"/>
        <v/>
      </c>
      <c r="EE203" s="161" t="str">
        <f t="shared" si="332"/>
        <v/>
      </c>
      <c r="EF203" s="161" t="str">
        <f t="shared" si="333"/>
        <v/>
      </c>
      <c r="EG203" s="161" t="str">
        <f t="shared" si="334"/>
        <v/>
      </c>
      <c r="EH203" s="161" t="str">
        <f t="shared" si="335"/>
        <v/>
      </c>
      <c r="EI203" s="161" t="str">
        <f t="shared" si="336"/>
        <v/>
      </c>
      <c r="EJ203" s="161" t="str">
        <f t="shared" si="337"/>
        <v/>
      </c>
      <c r="EK203" s="147" t="str">
        <f t="shared" si="251"/>
        <v/>
      </c>
      <c r="EL203" s="149"/>
      <c r="EN203" s="146"/>
      <c r="EO203" s="146"/>
      <c r="EP203" s="139" t="str">
        <f t="shared" si="252"/>
        <v/>
      </c>
      <c r="EQ203" s="139" t="str">
        <f t="shared" si="253"/>
        <v/>
      </c>
      <c r="ER203" s="139" t="str">
        <f t="shared" si="254"/>
        <v/>
      </c>
      <c r="ES203" s="139" t="str">
        <f t="shared" si="255"/>
        <v/>
      </c>
      <c r="ET203" s="139" t="str">
        <f t="shared" si="256"/>
        <v/>
      </c>
      <c r="EU203" s="139" t="str">
        <f t="shared" si="257"/>
        <v/>
      </c>
      <c r="EV203" s="139" t="str">
        <f t="shared" si="258"/>
        <v/>
      </c>
      <c r="EW203" s="139" t="str">
        <f t="shared" si="259"/>
        <v/>
      </c>
      <c r="EX203" s="139" t="str">
        <f t="shared" si="260"/>
        <v/>
      </c>
      <c r="EY203" s="139" t="str">
        <f t="shared" si="261"/>
        <v/>
      </c>
      <c r="EZ203" s="139" t="str">
        <f t="shared" si="262"/>
        <v/>
      </c>
      <c r="FA203" s="139" t="str">
        <f t="shared" si="263"/>
        <v/>
      </c>
      <c r="FB203" s="139" t="str">
        <f t="shared" si="264"/>
        <v/>
      </c>
      <c r="FC203" s="139" t="str">
        <f t="shared" si="265"/>
        <v/>
      </c>
      <c r="FD203" s="139" t="str">
        <f t="shared" si="266"/>
        <v/>
      </c>
      <c r="FE203" s="139" t="str">
        <f t="shared" si="267"/>
        <v/>
      </c>
      <c r="FF203" s="139" t="str">
        <f t="shared" si="268"/>
        <v/>
      </c>
      <c r="FG203" s="139" t="str">
        <f t="shared" si="269"/>
        <v/>
      </c>
      <c r="FH203" s="139" t="str">
        <f t="shared" si="270"/>
        <v/>
      </c>
      <c r="FI203" s="139" t="str">
        <f t="shared" si="271"/>
        <v/>
      </c>
      <c r="FJ203" s="139" t="str">
        <f t="shared" si="272"/>
        <v/>
      </c>
      <c r="FK203" s="139" t="str">
        <f t="shared" si="273"/>
        <v/>
      </c>
      <c r="FL203" s="139" t="str">
        <f t="shared" si="274"/>
        <v/>
      </c>
      <c r="FM203" s="139" t="str">
        <f t="shared" si="275"/>
        <v/>
      </c>
      <c r="FN203" s="139" t="str">
        <f t="shared" si="276"/>
        <v/>
      </c>
      <c r="FO203" s="139" t="str">
        <f t="shared" si="277"/>
        <v/>
      </c>
      <c r="FP203" s="139" t="str">
        <f t="shared" si="278"/>
        <v/>
      </c>
      <c r="FQ203" s="139" t="str">
        <f t="shared" si="279"/>
        <v/>
      </c>
      <c r="FR203" s="139" t="str">
        <f t="shared" si="280"/>
        <v/>
      </c>
      <c r="FS203" s="139" t="str">
        <f t="shared" si="281"/>
        <v/>
      </c>
      <c r="FT203" s="139" t="str">
        <f t="shared" si="282"/>
        <v/>
      </c>
      <c r="FU203" s="148" t="str">
        <f t="shared" si="283"/>
        <v/>
      </c>
      <c r="FV203" s="149"/>
      <c r="FY203" s="214">
        <v>198</v>
      </c>
      <c r="FZ203">
        <v>1.4549444224967107</v>
      </c>
      <c r="GA203">
        <v>3.6136049525849439</v>
      </c>
      <c r="GB203">
        <v>7.3935947188385391</v>
      </c>
      <c r="GC203">
        <v>4.2438219107390607</v>
      </c>
      <c r="GD203">
        <v>3.9223305216856632</v>
      </c>
      <c r="GE203">
        <v>9.6883044571913413</v>
      </c>
      <c r="GF203">
        <v>15.023023486974598</v>
      </c>
      <c r="GG203">
        <v>9.2721293318451945</v>
      </c>
      <c r="GH203">
        <v>8.3748326283281188E-2</v>
      </c>
      <c r="GI203">
        <v>7.4828858446806263</v>
      </c>
      <c r="GJ203"/>
      <c r="GK203"/>
      <c r="GL203"/>
      <c r="GM203"/>
    </row>
    <row r="204" spans="1:195" s="7" customFormat="1">
      <c r="A204" s="1"/>
      <c r="B204" s="76" t="str">
        <f t="shared" ca="1" si="250"/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58.645875689568115</v>
      </c>
      <c r="AO204">
        <v>10.423060956964218</v>
      </c>
      <c r="AP204">
        <v>47.933477419494068</v>
      </c>
      <c r="AQ204">
        <v>63.845519879180479</v>
      </c>
      <c r="AR204">
        <v>9.6910024851790038</v>
      </c>
      <c r="AS204">
        <v>53.781378088851326</v>
      </c>
      <c r="AT204">
        <v>5.8341207172747209</v>
      </c>
      <c r="AU204">
        <v>22.855484616451527</v>
      </c>
      <c r="AV204"/>
      <c r="AW204"/>
      <c r="AX204" s="146"/>
      <c r="AY204" s="76" t="str">
        <f t="shared" ca="1" si="173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8"/>
        <v/>
      </c>
      <c r="CL204" s="179" t="str">
        <f t="shared" si="209"/>
        <v/>
      </c>
      <c r="CM204" s="180" t="str">
        <f t="shared" si="210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11"/>
        <v/>
      </c>
      <c r="DB204" s="146"/>
      <c r="DC204" s="76" t="str">
        <f t="shared" ca="1" si="174"/>
        <v/>
      </c>
      <c r="DD204" t="str">
        <f t="shared" si="212"/>
        <v/>
      </c>
      <c r="DE204" s="129" t="str">
        <f t="shared" si="338"/>
        <v/>
      </c>
      <c r="DF204" s="161" t="str">
        <f t="shared" si="285"/>
        <v/>
      </c>
      <c r="DG204" s="161" t="str">
        <f t="shared" si="286"/>
        <v/>
      </c>
      <c r="DH204" s="161" t="str">
        <f t="shared" si="287"/>
        <v/>
      </c>
      <c r="DI204" s="161" t="str">
        <f t="shared" si="288"/>
        <v/>
      </c>
      <c r="DJ204" s="161" t="str">
        <f t="shared" si="289"/>
        <v/>
      </c>
      <c r="DK204" s="161" t="str">
        <f t="shared" si="290"/>
        <v/>
      </c>
      <c r="DL204" s="161" t="str">
        <f t="shared" si="291"/>
        <v/>
      </c>
      <c r="DM204" s="161" t="str">
        <f t="shared" si="292"/>
        <v/>
      </c>
      <c r="DN204" s="161" t="str">
        <f t="shared" si="315"/>
        <v/>
      </c>
      <c r="DO204" s="161" t="str">
        <f t="shared" si="316"/>
        <v/>
      </c>
      <c r="DP204" s="161" t="str">
        <f t="shared" si="317"/>
        <v/>
      </c>
      <c r="DQ204" s="161" t="str">
        <f t="shared" si="318"/>
        <v/>
      </c>
      <c r="DR204" s="161" t="str">
        <f t="shared" si="319"/>
        <v/>
      </c>
      <c r="DS204" s="161" t="str">
        <f t="shared" si="320"/>
        <v/>
      </c>
      <c r="DT204" s="161" t="str">
        <f t="shared" si="321"/>
        <v/>
      </c>
      <c r="DU204" s="161" t="str">
        <f t="shared" si="322"/>
        <v/>
      </c>
      <c r="DV204" s="161" t="str">
        <f t="shared" si="323"/>
        <v/>
      </c>
      <c r="DW204" s="161" t="str">
        <f t="shared" si="324"/>
        <v/>
      </c>
      <c r="DX204" s="161" t="str">
        <f t="shared" si="325"/>
        <v/>
      </c>
      <c r="DY204" s="161" t="str">
        <f t="shared" si="326"/>
        <v/>
      </c>
      <c r="DZ204" s="161" t="str">
        <f t="shared" si="327"/>
        <v/>
      </c>
      <c r="EA204" s="161" t="str">
        <f t="shared" si="328"/>
        <v/>
      </c>
      <c r="EB204" s="161" t="str">
        <f t="shared" si="329"/>
        <v/>
      </c>
      <c r="EC204" s="161" t="str">
        <f t="shared" si="330"/>
        <v/>
      </c>
      <c r="ED204" s="161" t="str">
        <f t="shared" si="331"/>
        <v/>
      </c>
      <c r="EE204" s="161" t="str">
        <f t="shared" si="332"/>
        <v/>
      </c>
      <c r="EF204" s="161" t="str">
        <f t="shared" si="333"/>
        <v/>
      </c>
      <c r="EG204" s="161" t="str">
        <f t="shared" si="334"/>
        <v/>
      </c>
      <c r="EH204" s="161" t="str">
        <f t="shared" si="335"/>
        <v/>
      </c>
      <c r="EI204" s="161" t="str">
        <f t="shared" si="336"/>
        <v/>
      </c>
      <c r="EJ204" s="161" t="str">
        <f t="shared" si="337"/>
        <v/>
      </c>
      <c r="EK204" s="147" t="str">
        <f t="shared" si="251"/>
        <v/>
      </c>
      <c r="EL204" s="149"/>
      <c r="EN204" s="146"/>
      <c r="EO204" s="146"/>
      <c r="EP204" s="139" t="str">
        <f t="shared" si="252"/>
        <v/>
      </c>
      <c r="EQ204" s="139" t="str">
        <f t="shared" si="253"/>
        <v/>
      </c>
      <c r="ER204" s="139" t="str">
        <f t="shared" si="254"/>
        <v/>
      </c>
      <c r="ES204" s="139" t="str">
        <f t="shared" si="255"/>
        <v/>
      </c>
      <c r="ET204" s="139" t="str">
        <f t="shared" si="256"/>
        <v/>
      </c>
      <c r="EU204" s="139" t="str">
        <f t="shared" si="257"/>
        <v/>
      </c>
      <c r="EV204" s="139" t="str">
        <f t="shared" si="258"/>
        <v/>
      </c>
      <c r="EW204" s="139" t="str">
        <f t="shared" si="259"/>
        <v/>
      </c>
      <c r="EX204" s="139" t="str">
        <f t="shared" si="260"/>
        <v/>
      </c>
      <c r="EY204" s="139" t="str">
        <f t="shared" si="261"/>
        <v/>
      </c>
      <c r="EZ204" s="139" t="str">
        <f t="shared" si="262"/>
        <v/>
      </c>
      <c r="FA204" s="139" t="str">
        <f t="shared" si="263"/>
        <v/>
      </c>
      <c r="FB204" s="139" t="str">
        <f t="shared" si="264"/>
        <v/>
      </c>
      <c r="FC204" s="139" t="str">
        <f t="shared" si="265"/>
        <v/>
      </c>
      <c r="FD204" s="139" t="str">
        <f t="shared" si="266"/>
        <v/>
      </c>
      <c r="FE204" s="139" t="str">
        <f t="shared" si="267"/>
        <v/>
      </c>
      <c r="FF204" s="139" t="str">
        <f t="shared" si="268"/>
        <v/>
      </c>
      <c r="FG204" s="139" t="str">
        <f t="shared" si="269"/>
        <v/>
      </c>
      <c r="FH204" s="139" t="str">
        <f t="shared" si="270"/>
        <v/>
      </c>
      <c r="FI204" s="139" t="str">
        <f t="shared" si="271"/>
        <v/>
      </c>
      <c r="FJ204" s="139" t="str">
        <f t="shared" si="272"/>
        <v/>
      </c>
      <c r="FK204" s="139" t="str">
        <f t="shared" si="273"/>
        <v/>
      </c>
      <c r="FL204" s="139" t="str">
        <f t="shared" si="274"/>
        <v/>
      </c>
      <c r="FM204" s="139" t="str">
        <f t="shared" si="275"/>
        <v/>
      </c>
      <c r="FN204" s="139" t="str">
        <f t="shared" si="276"/>
        <v/>
      </c>
      <c r="FO204" s="139" t="str">
        <f t="shared" si="277"/>
        <v/>
      </c>
      <c r="FP204" s="139" t="str">
        <f t="shared" si="278"/>
        <v/>
      </c>
      <c r="FQ204" s="139" t="str">
        <f t="shared" si="279"/>
        <v/>
      </c>
      <c r="FR204" s="139" t="str">
        <f t="shared" si="280"/>
        <v/>
      </c>
      <c r="FS204" s="139" t="str">
        <f t="shared" si="281"/>
        <v/>
      </c>
      <c r="FT204" s="139" t="str">
        <f t="shared" si="282"/>
        <v/>
      </c>
      <c r="FU204" s="148" t="str">
        <f t="shared" si="283"/>
        <v/>
      </c>
      <c r="FV204" s="149"/>
      <c r="FY204" s="214">
        <v>199</v>
      </c>
      <c r="FZ204">
        <v>0.57240564662577276</v>
      </c>
      <c r="GA204">
        <v>10.375133234172191</v>
      </c>
      <c r="GB204">
        <v>9.2686786728712693</v>
      </c>
      <c r="GC204">
        <v>2.8750240655373749</v>
      </c>
      <c r="GD204">
        <v>4.0378795720055134</v>
      </c>
      <c r="GE204">
        <v>14.237721128544706</v>
      </c>
      <c r="GF204">
        <v>23.954692767902163</v>
      </c>
      <c r="GG204">
        <v>13.110955532899336</v>
      </c>
      <c r="GH204">
        <v>4.2153067693175341</v>
      </c>
      <c r="GI204">
        <v>10.53254993923017</v>
      </c>
      <c r="GJ204"/>
      <c r="GK204"/>
      <c r="GL204"/>
      <c r="GM204"/>
    </row>
    <row r="205" spans="1:195" s="7" customFormat="1">
      <c r="A205" s="1"/>
      <c r="B205" s="76" t="str">
        <f t="shared" ca="1" si="250"/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61.015576667112555</v>
      </c>
      <c r="AO205">
        <v>11.822435096802117</v>
      </c>
      <c r="AP205">
        <v>60.816114291235934</v>
      </c>
      <c r="AQ205">
        <v>65.744978798823794</v>
      </c>
      <c r="AR205">
        <v>10.74799032474435</v>
      </c>
      <c r="AS205">
        <v>55.647310295181931</v>
      </c>
      <c r="AT205" t="e">
        <v>#DIV/0!</v>
      </c>
      <c r="AU205" t="e">
        <v>#DIV/0!</v>
      </c>
      <c r="AV205"/>
      <c r="AW205"/>
      <c r="AX205" s="146"/>
      <c r="AY205" s="76" t="str">
        <f t="shared" ca="1" si="173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8"/>
        <v/>
      </c>
      <c r="CL205" s="179" t="str">
        <f t="shared" si="209"/>
        <v/>
      </c>
      <c r="CM205" s="180" t="str">
        <f t="shared" si="210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11"/>
        <v/>
      </c>
      <c r="DB205" s="146"/>
      <c r="DC205" s="76" t="str">
        <f t="shared" ca="1" si="174"/>
        <v/>
      </c>
      <c r="DD205" t="str">
        <f t="shared" si="212"/>
        <v/>
      </c>
      <c r="DE205" s="129" t="str">
        <f t="shared" si="338"/>
        <v/>
      </c>
      <c r="DF205" s="161" t="str">
        <f t="shared" si="285"/>
        <v/>
      </c>
      <c r="DG205" s="161" t="str">
        <f t="shared" si="286"/>
        <v/>
      </c>
      <c r="DH205" s="161" t="str">
        <f t="shared" si="287"/>
        <v/>
      </c>
      <c r="DI205" s="161" t="str">
        <f t="shared" si="288"/>
        <v/>
      </c>
      <c r="DJ205" s="161" t="str">
        <f t="shared" si="289"/>
        <v/>
      </c>
      <c r="DK205" s="161" t="str">
        <f t="shared" si="290"/>
        <v/>
      </c>
      <c r="DL205" s="161" t="str">
        <f t="shared" si="291"/>
        <v/>
      </c>
      <c r="DM205" s="161" t="str">
        <f t="shared" si="292"/>
        <v/>
      </c>
      <c r="DN205" s="161" t="str">
        <f t="shared" si="315"/>
        <v/>
      </c>
      <c r="DO205" s="161" t="str">
        <f t="shared" si="316"/>
        <v/>
      </c>
      <c r="DP205" s="161" t="str">
        <f t="shared" si="317"/>
        <v/>
      </c>
      <c r="DQ205" s="161" t="str">
        <f t="shared" si="318"/>
        <v/>
      </c>
      <c r="DR205" s="161" t="str">
        <f t="shared" si="319"/>
        <v/>
      </c>
      <c r="DS205" s="161" t="str">
        <f t="shared" si="320"/>
        <v/>
      </c>
      <c r="DT205" s="161" t="str">
        <f t="shared" si="321"/>
        <v/>
      </c>
      <c r="DU205" s="161" t="str">
        <f t="shared" si="322"/>
        <v/>
      </c>
      <c r="DV205" s="161" t="str">
        <f t="shared" si="323"/>
        <v/>
      </c>
      <c r="DW205" s="161" t="str">
        <f t="shared" si="324"/>
        <v/>
      </c>
      <c r="DX205" s="161" t="str">
        <f t="shared" si="325"/>
        <v/>
      </c>
      <c r="DY205" s="161" t="str">
        <f t="shared" si="326"/>
        <v/>
      </c>
      <c r="DZ205" s="161" t="str">
        <f t="shared" si="327"/>
        <v/>
      </c>
      <c r="EA205" s="161" t="str">
        <f t="shared" si="328"/>
        <v/>
      </c>
      <c r="EB205" s="161" t="str">
        <f t="shared" si="329"/>
        <v/>
      </c>
      <c r="EC205" s="161" t="str">
        <f t="shared" si="330"/>
        <v/>
      </c>
      <c r="ED205" s="161" t="str">
        <f t="shared" si="331"/>
        <v/>
      </c>
      <c r="EE205" s="161" t="str">
        <f t="shared" si="332"/>
        <v/>
      </c>
      <c r="EF205" s="161" t="str">
        <f t="shared" si="333"/>
        <v/>
      </c>
      <c r="EG205" s="161" t="str">
        <f t="shared" si="334"/>
        <v/>
      </c>
      <c r="EH205" s="161" t="str">
        <f t="shared" si="335"/>
        <v/>
      </c>
      <c r="EI205" s="161" t="str">
        <f t="shared" si="336"/>
        <v/>
      </c>
      <c r="EJ205" s="161" t="str">
        <f t="shared" si="337"/>
        <v/>
      </c>
      <c r="EK205" s="147" t="str">
        <f t="shared" si="251"/>
        <v/>
      </c>
      <c r="EL205" s="149"/>
      <c r="EN205" s="146"/>
      <c r="EO205" s="146"/>
      <c r="EP205" s="139" t="str">
        <f t="shared" si="252"/>
        <v/>
      </c>
      <c r="EQ205" s="139" t="str">
        <f t="shared" si="253"/>
        <v/>
      </c>
      <c r="ER205" s="139" t="str">
        <f t="shared" si="254"/>
        <v/>
      </c>
      <c r="ES205" s="139" t="str">
        <f t="shared" si="255"/>
        <v/>
      </c>
      <c r="ET205" s="139" t="str">
        <f t="shared" si="256"/>
        <v/>
      </c>
      <c r="EU205" s="139" t="str">
        <f t="shared" si="257"/>
        <v/>
      </c>
      <c r="EV205" s="139" t="str">
        <f t="shared" si="258"/>
        <v/>
      </c>
      <c r="EW205" s="139" t="str">
        <f t="shared" si="259"/>
        <v/>
      </c>
      <c r="EX205" s="139" t="str">
        <f t="shared" si="260"/>
        <v/>
      </c>
      <c r="EY205" s="139" t="str">
        <f t="shared" si="261"/>
        <v/>
      </c>
      <c r="EZ205" s="139" t="str">
        <f t="shared" si="262"/>
        <v/>
      </c>
      <c r="FA205" s="139" t="str">
        <f t="shared" si="263"/>
        <v/>
      </c>
      <c r="FB205" s="139" t="str">
        <f t="shared" si="264"/>
        <v/>
      </c>
      <c r="FC205" s="139" t="str">
        <f t="shared" si="265"/>
        <v/>
      </c>
      <c r="FD205" s="139" t="str">
        <f t="shared" si="266"/>
        <v/>
      </c>
      <c r="FE205" s="139" t="str">
        <f t="shared" si="267"/>
        <v/>
      </c>
      <c r="FF205" s="139" t="str">
        <f t="shared" si="268"/>
        <v/>
      </c>
      <c r="FG205" s="139" t="str">
        <f t="shared" si="269"/>
        <v/>
      </c>
      <c r="FH205" s="139" t="str">
        <f t="shared" si="270"/>
        <v/>
      </c>
      <c r="FI205" s="139" t="str">
        <f t="shared" si="271"/>
        <v/>
      </c>
      <c r="FJ205" s="139" t="str">
        <f t="shared" si="272"/>
        <v/>
      </c>
      <c r="FK205" s="139" t="str">
        <f t="shared" si="273"/>
        <v/>
      </c>
      <c r="FL205" s="139" t="str">
        <f t="shared" si="274"/>
        <v/>
      </c>
      <c r="FM205" s="139" t="str">
        <f t="shared" si="275"/>
        <v/>
      </c>
      <c r="FN205" s="139" t="str">
        <f t="shared" si="276"/>
        <v/>
      </c>
      <c r="FO205" s="139" t="str">
        <f t="shared" si="277"/>
        <v/>
      </c>
      <c r="FP205" s="139" t="str">
        <f t="shared" si="278"/>
        <v/>
      </c>
      <c r="FQ205" s="139" t="str">
        <f t="shared" si="279"/>
        <v/>
      </c>
      <c r="FR205" s="139" t="str">
        <f t="shared" si="280"/>
        <v/>
      </c>
      <c r="FS205" s="139" t="str">
        <f t="shared" si="281"/>
        <v/>
      </c>
      <c r="FT205" s="139" t="str">
        <f t="shared" si="282"/>
        <v/>
      </c>
      <c r="FU205" s="148" t="str">
        <f t="shared" si="283"/>
        <v/>
      </c>
      <c r="FV205" s="149"/>
      <c r="FY205" s="214">
        <v>200</v>
      </c>
      <c r="FZ205">
        <v>0.40222548477784026</v>
      </c>
      <c r="GA205">
        <v>2.3716439374891287</v>
      </c>
      <c r="GB205">
        <v>5.9603162333719064</v>
      </c>
      <c r="GC205">
        <v>3.4019642978548288</v>
      </c>
      <c r="GD205">
        <v>7.1846116349507403</v>
      </c>
      <c r="GE205">
        <v>16.984399209173358</v>
      </c>
      <c r="GF205">
        <v>14.557943254156209</v>
      </c>
      <c r="GG205">
        <v>10.603384933508185</v>
      </c>
      <c r="GH205">
        <v>3.740373090233839</v>
      </c>
      <c r="GI205">
        <v>9.2812163709098563</v>
      </c>
      <c r="GJ205"/>
      <c r="GK205"/>
      <c r="GL205"/>
      <c r="GM205"/>
    </row>
    <row r="206" spans="1:195" s="7" customFormat="1">
      <c r="A206" s="1"/>
      <c r="B206" s="76" t="str">
        <f t="shared" ca="1" si="250"/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82.863252468201367</v>
      </c>
      <c r="AO206">
        <v>18.547613813764606</v>
      </c>
      <c r="AP206">
        <v>93.418045008051024</v>
      </c>
      <c r="AQ206">
        <v>110.87035282069375</v>
      </c>
      <c r="AR206">
        <v>16.874642565232985</v>
      </c>
      <c r="AS206">
        <v>83.222622499248203</v>
      </c>
      <c r="AT206" t="e">
        <v>#DIV/0!</v>
      </c>
      <c r="AU206" t="e">
        <v>#DIV/0!</v>
      </c>
      <c r="AV206"/>
      <c r="AW206"/>
      <c r="AX206" s="146"/>
      <c r="AY206" s="76" t="str">
        <f t="shared" ca="1" si="173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8"/>
        <v/>
      </c>
      <c r="CL206" s="179" t="str">
        <f t="shared" si="209"/>
        <v/>
      </c>
      <c r="CM206" s="180" t="str">
        <f t="shared" si="210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11"/>
        <v/>
      </c>
      <c r="DB206" s="146"/>
      <c r="DC206" s="76" t="str">
        <f t="shared" ca="1" si="174"/>
        <v/>
      </c>
      <c r="DD206" t="str">
        <f t="shared" si="212"/>
        <v/>
      </c>
      <c r="DE206" s="129" t="str">
        <f t="shared" si="338"/>
        <v/>
      </c>
      <c r="DF206" s="161" t="str">
        <f t="shared" si="285"/>
        <v/>
      </c>
      <c r="DG206" s="161" t="str">
        <f t="shared" si="286"/>
        <v/>
      </c>
      <c r="DH206" s="161" t="str">
        <f t="shared" si="287"/>
        <v/>
      </c>
      <c r="DI206" s="161" t="str">
        <f t="shared" si="288"/>
        <v/>
      </c>
      <c r="DJ206" s="161" t="str">
        <f t="shared" si="289"/>
        <v/>
      </c>
      <c r="DK206" s="161" t="str">
        <f t="shared" si="290"/>
        <v/>
      </c>
      <c r="DL206" s="161" t="str">
        <f t="shared" si="291"/>
        <v/>
      </c>
      <c r="DM206" s="161" t="str">
        <f t="shared" si="292"/>
        <v/>
      </c>
      <c r="DN206" s="161" t="str">
        <f t="shared" si="315"/>
        <v/>
      </c>
      <c r="DO206" s="161" t="str">
        <f t="shared" si="316"/>
        <v/>
      </c>
      <c r="DP206" s="161" t="str">
        <f t="shared" si="317"/>
        <v/>
      </c>
      <c r="DQ206" s="161" t="str">
        <f t="shared" si="318"/>
        <v/>
      </c>
      <c r="DR206" s="161" t="str">
        <f t="shared" si="319"/>
        <v/>
      </c>
      <c r="DS206" s="161" t="str">
        <f t="shared" si="320"/>
        <v/>
      </c>
      <c r="DT206" s="161" t="str">
        <f t="shared" si="321"/>
        <v/>
      </c>
      <c r="DU206" s="161" t="str">
        <f t="shared" si="322"/>
        <v/>
      </c>
      <c r="DV206" s="161" t="str">
        <f t="shared" si="323"/>
        <v/>
      </c>
      <c r="DW206" s="161" t="str">
        <f t="shared" si="324"/>
        <v/>
      </c>
      <c r="DX206" s="161" t="str">
        <f t="shared" si="325"/>
        <v/>
      </c>
      <c r="DY206" s="161" t="str">
        <f t="shared" si="326"/>
        <v/>
      </c>
      <c r="DZ206" s="161" t="str">
        <f t="shared" si="327"/>
        <v/>
      </c>
      <c r="EA206" s="161" t="str">
        <f t="shared" si="328"/>
        <v/>
      </c>
      <c r="EB206" s="161" t="str">
        <f t="shared" si="329"/>
        <v/>
      </c>
      <c r="EC206" s="161" t="str">
        <f t="shared" si="330"/>
        <v/>
      </c>
      <c r="ED206" s="161" t="str">
        <f t="shared" si="331"/>
        <v/>
      </c>
      <c r="EE206" s="161" t="str">
        <f t="shared" si="332"/>
        <v/>
      </c>
      <c r="EF206" s="161" t="str">
        <f t="shared" si="333"/>
        <v/>
      </c>
      <c r="EG206" s="161" t="str">
        <f t="shared" si="334"/>
        <v/>
      </c>
      <c r="EH206" s="161" t="str">
        <f t="shared" si="335"/>
        <v/>
      </c>
      <c r="EI206" s="161" t="str">
        <f t="shared" si="336"/>
        <v/>
      </c>
      <c r="EJ206" s="161" t="str">
        <f t="shared" si="337"/>
        <v/>
      </c>
      <c r="EK206" s="147" t="str">
        <f t="shared" si="251"/>
        <v/>
      </c>
      <c r="EL206" s="149"/>
      <c r="EN206" s="146"/>
      <c r="EO206" s="146"/>
      <c r="EP206" s="139" t="str">
        <f t="shared" si="252"/>
        <v/>
      </c>
      <c r="EQ206" s="139" t="str">
        <f t="shared" si="253"/>
        <v/>
      </c>
      <c r="ER206" s="139" t="str">
        <f t="shared" si="254"/>
        <v/>
      </c>
      <c r="ES206" s="139" t="str">
        <f t="shared" si="255"/>
        <v/>
      </c>
      <c r="ET206" s="139" t="str">
        <f t="shared" si="256"/>
        <v/>
      </c>
      <c r="EU206" s="139" t="str">
        <f t="shared" si="257"/>
        <v/>
      </c>
      <c r="EV206" s="139" t="str">
        <f t="shared" si="258"/>
        <v/>
      </c>
      <c r="EW206" s="139" t="str">
        <f t="shared" si="259"/>
        <v/>
      </c>
      <c r="EX206" s="139" t="str">
        <f t="shared" si="260"/>
        <v/>
      </c>
      <c r="EY206" s="139" t="str">
        <f t="shared" si="261"/>
        <v/>
      </c>
      <c r="EZ206" s="139" t="str">
        <f t="shared" si="262"/>
        <v/>
      </c>
      <c r="FA206" s="139" t="str">
        <f t="shared" si="263"/>
        <v/>
      </c>
      <c r="FB206" s="139" t="str">
        <f t="shared" si="264"/>
        <v/>
      </c>
      <c r="FC206" s="139" t="str">
        <f t="shared" si="265"/>
        <v/>
      </c>
      <c r="FD206" s="139" t="str">
        <f t="shared" si="266"/>
        <v/>
      </c>
      <c r="FE206" s="139" t="str">
        <f t="shared" si="267"/>
        <v/>
      </c>
      <c r="FF206" s="139" t="str">
        <f t="shared" si="268"/>
        <v/>
      </c>
      <c r="FG206" s="139" t="str">
        <f t="shared" si="269"/>
        <v/>
      </c>
      <c r="FH206" s="139" t="str">
        <f t="shared" si="270"/>
        <v/>
      </c>
      <c r="FI206" s="139" t="str">
        <f t="shared" si="271"/>
        <v/>
      </c>
      <c r="FJ206" s="139" t="str">
        <f t="shared" si="272"/>
        <v/>
      </c>
      <c r="FK206" s="139" t="str">
        <f t="shared" si="273"/>
        <v/>
      </c>
      <c r="FL206" s="139" t="str">
        <f t="shared" si="274"/>
        <v/>
      </c>
      <c r="FM206" s="139" t="str">
        <f t="shared" si="275"/>
        <v/>
      </c>
      <c r="FN206" s="139" t="str">
        <f t="shared" si="276"/>
        <v/>
      </c>
      <c r="FO206" s="139" t="str">
        <f t="shared" si="277"/>
        <v/>
      </c>
      <c r="FP206" s="139" t="str">
        <f t="shared" si="278"/>
        <v/>
      </c>
      <c r="FQ206" s="139" t="str">
        <f t="shared" si="279"/>
        <v/>
      </c>
      <c r="FR206" s="139" t="str">
        <f t="shared" si="280"/>
        <v/>
      </c>
      <c r="FS206" s="139" t="str">
        <f t="shared" si="281"/>
        <v/>
      </c>
      <c r="FT206" s="139" t="str">
        <f t="shared" si="282"/>
        <v/>
      </c>
      <c r="FU206" s="148" t="str">
        <f t="shared" si="283"/>
        <v/>
      </c>
      <c r="FV206" s="149"/>
      <c r="FY206" s="214">
        <v>201</v>
      </c>
      <c r="FZ206">
        <v>1.2363989607623922</v>
      </c>
      <c r="GA206">
        <v>5.6999466872073841</v>
      </c>
      <c r="GB206">
        <v>10.803668435185852</v>
      </c>
      <c r="GC206">
        <v>5.4979184394825786</v>
      </c>
      <c r="GD206">
        <v>1.9087232799903102</v>
      </c>
      <c r="GE206">
        <v>12.36090084709091</v>
      </c>
      <c r="GF206">
        <v>21.035345989044675</v>
      </c>
      <c r="GG206">
        <v>7.5042151620922377</v>
      </c>
      <c r="GH206">
        <v>3.4891281113839954</v>
      </c>
      <c r="GI206">
        <v>8.5488239051843493</v>
      </c>
      <c r="GJ206"/>
      <c r="GK206"/>
      <c r="GL206"/>
      <c r="GM206"/>
    </row>
    <row r="207" spans="1:195" s="7" customFormat="1">
      <c r="A207" s="1"/>
      <c r="B207" s="76" t="str">
        <f t="shared" ca="1" si="250"/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75.618909775159011</v>
      </c>
      <c r="AO207">
        <v>14.150315603710357</v>
      </c>
      <c r="AP207">
        <v>73.786008463882638</v>
      </c>
      <c r="AQ207">
        <v>81.709545363171642</v>
      </c>
      <c r="AR207">
        <v>13.411760307931782</v>
      </c>
      <c r="AS207">
        <v>68.808827977986752</v>
      </c>
      <c r="AT207">
        <v>7.1226785997599391</v>
      </c>
      <c r="AU207">
        <v>18.514741240314709</v>
      </c>
      <c r="AV207"/>
      <c r="AW207"/>
      <c r="AX207" s="146"/>
      <c r="AY207" s="76" t="str">
        <f t="shared" ca="1" si="173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8"/>
        <v/>
      </c>
      <c r="CL207" s="179" t="str">
        <f t="shared" si="209"/>
        <v/>
      </c>
      <c r="CM207" s="180" t="str">
        <f t="shared" si="210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11"/>
        <v/>
      </c>
      <c r="DB207" s="146"/>
      <c r="DC207" s="76" t="str">
        <f t="shared" ca="1" si="174"/>
        <v/>
      </c>
      <c r="DD207" t="str">
        <f t="shared" si="212"/>
        <v/>
      </c>
      <c r="DE207" s="129" t="str">
        <f t="shared" si="338"/>
        <v/>
      </c>
      <c r="DF207" s="161" t="str">
        <f t="shared" si="285"/>
        <v/>
      </c>
      <c r="DG207" s="161" t="str">
        <f t="shared" si="286"/>
        <v/>
      </c>
      <c r="DH207" s="161" t="str">
        <f t="shared" si="287"/>
        <v/>
      </c>
      <c r="DI207" s="161" t="str">
        <f t="shared" si="288"/>
        <v/>
      </c>
      <c r="DJ207" s="161" t="str">
        <f t="shared" si="289"/>
        <v/>
      </c>
      <c r="DK207" s="161" t="str">
        <f t="shared" si="290"/>
        <v/>
      </c>
      <c r="DL207" s="161" t="str">
        <f t="shared" si="291"/>
        <v/>
      </c>
      <c r="DM207" s="161" t="str">
        <f t="shared" si="292"/>
        <v/>
      </c>
      <c r="DN207" s="161" t="str">
        <f t="shared" si="315"/>
        <v/>
      </c>
      <c r="DO207" s="161" t="str">
        <f t="shared" ref="DO207:EJ207" si="339">IF($AZ207="", "", (BK207*$CW207)/$CZ207)</f>
        <v/>
      </c>
      <c r="DP207" s="161" t="str">
        <f t="shared" si="339"/>
        <v/>
      </c>
      <c r="DQ207" s="161" t="str">
        <f t="shared" si="339"/>
        <v/>
      </c>
      <c r="DR207" s="161" t="str">
        <f t="shared" si="339"/>
        <v/>
      </c>
      <c r="DS207" s="161" t="str">
        <f t="shared" si="339"/>
        <v/>
      </c>
      <c r="DT207" s="161" t="str">
        <f t="shared" si="339"/>
        <v/>
      </c>
      <c r="DU207" s="161" t="str">
        <f t="shared" si="339"/>
        <v/>
      </c>
      <c r="DV207" s="161" t="str">
        <f t="shared" si="339"/>
        <v/>
      </c>
      <c r="DW207" s="161" t="str">
        <f t="shared" si="339"/>
        <v/>
      </c>
      <c r="DX207" s="161" t="str">
        <f t="shared" si="339"/>
        <v/>
      </c>
      <c r="DY207" s="161" t="str">
        <f t="shared" si="339"/>
        <v/>
      </c>
      <c r="DZ207" s="161" t="str">
        <f t="shared" si="339"/>
        <v/>
      </c>
      <c r="EA207" s="161" t="str">
        <f t="shared" si="339"/>
        <v/>
      </c>
      <c r="EB207" s="161" t="str">
        <f t="shared" si="339"/>
        <v/>
      </c>
      <c r="EC207" s="161" t="str">
        <f t="shared" si="339"/>
        <v/>
      </c>
      <c r="ED207" s="161" t="str">
        <f t="shared" si="339"/>
        <v/>
      </c>
      <c r="EE207" s="161" t="str">
        <f t="shared" si="339"/>
        <v/>
      </c>
      <c r="EF207" s="161" t="str">
        <f t="shared" si="339"/>
        <v/>
      </c>
      <c r="EG207" s="161" t="str">
        <f t="shared" si="339"/>
        <v/>
      </c>
      <c r="EH207" s="161" t="str">
        <f t="shared" si="339"/>
        <v/>
      </c>
      <c r="EI207" s="161" t="str">
        <f t="shared" si="339"/>
        <v/>
      </c>
      <c r="EJ207" s="161" t="str">
        <f t="shared" si="339"/>
        <v/>
      </c>
      <c r="EK207" s="147" t="str">
        <f t="shared" si="251"/>
        <v/>
      </c>
      <c r="EL207" s="149"/>
      <c r="EN207" s="146"/>
      <c r="EO207" s="146"/>
      <c r="EP207" s="139" t="str">
        <f t="shared" si="252"/>
        <v/>
      </c>
      <c r="EQ207" s="139" t="str">
        <f t="shared" si="253"/>
        <v/>
      </c>
      <c r="ER207" s="139" t="str">
        <f t="shared" si="254"/>
        <v/>
      </c>
      <c r="ES207" s="139" t="str">
        <f t="shared" si="255"/>
        <v/>
      </c>
      <c r="ET207" s="139" t="str">
        <f t="shared" si="256"/>
        <v/>
      </c>
      <c r="EU207" s="139" t="str">
        <f t="shared" si="257"/>
        <v/>
      </c>
      <c r="EV207" s="139" t="str">
        <f t="shared" si="258"/>
        <v/>
      </c>
      <c r="EW207" s="139" t="str">
        <f t="shared" si="259"/>
        <v/>
      </c>
      <c r="EX207" s="139" t="str">
        <f t="shared" si="260"/>
        <v/>
      </c>
      <c r="EY207" s="139" t="str">
        <f t="shared" si="261"/>
        <v/>
      </c>
      <c r="EZ207" s="139" t="str">
        <f t="shared" si="262"/>
        <v/>
      </c>
      <c r="FA207" s="139" t="str">
        <f t="shared" si="263"/>
        <v/>
      </c>
      <c r="FB207" s="139" t="str">
        <f t="shared" si="264"/>
        <v/>
      </c>
      <c r="FC207" s="139" t="str">
        <f t="shared" si="265"/>
        <v/>
      </c>
      <c r="FD207" s="139" t="str">
        <f t="shared" si="266"/>
        <v/>
      </c>
      <c r="FE207" s="139" t="str">
        <f t="shared" si="267"/>
        <v/>
      </c>
      <c r="FF207" s="139" t="str">
        <f t="shared" si="268"/>
        <v/>
      </c>
      <c r="FG207" s="139" t="str">
        <f t="shared" si="269"/>
        <v/>
      </c>
      <c r="FH207" s="139" t="str">
        <f t="shared" si="270"/>
        <v/>
      </c>
      <c r="FI207" s="139" t="str">
        <f t="shared" si="271"/>
        <v/>
      </c>
      <c r="FJ207" s="139" t="str">
        <f t="shared" si="272"/>
        <v/>
      </c>
      <c r="FK207" s="139" t="str">
        <f t="shared" si="273"/>
        <v/>
      </c>
      <c r="FL207" s="139" t="str">
        <f t="shared" si="274"/>
        <v/>
      </c>
      <c r="FM207" s="139" t="str">
        <f t="shared" si="275"/>
        <v/>
      </c>
      <c r="FN207" s="139" t="str">
        <f t="shared" si="276"/>
        <v/>
      </c>
      <c r="FO207" s="139" t="str">
        <f t="shared" si="277"/>
        <v/>
      </c>
      <c r="FP207" s="139" t="str">
        <f t="shared" si="278"/>
        <v/>
      </c>
      <c r="FQ207" s="139" t="str">
        <f t="shared" si="279"/>
        <v/>
      </c>
      <c r="FR207" s="139" t="str">
        <f t="shared" si="280"/>
        <v/>
      </c>
      <c r="FS207" s="139" t="str">
        <f t="shared" si="281"/>
        <v/>
      </c>
      <c r="FT207" s="139" t="str">
        <f t="shared" si="282"/>
        <v/>
      </c>
      <c r="FU207" s="148" t="str">
        <f t="shared" si="283"/>
        <v/>
      </c>
      <c r="FV207" s="149"/>
      <c r="FY207" s="214">
        <v>202</v>
      </c>
      <c r="FZ207">
        <v>0.87476860082093211</v>
      </c>
      <c r="GA207">
        <v>23.788204654677404</v>
      </c>
      <c r="GB207">
        <v>15.107495326490788</v>
      </c>
      <c r="GC207">
        <v>2.8641719728778705</v>
      </c>
      <c r="GD207">
        <v>5.2106299774745057</v>
      </c>
      <c r="GE207">
        <v>12.072326008470631</v>
      </c>
      <c r="GF207">
        <v>22.277551918189893</v>
      </c>
      <c r="GG207">
        <v>17.223974504963532</v>
      </c>
      <c r="GH207">
        <v>2.038767181988276</v>
      </c>
      <c r="GI207">
        <v>12.195149814089362</v>
      </c>
      <c r="GJ207"/>
      <c r="GK207"/>
      <c r="GL207"/>
      <c r="GM207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94.686355290265098</v>
      </c>
      <c r="AO208">
        <v>16.598411715155105</v>
      </c>
      <c r="AP208">
        <v>81.174798052488242</v>
      </c>
      <c r="AQ208">
        <v>96.439074831436912</v>
      </c>
      <c r="AR208">
        <v>15.280539125822205</v>
      </c>
      <c r="AS208">
        <v>85.043724309815346</v>
      </c>
      <c r="AT208">
        <v>8.2708498461102646</v>
      </c>
      <c r="AU208">
        <v>42.014050406643456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4">
        <v>203</v>
      </c>
      <c r="FZ208">
        <v>1.3669154386704347</v>
      </c>
      <c r="GA208">
        <v>3.2953219788493153</v>
      </c>
      <c r="GB208">
        <v>11.73554187624131</v>
      </c>
      <c r="GC208">
        <v>6.4020589281814164</v>
      </c>
      <c r="GD208">
        <v>5.8303059536781179</v>
      </c>
      <c r="GE208">
        <v>12.479991523244159</v>
      </c>
      <c r="GF208">
        <v>14.894881923702718</v>
      </c>
      <c r="GG208">
        <v>16.951811635634137</v>
      </c>
      <c r="GH208">
        <v>7.5347702595253789</v>
      </c>
      <c r="GI208">
        <v>10.889174276986724</v>
      </c>
      <c r="GJ208"/>
      <c r="GK208"/>
      <c r="GL208"/>
      <c r="GM208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85.646968977802473</v>
      </c>
      <c r="AO209">
        <v>16.402619742373396</v>
      </c>
      <c r="AP209">
        <v>112.43427284192866</v>
      </c>
      <c r="AQ209">
        <v>86.084323467766723</v>
      </c>
      <c r="AR209">
        <v>15.126965017369162</v>
      </c>
      <c r="AS209">
        <v>78.564718788202981</v>
      </c>
      <c r="AT209">
        <v>8.0554399075853187</v>
      </c>
      <c r="AU209">
        <v>18.242467371536208</v>
      </c>
      <c r="AV209"/>
      <c r="AW209"/>
      <c r="FY209" s="214">
        <v>204</v>
      </c>
      <c r="FZ209">
        <v>0.87476860082093211</v>
      </c>
      <c r="GA209">
        <v>10.115436636401126</v>
      </c>
      <c r="GB209">
        <v>8.1223192563620259</v>
      </c>
      <c r="GC209">
        <v>2.6029277090467104</v>
      </c>
      <c r="GD209">
        <v>6.9115528807394879</v>
      </c>
      <c r="GE209">
        <v>14.456245319477992</v>
      </c>
      <c r="GF209">
        <v>15.529182053666151</v>
      </c>
      <c r="GG209">
        <v>12.352452764946374</v>
      </c>
      <c r="GH209">
        <v>1.8712705294217138</v>
      </c>
      <c r="GI209">
        <v>9.956805167630522</v>
      </c>
      <c r="GJ209"/>
      <c r="GK209"/>
      <c r="GL209"/>
      <c r="GM209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90.475803062852577</v>
      </c>
      <c r="AO210">
        <v>18.321119185365859</v>
      </c>
      <c r="AP210">
        <v>83.449503115297858</v>
      </c>
      <c r="AQ210">
        <v>102.2323657510495</v>
      </c>
      <c r="AR210">
        <v>16.858524068127451</v>
      </c>
      <c r="AS210">
        <v>90.855468016735941</v>
      </c>
      <c r="AT210">
        <v>8.5792743521156059</v>
      </c>
      <c r="AU210">
        <v>-8.1609247489697569</v>
      </c>
      <c r="AV210"/>
      <c r="AW210"/>
      <c r="FY210" s="214">
        <v>205</v>
      </c>
      <c r="FZ210">
        <v>0.54341801373959542</v>
      </c>
      <c r="GA210">
        <v>16.86942918545477</v>
      </c>
      <c r="GB210">
        <v>15.197107666921401</v>
      </c>
      <c r="GC210">
        <v>4.8460912147789941</v>
      </c>
      <c r="GD210">
        <v>2.4134656713489369</v>
      </c>
      <c r="GE210">
        <v>11.264596613235124</v>
      </c>
      <c r="GF210">
        <v>24.303399147032145</v>
      </c>
      <c r="GG210">
        <v>13.338514703962687</v>
      </c>
      <c r="GH210">
        <v>3.6566247639505578</v>
      </c>
      <c r="GI210">
        <v>10.574304927405427</v>
      </c>
      <c r="GJ210"/>
      <c r="GK210"/>
      <c r="GL210"/>
      <c r="GM210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67.425688333174008</v>
      </c>
      <c r="AO211">
        <v>11.921368626777165</v>
      </c>
      <c r="AP211">
        <v>40.54858869710106</v>
      </c>
      <c r="AQ211">
        <v>77.278138426685075</v>
      </c>
      <c r="AR211">
        <v>11.040569014865001</v>
      </c>
      <c r="AS211">
        <v>60.943622044154196</v>
      </c>
      <c r="AT211">
        <v>6.6415135582796134</v>
      </c>
      <c r="AU211">
        <v>7.9871247894199531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4">
        <v>206</v>
      </c>
      <c r="FZ211">
        <v>1.0794400268944231</v>
      </c>
      <c r="GA211">
        <v>12.904238969423933</v>
      </c>
      <c r="GB211">
        <v>15.061510187752774</v>
      </c>
      <c r="GC211">
        <v>5.4678372589961253</v>
      </c>
      <c r="GD211">
        <v>0.62359395802335371</v>
      </c>
      <c r="GE211">
        <v>5.2741029490753624</v>
      </c>
      <c r="GF211">
        <v>13.259915166729092</v>
      </c>
      <c r="GG211">
        <v>15.71759285452104</v>
      </c>
      <c r="GH211">
        <v>14.51302648229337</v>
      </c>
      <c r="GI211">
        <v>9.0687686812623465</v>
      </c>
      <c r="GJ211"/>
      <c r="GK211"/>
      <c r="GL211"/>
      <c r="GM211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54.841504440399248</v>
      </c>
      <c r="AO212">
        <v>12.955065682284328</v>
      </c>
      <c r="AP212">
        <v>66.623059908204539</v>
      </c>
      <c r="AQ212">
        <v>73.264202134521753</v>
      </c>
      <c r="AR212">
        <v>11.77765449336454</v>
      </c>
      <c r="AS212">
        <v>56.910093141746728</v>
      </c>
      <c r="AT212" t="e">
        <v>#DIV/0!</v>
      </c>
      <c r="AU212" t="e">
        <v>#DIV/0!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:EJ212" si="340">AVERAGE(DF88:DF97)</f>
        <v>0</v>
      </c>
      <c r="DG212" s="182">
        <f t="shared" ref="DG212:DO212" si="341">AVERAGE(DG88:DG97)</f>
        <v>1.0416666666666665</v>
      </c>
      <c r="DH212" s="182">
        <f t="shared" si="341"/>
        <v>0</v>
      </c>
      <c r="DI212" s="182"/>
      <c r="DJ212" s="182"/>
      <c r="DK212" s="182"/>
      <c r="DL212" s="182"/>
      <c r="DM212" s="182">
        <f t="shared" si="341"/>
        <v>0</v>
      </c>
      <c r="DN212" s="182">
        <f t="shared" si="341"/>
        <v>0</v>
      </c>
      <c r="DO212" s="182">
        <f t="shared" si="341"/>
        <v>0</v>
      </c>
      <c r="DP212" s="182">
        <f t="shared" ref="DH212:DT212" si="342">AVERAGE(DP88:DP97)</f>
        <v>0</v>
      </c>
      <c r="DQ212" s="182">
        <f t="shared" si="342"/>
        <v>0</v>
      </c>
      <c r="DR212" s="182">
        <f t="shared" si="342"/>
        <v>0</v>
      </c>
      <c r="DS212" s="182">
        <f t="shared" si="342"/>
        <v>0</v>
      </c>
      <c r="DT212" s="182">
        <f t="shared" si="342"/>
        <v>0</v>
      </c>
      <c r="DU212" s="182">
        <f t="shared" si="340"/>
        <v>0</v>
      </c>
      <c r="DV212" s="182">
        <f t="shared" si="340"/>
        <v>0</v>
      </c>
      <c r="DW212" s="182">
        <f t="shared" si="340"/>
        <v>0</v>
      </c>
      <c r="DX212" s="182">
        <f t="shared" si="340"/>
        <v>0</v>
      </c>
      <c r="DY212" s="182">
        <f t="shared" si="340"/>
        <v>0</v>
      </c>
      <c r="DZ212" s="182">
        <f t="shared" si="340"/>
        <v>0</v>
      </c>
      <c r="EA212" s="182">
        <f t="shared" si="340"/>
        <v>0</v>
      </c>
      <c r="EB212" s="182">
        <f t="shared" si="340"/>
        <v>0</v>
      </c>
      <c r="EC212" s="182">
        <f t="shared" si="340"/>
        <v>0</v>
      </c>
      <c r="ED212" s="182">
        <f t="shared" si="340"/>
        <v>0</v>
      </c>
      <c r="EE212" s="182">
        <f t="shared" si="340"/>
        <v>0</v>
      </c>
      <c r="EF212" s="182">
        <f t="shared" si="340"/>
        <v>0</v>
      </c>
      <c r="EG212" s="182">
        <f t="shared" si="340"/>
        <v>0</v>
      </c>
      <c r="EH212" s="182">
        <f t="shared" si="340"/>
        <v>0</v>
      </c>
      <c r="EI212" s="182">
        <f t="shared" si="340"/>
        <v>0</v>
      </c>
      <c r="EJ212" s="182">
        <f t="shared" si="340"/>
        <v>0</v>
      </c>
      <c r="FY212" s="214">
        <v>207</v>
      </c>
      <c r="FZ212">
        <v>1.0723226595252813</v>
      </c>
      <c r="GA212">
        <v>9.4512405826847719</v>
      </c>
      <c r="GB212">
        <v>9.3175822132202768</v>
      </c>
      <c r="GC212">
        <v>3.1609151497851844</v>
      </c>
      <c r="GD212">
        <v>7.1939338692903378</v>
      </c>
      <c r="GE212">
        <v>19.850429441337027</v>
      </c>
      <c r="GF212">
        <v>32.532954248312997</v>
      </c>
      <c r="GG212">
        <v>24.915666529929013</v>
      </c>
      <c r="GH212">
        <v>5.833164351279815</v>
      </c>
      <c r="GI212">
        <v>14.604221109285728</v>
      </c>
      <c r="GJ212"/>
      <c r="GK212"/>
      <c r="GL212"/>
      <c r="GM212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49.531431318192446</v>
      </c>
      <c r="AO213">
        <v>10.009755357966236</v>
      </c>
      <c r="AP213">
        <v>39.003875978193726</v>
      </c>
      <c r="AQ213">
        <v>62.731573367242618</v>
      </c>
      <c r="AR213">
        <v>9.2908515283777788</v>
      </c>
      <c r="AS213">
        <v>46.442953337602695</v>
      </c>
      <c r="AT213">
        <v>5.4674819339740734</v>
      </c>
      <c r="AU213">
        <v>-0.70157212201796038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:EJ213" si="343">AVERAGE(DF98:DF107)</f>
        <v>0</v>
      </c>
      <c r="DG213" s="185">
        <f t="shared" ref="DG213:DO213" si="344">AVERAGE(DG98:DG107)</f>
        <v>0</v>
      </c>
      <c r="DH213" s="185">
        <f t="shared" si="344"/>
        <v>0</v>
      </c>
      <c r="DI213" s="185"/>
      <c r="DJ213" s="185"/>
      <c r="DK213" s="185"/>
      <c r="DL213" s="185"/>
      <c r="DM213" s="185">
        <f t="shared" si="344"/>
        <v>0</v>
      </c>
      <c r="DN213" s="185">
        <f t="shared" si="344"/>
        <v>0</v>
      </c>
      <c r="DO213" s="185">
        <f t="shared" si="344"/>
        <v>0</v>
      </c>
      <c r="DP213" s="185">
        <f t="shared" ref="DG213:DT213" si="345">AVERAGE(DP98:DP107)</f>
        <v>0</v>
      </c>
      <c r="DQ213" s="185">
        <f t="shared" si="345"/>
        <v>0</v>
      </c>
      <c r="DR213" s="185">
        <f t="shared" si="345"/>
        <v>0</v>
      </c>
      <c r="DS213" s="185">
        <f t="shared" si="345"/>
        <v>0</v>
      </c>
      <c r="DT213" s="185">
        <f t="shared" si="345"/>
        <v>0</v>
      </c>
      <c r="DU213" s="185">
        <f t="shared" si="343"/>
        <v>0</v>
      </c>
      <c r="DV213" s="185">
        <f t="shared" si="343"/>
        <v>0</v>
      </c>
      <c r="DW213" s="185">
        <f t="shared" si="343"/>
        <v>0</v>
      </c>
      <c r="DX213" s="185">
        <f t="shared" si="343"/>
        <v>0</v>
      </c>
      <c r="DY213" s="185">
        <f t="shared" si="343"/>
        <v>0</v>
      </c>
      <c r="DZ213" s="185">
        <f t="shared" si="343"/>
        <v>0</v>
      </c>
      <c r="EA213" s="185">
        <f t="shared" si="343"/>
        <v>0</v>
      </c>
      <c r="EB213" s="185">
        <f t="shared" si="343"/>
        <v>0</v>
      </c>
      <c r="EC213" s="185">
        <f t="shared" si="343"/>
        <v>0</v>
      </c>
      <c r="ED213" s="185">
        <f t="shared" si="343"/>
        <v>0</v>
      </c>
      <c r="EE213" s="185">
        <f t="shared" si="343"/>
        <v>0</v>
      </c>
      <c r="EF213" s="185">
        <f t="shared" si="343"/>
        <v>0</v>
      </c>
      <c r="EG213" s="185">
        <f t="shared" si="343"/>
        <v>0</v>
      </c>
      <c r="EH213" s="185">
        <f t="shared" si="343"/>
        <v>0</v>
      </c>
      <c r="EI213" s="185">
        <f t="shared" si="343"/>
        <v>0</v>
      </c>
      <c r="EJ213" s="185">
        <f t="shared" si="343"/>
        <v>0</v>
      </c>
      <c r="FY213" s="214">
        <v>208</v>
      </c>
      <c r="FZ213">
        <v>0.75063461673933718</v>
      </c>
      <c r="GA213">
        <v>2.8936115840004746</v>
      </c>
      <c r="GB213">
        <v>5.8548542947689892</v>
      </c>
      <c r="GC213">
        <v>3.4571149917156339</v>
      </c>
      <c r="GD213">
        <v>2.2797764520174173</v>
      </c>
      <c r="GE213">
        <v>6.5198216798317459</v>
      </c>
      <c r="GF213">
        <v>12.023039135025037</v>
      </c>
      <c r="GG213">
        <v>6.4415964627317237</v>
      </c>
      <c r="GH213">
        <v>0.64026236304066864</v>
      </c>
      <c r="GI213">
        <v>5.2398607931824213</v>
      </c>
      <c r="GJ213"/>
      <c r="GK213"/>
      <c r="GL213"/>
      <c r="GM213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53.374273334928297</v>
      </c>
      <c r="AO214">
        <v>11.589190210332491</v>
      </c>
      <c r="AP214">
        <v>38.846831036284541</v>
      </c>
      <c r="AQ214">
        <v>62.17838797331995</v>
      </c>
      <c r="AR214">
        <v>10.572255355052308</v>
      </c>
      <c r="AS214">
        <v>51.589042320377139</v>
      </c>
      <c r="AT214" t="e">
        <v>#DIV/0!</v>
      </c>
      <c r="AU214" t="e">
        <v>#DIV/0!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:EJ214" si="346">AVERAGE(DF108:DF117)</f>
        <v>0</v>
      </c>
      <c r="DG214" s="182">
        <f t="shared" ref="DG214:DO214" si="347">AVERAGE(DG108:DG117)</f>
        <v>20.161290322580648</v>
      </c>
      <c r="DH214" s="182">
        <f t="shared" si="347"/>
        <v>3.125</v>
      </c>
      <c r="DI214" s="182"/>
      <c r="DJ214" s="182"/>
      <c r="DK214" s="182"/>
      <c r="DL214" s="182"/>
      <c r="DM214" s="182">
        <f t="shared" si="347"/>
        <v>0</v>
      </c>
      <c r="DN214" s="182">
        <f t="shared" si="347"/>
        <v>0</v>
      </c>
      <c r="DO214" s="182">
        <f t="shared" si="347"/>
        <v>0</v>
      </c>
      <c r="DP214" s="182">
        <f t="shared" ref="DI214:DP214" si="348">AVERAGE(DP108:DP117)</f>
        <v>0</v>
      </c>
      <c r="DQ214" s="182">
        <f t="shared" ref="DG214:DT214" si="349">AVERAGE(DQ108:DQ117)</f>
        <v>0</v>
      </c>
      <c r="DR214" s="182">
        <f t="shared" si="349"/>
        <v>0</v>
      </c>
      <c r="DS214" s="182">
        <f t="shared" si="349"/>
        <v>0</v>
      </c>
      <c r="DT214" s="182">
        <f t="shared" si="349"/>
        <v>0</v>
      </c>
      <c r="DU214" s="182">
        <f t="shared" si="346"/>
        <v>0</v>
      </c>
      <c r="DV214" s="182">
        <f t="shared" si="346"/>
        <v>0</v>
      </c>
      <c r="DW214" s="182">
        <f t="shared" si="346"/>
        <v>0</v>
      </c>
      <c r="DX214" s="182">
        <f t="shared" si="346"/>
        <v>0</v>
      </c>
      <c r="DY214" s="182">
        <f t="shared" si="346"/>
        <v>0</v>
      </c>
      <c r="DZ214" s="182">
        <f t="shared" si="346"/>
        <v>0</v>
      </c>
      <c r="EA214" s="182">
        <f t="shared" si="346"/>
        <v>0</v>
      </c>
      <c r="EB214" s="182">
        <f t="shared" si="346"/>
        <v>0</v>
      </c>
      <c r="EC214" s="182">
        <f t="shared" si="346"/>
        <v>0</v>
      </c>
      <c r="ED214" s="182">
        <f t="shared" si="346"/>
        <v>0</v>
      </c>
      <c r="EE214" s="182">
        <f t="shared" si="346"/>
        <v>0</v>
      </c>
      <c r="EF214" s="182">
        <f t="shared" si="346"/>
        <v>0</v>
      </c>
      <c r="EG214" s="182">
        <f t="shared" si="346"/>
        <v>0</v>
      </c>
      <c r="EH214" s="182">
        <f t="shared" si="346"/>
        <v>0</v>
      </c>
      <c r="EI214" s="182">
        <f t="shared" si="346"/>
        <v>0</v>
      </c>
      <c r="EJ214" s="182">
        <f t="shared" si="346"/>
        <v>0</v>
      </c>
      <c r="FY214" s="214">
        <v>209</v>
      </c>
      <c r="FZ214">
        <v>0.73075226171730012</v>
      </c>
      <c r="GA214">
        <v>5.4917553795343874</v>
      </c>
      <c r="GB214">
        <v>2.7584687330349715</v>
      </c>
      <c r="GC214">
        <v>0.73172138629126127</v>
      </c>
      <c r="GD214">
        <v>8.8768439800569983</v>
      </c>
      <c r="GE214">
        <v>17.840745265572096</v>
      </c>
      <c r="GF214">
        <v>6.7437057030567429</v>
      </c>
      <c r="GG214">
        <v>7.7514863919583261</v>
      </c>
      <c r="GH214">
        <v>3.5728764376672766</v>
      </c>
      <c r="GI214">
        <v>8.0960006391460162</v>
      </c>
      <c r="GJ214"/>
      <c r="GK214"/>
      <c r="GL214"/>
      <c r="GM214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73.313179199525024</v>
      </c>
      <c r="AO215">
        <v>16.182385717332942</v>
      </c>
      <c r="AP215">
        <v>104.52645933045891</v>
      </c>
      <c r="AQ215">
        <v>93.180347329106027</v>
      </c>
      <c r="AR215">
        <v>15.081198306445367</v>
      </c>
      <c r="AS215">
        <v>72.774217657057577</v>
      </c>
      <c r="AT215">
        <v>8.0916691445607256</v>
      </c>
      <c r="AU215">
        <v>36.524259965165534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:EJ215" si="350">AVERAGE(DF118:DF127)</f>
        <v>0</v>
      </c>
      <c r="DG215" s="182">
        <f t="shared" ref="DG215:DO215" si="351">AVERAGE(DG118:DG127)</f>
        <v>36.640652211772895</v>
      </c>
      <c r="DH215" s="182">
        <f t="shared" si="351"/>
        <v>49.819665006402815</v>
      </c>
      <c r="DI215" s="182">
        <f t="shared" si="351"/>
        <v>0</v>
      </c>
      <c r="DJ215" s="182"/>
      <c r="DK215" s="182"/>
      <c r="DL215" s="182"/>
      <c r="DM215" s="182">
        <f t="shared" si="351"/>
        <v>0</v>
      </c>
      <c r="DN215" s="182">
        <f t="shared" si="351"/>
        <v>0</v>
      </c>
      <c r="DO215" s="182">
        <f t="shared" si="351"/>
        <v>0</v>
      </c>
      <c r="DP215" s="182">
        <f t="shared" ref="DI215:DP215" si="352">AVERAGE(DP118:DP127)</f>
        <v>0</v>
      </c>
      <c r="DQ215" s="182">
        <f t="shared" ref="DG215:DT215" si="353">AVERAGE(DQ118:DQ127)</f>
        <v>0</v>
      </c>
      <c r="DR215" s="182">
        <f t="shared" si="353"/>
        <v>0</v>
      </c>
      <c r="DS215" s="182">
        <f t="shared" si="353"/>
        <v>0</v>
      </c>
      <c r="DT215" s="182">
        <f t="shared" si="353"/>
        <v>0</v>
      </c>
      <c r="DU215" s="182">
        <f t="shared" si="350"/>
        <v>0</v>
      </c>
      <c r="DV215" s="182">
        <f t="shared" si="350"/>
        <v>0</v>
      </c>
      <c r="DW215" s="182">
        <f t="shared" si="350"/>
        <v>0</v>
      </c>
      <c r="DX215" s="182">
        <f t="shared" si="350"/>
        <v>0</v>
      </c>
      <c r="DY215" s="182">
        <f t="shared" si="350"/>
        <v>0</v>
      </c>
      <c r="DZ215" s="182">
        <f t="shared" si="350"/>
        <v>0</v>
      </c>
      <c r="EA215" s="182">
        <f t="shared" si="350"/>
        <v>0</v>
      </c>
      <c r="EB215" s="182">
        <f t="shared" si="350"/>
        <v>0</v>
      </c>
      <c r="EC215" s="182">
        <f t="shared" si="350"/>
        <v>0</v>
      </c>
      <c r="ED215" s="182">
        <f t="shared" si="350"/>
        <v>0</v>
      </c>
      <c r="EE215" s="182">
        <f t="shared" si="350"/>
        <v>0</v>
      </c>
      <c r="EF215" s="182">
        <f t="shared" si="350"/>
        <v>0</v>
      </c>
      <c r="EG215" s="182">
        <f t="shared" si="350"/>
        <v>0</v>
      </c>
      <c r="EH215" s="182">
        <f t="shared" si="350"/>
        <v>0</v>
      </c>
      <c r="EI215" s="182">
        <f t="shared" si="350"/>
        <v>0</v>
      </c>
      <c r="EJ215" s="182">
        <f t="shared" si="350"/>
        <v>0</v>
      </c>
      <c r="FY215" s="214">
        <v>210</v>
      </c>
      <c r="FZ215">
        <v>0.92220245981082782</v>
      </c>
      <c r="GA215">
        <v>5.3682198466421864</v>
      </c>
      <c r="GB215">
        <v>6.8209736428579566</v>
      </c>
      <c r="GC215">
        <v>2.929967810313161</v>
      </c>
      <c r="GD215">
        <v>10.16305836850775</v>
      </c>
      <c r="GE215">
        <v>30.464140105983677</v>
      </c>
      <c r="GF215">
        <v>25.37256320919726</v>
      </c>
      <c r="GG215">
        <v>8.5274125968336616</v>
      </c>
      <c r="GH215">
        <v>2.4277845661791013</v>
      </c>
      <c r="GI215">
        <v>13.48496770752063</v>
      </c>
      <c r="GJ215"/>
      <c r="GK215"/>
      <c r="GL215"/>
      <c r="GM21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67.819379951810816</v>
      </c>
      <c r="AO216">
        <v>14.175905962733683</v>
      </c>
      <c r="AP216">
        <v>60.085812298657459</v>
      </c>
      <c r="AQ216">
        <v>74.488078446425902</v>
      </c>
      <c r="AR216">
        <v>12.911605832924588</v>
      </c>
      <c r="AS216">
        <v>65.546231140810562</v>
      </c>
      <c r="AT216" t="e">
        <v>#DIV/0!</v>
      </c>
      <c r="AU216" t="e">
        <v>#DIV/0!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:EJ216" si="354">AVERAGE(DF128:DF137)</f>
        <v>0</v>
      </c>
      <c r="DG216" s="182">
        <f t="shared" ref="DG216:DO216" si="355">AVERAGE(DG128:DG137)</f>
        <v>8.3333333333333339</v>
      </c>
      <c r="DH216" s="182">
        <f t="shared" si="355"/>
        <v>56.669823232323232</v>
      </c>
      <c r="DI216" s="182">
        <f t="shared" si="355"/>
        <v>5.4398148148148149</v>
      </c>
      <c r="DJ216" s="182">
        <f t="shared" si="355"/>
        <v>0</v>
      </c>
      <c r="DK216" s="182"/>
      <c r="DL216" s="182"/>
      <c r="DM216" s="182"/>
      <c r="DN216" s="182">
        <f t="shared" si="355"/>
        <v>0</v>
      </c>
      <c r="DO216" s="182">
        <f t="shared" si="355"/>
        <v>0</v>
      </c>
      <c r="DP216" s="182">
        <f t="shared" ref="DI216:DP216" si="356">AVERAGE(DP128:DP137)</f>
        <v>0</v>
      </c>
      <c r="DQ216" s="182">
        <f t="shared" ref="DG216:DT216" si="357">AVERAGE(DQ128:DQ137)</f>
        <v>0</v>
      </c>
      <c r="DR216" s="182">
        <f t="shared" si="357"/>
        <v>0</v>
      </c>
      <c r="DS216" s="182">
        <f t="shared" si="357"/>
        <v>0</v>
      </c>
      <c r="DT216" s="182">
        <f t="shared" si="357"/>
        <v>0</v>
      </c>
      <c r="DU216" s="182">
        <f t="shared" si="354"/>
        <v>0</v>
      </c>
      <c r="DV216" s="182">
        <f t="shared" si="354"/>
        <v>0</v>
      </c>
      <c r="DW216" s="182">
        <f t="shared" si="354"/>
        <v>0</v>
      </c>
      <c r="DX216" s="182">
        <f t="shared" si="354"/>
        <v>0</v>
      </c>
      <c r="DY216" s="182">
        <f t="shared" si="354"/>
        <v>0</v>
      </c>
      <c r="DZ216" s="182">
        <f t="shared" si="354"/>
        <v>0</v>
      </c>
      <c r="EA216" s="182">
        <f t="shared" si="354"/>
        <v>0</v>
      </c>
      <c r="EB216" s="182">
        <f t="shared" si="354"/>
        <v>0</v>
      </c>
      <c r="EC216" s="182">
        <f t="shared" si="354"/>
        <v>0</v>
      </c>
      <c r="ED216" s="182">
        <f t="shared" si="354"/>
        <v>0</v>
      </c>
      <c r="EE216" s="182">
        <f t="shared" si="354"/>
        <v>0</v>
      </c>
      <c r="EF216" s="182">
        <f t="shared" si="354"/>
        <v>0</v>
      </c>
      <c r="EG216" s="182">
        <f t="shared" si="354"/>
        <v>0</v>
      </c>
      <c r="EH216" s="182">
        <f t="shared" si="354"/>
        <v>0</v>
      </c>
      <c r="EI216" s="182">
        <f t="shared" si="354"/>
        <v>0</v>
      </c>
      <c r="EJ216" s="182">
        <f t="shared" si="354"/>
        <v>0</v>
      </c>
      <c r="FY216" s="214">
        <v>211</v>
      </c>
      <c r="FZ216">
        <v>1.4011280696803672</v>
      </c>
      <c r="GA216">
        <v>11.795823372312649</v>
      </c>
      <c r="GB216">
        <v>10.395238071287434</v>
      </c>
      <c r="GC216">
        <v>3.8045326552389072</v>
      </c>
      <c r="GD216">
        <v>1.2858004756010128</v>
      </c>
      <c r="GE216">
        <v>4.0705985870296821</v>
      </c>
      <c r="GF216">
        <v>22.054875577158288</v>
      </c>
      <c r="GG216">
        <v>27.223833521602121</v>
      </c>
      <c r="GH216">
        <v>18.728333251610902</v>
      </c>
      <c r="GI216">
        <v>10.94539370415111</v>
      </c>
      <c r="GJ216"/>
      <c r="GK216"/>
      <c r="GL216"/>
      <c r="GM216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81.410028298477727</v>
      </c>
      <c r="AO217">
        <v>13.062019201360929</v>
      </c>
      <c r="AP217">
        <v>44.082236696240244</v>
      </c>
      <c r="AQ217">
        <v>78.085069817424682</v>
      </c>
      <c r="AR217">
        <v>11.875529075100845</v>
      </c>
      <c r="AS217">
        <v>68.969184290747478</v>
      </c>
      <c r="AT217" t="e">
        <v>#DIV/0!</v>
      </c>
      <c r="AU217" t="e">
        <v>#DIV/0!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:EJ217" si="358">AVERAGE(DF138:DF147)</f>
        <v>0</v>
      </c>
      <c r="DG217" s="182">
        <f t="shared" ref="DG217:DO217" si="359">AVERAGE(DG138:DG147)</f>
        <v>8.3333333333333321</v>
      </c>
      <c r="DH217" s="182">
        <f t="shared" si="359"/>
        <v>83.48930481283422</v>
      </c>
      <c r="DI217" s="182">
        <f t="shared" si="359"/>
        <v>1.0416666666666665</v>
      </c>
      <c r="DJ217" s="182">
        <f t="shared" si="359"/>
        <v>5.7533914728682172</v>
      </c>
      <c r="DK217" s="182"/>
      <c r="DL217" s="182"/>
      <c r="DM217" s="182"/>
      <c r="DN217" s="182">
        <f t="shared" si="359"/>
        <v>0</v>
      </c>
      <c r="DO217" s="182">
        <f t="shared" si="359"/>
        <v>0</v>
      </c>
      <c r="DP217" s="182">
        <f t="shared" ref="DI217:DP217" si="360">AVERAGE(DP138:DP147)</f>
        <v>0</v>
      </c>
      <c r="DQ217" s="182">
        <f t="shared" ref="DG217:DT217" si="361">AVERAGE(DQ138:DQ147)</f>
        <v>0</v>
      </c>
      <c r="DR217" s="182">
        <f t="shared" si="361"/>
        <v>0</v>
      </c>
      <c r="DS217" s="182">
        <f t="shared" si="361"/>
        <v>0</v>
      </c>
      <c r="DT217" s="182">
        <f t="shared" si="361"/>
        <v>0</v>
      </c>
      <c r="DU217" s="182">
        <f t="shared" si="358"/>
        <v>0</v>
      </c>
      <c r="DV217" s="182">
        <f t="shared" si="358"/>
        <v>0</v>
      </c>
      <c r="DW217" s="182">
        <f t="shared" si="358"/>
        <v>0</v>
      </c>
      <c r="DX217" s="182">
        <f t="shared" si="358"/>
        <v>0</v>
      </c>
      <c r="DY217" s="182">
        <f t="shared" si="358"/>
        <v>0</v>
      </c>
      <c r="DZ217" s="182">
        <f t="shared" si="358"/>
        <v>0</v>
      </c>
      <c r="EA217" s="182">
        <f t="shared" si="358"/>
        <v>0</v>
      </c>
      <c r="EB217" s="182">
        <f t="shared" si="358"/>
        <v>0</v>
      </c>
      <c r="EC217" s="182">
        <f t="shared" si="358"/>
        <v>0</v>
      </c>
      <c r="ED217" s="182">
        <f t="shared" si="358"/>
        <v>0</v>
      </c>
      <c r="EE217" s="182">
        <f t="shared" si="358"/>
        <v>0</v>
      </c>
      <c r="EF217" s="182">
        <f t="shared" si="358"/>
        <v>0</v>
      </c>
      <c r="EG217" s="182">
        <f t="shared" si="358"/>
        <v>0</v>
      </c>
      <c r="EH217" s="182">
        <f t="shared" si="358"/>
        <v>0</v>
      </c>
      <c r="EI217" s="182">
        <f t="shared" si="358"/>
        <v>0</v>
      </c>
      <c r="EJ217" s="182">
        <f t="shared" si="358"/>
        <v>0</v>
      </c>
      <c r="FY217" s="214">
        <v>212</v>
      </c>
      <c r="FZ217">
        <v>1.7023819758675942</v>
      </c>
      <c r="GA217">
        <v>3.9533029709210608</v>
      </c>
      <c r="GB217">
        <v>1.9222082014135444</v>
      </c>
      <c r="GC217">
        <v>0.74747224210068086</v>
      </c>
      <c r="GD217">
        <v>7.8488472195489054</v>
      </c>
      <c r="GE217">
        <v>16.535320770781432</v>
      </c>
      <c r="GF217">
        <v>13.402935033678238</v>
      </c>
      <c r="GG217">
        <v>11.71057063386994</v>
      </c>
      <c r="GH217">
        <v>2.9005502766532074</v>
      </c>
      <c r="GI217">
        <v>8.7071279156846888</v>
      </c>
      <c r="GJ217"/>
      <c r="GK217"/>
      <c r="GL217"/>
      <c r="GM217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92.484970846063248</v>
      </c>
      <c r="AO218">
        <v>18.99096179485759</v>
      </c>
      <c r="AP218">
        <v>138.99710798539309</v>
      </c>
      <c r="AQ218">
        <v>113.65303996004319</v>
      </c>
      <c r="AR218">
        <v>17.455584652824463</v>
      </c>
      <c r="AS218">
        <v>84.80904082083147</v>
      </c>
      <c r="AT218">
        <v>9.9783542252641197</v>
      </c>
      <c r="AU218">
        <v>38.745595543018226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:EJ218" si="362">AVERAGE(DF148:DF157)</f>
        <v>0</v>
      </c>
      <c r="DG218" s="182">
        <f t="shared" ref="DG218:DO218" si="363">AVERAGE(DG148:DG157)</f>
        <v>13.020833333333334</v>
      </c>
      <c r="DH218" s="182">
        <f t="shared" si="363"/>
        <v>92.838541666666671</v>
      </c>
      <c r="DI218" s="182">
        <f t="shared" si="363"/>
        <v>32.2265625</v>
      </c>
      <c r="DJ218" s="182">
        <f t="shared" si="363"/>
        <v>11.805555555555555</v>
      </c>
      <c r="DK218" s="182"/>
      <c r="DL218" s="182"/>
      <c r="DM218" s="182"/>
      <c r="DN218" s="182"/>
      <c r="DO218" s="182"/>
      <c r="DP218" s="182">
        <f t="shared" ref="DI218:DP218" si="364">AVERAGE(DP148:DP157)</f>
        <v>0</v>
      </c>
      <c r="DQ218" s="182">
        <f t="shared" ref="DG218:DT218" si="365">AVERAGE(DQ148:DQ157)</f>
        <v>0</v>
      </c>
      <c r="DR218" s="182">
        <f t="shared" si="365"/>
        <v>0</v>
      </c>
      <c r="DS218" s="182">
        <f t="shared" si="365"/>
        <v>0</v>
      </c>
      <c r="DT218" s="182">
        <f t="shared" si="365"/>
        <v>0</v>
      </c>
      <c r="DU218" s="182">
        <f t="shared" si="362"/>
        <v>0</v>
      </c>
      <c r="DV218" s="182">
        <f t="shared" si="362"/>
        <v>0</v>
      </c>
      <c r="DW218" s="182">
        <f t="shared" si="362"/>
        <v>0</v>
      </c>
      <c r="DX218" s="182">
        <f t="shared" si="362"/>
        <v>0</v>
      </c>
      <c r="DY218" s="182">
        <f t="shared" si="362"/>
        <v>0</v>
      </c>
      <c r="DZ218" s="182">
        <f t="shared" si="362"/>
        <v>0</v>
      </c>
      <c r="EA218" s="182">
        <f t="shared" si="362"/>
        <v>0</v>
      </c>
      <c r="EB218" s="182">
        <f t="shared" si="362"/>
        <v>0</v>
      </c>
      <c r="EC218" s="182">
        <f t="shared" si="362"/>
        <v>0</v>
      </c>
      <c r="ED218" s="182">
        <f t="shared" si="362"/>
        <v>0</v>
      </c>
      <c r="EE218" s="182">
        <f t="shared" si="362"/>
        <v>0</v>
      </c>
      <c r="EF218" s="182">
        <f t="shared" si="362"/>
        <v>0</v>
      </c>
      <c r="EG218" s="182">
        <f t="shared" si="362"/>
        <v>0</v>
      </c>
      <c r="EH218" s="182">
        <f t="shared" si="362"/>
        <v>0</v>
      </c>
      <c r="EI218" s="182">
        <f t="shared" si="362"/>
        <v>0</v>
      </c>
      <c r="EJ218" s="182">
        <f t="shared" si="362"/>
        <v>0</v>
      </c>
      <c r="FY218" s="214">
        <v>213</v>
      </c>
      <c r="FZ218">
        <v>1.1939114666806256</v>
      </c>
      <c r="GA218">
        <v>31.136776898862195</v>
      </c>
      <c r="GB218">
        <v>19.622861516987552</v>
      </c>
      <c r="GC218">
        <v>2.9781792335139201</v>
      </c>
      <c r="GD218">
        <v>8.141234575040011</v>
      </c>
      <c r="GE218">
        <v>19.791905693527372</v>
      </c>
      <c r="GF218">
        <v>14.62975994622653</v>
      </c>
      <c r="GG218">
        <v>7.8214866213163203</v>
      </c>
      <c r="GH218">
        <v>1.1130280735147748</v>
      </c>
      <c r="GI218">
        <v>12.983127351972108</v>
      </c>
      <c r="GJ218"/>
      <c r="GK218"/>
      <c r="GL218"/>
      <c r="GM218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67.195876092110865</v>
      </c>
      <c r="AO219">
        <v>16.858681499163076</v>
      </c>
      <c r="AP219">
        <v>65.846446942785406</v>
      </c>
      <c r="AQ219">
        <v>91.380773794713704</v>
      </c>
      <c r="AR219">
        <v>15.338927497034627</v>
      </c>
      <c r="AS219">
        <v>72.165353840437433</v>
      </c>
      <c r="AT219" t="e">
        <v>#DIV/0!</v>
      </c>
      <c r="AU219" t="e">
        <v>#DIV/0!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:EJ219" si="366">AVERAGE(DF158:DF167)</f>
        <v>0</v>
      </c>
      <c r="DG219" s="182">
        <f t="shared" ref="DG219:DO219" si="367">AVERAGE(DG158:DG167)</f>
        <v>0</v>
      </c>
      <c r="DH219" s="182">
        <f t="shared" si="367"/>
        <v>0</v>
      </c>
      <c r="DI219" s="182">
        <f t="shared" si="367"/>
        <v>13.541666666666668</v>
      </c>
      <c r="DJ219" s="182">
        <f t="shared" si="367"/>
        <v>31.655092592592592</v>
      </c>
      <c r="DK219" s="182">
        <f t="shared" si="367"/>
        <v>10.127314814814813</v>
      </c>
      <c r="DL219" s="182">
        <f t="shared" si="367"/>
        <v>0</v>
      </c>
      <c r="DM219" s="182"/>
      <c r="DN219" s="182"/>
      <c r="DO219" s="182"/>
      <c r="DP219" s="182">
        <f t="shared" ref="DG219:DT219" si="368">AVERAGE(DP158:DP167)</f>
        <v>0</v>
      </c>
      <c r="DQ219" s="182">
        <f t="shared" si="368"/>
        <v>0</v>
      </c>
      <c r="DR219" s="182">
        <f t="shared" si="368"/>
        <v>0</v>
      </c>
      <c r="DS219" s="182">
        <f t="shared" si="368"/>
        <v>0</v>
      </c>
      <c r="DT219" s="182">
        <f t="shared" si="368"/>
        <v>0</v>
      </c>
      <c r="DU219" s="182">
        <f t="shared" si="366"/>
        <v>0</v>
      </c>
      <c r="DV219" s="182">
        <f t="shared" si="366"/>
        <v>0</v>
      </c>
      <c r="DW219" s="182">
        <f t="shared" si="366"/>
        <v>0</v>
      </c>
      <c r="DX219" s="182">
        <f t="shared" si="366"/>
        <v>0</v>
      </c>
      <c r="DY219" s="182">
        <f t="shared" si="366"/>
        <v>0</v>
      </c>
      <c r="DZ219" s="182">
        <f t="shared" si="366"/>
        <v>0</v>
      </c>
      <c r="EA219" s="182">
        <f t="shared" si="366"/>
        <v>0</v>
      </c>
      <c r="EB219" s="182">
        <f t="shared" si="366"/>
        <v>0</v>
      </c>
      <c r="EC219" s="182">
        <f t="shared" si="366"/>
        <v>0</v>
      </c>
      <c r="ED219" s="182">
        <f t="shared" si="366"/>
        <v>0</v>
      </c>
      <c r="EE219" s="182">
        <f t="shared" si="366"/>
        <v>0</v>
      </c>
      <c r="EF219" s="182">
        <f t="shared" si="366"/>
        <v>0</v>
      </c>
      <c r="EG219" s="182">
        <f t="shared" si="366"/>
        <v>0</v>
      </c>
      <c r="EH219" s="182">
        <f t="shared" si="366"/>
        <v>0</v>
      </c>
      <c r="EI219" s="182">
        <f t="shared" si="366"/>
        <v>0</v>
      </c>
      <c r="EJ219" s="182">
        <f t="shared" si="366"/>
        <v>0</v>
      </c>
      <c r="FY219" s="214">
        <v>214</v>
      </c>
      <c r="FZ219">
        <v>0.81383488063544696</v>
      </c>
      <c r="GA219">
        <v>10.339738579094325</v>
      </c>
      <c r="GB219">
        <v>6.9253019146123922</v>
      </c>
      <c r="GC219">
        <v>1.7197868533723157</v>
      </c>
      <c r="GD219">
        <v>8.156865642351514</v>
      </c>
      <c r="GE219">
        <v>18.766637155407157</v>
      </c>
      <c r="GF219">
        <v>11.979973631520062</v>
      </c>
      <c r="GG219">
        <v>9.3129048884565151</v>
      </c>
      <c r="GH219">
        <v>7.1479208439441422</v>
      </c>
      <c r="GI219">
        <v>10.423138094524393</v>
      </c>
      <c r="GJ219"/>
      <c r="GK219"/>
      <c r="GL219"/>
      <c r="GM219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66.969106766528213</v>
      </c>
      <c r="AO220">
        <v>15.355258110200975</v>
      </c>
      <c r="AP220">
        <v>86.523759865404287</v>
      </c>
      <c r="AQ220">
        <v>82.792960918513032</v>
      </c>
      <c r="AR220">
        <v>14.150399484954814</v>
      </c>
      <c r="AS220">
        <v>68.210565498190931</v>
      </c>
      <c r="AT220">
        <v>7.5641568661326914</v>
      </c>
      <c r="AU220">
        <v>4.6674972355331956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:EJ220" si="369">AVERAGE(DF168:DF177)</f>
        <v>0</v>
      </c>
      <c r="DG220" s="182">
        <f t="shared" ref="DG220:DO220" si="370">AVERAGE(DG168:DG177)</f>
        <v>0</v>
      </c>
      <c r="DH220" s="182"/>
      <c r="DI220" s="182">
        <f t="shared" si="370"/>
        <v>0</v>
      </c>
      <c r="DJ220" s="182">
        <f t="shared" si="370"/>
        <v>9.375</v>
      </c>
      <c r="DK220" s="182">
        <f t="shared" si="370"/>
        <v>4.1666666666666661</v>
      </c>
      <c r="DL220" s="182">
        <f t="shared" si="370"/>
        <v>2.083333333333333</v>
      </c>
      <c r="DM220" s="182"/>
      <c r="DN220" s="182">
        <f t="shared" si="370"/>
        <v>0</v>
      </c>
      <c r="DO220" s="182">
        <f t="shared" si="370"/>
        <v>0</v>
      </c>
      <c r="DP220" s="182">
        <f t="shared" ref="DG220:DT220" si="371">AVERAGE(DP168:DP177)</f>
        <v>0</v>
      </c>
      <c r="DQ220" s="182">
        <f t="shared" si="371"/>
        <v>0</v>
      </c>
      <c r="DR220" s="182">
        <f t="shared" si="371"/>
        <v>0</v>
      </c>
      <c r="DS220" s="182">
        <f t="shared" si="371"/>
        <v>0</v>
      </c>
      <c r="DT220" s="182">
        <f t="shared" si="371"/>
        <v>0</v>
      </c>
      <c r="DU220" s="182">
        <f t="shared" si="369"/>
        <v>0</v>
      </c>
      <c r="DV220" s="182">
        <f t="shared" si="369"/>
        <v>0</v>
      </c>
      <c r="DW220" s="182">
        <f t="shared" si="369"/>
        <v>0</v>
      </c>
      <c r="DX220" s="182">
        <f t="shared" si="369"/>
        <v>0</v>
      </c>
      <c r="DY220" s="182">
        <f t="shared" si="369"/>
        <v>0</v>
      </c>
      <c r="DZ220" s="182">
        <f t="shared" si="369"/>
        <v>0</v>
      </c>
      <c r="EA220" s="182">
        <f t="shared" si="369"/>
        <v>0</v>
      </c>
      <c r="EB220" s="182">
        <f t="shared" si="369"/>
        <v>0</v>
      </c>
      <c r="EC220" s="182">
        <f t="shared" si="369"/>
        <v>0</v>
      </c>
      <c r="ED220" s="182">
        <f t="shared" si="369"/>
        <v>0</v>
      </c>
      <c r="EE220" s="182">
        <f t="shared" si="369"/>
        <v>0</v>
      </c>
      <c r="EF220" s="182">
        <f t="shared" si="369"/>
        <v>0</v>
      </c>
      <c r="EG220" s="182">
        <f t="shared" si="369"/>
        <v>0</v>
      </c>
      <c r="EH220" s="182">
        <f t="shared" si="369"/>
        <v>0</v>
      </c>
      <c r="EI220" s="182">
        <f t="shared" si="369"/>
        <v>0</v>
      </c>
      <c r="EJ220" s="182">
        <f t="shared" si="369"/>
        <v>0</v>
      </c>
      <c r="FY220" s="214">
        <v>215</v>
      </c>
      <c r="FZ220">
        <v>0.60051441702488362</v>
      </c>
      <c r="GA220">
        <v>10.714033477825296</v>
      </c>
      <c r="GB220">
        <v>12.615452079214684</v>
      </c>
      <c r="GC220">
        <v>4.7423067797056548</v>
      </c>
      <c r="GD220">
        <v>8.1984148017077043</v>
      </c>
      <c r="GE220">
        <v>25.272531272093051</v>
      </c>
      <c r="GF220">
        <v>33.84998523563511</v>
      </c>
      <c r="GG220">
        <v>19.239534845551525</v>
      </c>
      <c r="GH220">
        <v>3.5728764376672766</v>
      </c>
      <c r="GI220">
        <v>15.377046687064738</v>
      </c>
      <c r="GJ220"/>
      <c r="GK220"/>
      <c r="GL220"/>
      <c r="GM220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97.472513350907221</v>
      </c>
      <c r="AO221">
        <v>16.204558996684021</v>
      </c>
      <c r="AP221">
        <v>66.702758444269563</v>
      </c>
      <c r="AQ221">
        <v>103.00695190782963</v>
      </c>
      <c r="AR221">
        <v>14.732061379561232</v>
      </c>
      <c r="AS221">
        <v>83.361907377322424</v>
      </c>
      <c r="AT221" t="e">
        <v>#DIV/0!</v>
      </c>
      <c r="AU221" t="e">
        <v>#DIV/0!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:EJ221" si="372">AVERAGE(DF178:DF187)</f>
        <v>0</v>
      </c>
      <c r="DG221" s="182">
        <f t="shared" ref="DG221:DO221" si="373">AVERAGE(DG178:DG187)</f>
        <v>0</v>
      </c>
      <c r="DH221" s="182">
        <f t="shared" si="373"/>
        <v>0</v>
      </c>
      <c r="DI221" s="182">
        <f t="shared" si="373"/>
        <v>0</v>
      </c>
      <c r="DJ221" s="182">
        <f t="shared" si="373"/>
        <v>0</v>
      </c>
      <c r="DK221" s="182">
        <f t="shared" si="373"/>
        <v>7.7570921985815602</v>
      </c>
      <c r="DL221" s="182">
        <f t="shared" si="373"/>
        <v>0</v>
      </c>
      <c r="DM221" s="182">
        <f t="shared" si="373"/>
        <v>0</v>
      </c>
      <c r="DN221" s="182">
        <f t="shared" si="373"/>
        <v>0</v>
      </c>
      <c r="DO221" s="182">
        <f t="shared" si="373"/>
        <v>0</v>
      </c>
      <c r="DP221" s="182">
        <f t="shared" ref="DG221:DT221" si="374">AVERAGE(DP178:DP187)</f>
        <v>0</v>
      </c>
      <c r="DQ221" s="182">
        <f t="shared" si="374"/>
        <v>0</v>
      </c>
      <c r="DR221" s="182">
        <f t="shared" si="374"/>
        <v>0</v>
      </c>
      <c r="DS221" s="182">
        <f t="shared" si="374"/>
        <v>0</v>
      </c>
      <c r="DT221" s="182">
        <f t="shared" si="374"/>
        <v>0</v>
      </c>
      <c r="DU221" s="182">
        <f t="shared" si="372"/>
        <v>0</v>
      </c>
      <c r="DV221" s="182">
        <f t="shared" si="372"/>
        <v>0</v>
      </c>
      <c r="DW221" s="182">
        <f t="shared" si="372"/>
        <v>0</v>
      </c>
      <c r="DX221" s="182">
        <f t="shared" si="372"/>
        <v>0</v>
      </c>
      <c r="DY221" s="182">
        <f t="shared" si="372"/>
        <v>0</v>
      </c>
      <c r="DZ221" s="182">
        <f t="shared" si="372"/>
        <v>0</v>
      </c>
      <c r="EA221" s="182">
        <f t="shared" si="372"/>
        <v>0</v>
      </c>
      <c r="EB221" s="182">
        <f t="shared" si="372"/>
        <v>0</v>
      </c>
      <c r="EC221" s="182">
        <f t="shared" si="372"/>
        <v>0</v>
      </c>
      <c r="ED221" s="182">
        <f t="shared" si="372"/>
        <v>0</v>
      </c>
      <c r="EE221" s="182">
        <f t="shared" si="372"/>
        <v>0</v>
      </c>
      <c r="EF221" s="182">
        <f t="shared" si="372"/>
        <v>0</v>
      </c>
      <c r="EG221" s="182">
        <f t="shared" si="372"/>
        <v>0</v>
      </c>
      <c r="EH221" s="182">
        <f t="shared" si="372"/>
        <v>0</v>
      </c>
      <c r="EI221" s="182">
        <f t="shared" si="372"/>
        <v>0</v>
      </c>
      <c r="EJ221" s="182">
        <f t="shared" si="372"/>
        <v>0</v>
      </c>
      <c r="FY221" s="214">
        <v>216</v>
      </c>
      <c r="FZ221">
        <v>0.86866474021011064</v>
      </c>
      <c r="GA221">
        <v>11.301600336628828</v>
      </c>
      <c r="GB221">
        <v>9.6241861385918597</v>
      </c>
      <c r="GC221">
        <v>3.5840152795253921</v>
      </c>
      <c r="GD221">
        <v>4.2440497231871444</v>
      </c>
      <c r="GE221">
        <v>9.5369209116501317</v>
      </c>
      <c r="GF221">
        <v>20.159464427634582</v>
      </c>
      <c r="GG221">
        <v>17.668574243806017</v>
      </c>
      <c r="GH221">
        <v>5.9169126775630962</v>
      </c>
      <c r="GI221">
        <v>10.14984947987927</v>
      </c>
      <c r="GJ221"/>
      <c r="GK221"/>
      <c r="GL221"/>
      <c r="GM221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63.836651544510346</v>
      </c>
      <c r="AO222">
        <v>13.799632703950696</v>
      </c>
      <c r="AP222">
        <v>35.226001127469743</v>
      </c>
      <c r="AQ222">
        <v>92.970026534971822</v>
      </c>
      <c r="AR222">
        <v>12.557974046841556</v>
      </c>
      <c r="AS222">
        <v>64.921334308584136</v>
      </c>
      <c r="AT222" t="e">
        <v>#DIV/0!</v>
      </c>
      <c r="AU222" t="e">
        <v>#DIV/0!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/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4">
        <v>217</v>
      </c>
      <c r="FZ222">
        <v>0.89437232262734301</v>
      </c>
      <c r="GA222">
        <v>3.582454901369156</v>
      </c>
      <c r="GB222">
        <v>3.5145569024233287</v>
      </c>
      <c r="GC222">
        <v>1.9672573736485652</v>
      </c>
      <c r="GD222">
        <v>7.2025862426949532</v>
      </c>
      <c r="GE222">
        <v>17.233931359642931</v>
      </c>
      <c r="GF222">
        <v>16.390155086358689</v>
      </c>
      <c r="GG222">
        <v>12.893479838693533</v>
      </c>
      <c r="GH222">
        <v>5.9169126775630962</v>
      </c>
      <c r="GI222">
        <v>9.7818445934123659</v>
      </c>
      <c r="GJ222"/>
      <c r="GK222"/>
      <c r="GL222"/>
      <c r="GM222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88.470711833023728</v>
      </c>
      <c r="AO223">
        <v>22.762318757702719</v>
      </c>
      <c r="AP223">
        <v>149.17597148446427</v>
      </c>
      <c r="AQ223">
        <v>127.93243015465045</v>
      </c>
      <c r="AR223">
        <v>20.908187521835217</v>
      </c>
      <c r="AS223">
        <v>95.971868541791878</v>
      </c>
      <c r="AT223">
        <v>11.562493296744343</v>
      </c>
      <c r="AU223">
        <v>49.371634268198839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4">
        <v>218</v>
      </c>
      <c r="FZ223">
        <v>0.53958069683939847</v>
      </c>
      <c r="GA223">
        <v>3.5664365835703684</v>
      </c>
      <c r="GB223">
        <v>3.4727754138114832</v>
      </c>
      <c r="GC223">
        <v>1.7807898914020861</v>
      </c>
      <c r="GD223">
        <v>6.4938063673964539</v>
      </c>
      <c r="GE223">
        <v>15.594258692000656</v>
      </c>
      <c r="GF223">
        <v>8.7018304556195556</v>
      </c>
      <c r="GG223">
        <v>2.7519828743701158</v>
      </c>
      <c r="GH223">
        <v>3.6587927325601464</v>
      </c>
      <c r="GI223">
        <v>7.1088560399377165</v>
      </c>
      <c r="GJ223"/>
      <c r="GK223"/>
      <c r="GL223"/>
      <c r="GM223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58.471166567524321</v>
      </c>
      <c r="AO224">
        <v>7.8913016538701415</v>
      </c>
      <c r="AP224">
        <v>30.487889793720743</v>
      </c>
      <c r="AQ224">
        <v>46.100572373053453</v>
      </c>
      <c r="AR224">
        <v>7.1986512434274275</v>
      </c>
      <c r="AS224">
        <v>42.200880347909631</v>
      </c>
      <c r="AT224" t="e">
        <v>#DIV/0!</v>
      </c>
      <c r="AU224" t="e">
        <v>#DIV/0!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4">
        <v>219</v>
      </c>
      <c r="FZ224">
        <v>0.60333822716676055</v>
      </c>
      <c r="GA224">
        <v>11.424156967917835</v>
      </c>
      <c r="GB224">
        <v>13.39726878008457</v>
      </c>
      <c r="GC224">
        <v>4.9409958032252197</v>
      </c>
      <c r="GD224">
        <v>2.6627534219419005</v>
      </c>
      <c r="GE224">
        <v>7.6715223889255544</v>
      </c>
      <c r="GF224">
        <v>17.01743825973216</v>
      </c>
      <c r="GG224">
        <v>11.957399329072677</v>
      </c>
      <c r="GH224">
        <v>1.1130280735147748</v>
      </c>
      <c r="GI224">
        <v>8.7322712047169642</v>
      </c>
      <c r="GJ224"/>
      <c r="GK224"/>
      <c r="GL224"/>
      <c r="GM224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57.23857772096553</v>
      </c>
      <c r="AO225">
        <v>12.426018345374494</v>
      </c>
      <c r="AP225">
        <v>93.16697480180035</v>
      </c>
      <c r="AQ225">
        <v>62.594356178035369</v>
      </c>
      <c r="AR225">
        <v>11.296702368901055</v>
      </c>
      <c r="AS225">
        <v>55.577109264976883</v>
      </c>
      <c r="AT225" t="e">
        <v>#DIV/0!</v>
      </c>
      <c r="AU225" t="e">
        <v>#DIV/0!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>
        <f>((DG212*$H$372)+(DH212*$I$372)+(DI212*$J$372)+(DJ212*$K$372)+(DK212*$L$372)+(DL212*$M$372)+(DM212*$N$372)+(DN212*$O$372)+(DO212*$P$372)+(DP212*$Q$372)+(DQ212*$R$372)+(DR212*$S$372)+(DS212*$T$372)+(DT212*$U$372))/SUM(DG212:DT212)</f>
        <v>6.8018000000000002E-3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4">
        <v>220</v>
      </c>
      <c r="FZ225">
        <v>0.61272213824652688</v>
      </c>
      <c r="GA225">
        <v>3.6070133553227048</v>
      </c>
      <c r="GB225">
        <v>7.7950260103309477</v>
      </c>
      <c r="GC225">
        <v>4.3640860505182264</v>
      </c>
      <c r="GD225">
        <v>8.5972700122586385</v>
      </c>
      <c r="GE225">
        <v>22.226095018862381</v>
      </c>
      <c r="GF225">
        <v>27.814574264153855</v>
      </c>
      <c r="GG225">
        <v>22.304383579738587</v>
      </c>
      <c r="GH225">
        <v>9.4060407889470916</v>
      </c>
      <c r="GI225">
        <v>14.359906218716565</v>
      </c>
      <c r="GJ225"/>
      <c r="GK225"/>
      <c r="GL225"/>
      <c r="GM22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91.508117643821393</v>
      </c>
      <c r="AO226">
        <v>20.683028806064677</v>
      </c>
      <c r="AP226">
        <v>128.84562484430285</v>
      </c>
      <c r="AQ226">
        <v>106.48129031384619</v>
      </c>
      <c r="AR226">
        <v>18.993827390285453</v>
      </c>
      <c r="AS226">
        <v>95.265735360260166</v>
      </c>
      <c r="AT226">
        <v>9.7489604029435544</v>
      </c>
      <c r="AU226">
        <v>29.433760136592312</v>
      </c>
      <c r="AV226"/>
      <c r="AW226"/>
      <c r="DE226" s="187">
        <f>DE101</f>
        <v>39673</v>
      </c>
      <c r="DF226" s="205"/>
      <c r="DG226" s="205" t="e">
        <f t="shared" ref="DG226:DG234" si="375">((DG213*$H$372)+(DH213*$I$372)+(DI213*$J$372)+(DJ213*$K$372)+(DK213*$L$372)+(DL213*$M$372)+(DM213*$N$372)+(DN213*$O$372)+(DO213*$P$372)+(DP213*$Q$372)+(DQ213*$R$372)+(DR213*$S$372)+(DS213*$T$372)+(DT213*$U$372))/SUM(DG213:DT213)</f>
        <v>#DIV/0!</v>
      </c>
      <c r="DH226" s="205" t="e">
        <f>(LN(DG226/DG225))/(DE213-DE212)</f>
        <v>#DIV/0!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4">
        <v>221</v>
      </c>
      <c r="FZ226">
        <v>1.0858225207208707</v>
      </c>
      <c r="GA226">
        <v>4.5715844357030644</v>
      </c>
      <c r="GB226">
        <v>4.4502526834720388</v>
      </c>
      <c r="GC226">
        <v>2.1370658473868156</v>
      </c>
      <c r="GD226">
        <v>2.8943476637854233</v>
      </c>
      <c r="GE226">
        <v>7.6416801374694412</v>
      </c>
      <c r="GF226">
        <v>17.963962018134364</v>
      </c>
      <c r="GG226">
        <v>15.681229465122343</v>
      </c>
      <c r="GH226">
        <v>7.0299407510778718</v>
      </c>
      <c r="GI226">
        <v>7.4884720460865131</v>
      </c>
      <c r="GJ226"/>
      <c r="GK226"/>
      <c r="GL226"/>
      <c r="GM226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79.428292050878184</v>
      </c>
      <c r="AO227">
        <v>16.524416110058734</v>
      </c>
      <c r="AP227">
        <v>59.181640791435711</v>
      </c>
      <c r="AQ227">
        <v>111.70555728567247</v>
      </c>
      <c r="AR227">
        <v>15.416231566256723</v>
      </c>
      <c r="AS227">
        <v>78.291138559542858</v>
      </c>
      <c r="AT227">
        <v>9.7818747598196207</v>
      </c>
      <c r="AU227">
        <v>22.647127512855359</v>
      </c>
      <c r="AV227"/>
      <c r="AW227"/>
      <c r="DE227" s="187">
        <f>DE111</f>
        <v>39714</v>
      </c>
      <c r="DF227" s="205"/>
      <c r="DG227" s="205">
        <f t="shared" si="375"/>
        <v>1.1730605465894552E-2</v>
      </c>
      <c r="DH227" s="205" t="e">
        <f t="shared" ref="DH227:DH234" si="376">(LN(DG227/DG226))/(DE214-DE213)</f>
        <v>#DIV/0!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4">
        <v>222</v>
      </c>
      <c r="FZ227">
        <v>0.46926306557414704</v>
      </c>
      <c r="GA227">
        <v>3.6576285535163513</v>
      </c>
      <c r="GB227">
        <v>4.3281565425542103</v>
      </c>
      <c r="GC227">
        <v>2.1218510128709434</v>
      </c>
      <c r="GD227">
        <v>7.0970712119167016</v>
      </c>
      <c r="GE227">
        <v>22.271854307790147</v>
      </c>
      <c r="GF227">
        <v>22.972963831388512</v>
      </c>
      <c r="GG227">
        <v>9.0469533870608405</v>
      </c>
      <c r="GH227">
        <v>1.1130280735147748</v>
      </c>
      <c r="GI227">
        <v>10.194910816189443</v>
      </c>
      <c r="GJ227"/>
      <c r="GK227"/>
      <c r="GL227"/>
      <c r="GM227"/>
    </row>
    <row r="228" spans="1:195" s="7" customFormat="1">
      <c r="A228" s="9" t="s">
        <v>60</v>
      </c>
      <c r="B228">
        <v>0.23270375346220784</v>
      </c>
      <c r="C228">
        <v>3</v>
      </c>
      <c r="D228">
        <v>39646</v>
      </c>
      <c r="E228">
        <v>0</v>
      </c>
      <c r="F228">
        <v>10.416666666666666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60.204529865232963</v>
      </c>
      <c r="AO228">
        <v>13.31870731374687</v>
      </c>
      <c r="AP228">
        <v>134.27990400737798</v>
      </c>
      <c r="AQ228">
        <v>69.4307172405193</v>
      </c>
      <c r="AR228">
        <v>12.287102427882889</v>
      </c>
      <c r="AS228">
        <v>57.732038057420532</v>
      </c>
      <c r="AT228">
        <v>6.906642225401491</v>
      </c>
      <c r="AU228">
        <v>40.39160172238465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75"/>
        <v>2.796473713302872E-2</v>
      </c>
      <c r="DH228" s="205">
        <f t="shared" si="376"/>
        <v>2.6325546974828796E-2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4">
        <v>223</v>
      </c>
      <c r="FZ228">
        <v>1.1112514699224771</v>
      </c>
      <c r="GA228">
        <v>7.1120953304629708</v>
      </c>
      <c r="GB228">
        <v>3.8294340696991771</v>
      </c>
      <c r="GC228">
        <v>1.1154930268698429</v>
      </c>
      <c r="GD228">
        <v>0.88818908710676547</v>
      </c>
      <c r="GE228">
        <v>9.0484831152844531</v>
      </c>
      <c r="GF228">
        <v>24.207515605390363</v>
      </c>
      <c r="GG228">
        <v>11.603496001947724</v>
      </c>
      <c r="GH228">
        <v>4.0973266764512637</v>
      </c>
      <c r="GI228">
        <v>6.973830998661712</v>
      </c>
      <c r="GJ228"/>
      <c r="GK228"/>
      <c r="GL228"/>
      <c r="GM228"/>
    </row>
    <row r="229" spans="1:195" s="7" customFormat="1">
      <c r="A229" s="90"/>
      <c r="B229">
        <v>0.61751211734055134</v>
      </c>
      <c r="C229">
        <v>9</v>
      </c>
      <c r="D229">
        <v>39646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103.25380967117314</v>
      </c>
      <c r="AO229">
        <v>19.786002988299156</v>
      </c>
      <c r="AP229">
        <v>91.048833277580997</v>
      </c>
      <c r="AQ229">
        <v>119.41227137764139</v>
      </c>
      <c r="AR229">
        <v>18.000128850794699</v>
      </c>
      <c r="AS229">
        <v>95.68921613057131</v>
      </c>
      <c r="AT229" t="e">
        <v>#DIV/0!</v>
      </c>
      <c r="AU229" t="e">
        <v>#DIV/0!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75"/>
        <v>4.5779422444275963E-2</v>
      </c>
      <c r="DH229" s="205">
        <f t="shared" si="376"/>
        <v>1.7603227506260415E-2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4">
        <v>224</v>
      </c>
      <c r="FZ229">
        <v>1.0723226595252813</v>
      </c>
      <c r="GA229">
        <v>2.8239823779734428</v>
      </c>
      <c r="GB229">
        <v>6.5314698152045692</v>
      </c>
      <c r="GC229">
        <v>3.9737295207284067</v>
      </c>
      <c r="GD229">
        <v>14.521349188729536</v>
      </c>
      <c r="GE229">
        <v>32.079802360669127</v>
      </c>
      <c r="GF229">
        <v>17.453278373241481</v>
      </c>
      <c r="GG229">
        <v>10.913843671320091</v>
      </c>
      <c r="GH229">
        <v>0.55651403675738742</v>
      </c>
      <c r="GI229">
        <v>14.4641779320597</v>
      </c>
      <c r="GJ229"/>
      <c r="GK229"/>
      <c r="GL229"/>
      <c r="GM229"/>
    </row>
    <row r="230" spans="1:195" s="7" customFormat="1">
      <c r="A230" s="77"/>
      <c r="B230">
        <v>0.34443538413075925</v>
      </c>
      <c r="C230">
        <v>7</v>
      </c>
      <c r="D230">
        <v>39646</v>
      </c>
      <c r="E230">
        <v>0</v>
      </c>
      <c r="F230">
        <v>0</v>
      </c>
      <c r="G230">
        <v>0</v>
      </c>
      <c r="H230">
        <v>20.833333333333332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74.445794806560883</v>
      </c>
      <c r="AO230">
        <v>15.717916732508774</v>
      </c>
      <c r="AP230">
        <v>76.001616280555879</v>
      </c>
      <c r="AQ230">
        <v>85.586102483918253</v>
      </c>
      <c r="AR230">
        <v>14.658309664938553</v>
      </c>
      <c r="AS230">
        <v>75.130525176792801</v>
      </c>
      <c r="AT230">
        <v>7.7880237618614379</v>
      </c>
      <c r="AU230">
        <v>4.2609459467749158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75"/>
        <v>5.5040468160713951E-2</v>
      </c>
      <c r="DH230" s="205">
        <f t="shared" si="376"/>
        <v>7.6764167027963291E-3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4">
        <v>225</v>
      </c>
      <c r="FZ230">
        <v>0.94180618161723872</v>
      </c>
      <c r="GA230">
        <v>11.593754809062851</v>
      </c>
      <c r="GB230">
        <v>8.3822333534854696</v>
      </c>
      <c r="GC230">
        <v>2.2760436256830663</v>
      </c>
      <c r="GD230">
        <v>6.9454398054605804</v>
      </c>
      <c r="GE230">
        <v>20.849418758189874</v>
      </c>
      <c r="GF230">
        <v>25.600235742578974</v>
      </c>
      <c r="GG230">
        <v>17.910717898421225</v>
      </c>
      <c r="GH230">
        <v>7.5347702595253789</v>
      </c>
      <c r="GI230">
        <v>12.855065729531306</v>
      </c>
      <c r="GJ230"/>
      <c r="GK230"/>
      <c r="GL230"/>
      <c r="GM230"/>
    </row>
    <row r="231" spans="1:195" s="7" customFormat="1">
      <c r="A231" s="77"/>
      <c r="B231">
        <v>0.54074718500561425</v>
      </c>
      <c r="C231">
        <v>2</v>
      </c>
      <c r="D231">
        <v>39646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111.58008799730121</v>
      </c>
      <c r="AO231">
        <v>23.684691261389226</v>
      </c>
      <c r="AP231">
        <v>110.53515186975551</v>
      </c>
      <c r="AQ231">
        <v>134.18269603348992</v>
      </c>
      <c r="AR231">
        <v>21.544390917240221</v>
      </c>
      <c r="AS231">
        <v>110.99785414146619</v>
      </c>
      <c r="AT231" t="e">
        <v>#DIV/0!</v>
      </c>
      <c r="AU231" t="e">
        <v>#DIV/0!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>
        <f>DE151</f>
        <v>39847</v>
      </c>
      <c r="DF231" s="205"/>
      <c r="DG231" s="205">
        <f t="shared" si="375"/>
        <v>7.7212275455442181E-2</v>
      </c>
      <c r="DH231" s="205">
        <f t="shared" si="376"/>
        <v>7.0518698638451088E-3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4">
        <v>226</v>
      </c>
      <c r="FZ231">
        <v>1.2410666924548954</v>
      </c>
      <c r="GA231">
        <v>9.547192071509734</v>
      </c>
      <c r="GB231">
        <v>9.6606676638472972</v>
      </c>
      <c r="GC231">
        <v>3.7510040889526515</v>
      </c>
      <c r="GD231">
        <v>1.8509756464165275</v>
      </c>
      <c r="GE231">
        <v>7.2924214966909791</v>
      </c>
      <c r="GF231">
        <v>15.967903275105623</v>
      </c>
      <c r="GG231">
        <v>11.114999678386194</v>
      </c>
      <c r="GH231">
        <v>4.2968871269912263</v>
      </c>
      <c r="GI231">
        <v>7.5316826338675735</v>
      </c>
      <c r="GJ231"/>
      <c r="GK231"/>
      <c r="GL231"/>
      <c r="GM231"/>
    </row>
    <row r="232" spans="1:195" s="7" customFormat="1">
      <c r="A232" s="77"/>
      <c r="B232">
        <v>0.58693261357037185</v>
      </c>
      <c r="C232">
        <v>4</v>
      </c>
      <c r="D232">
        <v>39646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72.741174432824124</v>
      </c>
      <c r="AO232">
        <v>15.593238688457337</v>
      </c>
      <c r="AP232">
        <v>79.330895630331739</v>
      </c>
      <c r="AQ232">
        <v>93.05423795867641</v>
      </c>
      <c r="AR232">
        <v>14.367067520112116</v>
      </c>
      <c r="AS232">
        <v>70.866380772641847</v>
      </c>
      <c r="AT232">
        <v>8.1524021782294263</v>
      </c>
      <c r="AU232">
        <v>25.506381848973199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75"/>
        <v>0.28364421419456909</v>
      </c>
      <c r="DH232" s="205">
        <f t="shared" si="376"/>
        <v>2.0653368777647632E-2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4">
        <v>227</v>
      </c>
      <c r="FZ232">
        <v>0.55918441864580948</v>
      </c>
      <c r="GA232">
        <v>3.7217593756010787</v>
      </c>
      <c r="GB232">
        <v>8.8651604114367277</v>
      </c>
      <c r="GC232">
        <v>4.8669401525488638</v>
      </c>
      <c r="GD232">
        <v>1.4497286277911781</v>
      </c>
      <c r="GE232">
        <v>6.503530631570813</v>
      </c>
      <c r="GF232">
        <v>15.560611623410711</v>
      </c>
      <c r="GG232">
        <v>6.4714961369941904</v>
      </c>
      <c r="GH232">
        <v>1.7875222031384326</v>
      </c>
      <c r="GI232">
        <v>6.3795470671211643</v>
      </c>
      <c r="GJ232"/>
      <c r="GK232"/>
      <c r="GL232"/>
      <c r="GM232"/>
    </row>
    <row r="233" spans="1:195" s="7" customFormat="1">
      <c r="A233" s="77"/>
      <c r="B233">
        <v>0.81262998744199866</v>
      </c>
      <c r="C233">
        <v>5</v>
      </c>
      <c r="D233">
        <v>39646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68.600932272729153</v>
      </c>
      <c r="AO233">
        <v>15.088545991644462</v>
      </c>
      <c r="AP233">
        <v>112.19779944417331</v>
      </c>
      <c r="AQ233">
        <v>79.377551298433957</v>
      </c>
      <c r="AR233">
        <v>13.92014321966861</v>
      </c>
      <c r="AS233">
        <v>67.333429331253981</v>
      </c>
      <c r="AT233">
        <v>7.7588643722155206</v>
      </c>
      <c r="AU233">
        <v>50.132932876983162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75"/>
        <v>0.41219055065795385</v>
      </c>
      <c r="DH233" s="205">
        <f t="shared" si="376"/>
        <v>9.5837194398307457E-3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4">
        <v>228</v>
      </c>
      <c r="FZ233">
        <v>0.69681826392299362</v>
      </c>
      <c r="GA233">
        <v>3.5444986427638967</v>
      </c>
      <c r="GB233">
        <v>3.4911367076502193</v>
      </c>
      <c r="GC233">
        <v>1.7365100313873414</v>
      </c>
      <c r="GD233">
        <v>1.0195512822906909</v>
      </c>
      <c r="GE233">
        <v>3.2154719114713775</v>
      </c>
      <c r="GF233">
        <v>15.8405037055457</v>
      </c>
      <c r="GG233">
        <v>15.182845131233531</v>
      </c>
      <c r="GH233">
        <v>4.1293904744246639</v>
      </c>
      <c r="GI233">
        <v>5.6759767661070555</v>
      </c>
      <c r="GJ233"/>
      <c r="GK233"/>
      <c r="GL233"/>
      <c r="GM233"/>
    </row>
    <row r="234" spans="1:195" s="7" customFormat="1">
      <c r="A234" s="77"/>
      <c r="B234">
        <v>0.1852441233529154</v>
      </c>
      <c r="C234">
        <v>2</v>
      </c>
      <c r="D234">
        <v>39646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63.162618229454765</v>
      </c>
      <c r="AO234">
        <v>10.444505388551947</v>
      </c>
      <c r="AP234">
        <v>70.726948498055179</v>
      </c>
      <c r="AQ234">
        <v>53.669109747507974</v>
      </c>
      <c r="AR234">
        <v>9.8646214071747647</v>
      </c>
      <c r="AS234">
        <v>57.047705114182492</v>
      </c>
      <c r="AT234">
        <v>5.5146119412896191</v>
      </c>
      <c r="AU234">
        <v>4.673370778463104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>
        <f t="shared" si="375"/>
        <v>0.50636715682427036</v>
      </c>
      <c r="DH234" s="205">
        <f t="shared" si="376"/>
        <v>5.4151649607607714E-3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4">
        <v>229</v>
      </c>
      <c r="FZ234">
        <v>0.76029716103472955</v>
      </c>
      <c r="GA234">
        <v>3.2624080987891455</v>
      </c>
      <c r="GB234">
        <v>3.666903470945563</v>
      </c>
      <c r="GC234">
        <v>2.0090031563060426</v>
      </c>
      <c r="GD234">
        <v>4.2394714760091503</v>
      </c>
      <c r="GE234">
        <v>7.5218395736057531</v>
      </c>
      <c r="GF234">
        <v>8.6368574733954908</v>
      </c>
      <c r="GG234">
        <v>8.5128151494185555</v>
      </c>
      <c r="GH234">
        <v>4.7718208060749214</v>
      </c>
      <c r="GI234">
        <v>5.9844614261326816</v>
      </c>
      <c r="GJ234"/>
      <c r="GK234"/>
      <c r="GL234"/>
      <c r="GM234"/>
    </row>
    <row r="235" spans="1:195" s="7" customFormat="1">
      <c r="A235" s="77"/>
      <c r="B235">
        <v>0.27769987527661311</v>
      </c>
      <c r="C235">
        <v>9</v>
      </c>
      <c r="D235">
        <v>39646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63.848665209210125</v>
      </c>
      <c r="AO235">
        <v>13.601293460219708</v>
      </c>
      <c r="AP235">
        <v>66.627036679530306</v>
      </c>
      <c r="AQ235">
        <v>79.520172456298411</v>
      </c>
      <c r="AR235">
        <v>12.389230830639157</v>
      </c>
      <c r="AS235">
        <v>59.040699203879896</v>
      </c>
      <c r="AT235" t="e">
        <v>#DIV/0!</v>
      </c>
      <c r="AU235" t="e">
        <v>#DIV/0!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/>
      <c r="DH235" s="205">
        <f>(LN(DG225/DG234))/((DE212-DE221)+365)</f>
        <v>-0.17958644706243834</v>
      </c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4">
        <v>230</v>
      </c>
      <c r="FZ235">
        <v>0.58701455582929429</v>
      </c>
      <c r="GA235">
        <v>16.548892894270502</v>
      </c>
      <c r="GB235">
        <v>10.882113441187744</v>
      </c>
      <c r="GC235">
        <v>1.9996279527561951</v>
      </c>
      <c r="GD235">
        <v>3.8149235575127087</v>
      </c>
      <c r="GE235">
        <v>9.8375031720483541</v>
      </c>
      <c r="GF235">
        <v>10.143630044115689</v>
      </c>
      <c r="GG235">
        <v>5.0289758396072877</v>
      </c>
      <c r="GH235">
        <v>3.6587927325601464</v>
      </c>
      <c r="GI235">
        <v>7.6015833934860835</v>
      </c>
      <c r="GJ235"/>
      <c r="GK235"/>
      <c r="GL235"/>
      <c r="GM235"/>
    </row>
    <row r="236" spans="1:195" s="7" customFormat="1">
      <c r="A236" s="77"/>
      <c r="B236">
        <v>0.6990978058330819</v>
      </c>
      <c r="C236">
        <v>4</v>
      </c>
      <c r="D236">
        <v>39646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86.887644621234472</v>
      </c>
      <c r="AO236">
        <v>22.130516028759669</v>
      </c>
      <c r="AP236">
        <v>122.08006531305561</v>
      </c>
      <c r="AQ236">
        <v>121.08711743709553</v>
      </c>
      <c r="AR236">
        <v>20.297193513500584</v>
      </c>
      <c r="AS236">
        <v>96.917363850277781</v>
      </c>
      <c r="AT236" t="e">
        <v>#DIV/0!</v>
      </c>
      <c r="AU236" t="e">
        <v>#DIV/0!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4">
        <v>231</v>
      </c>
      <c r="FZ236">
        <v>0.87120991713636131</v>
      </c>
      <c r="GA236">
        <v>16.631020473125631</v>
      </c>
      <c r="GB236">
        <v>14.702388239693319</v>
      </c>
      <c r="GC236">
        <v>4.5884256551629381</v>
      </c>
      <c r="GD236">
        <v>7.4471011296125393</v>
      </c>
      <c r="GE236">
        <v>19.255260306015593</v>
      </c>
      <c r="GF236">
        <v>22.284648508541935</v>
      </c>
      <c r="GG236">
        <v>11.944011334403704</v>
      </c>
      <c r="GH236">
        <v>2.3440362398958201</v>
      </c>
      <c r="GI236">
        <v>12.90804967621405</v>
      </c>
      <c r="GJ236"/>
      <c r="GK236"/>
      <c r="GL236"/>
      <c r="GM236"/>
    </row>
    <row r="237" spans="1:195" s="7" customFormat="1">
      <c r="A237" s="77"/>
      <c r="B237">
        <v>0.33888271857407126</v>
      </c>
      <c r="C237">
        <v>3</v>
      </c>
      <c r="D237">
        <v>39646</v>
      </c>
      <c r="E237">
        <v>0</v>
      </c>
      <c r="F237">
        <v>10.416666666666666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51.412553208542683</v>
      </c>
      <c r="AO237">
        <v>11.192058762350209</v>
      </c>
      <c r="AP237">
        <v>40.121953572793537</v>
      </c>
      <c r="AQ237">
        <v>70.94435756895875</v>
      </c>
      <c r="AR237">
        <v>10.377882102128373</v>
      </c>
      <c r="AS237">
        <v>53.912542527909117</v>
      </c>
      <c r="AT237">
        <v>6.662981196228654</v>
      </c>
      <c r="AU237">
        <v>19.610409079640494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4">
        <v>232</v>
      </c>
      <c r="FZ237">
        <v>0.93186500410622031</v>
      </c>
      <c r="GA237">
        <v>11.243013960664266</v>
      </c>
      <c r="GB237">
        <v>5.7964073630538051</v>
      </c>
      <c r="GC237">
        <v>1.0410174576168199</v>
      </c>
      <c r="GD237">
        <v>5.1265904163579847</v>
      </c>
      <c r="GE237">
        <v>14.754856368195995</v>
      </c>
      <c r="GF237">
        <v>16.334195386973484</v>
      </c>
      <c r="GG237">
        <v>9.754322950409577</v>
      </c>
      <c r="GH237">
        <v>7.7044348807015295</v>
      </c>
      <c r="GI237">
        <v>9.0224743880413723</v>
      </c>
      <c r="GJ237"/>
      <c r="GK237"/>
      <c r="GL237"/>
      <c r="GM237"/>
    </row>
    <row r="238" spans="1:195" s="7" customFormat="1">
      <c r="A238" s="77"/>
      <c r="B238">
        <v>0.20400230736099556</v>
      </c>
      <c r="C238">
        <v>6</v>
      </c>
      <c r="D238">
        <v>39673</v>
      </c>
      <c r="E238">
        <v>0</v>
      </c>
      <c r="F238">
        <v>0</v>
      </c>
      <c r="G238">
        <v>0</v>
      </c>
      <c r="H238">
        <v>0</v>
      </c>
      <c r="I238">
        <v>10.416666666666666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84.214374479062684</v>
      </c>
      <c r="AO238">
        <v>15.799447669238948</v>
      </c>
      <c r="AP238">
        <v>109.18840081085159</v>
      </c>
      <c r="AQ238">
        <v>83.273680802376063</v>
      </c>
      <c r="AR238">
        <v>14.375343541800573</v>
      </c>
      <c r="AS238">
        <v>80.509302413316249</v>
      </c>
      <c r="AT238" t="e">
        <v>#DIV/0!</v>
      </c>
      <c r="AU238" t="e">
        <v>#DIV/0!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4">
        <v>233</v>
      </c>
      <c r="FZ238">
        <v>0.94564349851743579</v>
      </c>
      <c r="GA238">
        <v>3.4456232209658473</v>
      </c>
      <c r="GB238">
        <v>5.5417147036351055</v>
      </c>
      <c r="GC238">
        <v>2.92252342925446</v>
      </c>
      <c r="GD238">
        <v>4.1290570144891614</v>
      </c>
      <c r="GE238">
        <v>14.542832792781546</v>
      </c>
      <c r="GF238">
        <v>25.151700812602748</v>
      </c>
      <c r="GG238">
        <v>18.397249715006133</v>
      </c>
      <c r="GH238">
        <v>14.852355724645673</v>
      </c>
      <c r="GI238">
        <v>11.290585828628082</v>
      </c>
      <c r="GJ238"/>
      <c r="GK238"/>
      <c r="GL238"/>
      <c r="GM238"/>
    </row>
    <row r="239" spans="1:195" s="7" customFormat="1">
      <c r="A239" s="77" t="s">
        <v>61</v>
      </c>
      <c r="B239">
        <v>0.66975723427401013</v>
      </c>
      <c r="C239">
        <v>3</v>
      </c>
      <c r="D239">
        <v>39673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64.41371169782046</v>
      </c>
      <c r="AO239">
        <v>10.52330579634036</v>
      </c>
      <c r="AP239">
        <v>59.595447115132799</v>
      </c>
      <c r="AQ239">
        <v>69.987115381796755</v>
      </c>
      <c r="AR239">
        <v>9.7940213994527845</v>
      </c>
      <c r="AS239">
        <v>54.407638338994168</v>
      </c>
      <c r="AT239">
        <v>6.2123296315316061</v>
      </c>
      <c r="AU239">
        <v>50.783213402793358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4" t="s">
        <v>139</v>
      </c>
      <c r="DF239" s="183" t="s">
        <v>83</v>
      </c>
      <c r="DG239" s="182">
        <v>1</v>
      </c>
      <c r="DH239" s="182">
        <v>2</v>
      </c>
      <c r="DI239" s="182">
        <v>3</v>
      </c>
      <c r="DJ239" s="182">
        <v>4</v>
      </c>
      <c r="DK239" s="182">
        <v>5</v>
      </c>
      <c r="DL239" s="182">
        <v>6</v>
      </c>
      <c r="DM239" s="182">
        <v>7</v>
      </c>
      <c r="DN239" s="182">
        <v>8</v>
      </c>
      <c r="DO239" s="182">
        <v>9</v>
      </c>
      <c r="DP239" s="182">
        <v>10</v>
      </c>
      <c r="DQ239" s="182">
        <v>11</v>
      </c>
      <c r="DR239" s="182">
        <v>12</v>
      </c>
      <c r="DS239" s="182">
        <v>13</v>
      </c>
      <c r="DT239" s="182">
        <v>14</v>
      </c>
      <c r="DU239" s="182">
        <v>15</v>
      </c>
      <c r="DV239" s="182">
        <v>16</v>
      </c>
      <c r="DW239" s="182">
        <v>17</v>
      </c>
      <c r="DX239" s="182">
        <v>18</v>
      </c>
      <c r="DY239" s="182">
        <v>19</v>
      </c>
      <c r="DZ239" s="182">
        <v>20</v>
      </c>
      <c r="EA239" s="182">
        <v>21</v>
      </c>
      <c r="EB239" s="182">
        <v>22</v>
      </c>
      <c r="EC239" s="182">
        <v>23</v>
      </c>
      <c r="ED239" s="182">
        <v>24</v>
      </c>
      <c r="EE239" s="182">
        <v>25</v>
      </c>
      <c r="EF239" s="182">
        <v>26</v>
      </c>
      <c r="EG239" s="182">
        <v>27</v>
      </c>
      <c r="EH239" s="182">
        <v>28</v>
      </c>
      <c r="EI239" s="182">
        <v>29</v>
      </c>
      <c r="EJ239" s="182">
        <v>30</v>
      </c>
      <c r="FY239" s="214">
        <v>234</v>
      </c>
      <c r="FZ239">
        <v>0.93570232100641726</v>
      </c>
      <c r="GA239">
        <v>22.716799822169897</v>
      </c>
      <c r="GB239">
        <v>13.733333013394258</v>
      </c>
      <c r="GC239">
        <v>2.258289744747608</v>
      </c>
      <c r="GD239">
        <v>1.9248193765453849</v>
      </c>
      <c r="GE239">
        <v>14.964000752111414</v>
      </c>
      <c r="GF239">
        <v>22.74249117641369</v>
      </c>
      <c r="GG239">
        <v>5.4894210156569399</v>
      </c>
      <c r="GH239">
        <v>5.2766503145224277</v>
      </c>
      <c r="GI239">
        <v>9.8065181798176724</v>
      </c>
      <c r="GJ239"/>
      <c r="GK239"/>
      <c r="GL239"/>
      <c r="GM239"/>
    </row>
    <row r="240" spans="1:195" s="7" customFormat="1">
      <c r="A240" s="77" t="s">
        <v>62</v>
      </c>
      <c r="B240">
        <v>2.2370128492437136E-2</v>
      </c>
      <c r="C240">
        <v>8</v>
      </c>
      <c r="D240">
        <v>39673</v>
      </c>
      <c r="E240">
        <v>0</v>
      </c>
      <c r="F240">
        <v>0</v>
      </c>
      <c r="G240">
        <v>0</v>
      </c>
      <c r="H240">
        <v>41.666666666666664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96.748122311065245</v>
      </c>
      <c r="AO240">
        <v>22.541584281960731</v>
      </c>
      <c r="AP240">
        <v>178.93615077606012</v>
      </c>
      <c r="AQ240">
        <v>104.39046993620903</v>
      </c>
      <c r="AR240">
        <v>20.516767941312811</v>
      </c>
      <c r="AS240">
        <v>99.921559502041418</v>
      </c>
      <c r="AT240" t="e">
        <v>#DIV/0!</v>
      </c>
      <c r="AU240" t="e">
        <v>#DIV/0!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7">
        <v>39646</v>
      </c>
      <c r="DF240" s="182">
        <v>0</v>
      </c>
      <c r="DG240" s="182">
        <v>1.0416666666666665</v>
      </c>
      <c r="DH240" s="182">
        <v>0</v>
      </c>
      <c r="DI240" s="182">
        <v>2.083333333333333</v>
      </c>
      <c r="DJ240" s="182">
        <v>0</v>
      </c>
      <c r="DK240" s="182">
        <v>0</v>
      </c>
      <c r="DL240" s="182">
        <v>0</v>
      </c>
      <c r="DM240" s="182">
        <v>0</v>
      </c>
      <c r="DN240" s="182">
        <v>0</v>
      </c>
      <c r="DO240" s="182">
        <v>0</v>
      </c>
      <c r="DP240" s="182">
        <v>0</v>
      </c>
      <c r="DQ240" s="182">
        <v>0</v>
      </c>
      <c r="DR240" s="182">
        <v>0</v>
      </c>
      <c r="DS240" s="182">
        <v>0</v>
      </c>
      <c r="DT240" s="182">
        <v>0</v>
      </c>
      <c r="DU240" s="182">
        <v>0</v>
      </c>
      <c r="DV240" s="182">
        <v>0</v>
      </c>
      <c r="DW240" s="182">
        <v>0</v>
      </c>
      <c r="DX240" s="182">
        <v>0</v>
      </c>
      <c r="DY240" s="182">
        <v>0</v>
      </c>
      <c r="DZ240" s="182">
        <v>0</v>
      </c>
      <c r="EA240" s="182">
        <v>0</v>
      </c>
      <c r="EB240" s="182">
        <v>0</v>
      </c>
      <c r="EC240" s="182">
        <v>0</v>
      </c>
      <c r="ED240" s="182">
        <v>0</v>
      </c>
      <c r="EE240" s="182">
        <v>0</v>
      </c>
      <c r="EF240" s="182">
        <v>0</v>
      </c>
      <c r="EG240" s="182">
        <v>0</v>
      </c>
      <c r="EH240" s="182">
        <v>0</v>
      </c>
      <c r="EI240" s="182">
        <v>0</v>
      </c>
      <c r="EJ240" s="182">
        <v>0</v>
      </c>
      <c r="FY240" s="214">
        <v>235</v>
      </c>
      <c r="FZ240">
        <v>0.53630064637045372</v>
      </c>
      <c r="GA240">
        <v>17.827556387891356</v>
      </c>
      <c r="GB240">
        <v>21.566980390294312</v>
      </c>
      <c r="GC240">
        <v>7.9212260413631448</v>
      </c>
      <c r="GD240">
        <v>4.0291717380565562</v>
      </c>
      <c r="GE240">
        <v>6.7489071008883519</v>
      </c>
      <c r="GF240">
        <v>10.767812312519458</v>
      </c>
      <c r="GG240">
        <v>15.274819702153213</v>
      </c>
      <c r="GH240">
        <v>8.7657784259064222</v>
      </c>
      <c r="GI240">
        <v>11.664818802406701</v>
      </c>
      <c r="GJ240"/>
      <c r="GK240"/>
      <c r="GL240"/>
      <c r="GM240"/>
    </row>
    <row r="241" spans="1:195" s="7" customFormat="1">
      <c r="A241" s="77"/>
      <c r="B241">
        <v>3.4418026815993708E-2</v>
      </c>
      <c r="C241">
        <v>1</v>
      </c>
      <c r="D241">
        <v>39673</v>
      </c>
      <c r="E241">
        <v>0</v>
      </c>
      <c r="F241">
        <v>0</v>
      </c>
      <c r="G241">
        <v>0</v>
      </c>
      <c r="H241">
        <v>10.416666666666666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86.313588024186032</v>
      </c>
      <c r="AO241">
        <v>19.978022139488221</v>
      </c>
      <c r="AP241">
        <v>101.93953800792612</v>
      </c>
      <c r="AQ241">
        <v>114.88948616355596</v>
      </c>
      <c r="AR241">
        <v>18.198788254663576</v>
      </c>
      <c r="AS241">
        <v>88.718501879866622</v>
      </c>
      <c r="AT241" t="e">
        <v>#DIV/0!</v>
      </c>
      <c r="AU241" t="e">
        <v>#DIV/0!</v>
      </c>
      <c r="AV241"/>
      <c r="AW241"/>
      <c r="DE241" s="187">
        <v>39673</v>
      </c>
      <c r="DF241" s="185">
        <v>0</v>
      </c>
      <c r="DG241" s="185">
        <v>0</v>
      </c>
      <c r="DH241" s="185">
        <v>0</v>
      </c>
      <c r="DI241" s="185">
        <v>5.208333333333333</v>
      </c>
      <c r="DJ241" s="185">
        <v>1.0416666666666665</v>
      </c>
      <c r="DK241" s="185">
        <v>1.0416666666666665</v>
      </c>
      <c r="DL241" s="185">
        <v>0</v>
      </c>
      <c r="DM241" s="185">
        <v>0</v>
      </c>
      <c r="DN241" s="185">
        <v>0</v>
      </c>
      <c r="DO241" s="185">
        <v>0</v>
      </c>
      <c r="DP241" s="185">
        <v>0</v>
      </c>
      <c r="DQ241" s="185">
        <v>0</v>
      </c>
      <c r="DR241" s="185">
        <v>0</v>
      </c>
      <c r="DS241" s="185">
        <v>0</v>
      </c>
      <c r="DT241" s="185">
        <v>0</v>
      </c>
      <c r="DU241" s="185">
        <v>0</v>
      </c>
      <c r="DV241" s="185">
        <v>0</v>
      </c>
      <c r="DW241" s="185">
        <v>0</v>
      </c>
      <c r="DX241" s="185">
        <v>0</v>
      </c>
      <c r="DY241" s="185">
        <v>0</v>
      </c>
      <c r="DZ241" s="185">
        <v>0</v>
      </c>
      <c r="EA241" s="185">
        <v>0</v>
      </c>
      <c r="EB241" s="185">
        <v>0</v>
      </c>
      <c r="EC241" s="185">
        <v>0</v>
      </c>
      <c r="ED241" s="185">
        <v>0</v>
      </c>
      <c r="EE241" s="185">
        <v>0</v>
      </c>
      <c r="EF241" s="185">
        <v>0</v>
      </c>
      <c r="EG241" s="185">
        <v>0</v>
      </c>
      <c r="EH241" s="185">
        <v>0</v>
      </c>
      <c r="EI241" s="185">
        <v>0</v>
      </c>
      <c r="EJ241" s="185">
        <v>0</v>
      </c>
      <c r="FY241" s="214">
        <v>236</v>
      </c>
      <c r="FZ241">
        <v>0.70292212453381531</v>
      </c>
      <c r="GA241">
        <v>12.036358242931863</v>
      </c>
      <c r="GB241">
        <v>8.3302005813871407</v>
      </c>
      <c r="GC241">
        <v>1.9963894029889011</v>
      </c>
      <c r="GD241">
        <v>4.6998205469642542</v>
      </c>
      <c r="GE241">
        <v>11.264473293922887</v>
      </c>
      <c r="GF241">
        <v>17.190128597573789</v>
      </c>
      <c r="GG241">
        <v>18.38484959235873</v>
      </c>
      <c r="GH241">
        <v>11.750077028842911</v>
      </c>
      <c r="GI241">
        <v>10.486909093357308</v>
      </c>
      <c r="GJ241"/>
      <c r="GK241"/>
      <c r="GL241"/>
      <c r="GM241"/>
    </row>
    <row r="242" spans="1:195" s="7" customFormat="1">
      <c r="A242" s="1"/>
      <c r="B242">
        <v>0.41519433503096859</v>
      </c>
      <c r="C242">
        <v>1</v>
      </c>
      <c r="D242">
        <v>39673</v>
      </c>
      <c r="E242">
        <v>0</v>
      </c>
      <c r="F242">
        <v>0</v>
      </c>
      <c r="G242">
        <v>0</v>
      </c>
      <c r="H242">
        <v>10.416666666666666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62.495474439925907</v>
      </c>
      <c r="AO242">
        <v>11.624328568900957</v>
      </c>
      <c r="AP242">
        <v>43.721437672617832</v>
      </c>
      <c r="AQ242">
        <v>72.254800374222697</v>
      </c>
      <c r="AR242">
        <v>10.568215536122082</v>
      </c>
      <c r="AS242">
        <v>55.987967282628325</v>
      </c>
      <c r="AT242" t="e">
        <v>#DIV/0!</v>
      </c>
      <c r="AU242" t="e">
        <v>#DIV/0!</v>
      </c>
      <c r="AV242"/>
      <c r="AW242"/>
      <c r="BI242" s="162"/>
      <c r="DE242" s="187">
        <v>39714</v>
      </c>
      <c r="DF242" s="182">
        <v>0</v>
      </c>
      <c r="DG242" s="182">
        <v>20.161290322580648</v>
      </c>
      <c r="DH242" s="182">
        <v>3.125</v>
      </c>
      <c r="DI242" s="182">
        <v>53.158602150537625</v>
      </c>
      <c r="DJ242" s="182">
        <v>23.958333333333336</v>
      </c>
      <c r="DK242" s="182">
        <v>4.1666666666666661</v>
      </c>
      <c r="DL242" s="182">
        <v>1.0416666666666665</v>
      </c>
      <c r="DM242" s="182">
        <v>0</v>
      </c>
      <c r="DN242" s="182">
        <v>0</v>
      </c>
      <c r="DO242" s="182">
        <v>0</v>
      </c>
      <c r="DP242" s="182">
        <v>0</v>
      </c>
      <c r="DQ242" s="182">
        <v>0</v>
      </c>
      <c r="DR242" s="182">
        <v>0</v>
      </c>
      <c r="DS242" s="182">
        <v>0</v>
      </c>
      <c r="DT242" s="182">
        <v>0</v>
      </c>
      <c r="DU242" s="182">
        <v>0</v>
      </c>
      <c r="DV242" s="182">
        <v>0</v>
      </c>
      <c r="DW242" s="182">
        <v>0</v>
      </c>
      <c r="DX242" s="182">
        <v>0</v>
      </c>
      <c r="DY242" s="182">
        <v>0</v>
      </c>
      <c r="DZ242" s="182">
        <v>0</v>
      </c>
      <c r="EA242" s="182">
        <v>0</v>
      </c>
      <c r="EB242" s="182">
        <v>0</v>
      </c>
      <c r="EC242" s="182">
        <v>0</v>
      </c>
      <c r="ED242" s="182">
        <v>0</v>
      </c>
      <c r="EE242" s="182">
        <v>0</v>
      </c>
      <c r="EF242" s="182">
        <v>0</v>
      </c>
      <c r="EG242" s="182">
        <v>0</v>
      </c>
      <c r="EH242" s="182">
        <v>0</v>
      </c>
      <c r="EI242" s="182">
        <v>0</v>
      </c>
      <c r="EJ242" s="182">
        <v>0</v>
      </c>
      <c r="FY242" s="214">
        <v>237</v>
      </c>
      <c r="FZ242">
        <v>0.67393449164763797</v>
      </c>
      <c r="GA242">
        <v>4.5793950467136941</v>
      </c>
      <c r="GB242">
        <v>5.2471953719908733</v>
      </c>
      <c r="GC242">
        <v>2.7607587976218539</v>
      </c>
      <c r="GD242">
        <v>10.50879512345743</v>
      </c>
      <c r="GE242">
        <v>28.355829873539875</v>
      </c>
      <c r="GF242">
        <v>24.175333175650863</v>
      </c>
      <c r="GG242">
        <v>10.777452488399225</v>
      </c>
      <c r="GH242">
        <v>1.1967763997980561</v>
      </c>
      <c r="GI242">
        <v>12.798546030662793</v>
      </c>
      <c r="GJ242"/>
      <c r="GK242"/>
      <c r="GL242"/>
      <c r="GM242"/>
    </row>
    <row r="243" spans="1:195" s="7" customFormat="1">
      <c r="A243" s="1"/>
      <c r="B243">
        <v>0.34651320426967391</v>
      </c>
      <c r="C243">
        <v>1</v>
      </c>
      <c r="D243">
        <v>39673</v>
      </c>
      <c r="E243">
        <v>0</v>
      </c>
      <c r="F243">
        <v>0</v>
      </c>
      <c r="G243">
        <v>0</v>
      </c>
      <c r="H243">
        <v>10.416666666666666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46.526615276073116</v>
      </c>
      <c r="AO243">
        <v>9.5287002802022229</v>
      </c>
      <c r="AP243">
        <v>43.059524249419709</v>
      </c>
      <c r="AQ243">
        <v>56.165480648258971</v>
      </c>
      <c r="AR243">
        <v>8.865738027448387</v>
      </c>
      <c r="AS243">
        <v>49.086486574911561</v>
      </c>
      <c r="AT243" t="e">
        <v>#DIV/0!</v>
      </c>
      <c r="AU243" t="e">
        <v>#DIV/0!</v>
      </c>
      <c r="AV243"/>
      <c r="AW243"/>
      <c r="DE243" s="187">
        <v>39747</v>
      </c>
      <c r="DF243" s="182">
        <v>0</v>
      </c>
      <c r="DG243" s="182">
        <v>36.640652211772895</v>
      </c>
      <c r="DH243" s="182">
        <v>49.819665006402815</v>
      </c>
      <c r="DI243" s="182">
        <v>0</v>
      </c>
      <c r="DJ243" s="182">
        <v>6.2859195402298846</v>
      </c>
      <c r="DK243" s="182">
        <v>6.2859195402298846</v>
      </c>
      <c r="DL243" s="182">
        <v>8.6805555555555554</v>
      </c>
      <c r="DM243" s="182">
        <v>0</v>
      </c>
      <c r="DN243" s="182">
        <v>0</v>
      </c>
      <c r="DO243" s="182">
        <v>0</v>
      </c>
      <c r="DP243" s="182">
        <v>0</v>
      </c>
      <c r="DQ243" s="182">
        <v>0</v>
      </c>
      <c r="DR243" s="182">
        <v>0</v>
      </c>
      <c r="DS243" s="182">
        <v>0</v>
      </c>
      <c r="DT243" s="182">
        <v>0</v>
      </c>
      <c r="DU243" s="182">
        <v>0</v>
      </c>
      <c r="DV243" s="182">
        <v>0</v>
      </c>
      <c r="DW243" s="182">
        <v>0</v>
      </c>
      <c r="DX243" s="182">
        <v>0</v>
      </c>
      <c r="DY243" s="182">
        <v>0</v>
      </c>
      <c r="DZ243" s="182">
        <v>0</v>
      </c>
      <c r="EA243" s="182">
        <v>0</v>
      </c>
      <c r="EB243" s="182">
        <v>0</v>
      </c>
      <c r="EC243" s="182">
        <v>0</v>
      </c>
      <c r="ED243" s="182">
        <v>0</v>
      </c>
      <c r="EE243" s="182">
        <v>0</v>
      </c>
      <c r="EF243" s="182">
        <v>0</v>
      </c>
      <c r="EG243" s="182">
        <v>0</v>
      </c>
      <c r="EH243" s="182">
        <v>0</v>
      </c>
      <c r="EI243" s="182">
        <v>0</v>
      </c>
      <c r="EJ243" s="182">
        <v>0</v>
      </c>
      <c r="FY243" s="214">
        <v>238</v>
      </c>
      <c r="FZ243">
        <v>0.96140990342364963</v>
      </c>
      <c r="GA243">
        <v>10.253374377566198</v>
      </c>
      <c r="GB243">
        <v>9.4547545826055774</v>
      </c>
      <c r="GC243">
        <v>3.0568202021009383</v>
      </c>
      <c r="GD243">
        <v>3.7275107455992424</v>
      </c>
      <c r="GE243">
        <v>10.148695353016299</v>
      </c>
      <c r="GF243">
        <v>16.946814090484104</v>
      </c>
      <c r="GG243">
        <v>13.771555617023667</v>
      </c>
      <c r="GH243">
        <v>4.1293904744246639</v>
      </c>
      <c r="GI243">
        <v>8.7902020423749647</v>
      </c>
      <c r="GJ243"/>
      <c r="GK243"/>
      <c r="GL243"/>
      <c r="GM243"/>
    </row>
    <row r="244" spans="1:195" s="7" customFormat="1">
      <c r="A244" s="1"/>
      <c r="B244">
        <v>0.28419567544924185</v>
      </c>
      <c r="C244">
        <v>8</v>
      </c>
      <c r="D244">
        <v>39673</v>
      </c>
      <c r="E244">
        <v>0</v>
      </c>
      <c r="F244">
        <v>0</v>
      </c>
      <c r="G244">
        <v>0</v>
      </c>
      <c r="H244">
        <v>41.666666666666664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34.155558719535335</v>
      </c>
      <c r="AO244">
        <v>9.1064002846579566</v>
      </c>
      <c r="AP244">
        <v>59.683527999010941</v>
      </c>
      <c r="AQ244">
        <v>54.532702916797476</v>
      </c>
      <c r="AR244">
        <v>8.303608417249686</v>
      </c>
      <c r="AS244">
        <v>37.420799511591255</v>
      </c>
      <c r="AT244" t="e">
        <v>#DIV/0!</v>
      </c>
      <c r="AU244" t="e">
        <v>#DIV/0!</v>
      </c>
      <c r="AV244"/>
      <c r="AW244"/>
      <c r="DE244" s="187">
        <v>39775</v>
      </c>
      <c r="DF244" s="182">
        <v>0</v>
      </c>
      <c r="DG244" s="182">
        <v>8.3333333333333339</v>
      </c>
      <c r="DH244" s="182">
        <v>56.669823232323232</v>
      </c>
      <c r="DI244" s="182">
        <v>5.4398148148148149</v>
      </c>
      <c r="DJ244" s="182">
        <v>0</v>
      </c>
      <c r="DK244" s="182">
        <v>2.1875</v>
      </c>
      <c r="DL244" s="182">
        <v>0</v>
      </c>
      <c r="DM244" s="182">
        <v>0</v>
      </c>
      <c r="DN244" s="182">
        <v>0</v>
      </c>
      <c r="DO244" s="182">
        <v>0</v>
      </c>
      <c r="DP244" s="182">
        <v>0</v>
      </c>
      <c r="DQ244" s="182">
        <v>0</v>
      </c>
      <c r="DR244" s="182">
        <v>0</v>
      </c>
      <c r="DS244" s="182">
        <v>0</v>
      </c>
      <c r="DT244" s="182">
        <v>0</v>
      </c>
      <c r="DU244" s="182">
        <v>0</v>
      </c>
      <c r="DV244" s="182">
        <v>0</v>
      </c>
      <c r="DW244" s="182">
        <v>0</v>
      </c>
      <c r="DX244" s="182">
        <v>0</v>
      </c>
      <c r="DY244" s="182">
        <v>0</v>
      </c>
      <c r="DZ244" s="182">
        <v>0</v>
      </c>
      <c r="EA244" s="182">
        <v>0</v>
      </c>
      <c r="EB244" s="182">
        <v>0</v>
      </c>
      <c r="EC244" s="182">
        <v>0</v>
      </c>
      <c r="ED244" s="182">
        <v>0</v>
      </c>
      <c r="EE244" s="182">
        <v>0</v>
      </c>
      <c r="EF244" s="182">
        <v>0</v>
      </c>
      <c r="EG244" s="182">
        <v>0</v>
      </c>
      <c r="EH244" s="182">
        <v>0</v>
      </c>
      <c r="EI244" s="182">
        <v>0</v>
      </c>
      <c r="EJ244" s="182">
        <v>0</v>
      </c>
      <c r="FY244" s="214">
        <v>239</v>
      </c>
      <c r="FZ244">
        <v>1.4684442836923004</v>
      </c>
      <c r="GA244">
        <v>10.598925128101229</v>
      </c>
      <c r="GB244">
        <v>8.7867971464686452</v>
      </c>
      <c r="GC244">
        <v>2.7497553312239686</v>
      </c>
      <c r="GD244">
        <v>4.0362843538867361</v>
      </c>
      <c r="GE244">
        <v>15.123682023329829</v>
      </c>
      <c r="GF244">
        <v>23.563173205757863</v>
      </c>
      <c r="GG244">
        <v>15.534446558275802</v>
      </c>
      <c r="GH244">
        <v>7.062004549051272</v>
      </c>
      <c r="GI244">
        <v>10.578660905136482</v>
      </c>
      <c r="GJ244"/>
      <c r="GK244"/>
      <c r="GL244"/>
      <c r="GM244"/>
    </row>
    <row r="245" spans="1:195" s="7" customFormat="1">
      <c r="A245" s="1"/>
      <c r="B245">
        <v>0.73373810267642536</v>
      </c>
      <c r="C245">
        <v>5</v>
      </c>
      <c r="D245">
        <v>39673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48.11977413442137</v>
      </c>
      <c r="AO245">
        <v>8.7298440557452448</v>
      </c>
      <c r="AP245">
        <v>182.98716034940003</v>
      </c>
      <c r="AQ245">
        <v>49.36587779171203</v>
      </c>
      <c r="AR245">
        <v>8.3058383773504918</v>
      </c>
      <c r="AS245">
        <v>47.529676356665817</v>
      </c>
      <c r="AT245" t="e">
        <v>#DIV/0!</v>
      </c>
      <c r="AU245" t="e">
        <v>#DIV/0!</v>
      </c>
      <c r="AV245"/>
      <c r="AW245"/>
      <c r="DE245" s="187">
        <v>39799</v>
      </c>
      <c r="DF245" s="182">
        <v>0</v>
      </c>
      <c r="DG245" s="182">
        <v>8.3333333333333321</v>
      </c>
      <c r="DH245" s="182">
        <v>83.48930481283422</v>
      </c>
      <c r="DI245" s="182">
        <v>1.0416666666666665</v>
      </c>
      <c r="DJ245" s="182">
        <v>5.7533914728682172</v>
      </c>
      <c r="DK245" s="182">
        <v>8.5955710955710938</v>
      </c>
      <c r="DL245" s="182">
        <v>29.93881118881119</v>
      </c>
      <c r="DM245" s="182">
        <v>3.7878787878787876</v>
      </c>
      <c r="DN245" s="182">
        <v>0</v>
      </c>
      <c r="DO245" s="182">
        <v>0</v>
      </c>
      <c r="DP245" s="182">
        <v>0</v>
      </c>
      <c r="DQ245" s="182">
        <v>0</v>
      </c>
      <c r="DR245" s="182">
        <v>0</v>
      </c>
      <c r="DS245" s="182">
        <v>0</v>
      </c>
      <c r="DT245" s="182">
        <v>0</v>
      </c>
      <c r="DU245" s="182">
        <v>0</v>
      </c>
      <c r="DV245" s="182">
        <v>0</v>
      </c>
      <c r="DW245" s="182">
        <v>0</v>
      </c>
      <c r="DX245" s="182">
        <v>0</v>
      </c>
      <c r="DY245" s="182">
        <v>0</v>
      </c>
      <c r="DZ245" s="182">
        <v>0</v>
      </c>
      <c r="EA245" s="182">
        <v>0</v>
      </c>
      <c r="EB245" s="182">
        <v>0</v>
      </c>
      <c r="EC245" s="182">
        <v>0</v>
      </c>
      <c r="ED245" s="182">
        <v>0</v>
      </c>
      <c r="EE245" s="182">
        <v>0</v>
      </c>
      <c r="EF245" s="182">
        <v>0</v>
      </c>
      <c r="EG245" s="182">
        <v>0</v>
      </c>
      <c r="EH245" s="182">
        <v>0</v>
      </c>
      <c r="EI245" s="182">
        <v>0</v>
      </c>
      <c r="EJ245" s="182">
        <v>0</v>
      </c>
      <c r="FY245" s="214">
        <v>240</v>
      </c>
      <c r="FZ245">
        <v>1.1625226458125699</v>
      </c>
      <c r="GA245">
        <v>6.0196980511504687</v>
      </c>
      <c r="GB245">
        <v>5.8617766281131427</v>
      </c>
      <c r="GC245">
        <v>2.7000852112407472</v>
      </c>
      <c r="GD245">
        <v>0.77756988205434086</v>
      </c>
      <c r="GE245">
        <v>9.0289729674239592</v>
      </c>
      <c r="GF245">
        <v>19.832542531303343</v>
      </c>
      <c r="GG245">
        <v>11.167274210419858</v>
      </c>
      <c r="GH245">
        <v>14.852355724645673</v>
      </c>
      <c r="GI245">
        <v>8.142163750910381</v>
      </c>
      <c r="GJ245"/>
      <c r="GK245"/>
      <c r="GL245"/>
      <c r="GM245"/>
    </row>
    <row r="246" spans="1:195" s="7" customFormat="1">
      <c r="A246" s="1"/>
      <c r="B246">
        <v>0.74366396101536236</v>
      </c>
      <c r="C246">
        <v>6</v>
      </c>
      <c r="D246">
        <v>39673</v>
      </c>
      <c r="E246">
        <v>0</v>
      </c>
      <c r="F246">
        <v>0</v>
      </c>
      <c r="G246">
        <v>0</v>
      </c>
      <c r="H246">
        <v>0</v>
      </c>
      <c r="I246">
        <v>10.416666666666666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68.684924595601871</v>
      </c>
      <c r="AO246">
        <v>11.171928453125599</v>
      </c>
      <c r="AP246">
        <v>54.608305404599271</v>
      </c>
      <c r="AQ246">
        <v>70.10305758337401</v>
      </c>
      <c r="AR246">
        <v>10.513705805203829</v>
      </c>
      <c r="AS246">
        <v>58.874664266786155</v>
      </c>
      <c r="AT246">
        <v>6.1958621052979792</v>
      </c>
      <c r="AU246">
        <v>-20.912339234906142</v>
      </c>
      <c r="AV246"/>
      <c r="AW246"/>
      <c r="DE246" s="187">
        <v>39847</v>
      </c>
      <c r="DF246" s="182">
        <v>0</v>
      </c>
      <c r="DG246" s="182">
        <v>13.020833333333334</v>
      </c>
      <c r="DH246" s="182">
        <v>92.838541666666671</v>
      </c>
      <c r="DI246" s="182">
        <v>32.2265625</v>
      </c>
      <c r="DJ246" s="182">
        <v>11.805555555555555</v>
      </c>
      <c r="DK246" s="182">
        <v>0</v>
      </c>
      <c r="DL246" s="182">
        <v>3.125</v>
      </c>
      <c r="DM246" s="182">
        <v>3.4722222222222223</v>
      </c>
      <c r="DN246" s="182">
        <v>1.0416666666666665</v>
      </c>
      <c r="DO246" s="182">
        <v>0</v>
      </c>
      <c r="DP246" s="182">
        <v>0</v>
      </c>
      <c r="DQ246" s="182">
        <v>0</v>
      </c>
      <c r="DR246" s="182">
        <v>0</v>
      </c>
      <c r="DS246" s="182">
        <v>0</v>
      </c>
      <c r="DT246" s="182">
        <v>0</v>
      </c>
      <c r="DU246" s="182">
        <v>0</v>
      </c>
      <c r="DV246" s="182">
        <v>0</v>
      </c>
      <c r="DW246" s="182">
        <v>0</v>
      </c>
      <c r="DX246" s="182">
        <v>0</v>
      </c>
      <c r="DY246" s="182">
        <v>0</v>
      </c>
      <c r="DZ246" s="182">
        <v>0</v>
      </c>
      <c r="EA246" s="182">
        <v>0</v>
      </c>
      <c r="EB246" s="182">
        <v>0</v>
      </c>
      <c r="EC246" s="182">
        <v>0</v>
      </c>
      <c r="ED246" s="182">
        <v>0</v>
      </c>
      <c r="EE246" s="182">
        <v>0</v>
      </c>
      <c r="EF246" s="182">
        <v>0</v>
      </c>
      <c r="EG246" s="182">
        <v>0</v>
      </c>
      <c r="EH246" s="182">
        <v>0</v>
      </c>
      <c r="EI246" s="182">
        <v>0</v>
      </c>
      <c r="EJ246" s="182">
        <v>0</v>
      </c>
      <c r="FY246" s="214">
        <v>241</v>
      </c>
      <c r="FZ246">
        <v>1.2198976823134842</v>
      </c>
      <c r="GA246">
        <v>2.6655750862093566</v>
      </c>
      <c r="GB246">
        <v>6.5387736535144771</v>
      </c>
      <c r="GC246">
        <v>3.5345538387240483</v>
      </c>
      <c r="GD246">
        <v>3.7632251456538222</v>
      </c>
      <c r="GE246">
        <v>15.878191585966507</v>
      </c>
      <c r="GF246">
        <v>26.655498984044137</v>
      </c>
      <c r="GG246">
        <v>14.007966318509173</v>
      </c>
      <c r="GH246">
        <v>5.833164351279815</v>
      </c>
      <c r="GI246">
        <v>10.040341942420783</v>
      </c>
      <c r="GJ246"/>
      <c r="GK246"/>
      <c r="GL246"/>
      <c r="GM246"/>
    </row>
    <row r="247" spans="1:195" s="7" customFormat="1">
      <c r="A247" s="77" t="s">
        <v>61</v>
      </c>
      <c r="B247">
        <v>0.92797285866478152</v>
      </c>
      <c r="C247">
        <v>1</v>
      </c>
      <c r="D247">
        <v>39673</v>
      </c>
      <c r="E247">
        <v>0</v>
      </c>
      <c r="F247">
        <v>0</v>
      </c>
      <c r="G247">
        <v>0</v>
      </c>
      <c r="H247">
        <v>10.416666666666666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97.748337198949088</v>
      </c>
      <c r="AO247">
        <v>19.462182704771926</v>
      </c>
      <c r="AP247">
        <v>88.405439393703972</v>
      </c>
      <c r="AQ247">
        <v>112.97615147980189</v>
      </c>
      <c r="AR247">
        <v>17.908063837352678</v>
      </c>
      <c r="AS247">
        <v>96.634179815799428</v>
      </c>
      <c r="AT247">
        <v>10.329958358209007</v>
      </c>
      <c r="AU247">
        <v>53.978996804071933</v>
      </c>
      <c r="AV247"/>
      <c r="AW247"/>
      <c r="DE247" s="187">
        <v>39910</v>
      </c>
      <c r="DF247" s="182">
        <v>0</v>
      </c>
      <c r="DG247" s="182">
        <v>0</v>
      </c>
      <c r="DH247" s="182">
        <v>0</v>
      </c>
      <c r="DI247" s="182">
        <v>13.541666666666668</v>
      </c>
      <c r="DJ247" s="182">
        <v>31.655092592592592</v>
      </c>
      <c r="DK247" s="182">
        <v>10.127314814814813</v>
      </c>
      <c r="DL247" s="182">
        <v>0</v>
      </c>
      <c r="DM247" s="182">
        <v>1.0416666666666665</v>
      </c>
      <c r="DN247" s="182">
        <v>0</v>
      </c>
      <c r="DO247" s="182">
        <v>5.2083333333333339</v>
      </c>
      <c r="DP247" s="182">
        <v>0</v>
      </c>
      <c r="DQ247" s="182">
        <v>0</v>
      </c>
      <c r="DR247" s="182">
        <v>0</v>
      </c>
      <c r="DS247" s="182">
        <v>0</v>
      </c>
      <c r="DT247" s="182">
        <v>0</v>
      </c>
      <c r="DU247" s="182">
        <v>0</v>
      </c>
      <c r="DV247" s="182">
        <v>0</v>
      </c>
      <c r="DW247" s="182">
        <v>0</v>
      </c>
      <c r="DX247" s="182">
        <v>0</v>
      </c>
      <c r="DY247" s="182">
        <v>0</v>
      </c>
      <c r="DZ247" s="182">
        <v>0</v>
      </c>
      <c r="EA247" s="182">
        <v>0</v>
      </c>
      <c r="EB247" s="182">
        <v>0</v>
      </c>
      <c r="EC247" s="182">
        <v>0</v>
      </c>
      <c r="ED247" s="182">
        <v>0</v>
      </c>
      <c r="EE247" s="182">
        <v>0</v>
      </c>
      <c r="EF247" s="182">
        <v>0</v>
      </c>
      <c r="EG247" s="182">
        <v>0</v>
      </c>
      <c r="EH247" s="182">
        <v>0</v>
      </c>
      <c r="EI247" s="182">
        <v>0</v>
      </c>
      <c r="EJ247" s="182">
        <v>0</v>
      </c>
      <c r="FY247" s="214">
        <v>242</v>
      </c>
      <c r="FZ247">
        <v>1.1393602403215881</v>
      </c>
      <c r="GA247">
        <v>4.0520306734006475</v>
      </c>
      <c r="GB247">
        <v>8.5620294858635067</v>
      </c>
      <c r="GC247">
        <v>4.667603127486208</v>
      </c>
      <c r="GD247">
        <v>5.3651930857377668</v>
      </c>
      <c r="GE247">
        <v>13.850851307186764</v>
      </c>
      <c r="GF247">
        <v>18.940781382144692</v>
      </c>
      <c r="GG247">
        <v>16.283132697271689</v>
      </c>
      <c r="GH247">
        <v>11.277311318368806</v>
      </c>
      <c r="GI247">
        <v>10.952293227494394</v>
      </c>
      <c r="GJ247"/>
      <c r="GK247"/>
      <c r="GL247"/>
      <c r="GM247"/>
    </row>
    <row r="248" spans="1:195" s="7" customFormat="1">
      <c r="A248" s="77" t="s">
        <v>62</v>
      </c>
      <c r="B248">
        <v>0.87796933604374239</v>
      </c>
      <c r="C248">
        <v>8</v>
      </c>
      <c r="D248">
        <v>39714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10.416666666666666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72.200581140960395</v>
      </c>
      <c r="AO248">
        <v>13.383279563832435</v>
      </c>
      <c r="AP248">
        <v>58.449907519730409</v>
      </c>
      <c r="AQ248">
        <v>81.709178176121057</v>
      </c>
      <c r="AR248">
        <v>12.536234293793388</v>
      </c>
      <c r="AS248">
        <v>68.014433193584068</v>
      </c>
      <c r="AT248">
        <v>7.3160596892383198</v>
      </c>
      <c r="AU248">
        <v>10.476992399039068</v>
      </c>
      <c r="AV248"/>
      <c r="AW248"/>
      <c r="DE248" s="187">
        <v>39949</v>
      </c>
      <c r="DF248" s="182">
        <v>0</v>
      </c>
      <c r="DG248" s="182">
        <v>0</v>
      </c>
      <c r="DH248" s="182">
        <v>4.0788152610441761</v>
      </c>
      <c r="DI248" s="182">
        <v>0</v>
      </c>
      <c r="DJ248" s="182">
        <v>9.375</v>
      </c>
      <c r="DK248" s="182">
        <v>4.1666666666666661</v>
      </c>
      <c r="DL248" s="182">
        <v>2.083333333333333</v>
      </c>
      <c r="DM248" s="182">
        <v>2.083333333333333</v>
      </c>
      <c r="DN248" s="182">
        <v>0</v>
      </c>
      <c r="DO248" s="182">
        <v>0</v>
      </c>
      <c r="DP248" s="182">
        <v>0</v>
      </c>
      <c r="DQ248" s="182">
        <v>0</v>
      </c>
      <c r="DR248" s="182">
        <v>0</v>
      </c>
      <c r="DS248" s="182">
        <v>0</v>
      </c>
      <c r="DT248" s="182">
        <v>0</v>
      </c>
      <c r="DU248" s="182">
        <v>0</v>
      </c>
      <c r="DV248" s="182">
        <v>0</v>
      </c>
      <c r="DW248" s="182">
        <v>0</v>
      </c>
      <c r="DX248" s="182">
        <v>0</v>
      </c>
      <c r="DY248" s="182">
        <v>0</v>
      </c>
      <c r="DZ248" s="182">
        <v>0</v>
      </c>
      <c r="EA248" s="182">
        <v>0</v>
      </c>
      <c r="EB248" s="182">
        <v>0</v>
      </c>
      <c r="EC248" s="182">
        <v>0</v>
      </c>
      <c r="ED248" s="182">
        <v>0</v>
      </c>
      <c r="EE248" s="182">
        <v>0</v>
      </c>
      <c r="EF248" s="182">
        <v>0</v>
      </c>
      <c r="EG248" s="182">
        <v>0</v>
      </c>
      <c r="EH248" s="182">
        <v>0</v>
      </c>
      <c r="EI248" s="182">
        <v>0</v>
      </c>
      <c r="EJ248" s="182">
        <v>0</v>
      </c>
      <c r="FY248" s="214">
        <v>243</v>
      </c>
      <c r="FZ248">
        <v>0.95530604281282816</v>
      </c>
      <c r="GA248">
        <v>11.626373250486093</v>
      </c>
      <c r="GB248">
        <v>11.852269983782518</v>
      </c>
      <c r="GC248">
        <v>4.4714107223876187</v>
      </c>
      <c r="GD248">
        <v>1.9298574050285313</v>
      </c>
      <c r="GE248">
        <v>8.6190975751795769</v>
      </c>
      <c r="GF248">
        <v>19.300020853409727</v>
      </c>
      <c r="GG248">
        <v>13.938072477125496</v>
      </c>
      <c r="GH248">
        <v>11.109814665802244</v>
      </c>
      <c r="GI248">
        <v>9.6227476839353816</v>
      </c>
      <c r="GJ248"/>
      <c r="GK248"/>
      <c r="GL248"/>
      <c r="GM248"/>
    </row>
    <row r="249" spans="1:195" s="7" customFormat="1">
      <c r="A249" s="1"/>
      <c r="B249">
        <v>0.49354145611354072</v>
      </c>
      <c r="C249">
        <v>2</v>
      </c>
      <c r="D249">
        <v>39714</v>
      </c>
      <c r="E249">
        <v>0</v>
      </c>
      <c r="F249">
        <v>0</v>
      </c>
      <c r="G249">
        <v>0</v>
      </c>
      <c r="H249">
        <v>31.25</v>
      </c>
      <c r="I249">
        <v>20.833333333333332</v>
      </c>
      <c r="J249">
        <v>0</v>
      </c>
      <c r="K249">
        <v>10.416666666666666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80.564788555740947</v>
      </c>
      <c r="AO249">
        <v>16.613573988561107</v>
      </c>
      <c r="AP249">
        <v>88.066067580016778</v>
      </c>
      <c r="AQ249">
        <v>101.21928674052619</v>
      </c>
      <c r="AR249">
        <v>15.83027280045456</v>
      </c>
      <c r="AS249">
        <v>78.699600846102896</v>
      </c>
      <c r="AT249">
        <v>9.5568200626711697</v>
      </c>
      <c r="AU249">
        <v>36.730145250261224</v>
      </c>
      <c r="AV249"/>
      <c r="AW249"/>
      <c r="DE249" s="187">
        <v>39987</v>
      </c>
      <c r="DF249" s="182">
        <v>0</v>
      </c>
      <c r="DG249" s="182">
        <v>0</v>
      </c>
      <c r="DH249" s="182">
        <v>0</v>
      </c>
      <c r="DI249" s="182">
        <v>0</v>
      </c>
      <c r="DJ249" s="182">
        <v>0</v>
      </c>
      <c r="DK249" s="182">
        <v>7.7570921985815602</v>
      </c>
      <c r="DL249" s="182">
        <v>0</v>
      </c>
      <c r="DM249" s="182">
        <v>0</v>
      </c>
      <c r="DN249" s="182">
        <v>0</v>
      </c>
      <c r="DO249" s="182">
        <v>0</v>
      </c>
      <c r="DP249" s="182">
        <v>0</v>
      </c>
      <c r="DQ249" s="182">
        <v>0</v>
      </c>
      <c r="DR249" s="182">
        <v>0</v>
      </c>
      <c r="DS249" s="182">
        <v>0</v>
      </c>
      <c r="DT249" s="182">
        <v>0</v>
      </c>
      <c r="DU249" s="182">
        <v>0</v>
      </c>
      <c r="DV249" s="182">
        <v>0</v>
      </c>
      <c r="DW249" s="182">
        <v>0</v>
      </c>
      <c r="DX249" s="182">
        <v>0</v>
      </c>
      <c r="DY249" s="182">
        <v>0</v>
      </c>
      <c r="DZ249" s="182">
        <v>0</v>
      </c>
      <c r="EA249" s="182">
        <v>0</v>
      </c>
      <c r="EB249" s="182">
        <v>0</v>
      </c>
      <c r="EC249" s="182">
        <v>0</v>
      </c>
      <c r="ED249" s="182">
        <v>0</v>
      </c>
      <c r="EE249" s="182">
        <v>0</v>
      </c>
      <c r="EF249" s="182">
        <v>0</v>
      </c>
      <c r="EG249" s="182">
        <v>0</v>
      </c>
      <c r="EH249" s="182">
        <v>0</v>
      </c>
      <c r="EI249" s="182">
        <v>0</v>
      </c>
      <c r="EJ249" s="182">
        <v>0</v>
      </c>
      <c r="FY249" s="214">
        <v>244</v>
      </c>
      <c r="FZ249">
        <v>1.3180454507622206</v>
      </c>
      <c r="GA249">
        <v>4.34062400493886</v>
      </c>
      <c r="GB249">
        <v>5.4149673583306424</v>
      </c>
      <c r="GC249">
        <v>2.9548555349211183</v>
      </c>
      <c r="GD249">
        <v>2.111283927786769</v>
      </c>
      <c r="GE249">
        <v>5.6122030827484899</v>
      </c>
      <c r="GF249">
        <v>18.297606540981601</v>
      </c>
      <c r="GG249">
        <v>18.899854413704251</v>
      </c>
      <c r="GH249">
        <v>7.5347702595253789</v>
      </c>
      <c r="GI249">
        <v>7.757349095336977</v>
      </c>
      <c r="GJ249"/>
      <c r="GK249"/>
      <c r="GL249"/>
      <c r="GM249"/>
    </row>
    <row r="250" spans="1:195" s="7" customFormat="1">
      <c r="A250" s="1"/>
      <c r="B250">
        <v>0.18289683639971166</v>
      </c>
      <c r="C250">
        <v>4</v>
      </c>
      <c r="D250">
        <v>39714</v>
      </c>
      <c r="E250">
        <v>0</v>
      </c>
      <c r="F250">
        <v>0</v>
      </c>
      <c r="G250">
        <v>0</v>
      </c>
      <c r="H250">
        <v>10.416666666666666</v>
      </c>
      <c r="I250">
        <v>10.416666666666666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104.84994395051527</v>
      </c>
      <c r="AO250">
        <v>14.692281597162241</v>
      </c>
      <c r="AP250">
        <v>41.209492741169782</v>
      </c>
      <c r="AQ250">
        <v>99.84802571638572</v>
      </c>
      <c r="AR250">
        <v>13.535806321896859</v>
      </c>
      <c r="AS250">
        <v>89.484404861966624</v>
      </c>
      <c r="AT250">
        <v>8.0232246695662663</v>
      </c>
      <c r="AU250">
        <v>21.082312054559864</v>
      </c>
      <c r="AV250"/>
      <c r="AW250"/>
      <c r="DE250" s="187"/>
      <c r="DF250" s="182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  <c r="DT250" s="186"/>
      <c r="DU250" s="186"/>
      <c r="DV250" s="186"/>
      <c r="DW250" s="186"/>
      <c r="DX250" s="186"/>
      <c r="DY250" s="186"/>
      <c r="DZ250" s="186"/>
      <c r="EA250" s="182"/>
      <c r="EB250" s="186"/>
      <c r="EC250" s="182"/>
      <c r="ED250" s="182"/>
      <c r="EE250" s="182"/>
      <c r="EF250" s="182"/>
      <c r="EG250" s="182"/>
      <c r="EH250" s="182"/>
      <c r="EI250" s="182"/>
      <c r="EJ250" s="182"/>
      <c r="FY250" s="214">
        <v>245</v>
      </c>
      <c r="FZ250">
        <v>0.54596319066584609</v>
      </c>
      <c r="GA250">
        <v>2.1666514412662439</v>
      </c>
      <c r="GB250">
        <v>6.4498278350402831</v>
      </c>
      <c r="GC250">
        <v>3.5986656437288351</v>
      </c>
      <c r="GD250">
        <v>3.8889788167525166</v>
      </c>
      <c r="GE250">
        <v>7.9168575033119817</v>
      </c>
      <c r="GF250">
        <v>11.490757753330838</v>
      </c>
      <c r="GG250">
        <v>12.728346801838086</v>
      </c>
      <c r="GH250">
        <v>9.4082087575566788</v>
      </c>
      <c r="GI250">
        <v>8.0528393925214363</v>
      </c>
      <c r="GJ250"/>
      <c r="GK250"/>
      <c r="GL250"/>
      <c r="GM250"/>
    </row>
    <row r="251" spans="1:195" s="7" customFormat="1">
      <c r="A251" s="1"/>
      <c r="B251">
        <v>0.82932920150669043</v>
      </c>
      <c r="C251">
        <v>10</v>
      </c>
      <c r="D251">
        <v>39714</v>
      </c>
      <c r="E251">
        <v>0</v>
      </c>
      <c r="F251">
        <v>0</v>
      </c>
      <c r="G251">
        <v>31.25</v>
      </c>
      <c r="H251">
        <v>0</v>
      </c>
      <c r="I251">
        <v>20.833333333333332</v>
      </c>
      <c r="J251">
        <v>10.416666666666666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77.835298236732072</v>
      </c>
      <c r="AO251">
        <v>17.956294134029974</v>
      </c>
      <c r="AP251">
        <v>115.79189516646524</v>
      </c>
      <c r="AQ251">
        <v>105.10337154784995</v>
      </c>
      <c r="AR251">
        <v>16.502446336473589</v>
      </c>
      <c r="AS251">
        <v>76.191239876054013</v>
      </c>
      <c r="AT251" t="e">
        <v>#DIV/0!</v>
      </c>
      <c r="AU251" t="e">
        <v>#DIV/0!</v>
      </c>
      <c r="AV251"/>
      <c r="AW251"/>
      <c r="DE251" s="187"/>
      <c r="DF251" s="182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  <c r="DT251" s="186"/>
      <c r="DU251" s="186"/>
      <c r="DV251" s="186"/>
      <c r="DW251" s="186"/>
      <c r="DX251" s="186"/>
      <c r="DY251" s="186"/>
      <c r="DZ251" s="186"/>
      <c r="EA251" s="182"/>
      <c r="EB251" s="186"/>
      <c r="EC251" s="182"/>
      <c r="ED251" s="182"/>
      <c r="EE251" s="182"/>
      <c r="EF251" s="182"/>
      <c r="EG251" s="182"/>
      <c r="EH251" s="182"/>
      <c r="EI251" s="182"/>
      <c r="EJ251" s="182"/>
      <c r="FY251" s="214">
        <v>246</v>
      </c>
      <c r="FZ251">
        <v>1.0284474842199565</v>
      </c>
      <c r="GA251">
        <v>11.075977723046639</v>
      </c>
      <c r="GB251">
        <v>15.145356122384783</v>
      </c>
      <c r="GC251">
        <v>6.3463090470875656</v>
      </c>
      <c r="GD251">
        <v>3.1469700018748759</v>
      </c>
      <c r="GE251">
        <v>9.6509331816359918</v>
      </c>
      <c r="GF251">
        <v>13.246488914537018</v>
      </c>
      <c r="GG251">
        <v>9.0092315774864691</v>
      </c>
      <c r="GH251">
        <v>4.6859045111820521</v>
      </c>
      <c r="GI251">
        <v>9.2316089629724747</v>
      </c>
      <c r="GJ251"/>
      <c r="GK251"/>
      <c r="GL251"/>
      <c r="GM251"/>
    </row>
    <row r="252" spans="1:195" s="7" customFormat="1">
      <c r="A252" s="1"/>
      <c r="B252">
        <v>0.81243628181307503</v>
      </c>
      <c r="C252">
        <v>1</v>
      </c>
      <c r="D252">
        <v>39714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62.08109651554215</v>
      </c>
      <c r="AO252">
        <v>15.973703047460242</v>
      </c>
      <c r="AP252">
        <v>68.586559412461227</v>
      </c>
      <c r="AQ252">
        <v>96.842128504861606</v>
      </c>
      <c r="AR252">
        <v>14.878955436417144</v>
      </c>
      <c r="AS252">
        <v>66.964166439411059</v>
      </c>
      <c r="AT252">
        <v>8.4339754377547216</v>
      </c>
      <c r="AU252">
        <v>11.427794348209634</v>
      </c>
      <c r="AV252"/>
      <c r="AW252"/>
      <c r="FY252" s="214">
        <v>247</v>
      </c>
      <c r="FZ252">
        <v>0.6797597190428335</v>
      </c>
      <c r="GA252">
        <v>22.251152386732649</v>
      </c>
      <c r="GB252">
        <v>13.091677892155051</v>
      </c>
      <c r="GC252">
        <v>2.0841319211054334</v>
      </c>
      <c r="GD252">
        <v>7.1332755459654189</v>
      </c>
      <c r="GE252">
        <v>19.245354600951018</v>
      </c>
      <c r="GF252">
        <v>18.738997321949213</v>
      </c>
      <c r="GG252">
        <v>10.928109630136456</v>
      </c>
      <c r="GH252">
        <v>3.4891281113839954</v>
      </c>
      <c r="GI252">
        <v>11.973130667217843</v>
      </c>
      <c r="GJ252"/>
      <c r="GK252"/>
      <c r="GL252"/>
      <c r="GM252"/>
    </row>
    <row r="253" spans="1:195" s="7" customFormat="1">
      <c r="A253" s="1"/>
      <c r="B253">
        <v>0.97515602847034089</v>
      </c>
      <c r="C253">
        <v>8</v>
      </c>
      <c r="D253">
        <v>39714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10.416666666666666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97.216650945994317</v>
      </c>
      <c r="AO253">
        <v>19.809219974247132</v>
      </c>
      <c r="AP253">
        <v>133.55704550209944</v>
      </c>
      <c r="AQ253">
        <v>101.07401679948229</v>
      </c>
      <c r="AR253">
        <v>18.008703849694363</v>
      </c>
      <c r="AS253">
        <v>92.281752849257529</v>
      </c>
      <c r="AT253" t="e">
        <v>#DIV/0!</v>
      </c>
      <c r="AU253" t="e">
        <v>#DIV/0!</v>
      </c>
      <c r="AV253"/>
      <c r="AW253"/>
      <c r="FY253" s="214">
        <v>248</v>
      </c>
      <c r="FZ253">
        <v>0.90121105678085867</v>
      </c>
      <c r="GA253">
        <v>2.910198860183105</v>
      </c>
      <c r="GB253">
        <v>1.8284501652387872</v>
      </c>
      <c r="GC253">
        <v>0.83145725890836475</v>
      </c>
      <c r="GD253">
        <v>3.7544014816059117</v>
      </c>
      <c r="GE253">
        <v>9.0310703511385491</v>
      </c>
      <c r="GF253">
        <v>4.9364458392748229</v>
      </c>
      <c r="GG253">
        <v>2.3515586547802059</v>
      </c>
      <c r="GH253">
        <v>1.1130280735147748</v>
      </c>
      <c r="GI253">
        <v>3.9810069415096292</v>
      </c>
      <c r="GJ253"/>
      <c r="GK253"/>
      <c r="GL253"/>
      <c r="GM253"/>
    </row>
    <row r="254" spans="1:195" s="7" customFormat="1">
      <c r="A254" s="1"/>
      <c r="B254">
        <v>0.17264682345060423</v>
      </c>
      <c r="C254">
        <v>2</v>
      </c>
      <c r="D254">
        <v>39714</v>
      </c>
      <c r="E254">
        <v>0</v>
      </c>
      <c r="F254">
        <v>0</v>
      </c>
      <c r="G254">
        <v>0</v>
      </c>
      <c r="H254">
        <v>31.25</v>
      </c>
      <c r="I254">
        <v>20.833333333333332</v>
      </c>
      <c r="J254">
        <v>0</v>
      </c>
      <c r="K254">
        <v>10.416666666666666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67.255818331099903</v>
      </c>
      <c r="AO254">
        <v>13.569117588312178</v>
      </c>
      <c r="AP254">
        <v>52.45678458054951</v>
      </c>
      <c r="AQ254">
        <v>81.240527388619313</v>
      </c>
      <c r="AR254">
        <v>12.348092795882296</v>
      </c>
      <c r="AS254">
        <v>65.453897549224735</v>
      </c>
      <c r="AT254" t="e">
        <v>#DIV/0!</v>
      </c>
      <c r="AU254" t="e">
        <v>#DIV/0!</v>
      </c>
      <c r="AV254"/>
      <c r="AW254"/>
      <c r="FY254" s="214">
        <v>249</v>
      </c>
      <c r="FZ254">
        <v>3.5586836845708306E-3</v>
      </c>
      <c r="GA254">
        <v>16.695311861970648</v>
      </c>
      <c r="GB254">
        <v>10.694208845317645</v>
      </c>
      <c r="GC254">
        <v>1.8758039615296944</v>
      </c>
      <c r="GD254">
        <v>2.9555984635165125</v>
      </c>
      <c r="GE254">
        <v>7.3178634677597714</v>
      </c>
      <c r="GF254">
        <v>14.684759272039884</v>
      </c>
      <c r="GG254">
        <v>13.22026467033332</v>
      </c>
      <c r="GH254">
        <v>10.215967773163911</v>
      </c>
      <c r="GI254">
        <v>8.7762774454544985</v>
      </c>
      <c r="GJ254"/>
      <c r="GK254"/>
      <c r="GL254"/>
      <c r="GM254"/>
    </row>
    <row r="255" spans="1:195" s="7" customFormat="1">
      <c r="A255" s="1"/>
      <c r="B255">
        <v>0.17746727738092893</v>
      </c>
      <c r="C255">
        <v>1</v>
      </c>
      <c r="D255">
        <v>39714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79.83214120090463</v>
      </c>
      <c r="AO255">
        <v>16.263175733879081</v>
      </c>
      <c r="AP255">
        <v>74.182147067124319</v>
      </c>
      <c r="AQ255">
        <v>99.502173484924128</v>
      </c>
      <c r="AR255">
        <v>14.821655158655267</v>
      </c>
      <c r="AS255">
        <v>79.880411785442377</v>
      </c>
      <c r="AT255" t="e">
        <v>#DIV/0!</v>
      </c>
      <c r="AU255" t="e">
        <v>#DIV/0!</v>
      </c>
      <c r="AV255"/>
      <c r="AW255"/>
      <c r="FY255" s="214">
        <v>250</v>
      </c>
      <c r="FZ255">
        <v>0.80800965324025142</v>
      </c>
      <c r="GA255">
        <v>18.446112731150386</v>
      </c>
      <c r="GB255">
        <v>9.5783623945948744</v>
      </c>
      <c r="GC255">
        <v>1.3182287565582991</v>
      </c>
      <c r="GD255">
        <v>6.5026294611720861</v>
      </c>
      <c r="GE255">
        <v>14.355389179553347</v>
      </c>
      <c r="GF255">
        <v>17.863916824248594</v>
      </c>
      <c r="GG255">
        <v>21.611251865522583</v>
      </c>
      <c r="GH255">
        <v>13.535431263371756</v>
      </c>
      <c r="GI255">
        <v>12.272478709184997</v>
      </c>
      <c r="GJ255"/>
      <c r="GK255"/>
      <c r="GL255"/>
      <c r="GM255"/>
    </row>
    <row r="256" spans="1:195" s="7" customFormat="1">
      <c r="A256" s="1"/>
      <c r="B256">
        <v>0.69542295305083446</v>
      </c>
      <c r="C256">
        <v>2</v>
      </c>
      <c r="D256">
        <v>39714</v>
      </c>
      <c r="E256">
        <v>0</v>
      </c>
      <c r="F256">
        <v>0</v>
      </c>
      <c r="G256">
        <v>0</v>
      </c>
      <c r="H256">
        <v>31.25</v>
      </c>
      <c r="I256">
        <v>20.833333333333332</v>
      </c>
      <c r="J256">
        <v>0</v>
      </c>
      <c r="K256">
        <v>10.416666666666666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79.695795834922208</v>
      </c>
      <c r="AO256">
        <v>11.582634136072191</v>
      </c>
      <c r="AP256">
        <v>54.971991695074124</v>
      </c>
      <c r="AQ256">
        <v>79.544961603074498</v>
      </c>
      <c r="AR256">
        <v>11.244159764411593</v>
      </c>
      <c r="AS256">
        <v>68.686203403509538</v>
      </c>
      <c r="AT256">
        <v>7.3284238665960286</v>
      </c>
      <c r="AU256">
        <v>36.120085809084941</v>
      </c>
      <c r="AV256"/>
      <c r="AW256"/>
      <c r="FY256" s="214">
        <v>251</v>
      </c>
      <c r="FZ256">
        <v>1.1368150633953376</v>
      </c>
      <c r="GA256">
        <v>3.8678160138555304</v>
      </c>
      <c r="GB256">
        <v>4.8852399002303954</v>
      </c>
      <c r="GC256">
        <v>2.8331913625060698</v>
      </c>
      <c r="GD256">
        <v>5.3941068920896029</v>
      </c>
      <c r="GE256">
        <v>17.02272454054944</v>
      </c>
      <c r="GF256">
        <v>23.014450446836211</v>
      </c>
      <c r="GG256">
        <v>10.739113773661249</v>
      </c>
      <c r="GH256">
        <v>2.038767181988276</v>
      </c>
      <c r="GI256">
        <v>9.6542535468358963</v>
      </c>
      <c r="GJ256"/>
      <c r="GK256"/>
      <c r="GL256"/>
      <c r="GM256"/>
    </row>
    <row r="257" spans="1:195" s="7" customFormat="1">
      <c r="A257" s="1"/>
      <c r="B257">
        <v>0.34230457021782001</v>
      </c>
      <c r="C257">
        <v>10</v>
      </c>
      <c r="D257">
        <v>39714</v>
      </c>
      <c r="E257">
        <v>0</v>
      </c>
      <c r="F257">
        <v>0</v>
      </c>
      <c r="G257">
        <v>31.25</v>
      </c>
      <c r="H257">
        <v>0</v>
      </c>
      <c r="I257">
        <v>20.833333333333332</v>
      </c>
      <c r="J257">
        <v>10.416666666666666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75.672660258323731</v>
      </c>
      <c r="AO257">
        <v>15.09598464013202</v>
      </c>
      <c r="AP257">
        <v>58.189094962187795</v>
      </c>
      <c r="AQ257">
        <v>90.13718858863561</v>
      </c>
      <c r="AR257">
        <v>13.939114924422457</v>
      </c>
      <c r="AS257">
        <v>72.612566993357589</v>
      </c>
      <c r="AT257">
        <v>8.0947737127971156</v>
      </c>
      <c r="AU257">
        <v>35.998514507311484</v>
      </c>
      <c r="AV257"/>
      <c r="AW257"/>
      <c r="FY257" s="214">
        <v>252</v>
      </c>
      <c r="FZ257">
        <v>0.81411351385107289</v>
      </c>
      <c r="GA257">
        <v>16.891675412339993</v>
      </c>
      <c r="GB257">
        <v>11.125850671471838</v>
      </c>
      <c r="GC257">
        <v>2.3978580476907929</v>
      </c>
      <c r="GD257">
        <v>9.4848867129101144</v>
      </c>
      <c r="GE257">
        <v>21.544089736045617</v>
      </c>
      <c r="GF257">
        <v>9.0722836718205322</v>
      </c>
      <c r="GG257">
        <v>6.0449096575414973</v>
      </c>
      <c r="GH257">
        <v>5.2766503145224277</v>
      </c>
      <c r="GI257">
        <v>11.419105956259045</v>
      </c>
      <c r="GJ257"/>
      <c r="GK257"/>
      <c r="GL257"/>
      <c r="GM257"/>
    </row>
    <row r="258" spans="1:195" s="7" customFormat="1">
      <c r="A258" s="1"/>
      <c r="B258">
        <v>0.98281192527435635</v>
      </c>
      <c r="C258">
        <v>7</v>
      </c>
      <c r="D258">
        <v>39747</v>
      </c>
      <c r="E258">
        <v>0</v>
      </c>
      <c r="F258">
        <v>0</v>
      </c>
      <c r="G258">
        <v>74.404761904761912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78.883715158391738</v>
      </c>
      <c r="AO258">
        <v>16.344130471853823</v>
      </c>
      <c r="AP258">
        <v>72.219992925221362</v>
      </c>
      <c r="AQ258">
        <v>95.090586545276068</v>
      </c>
      <c r="AR258">
        <v>15.252013476600744</v>
      </c>
      <c r="AS258">
        <v>79.844409829862741</v>
      </c>
      <c r="AT258">
        <v>8.7090155298112251</v>
      </c>
      <c r="AU258">
        <v>18.754508925117868</v>
      </c>
      <c r="AV258"/>
      <c r="AW258"/>
      <c r="FY258" s="214">
        <v>253</v>
      </c>
      <c r="FZ258">
        <v>1.856612640843299</v>
      </c>
      <c r="GA258">
        <v>18.249896900099497</v>
      </c>
      <c r="GB258">
        <v>13.967750591815886</v>
      </c>
      <c r="GC258">
        <v>3.9762753335617926</v>
      </c>
      <c r="GD258">
        <v>2.0366629282034561</v>
      </c>
      <c r="GE258">
        <v>10.428179276148425</v>
      </c>
      <c r="GF258">
        <v>15.496112285069264</v>
      </c>
      <c r="GG258">
        <v>3.2890829807973736</v>
      </c>
      <c r="GH258">
        <v>2.3440362398958201</v>
      </c>
      <c r="GI258">
        <v>8.2387726425501651</v>
      </c>
      <c r="GJ258"/>
      <c r="GK258"/>
      <c r="GL258"/>
      <c r="GM258"/>
    </row>
    <row r="259" spans="1:195" s="7" customFormat="1">
      <c r="A259" s="90"/>
      <c r="B259">
        <v>0.58878442665404496</v>
      </c>
      <c r="C259">
        <v>7</v>
      </c>
      <c r="D259">
        <v>39747</v>
      </c>
      <c r="E259">
        <v>0</v>
      </c>
      <c r="F259">
        <v>0</v>
      </c>
      <c r="G259">
        <v>74.404761904761912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75.552004187701527</v>
      </c>
      <c r="AO259">
        <v>14.237501711304834</v>
      </c>
      <c r="AP259">
        <v>44.349379733801207</v>
      </c>
      <c r="AQ259">
        <v>93.42497065995002</v>
      </c>
      <c r="AR259">
        <v>13.313121937328905</v>
      </c>
      <c r="AS259">
        <v>73.375964784442232</v>
      </c>
      <c r="AT259">
        <v>8.308271098867289</v>
      </c>
      <c r="AU259">
        <v>33.807036292610533</v>
      </c>
      <c r="AV259"/>
      <c r="AW259"/>
      <c r="FY259" s="214">
        <v>254</v>
      </c>
      <c r="FZ259">
        <v>0.8622822463836628</v>
      </c>
      <c r="GA259">
        <v>18.502955838430463</v>
      </c>
      <c r="GB259">
        <v>11.742784458412203</v>
      </c>
      <c r="GC259">
        <v>2.240027964013156</v>
      </c>
      <c r="GD259">
        <v>9.4999025614146255</v>
      </c>
      <c r="GE259">
        <v>21.068293079249589</v>
      </c>
      <c r="GF259">
        <v>17.600062624317431</v>
      </c>
      <c r="GG259">
        <v>11.449581267814199</v>
      </c>
      <c r="GH259">
        <v>1.7875222031384326</v>
      </c>
      <c r="GI259">
        <v>12.452713473940932</v>
      </c>
      <c r="GJ259"/>
      <c r="GK259"/>
      <c r="GL259"/>
      <c r="GM259"/>
    </row>
    <row r="260" spans="1:195" s="7" customFormat="1">
      <c r="A260" s="77" t="s">
        <v>61</v>
      </c>
      <c r="B260">
        <v>8.4212795026529896E-2</v>
      </c>
      <c r="C260">
        <v>3</v>
      </c>
      <c r="D260">
        <v>39747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52.217960087829013</v>
      </c>
      <c r="AO260">
        <v>12.148873521790872</v>
      </c>
      <c r="AP260">
        <v>52.83996427637102</v>
      </c>
      <c r="AQ260">
        <v>74.241559669036306</v>
      </c>
      <c r="AR260">
        <v>11.057283881241716</v>
      </c>
      <c r="AS260">
        <v>50.819254886698523</v>
      </c>
      <c r="AT260" t="e">
        <v>#DIV/0!</v>
      </c>
      <c r="AU260" t="e">
        <v>#DIV/0!</v>
      </c>
      <c r="AV260"/>
      <c r="AW260"/>
      <c r="FY260" s="214">
        <v>255</v>
      </c>
      <c r="FZ260">
        <v>0.69325958023842293</v>
      </c>
      <c r="GA260">
        <v>3.5198385316697434</v>
      </c>
      <c r="GB260">
        <v>6.5228016007378233</v>
      </c>
      <c r="GC260">
        <v>3.1980996305533189</v>
      </c>
      <c r="GD260">
        <v>0.66479703712855476</v>
      </c>
      <c r="GE260">
        <v>4.7466886292736374</v>
      </c>
      <c r="GF260">
        <v>10.956715117380986</v>
      </c>
      <c r="GG260">
        <v>12.068356203358981</v>
      </c>
      <c r="GH260">
        <v>12.811420574047805</v>
      </c>
      <c r="GI260">
        <v>6.1769605019767662</v>
      </c>
      <c r="GJ260"/>
      <c r="GK260"/>
      <c r="GL260"/>
      <c r="GM260"/>
    </row>
    <row r="261" spans="1:195" s="7" customFormat="1">
      <c r="A261" s="77" t="s">
        <v>62</v>
      </c>
      <c r="B261">
        <v>0.44246719826478564</v>
      </c>
      <c r="C261">
        <v>3</v>
      </c>
      <c r="D261">
        <v>39747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38.46687071134123</v>
      </c>
      <c r="AO261">
        <v>12.047597083607537</v>
      </c>
      <c r="AP261">
        <v>40.721699431680541</v>
      </c>
      <c r="AQ261">
        <v>66.247097136012741</v>
      </c>
      <c r="AR261">
        <v>11.500198016929218</v>
      </c>
      <c r="AS261">
        <v>51.532810970910809</v>
      </c>
      <c r="AT261">
        <v>6.7829183663313692</v>
      </c>
      <c r="AU261">
        <v>2.7409329554322892</v>
      </c>
      <c r="AV261"/>
      <c r="AW261"/>
      <c r="FY261" s="214">
        <v>256</v>
      </c>
      <c r="FZ261">
        <v>0.68331840272740441</v>
      </c>
      <c r="GA261">
        <v>10.04889193010747</v>
      </c>
      <c r="GB261">
        <v>13.383134603535691</v>
      </c>
      <c r="GC261">
        <v>5.3803723962374548</v>
      </c>
      <c r="GD261">
        <v>4.4066216676088787</v>
      </c>
      <c r="GE261">
        <v>10.750574024609339</v>
      </c>
      <c r="GF261">
        <v>16.099548223369808</v>
      </c>
      <c r="GG261">
        <v>15.654389811580863</v>
      </c>
      <c r="GH261">
        <v>11.109814665802244</v>
      </c>
      <c r="GI261">
        <v>10.89447711798841</v>
      </c>
      <c r="GJ261"/>
      <c r="GK261"/>
      <c r="GL261"/>
      <c r="GM261"/>
    </row>
    <row r="262" spans="1:195" s="7" customFormat="1" ht="12.75" customHeight="1">
      <c r="A262" s="77"/>
      <c r="B262">
        <v>0.35750507860516034</v>
      </c>
      <c r="C262">
        <v>6</v>
      </c>
      <c r="D262">
        <v>39747</v>
      </c>
      <c r="E262">
        <v>0</v>
      </c>
      <c r="F262">
        <v>130.20833333333334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70.328405737766829</v>
      </c>
      <c r="AO262">
        <v>14.247278750793011</v>
      </c>
      <c r="AP262">
        <v>50.298770569019567</v>
      </c>
      <c r="AQ262">
        <v>82.567227526427814</v>
      </c>
      <c r="AR262">
        <v>12.964602943592146</v>
      </c>
      <c r="AS262">
        <v>66.488576025833908</v>
      </c>
      <c r="AT262" t="e">
        <v>#DIV/0!</v>
      </c>
      <c r="AU262" t="e">
        <v>#DIV/0!</v>
      </c>
      <c r="AV262"/>
      <c r="AW262"/>
      <c r="FY262" s="214">
        <v>257</v>
      </c>
      <c r="FZ262">
        <v>0.88798982880089539</v>
      </c>
      <c r="GA262">
        <v>3.0361482772842359</v>
      </c>
      <c r="GB262">
        <v>6.0374662672360575</v>
      </c>
      <c r="GC262">
        <v>3.3909840566022558</v>
      </c>
      <c r="GD262">
        <v>6.1463996895011075</v>
      </c>
      <c r="GE262">
        <v>13.144806472670886</v>
      </c>
      <c r="GF262">
        <v>11.056699677951251</v>
      </c>
      <c r="GG262">
        <v>10.725908281659294</v>
      </c>
      <c r="GH262">
        <v>4.0456421481413827</v>
      </c>
      <c r="GI262">
        <v>8.3053231346795666</v>
      </c>
      <c r="GJ262"/>
      <c r="GK262"/>
      <c r="GL262"/>
      <c r="GM262"/>
    </row>
    <row r="263" spans="1:195" s="7" customFormat="1">
      <c r="A263" s="77"/>
      <c r="B263">
        <v>0.42211103051151966</v>
      </c>
      <c r="C263">
        <v>2</v>
      </c>
      <c r="D263">
        <v>39747</v>
      </c>
      <c r="E263">
        <v>0</v>
      </c>
      <c r="F263">
        <v>0</v>
      </c>
      <c r="G263">
        <v>91.145833333333329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103.04584969529954</v>
      </c>
      <c r="AO263">
        <v>18.435383564140075</v>
      </c>
      <c r="AP263">
        <v>80.409949899518807</v>
      </c>
      <c r="AQ263">
        <v>109.61471779663992</v>
      </c>
      <c r="AR263">
        <v>16.759439603763706</v>
      </c>
      <c r="AS263">
        <v>88.76026711620294</v>
      </c>
      <c r="AT263" t="e">
        <v>#DIV/0!</v>
      </c>
      <c r="AU263" t="e">
        <v>#DIV/0!</v>
      </c>
      <c r="AV263"/>
      <c r="AW263"/>
      <c r="FY263" s="214">
        <v>258</v>
      </c>
      <c r="FZ263">
        <v>0.60689691085133135</v>
      </c>
      <c r="GA263">
        <v>9.5606487857811295</v>
      </c>
      <c r="GB263">
        <v>11.667766850710272</v>
      </c>
      <c r="GC263">
        <v>4.5300798553065906</v>
      </c>
      <c r="GD263">
        <v>4.8241210571125333</v>
      </c>
      <c r="GE263">
        <v>14.921128542628457</v>
      </c>
      <c r="GF263">
        <v>16.771247884531935</v>
      </c>
      <c r="GG263">
        <v>11.667689716517041</v>
      </c>
      <c r="GH263">
        <v>7.5347702595253789</v>
      </c>
      <c r="GI263">
        <v>10.344750525688342</v>
      </c>
      <c r="GJ263"/>
      <c r="GK263"/>
      <c r="GL263"/>
      <c r="GM263"/>
    </row>
    <row r="264" spans="1:195" s="7" customFormat="1">
      <c r="A264" s="77"/>
      <c r="B264">
        <v>0.97718696135938998</v>
      </c>
      <c r="C264">
        <v>9</v>
      </c>
      <c r="D264">
        <v>39747</v>
      </c>
      <c r="E264">
        <v>0</v>
      </c>
      <c r="F264">
        <v>0</v>
      </c>
      <c r="G264">
        <v>88.922764227642276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36.121348467030543</v>
      </c>
      <c r="AO264">
        <v>6.0802329807273301</v>
      </c>
      <c r="AP264">
        <v>34.859944289623222</v>
      </c>
      <c r="AQ264">
        <v>31.63882868293501</v>
      </c>
      <c r="AR264">
        <v>5.5406599897445572</v>
      </c>
      <c r="AS264">
        <v>30.590889795579237</v>
      </c>
      <c r="AT264" t="e">
        <v>#DIV/0!</v>
      </c>
      <c r="AU264" t="e">
        <v>#DIV/0!</v>
      </c>
      <c r="AV264"/>
      <c r="AW264"/>
      <c r="FY264" s="214">
        <v>259</v>
      </c>
      <c r="FZ264">
        <v>0.94180618161723872</v>
      </c>
      <c r="GA264">
        <v>10.059264144645493</v>
      </c>
      <c r="GB264">
        <v>11.322813498812781</v>
      </c>
      <c r="GC264">
        <v>4.4100541532078807</v>
      </c>
      <c r="GD264">
        <v>7.1124685338410485</v>
      </c>
      <c r="GE264">
        <v>19.11802524065158</v>
      </c>
      <c r="GF264">
        <v>21.037902051783078</v>
      </c>
      <c r="GG264">
        <v>11.269881598013823</v>
      </c>
      <c r="GH264">
        <v>0.9752556681737935</v>
      </c>
      <c r="GI264">
        <v>11.633064109646716</v>
      </c>
      <c r="GJ264"/>
      <c r="GK264"/>
      <c r="GL264"/>
      <c r="GM264"/>
    </row>
    <row r="265" spans="1:195" s="7" customFormat="1">
      <c r="A265" s="77"/>
      <c r="B265">
        <v>0.80659295338319659</v>
      </c>
      <c r="C265">
        <v>9</v>
      </c>
      <c r="D265">
        <v>39747</v>
      </c>
      <c r="E265">
        <v>0</v>
      </c>
      <c r="F265">
        <v>0</v>
      </c>
      <c r="G265">
        <v>88.922764227642276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72.724428992134946</v>
      </c>
      <c r="AO265">
        <v>12.711297501120615</v>
      </c>
      <c r="AP265">
        <v>207.52633783340568</v>
      </c>
      <c r="AQ265">
        <v>86.439614444770456</v>
      </c>
      <c r="AR265">
        <v>12.091674790736548</v>
      </c>
      <c r="AS265">
        <v>68.590799745726883</v>
      </c>
      <c r="AT265" t="e">
        <v>#DIV/0!</v>
      </c>
      <c r="AU265" t="e">
        <v>#DIV/0!</v>
      </c>
      <c r="AV265"/>
      <c r="AW265"/>
      <c r="FY265" s="214">
        <v>260</v>
      </c>
      <c r="FZ265">
        <v>0.68331840272740441</v>
      </c>
      <c r="GA265">
        <v>10.797326027061876</v>
      </c>
      <c r="GB265">
        <v>5.7476468516964632</v>
      </c>
      <c r="GC265">
        <v>1.2294297751179133</v>
      </c>
      <c r="GD265">
        <v>1.8023766315452097</v>
      </c>
      <c r="GE265">
        <v>5.8902047892094664</v>
      </c>
      <c r="GF265">
        <v>15.032482050340592</v>
      </c>
      <c r="GG265">
        <v>19.124543098869442</v>
      </c>
      <c r="GH265">
        <v>13.956512445535981</v>
      </c>
      <c r="GI265">
        <v>7.7859086120534711</v>
      </c>
      <c r="GJ265"/>
      <c r="GK265"/>
      <c r="GL265"/>
      <c r="GM265"/>
    </row>
    <row r="266" spans="1:195" s="7" customFormat="1">
      <c r="A266" s="1"/>
      <c r="B266">
        <v>0.67286303039025386</v>
      </c>
      <c r="C266">
        <v>6</v>
      </c>
      <c r="D266">
        <v>39747</v>
      </c>
      <c r="E266">
        <v>0</v>
      </c>
      <c r="F266">
        <v>130.20833333333334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83.857333586328437</v>
      </c>
      <c r="AO266">
        <v>18.838821020018827</v>
      </c>
      <c r="AP266">
        <v>85.180959631120032</v>
      </c>
      <c r="AQ266">
        <v>116.29181083859716</v>
      </c>
      <c r="AR266">
        <v>17.305065560478607</v>
      </c>
      <c r="AS266">
        <v>82.707202805067013</v>
      </c>
      <c r="AT266">
        <v>10.003123207781687</v>
      </c>
      <c r="AU266">
        <v>18.900702163491282</v>
      </c>
      <c r="AV266"/>
      <c r="AW266"/>
      <c r="FY266" s="214">
        <v>261</v>
      </c>
      <c r="FZ266">
        <v>1.1493014178326069</v>
      </c>
      <c r="GA266">
        <v>11.517112766708197</v>
      </c>
      <c r="GB266">
        <v>10.61792726538364</v>
      </c>
      <c r="GC266">
        <v>3.4301354535904602</v>
      </c>
      <c r="GD266">
        <v>5.0942454342151482</v>
      </c>
      <c r="GE266">
        <v>13.718338331379377</v>
      </c>
      <c r="GF266">
        <v>17.171534470090549</v>
      </c>
      <c r="GG266">
        <v>15.017425102170243</v>
      </c>
      <c r="GH266">
        <v>8.8495267521897034</v>
      </c>
      <c r="GI266">
        <v>10.711612366536565</v>
      </c>
      <c r="GJ266"/>
      <c r="GK266"/>
      <c r="GL266"/>
      <c r="GM266"/>
    </row>
    <row r="267" spans="1:195" s="7" customFormat="1">
      <c r="A267" s="1"/>
      <c r="B267">
        <v>0.39642053167529667</v>
      </c>
      <c r="C267">
        <v>9</v>
      </c>
      <c r="D267">
        <v>39747</v>
      </c>
      <c r="E267">
        <v>0</v>
      </c>
      <c r="F267">
        <v>0</v>
      </c>
      <c r="G267">
        <v>88.922764227642276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78.731313083176616</v>
      </c>
      <c r="AO267">
        <v>14.853896284686167</v>
      </c>
      <c r="AP267">
        <v>99.474631533843066</v>
      </c>
      <c r="AQ267">
        <v>80.586478721947998</v>
      </c>
      <c r="AR267">
        <v>13.707147359176211</v>
      </c>
      <c r="AS267">
        <v>69.129661426440919</v>
      </c>
      <c r="AT267">
        <v>7.1423857494335055</v>
      </c>
      <c r="AU267">
        <v>30.412730655569252</v>
      </c>
      <c r="AV267"/>
      <c r="AW267"/>
      <c r="FY267" s="214">
        <v>262</v>
      </c>
      <c r="FZ267">
        <v>1.2670529080877539</v>
      </c>
      <c r="GA267">
        <v>11.681225071352738</v>
      </c>
      <c r="GB267">
        <v>10.133238512022928</v>
      </c>
      <c r="GC267">
        <v>3.1634915896851306</v>
      </c>
      <c r="GD267">
        <v>4.9998495454903722</v>
      </c>
      <c r="GE267">
        <v>11.819984082732846</v>
      </c>
      <c r="GF267">
        <v>10.407063736568002</v>
      </c>
      <c r="GG267">
        <v>11.341523082192802</v>
      </c>
      <c r="GH267">
        <v>6.9782562227679907</v>
      </c>
      <c r="GI267">
        <v>9.0012757287988023</v>
      </c>
      <c r="GJ267"/>
      <c r="GK267"/>
      <c r="GL267"/>
      <c r="GM267"/>
    </row>
    <row r="268" spans="1:195" s="7" customFormat="1">
      <c r="A268" s="1"/>
      <c r="B268">
        <v>0.89911002707976184</v>
      </c>
      <c r="C268">
        <v>9</v>
      </c>
      <c r="D268">
        <v>39775</v>
      </c>
      <c r="E268">
        <v>0</v>
      </c>
      <c r="F268">
        <v>0</v>
      </c>
      <c r="G268">
        <v>10.416666666666666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89.071507182800673</v>
      </c>
      <c r="AO268">
        <v>17.417546029967969</v>
      </c>
      <c r="AP268">
        <v>108.03386629031871</v>
      </c>
      <c r="AQ268">
        <v>94.071423694452932</v>
      </c>
      <c r="AR268">
        <v>16.02488462981875</v>
      </c>
      <c r="AS268">
        <v>84.308622113464438</v>
      </c>
      <c r="AT268">
        <v>8.8881697730448028</v>
      </c>
      <c r="AU268">
        <v>108.59305636982782</v>
      </c>
      <c r="AV268"/>
      <c r="AW268"/>
      <c r="FY268" s="214">
        <v>263</v>
      </c>
      <c r="FZ268">
        <v>1.0317275346889012</v>
      </c>
      <c r="GA268">
        <v>9.8232693165252822</v>
      </c>
      <c r="GB268">
        <v>12.040777476179766</v>
      </c>
      <c r="GC268">
        <v>4.5757609389715341</v>
      </c>
      <c r="GD268">
        <v>6.9748523549169388</v>
      </c>
      <c r="GE268">
        <v>19.824033634357765</v>
      </c>
      <c r="GF268">
        <v>22.585645990279424</v>
      </c>
      <c r="GG268">
        <v>14.830038863712039</v>
      </c>
      <c r="GH268">
        <v>4.6021561848987709</v>
      </c>
      <c r="GI268">
        <v>12.599068278372137</v>
      </c>
      <c r="GJ268"/>
      <c r="GK268"/>
      <c r="GL268"/>
      <c r="GM268"/>
    </row>
    <row r="269" spans="1:195" s="7" customFormat="1">
      <c r="A269" s="1"/>
      <c r="B269">
        <v>0.73494407731074607</v>
      </c>
      <c r="C269">
        <v>4</v>
      </c>
      <c r="D269">
        <v>39775</v>
      </c>
      <c r="E269">
        <v>0</v>
      </c>
      <c r="F269">
        <v>0</v>
      </c>
      <c r="G269">
        <v>31.25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84.70839126355709</v>
      </c>
      <c r="AO269">
        <v>12.281250348823743</v>
      </c>
      <c r="AP269">
        <v>34.55350025553691</v>
      </c>
      <c r="AQ269">
        <v>79.883381818984972</v>
      </c>
      <c r="AR269">
        <v>11.367734216725527</v>
      </c>
      <c r="AS269">
        <v>69.373587971199456</v>
      </c>
      <c r="AT269">
        <v>6.4053005476232698</v>
      </c>
      <c r="AU269">
        <v>10.597813733073959</v>
      </c>
      <c r="AV269"/>
      <c r="AW269"/>
      <c r="FY269" s="214">
        <v>264</v>
      </c>
      <c r="FZ269">
        <v>0.42155057336862511</v>
      </c>
      <c r="GA269">
        <v>17.171841560710075</v>
      </c>
      <c r="GB269">
        <v>11.525630457171257</v>
      </c>
      <c r="GC269">
        <v>2.2998852984104396</v>
      </c>
      <c r="GD269">
        <v>4.1515704927494212</v>
      </c>
      <c r="GE269">
        <v>10.672055104670294</v>
      </c>
      <c r="GF269">
        <v>11.543686191540594</v>
      </c>
      <c r="GG269">
        <v>8.5968636749890628</v>
      </c>
      <c r="GH269">
        <v>4.1293904744246639</v>
      </c>
      <c r="GI269">
        <v>8.2722865079097083</v>
      </c>
      <c r="GJ269"/>
      <c r="GK269"/>
      <c r="GL269"/>
      <c r="GM269"/>
    </row>
    <row r="270" spans="1:195" s="7" customFormat="1">
      <c r="A270" s="1"/>
      <c r="B270">
        <v>0.66685971259718624</v>
      </c>
      <c r="C270">
        <v>2</v>
      </c>
      <c r="D270">
        <v>39775</v>
      </c>
      <c r="E270">
        <v>0</v>
      </c>
      <c r="F270">
        <v>0</v>
      </c>
      <c r="G270">
        <v>37.878787878787875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86.252804200109409</v>
      </c>
      <c r="AO270">
        <v>18.811869023530456</v>
      </c>
      <c r="AP270">
        <v>92.464491259359548</v>
      </c>
      <c r="AQ270">
        <v>107.20612571711469</v>
      </c>
      <c r="AR270">
        <v>17.281207855337659</v>
      </c>
      <c r="AS270">
        <v>90.563892942322809</v>
      </c>
      <c r="AT270" t="e">
        <v>#DIV/0!</v>
      </c>
      <c r="AU270" t="e">
        <v>#DIV/0!</v>
      </c>
      <c r="AV270"/>
      <c r="AW270"/>
      <c r="FY270" s="214">
        <v>265</v>
      </c>
      <c r="FZ270">
        <v>0.72747221124835537</v>
      </c>
      <c r="GA270">
        <v>12.271555296369062</v>
      </c>
      <c r="GB270">
        <v>12.338269738481412</v>
      </c>
      <c r="GC270">
        <v>4.2397716762073827</v>
      </c>
      <c r="GD270">
        <v>9.0312635938273615</v>
      </c>
      <c r="GE270">
        <v>28.177444432285501</v>
      </c>
      <c r="GF270">
        <v>26.203802215017546</v>
      </c>
      <c r="GG270">
        <v>9.1637154588416418</v>
      </c>
      <c r="GH270">
        <v>2.5952812187456633</v>
      </c>
      <c r="GI270">
        <v>14.453283198336086</v>
      </c>
      <c r="GJ270"/>
      <c r="GK270"/>
      <c r="GL270"/>
      <c r="GM270"/>
    </row>
    <row r="271" spans="1:195" s="7" customFormat="1">
      <c r="A271" s="77"/>
      <c r="B271">
        <v>0.51082804420327488</v>
      </c>
      <c r="C271">
        <v>10</v>
      </c>
      <c r="D271">
        <v>39775</v>
      </c>
      <c r="E271">
        <v>0</v>
      </c>
      <c r="F271">
        <v>10.416666666666666</v>
      </c>
      <c r="G271">
        <v>20.833333333333332</v>
      </c>
      <c r="H271">
        <v>10.416666666666666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52.454217551627053</v>
      </c>
      <c r="AO271">
        <v>9.1402293935627057</v>
      </c>
      <c r="AP271">
        <v>24.938636507853698</v>
      </c>
      <c r="AQ271">
        <v>61.358937406366039</v>
      </c>
      <c r="AR271">
        <v>8.5247919729958106</v>
      </c>
      <c r="AS271">
        <v>49.92258680316624</v>
      </c>
      <c r="AT271">
        <v>5.5103973311754402</v>
      </c>
      <c r="AU271">
        <v>8.976589758598422</v>
      </c>
      <c r="AV271"/>
      <c r="AW271"/>
      <c r="FY271" s="214">
        <v>266</v>
      </c>
      <c r="FZ271">
        <v>0.55636060850393254</v>
      </c>
      <c r="GA271">
        <v>4.64596031316725</v>
      </c>
      <c r="GB271">
        <v>6.1616924600699807</v>
      </c>
      <c r="GC271">
        <v>2.5886385464313046</v>
      </c>
      <c r="GD271">
        <v>4.8171359039856014</v>
      </c>
      <c r="GE271">
        <v>12.131724850236404</v>
      </c>
      <c r="GF271">
        <v>20.892698908772694</v>
      </c>
      <c r="GG271">
        <v>17.854380291225038</v>
      </c>
      <c r="GH271">
        <v>5.9169126775630962</v>
      </c>
      <c r="GI271">
        <v>9.5914412908793203</v>
      </c>
      <c r="GJ271"/>
      <c r="GK271"/>
      <c r="GL271"/>
      <c r="GM271"/>
    </row>
    <row r="272" spans="1:195" s="7" customFormat="1">
      <c r="A272" s="77"/>
      <c r="B272">
        <v>0.72601225552579596</v>
      </c>
      <c r="C272">
        <v>4</v>
      </c>
      <c r="D272">
        <v>39775</v>
      </c>
      <c r="E272">
        <v>0</v>
      </c>
      <c r="F272">
        <v>0</v>
      </c>
      <c r="G272">
        <v>31.25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79.704166421869402</v>
      </c>
      <c r="AO272">
        <v>16.215332274139286</v>
      </c>
      <c r="AP272">
        <v>79.620366786278908</v>
      </c>
      <c r="AQ272">
        <v>98.411142843567561</v>
      </c>
      <c r="AR272">
        <v>15.110827666799619</v>
      </c>
      <c r="AS272">
        <v>83.075517347149159</v>
      </c>
      <c r="AT272">
        <v>9.1752294835173753</v>
      </c>
      <c r="AU272">
        <v>12.988222334280168</v>
      </c>
      <c r="AV272"/>
      <c r="AW272"/>
      <c r="FY272" s="214">
        <v>267</v>
      </c>
      <c r="FZ272">
        <v>0.94536486530180963</v>
      </c>
      <c r="GA272">
        <v>9.3840252608666681</v>
      </c>
      <c r="GB272">
        <v>12.839862679755102</v>
      </c>
      <c r="GC272">
        <v>5.3733460540865998</v>
      </c>
      <c r="GD272">
        <v>4.1044358966964971</v>
      </c>
      <c r="GE272">
        <v>14.249045199911031</v>
      </c>
      <c r="GF272">
        <v>17.776496132117661</v>
      </c>
      <c r="GG272">
        <v>9.0473437885316983</v>
      </c>
      <c r="GH272">
        <v>4.2968871269912263</v>
      </c>
      <c r="GI272">
        <v>9.8975728922935708</v>
      </c>
      <c r="GJ272"/>
      <c r="GK272"/>
      <c r="GL272"/>
      <c r="GM272"/>
    </row>
    <row r="273" spans="1:195" s="7" customFormat="1">
      <c r="A273" s="1"/>
      <c r="B273">
        <v>0.96489299206827539</v>
      </c>
      <c r="C273">
        <v>10</v>
      </c>
      <c r="D273">
        <v>39775</v>
      </c>
      <c r="E273">
        <v>0</v>
      </c>
      <c r="F273">
        <v>10.416666666666666</v>
      </c>
      <c r="G273">
        <v>20.833333333333332</v>
      </c>
      <c r="H273">
        <v>10.416666666666666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56.572385693991372</v>
      </c>
      <c r="AO273">
        <v>12.914345351265316</v>
      </c>
      <c r="AP273">
        <v>63.930647779422884</v>
      </c>
      <c r="AQ273">
        <v>66.777367834526927</v>
      </c>
      <c r="AR273">
        <v>11.740958065544229</v>
      </c>
      <c r="AS273">
        <v>58.925846680719189</v>
      </c>
      <c r="AT273" t="e">
        <v>#DIV/0!</v>
      </c>
      <c r="AU273" t="e">
        <v>#DIV/0!</v>
      </c>
      <c r="AV273"/>
      <c r="AW273"/>
      <c r="FY273" s="214">
        <v>268</v>
      </c>
      <c r="FZ273">
        <v>0.76029716103472955</v>
      </c>
      <c r="GA273">
        <v>5.4391568761163853</v>
      </c>
      <c r="GB273">
        <v>7.4270591699054949</v>
      </c>
      <c r="GC273">
        <v>3.2884138153198377</v>
      </c>
      <c r="GD273">
        <v>1.8342765068226066</v>
      </c>
      <c r="GE273">
        <v>8.4303369619404886</v>
      </c>
      <c r="GF273">
        <v>18.788260142561462</v>
      </c>
      <c r="GG273">
        <v>14.330908925053683</v>
      </c>
      <c r="GH273">
        <v>6.9782562227679907</v>
      </c>
      <c r="GI273">
        <v>7.8954503342563358</v>
      </c>
      <c r="GJ273"/>
      <c r="GK273"/>
      <c r="GL273"/>
      <c r="GM273"/>
    </row>
    <row r="274" spans="1:195" s="7" customFormat="1">
      <c r="A274" s="1"/>
      <c r="B274">
        <v>0.550683257348485</v>
      </c>
      <c r="C274">
        <v>9</v>
      </c>
      <c r="D274">
        <v>39775</v>
      </c>
      <c r="E274">
        <v>0</v>
      </c>
      <c r="F274">
        <v>0</v>
      </c>
      <c r="G274">
        <v>10.416666666666666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78.678656721562831</v>
      </c>
      <c r="AO274">
        <v>15.849589844996165</v>
      </c>
      <c r="AP274">
        <v>65.76933856017294</v>
      </c>
      <c r="AQ274">
        <v>92.429100388653012</v>
      </c>
      <c r="AR274">
        <v>14.421249392867741</v>
      </c>
      <c r="AS274">
        <v>79.755518828416001</v>
      </c>
      <c r="AT274" t="e">
        <v>#DIV/0!</v>
      </c>
      <c r="AU274" t="e">
        <v>#DIV/0!</v>
      </c>
      <c r="AV274"/>
      <c r="AW274"/>
      <c r="FY274" s="214">
        <v>269</v>
      </c>
      <c r="FZ274">
        <v>0.99279872429170546</v>
      </c>
      <c r="GA274">
        <v>10.182129062013248</v>
      </c>
      <c r="GB274">
        <v>8.1820903914519025</v>
      </c>
      <c r="GC274">
        <v>2.9395475828864064</v>
      </c>
      <c r="GD274">
        <v>2.0881040433204503</v>
      </c>
      <c r="GE274">
        <v>6.9806807291874229</v>
      </c>
      <c r="GF274">
        <v>16.750600686446131</v>
      </c>
      <c r="GG274">
        <v>11.406979210502374</v>
      </c>
      <c r="GH274">
        <v>5.2766503145224277</v>
      </c>
      <c r="GI274">
        <v>7.3878874753456651</v>
      </c>
      <c r="GJ274"/>
      <c r="GK274"/>
      <c r="GL274"/>
      <c r="GM274"/>
    </row>
    <row r="275" spans="1:195" s="7" customFormat="1">
      <c r="A275" s="1"/>
      <c r="B275">
        <v>8.6520767978780722E-2</v>
      </c>
      <c r="C275">
        <v>9</v>
      </c>
      <c r="D275">
        <v>39775</v>
      </c>
      <c r="E275">
        <v>0</v>
      </c>
      <c r="F275">
        <v>0</v>
      </c>
      <c r="G275">
        <v>10.416666666666666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87.796521286116729</v>
      </c>
      <c r="AO275">
        <v>17.959330271488927</v>
      </c>
      <c r="AP275">
        <v>84.181320799697005</v>
      </c>
      <c r="AQ275">
        <v>97.880535180393423</v>
      </c>
      <c r="AR275">
        <v>16.351404532171774</v>
      </c>
      <c r="AS275">
        <v>84.799819283708388</v>
      </c>
      <c r="AT275" t="e">
        <v>#DIV/0!</v>
      </c>
      <c r="AU275" t="e">
        <v>#DIV/0!</v>
      </c>
      <c r="AV275"/>
      <c r="AW275"/>
      <c r="FY275" s="214">
        <v>270</v>
      </c>
      <c r="FZ275">
        <v>0.93186500410622031</v>
      </c>
      <c r="GA275">
        <v>11.998562551086891</v>
      </c>
      <c r="GB275">
        <v>11.048317162396696</v>
      </c>
      <c r="GC275">
        <v>3.2037740087640589</v>
      </c>
      <c r="GD275">
        <v>3.3748806133662623</v>
      </c>
      <c r="GE275">
        <v>17.45595092781716</v>
      </c>
      <c r="GF275">
        <v>27.522184551718126</v>
      </c>
      <c r="GG275">
        <v>14.30540686245811</v>
      </c>
      <c r="GH275">
        <v>7.062004549051272</v>
      </c>
      <c r="GI275">
        <v>11.268964327064701</v>
      </c>
      <c r="GJ275"/>
      <c r="GK275"/>
      <c r="GL275"/>
      <c r="GM275"/>
    </row>
    <row r="276" spans="1:195" s="7" customFormat="1">
      <c r="A276" s="1"/>
      <c r="B276">
        <v>0.54818133778673994</v>
      </c>
      <c r="C276">
        <v>9</v>
      </c>
      <c r="D276">
        <v>39775</v>
      </c>
      <c r="E276">
        <v>0</v>
      </c>
      <c r="F276">
        <v>0</v>
      </c>
      <c r="G276">
        <v>10.416666666666666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63.291820117263001</v>
      </c>
      <c r="AO276">
        <v>12.001184100055244</v>
      </c>
      <c r="AP276">
        <v>42.090029306855762</v>
      </c>
      <c r="AQ276">
        <v>82.049748684157819</v>
      </c>
      <c r="AR276">
        <v>10.91048941861083</v>
      </c>
      <c r="AS276">
        <v>59.096488214237731</v>
      </c>
      <c r="AT276" t="e">
        <v>#DIV/0!</v>
      </c>
      <c r="AU276" t="e">
        <v>#DIV/0!</v>
      </c>
      <c r="AV276"/>
      <c r="AW276"/>
      <c r="FY276" s="214">
        <v>271</v>
      </c>
      <c r="FZ276">
        <v>1.219619049097858</v>
      </c>
      <c r="GA276">
        <v>12.552679786182441</v>
      </c>
      <c r="GB276">
        <v>10.872179400791607</v>
      </c>
      <c r="GC276">
        <v>3.2546128666654575</v>
      </c>
      <c r="GD276">
        <v>1.5907373969194416</v>
      </c>
      <c r="GE276">
        <v>12.93067670178996</v>
      </c>
      <c r="GF276">
        <v>25.052298394532912</v>
      </c>
      <c r="GG276">
        <v>15.534514540801732</v>
      </c>
      <c r="GH276">
        <v>15.829950943567283</v>
      </c>
      <c r="GI276">
        <v>11.290550922023895</v>
      </c>
      <c r="GJ276"/>
      <c r="GK276"/>
      <c r="GL276"/>
      <c r="GM276"/>
    </row>
    <row r="277" spans="1:195" s="7" customFormat="1">
      <c r="A277" s="1"/>
      <c r="B277">
        <v>0.13429992121754974</v>
      </c>
      <c r="C277">
        <v>9</v>
      </c>
      <c r="D277">
        <v>39775</v>
      </c>
      <c r="E277">
        <v>0</v>
      </c>
      <c r="F277">
        <v>0</v>
      </c>
      <c r="G277">
        <v>10.416666666666666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76.057009851340993</v>
      </c>
      <c r="AO277">
        <v>16.293162343285665</v>
      </c>
      <c r="AP277">
        <v>68.842908850036821</v>
      </c>
      <c r="AQ277">
        <v>97.277159360096491</v>
      </c>
      <c r="AR277">
        <v>15.002717641925747</v>
      </c>
      <c r="AS277">
        <v>75.752042651997243</v>
      </c>
      <c r="AT277">
        <v>8.3307967708531709</v>
      </c>
      <c r="AU277">
        <v>20.059765617947537</v>
      </c>
      <c r="AV277"/>
      <c r="AW277"/>
      <c r="FY277" s="214">
        <v>272</v>
      </c>
      <c r="FZ277">
        <v>1.3633567549858638</v>
      </c>
      <c r="GA277">
        <v>19.735021280150693</v>
      </c>
      <c r="GB277">
        <v>14.257574816402629</v>
      </c>
      <c r="GC277">
        <v>3.2293460894557739</v>
      </c>
      <c r="GD277">
        <v>3.6738772101706267</v>
      </c>
      <c r="GE277">
        <v>9.4297207834602386</v>
      </c>
      <c r="GF277">
        <v>12.371453279499969</v>
      </c>
      <c r="GG277">
        <v>10.470530316436362</v>
      </c>
      <c r="GH277">
        <v>6.5571750406037657</v>
      </c>
      <c r="GI277">
        <v>9.3539069127266821</v>
      </c>
      <c r="GJ277"/>
      <c r="GK277"/>
      <c r="GL277"/>
      <c r="GM277"/>
    </row>
    <row r="278" spans="1:195" s="7" customFormat="1">
      <c r="A278" s="1"/>
      <c r="B278">
        <v>0.77055252495329829</v>
      </c>
      <c r="C278">
        <v>1</v>
      </c>
      <c r="D278">
        <v>39799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59.956473249453573</v>
      </c>
      <c r="AO278">
        <v>13.926642894285902</v>
      </c>
      <c r="AP278">
        <v>53.560187149100315</v>
      </c>
      <c r="AQ278">
        <v>80.792960479699374</v>
      </c>
      <c r="AR278">
        <v>12.660906504275061</v>
      </c>
      <c r="AS278">
        <v>62.310400836140523</v>
      </c>
      <c r="AT278" t="e">
        <v>#DIV/0!</v>
      </c>
      <c r="AU278" t="e">
        <v>#DIV/0!</v>
      </c>
      <c r="AV278"/>
      <c r="AW278"/>
      <c r="FY278" s="214">
        <v>273</v>
      </c>
      <c r="FZ278">
        <v>1.3241493113730423</v>
      </c>
      <c r="GA278">
        <v>5.4941692637433164</v>
      </c>
      <c r="GB278">
        <v>7.6362834050036756</v>
      </c>
      <c r="GC278">
        <v>3.9460421385894673</v>
      </c>
      <c r="GD278">
        <v>5.2081050390196602</v>
      </c>
      <c r="GE278">
        <v>14.705338404618397</v>
      </c>
      <c r="GF278">
        <v>23.630784953285001</v>
      </c>
      <c r="GG278">
        <v>14.321334706139403</v>
      </c>
      <c r="GH278">
        <v>4.7718208060749214</v>
      </c>
      <c r="GI278">
        <v>10.630954870320407</v>
      </c>
      <c r="GJ278"/>
      <c r="GK278"/>
      <c r="GL278"/>
      <c r="GM278"/>
    </row>
    <row r="279" spans="1:195" s="7" customFormat="1">
      <c r="A279" s="1"/>
      <c r="B279">
        <v>0.42964966086536638</v>
      </c>
      <c r="C279">
        <v>4</v>
      </c>
      <c r="D279">
        <v>39799</v>
      </c>
      <c r="E279">
        <v>0</v>
      </c>
      <c r="F279">
        <v>0</v>
      </c>
      <c r="G279">
        <v>584.89304812834223</v>
      </c>
      <c r="H279">
        <v>0</v>
      </c>
      <c r="I279">
        <v>0</v>
      </c>
      <c r="J279">
        <v>37.878787878787875</v>
      </c>
      <c r="K279">
        <v>227.27272727272725</v>
      </c>
      <c r="L279">
        <v>37.878787878787875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92.500351231161829</v>
      </c>
      <c r="AO279">
        <v>19.446255004277297</v>
      </c>
      <c r="AP279">
        <v>106.934872736117</v>
      </c>
      <c r="AQ279">
        <v>108.88733057290256</v>
      </c>
      <c r="AR279">
        <v>17.691267047138467</v>
      </c>
      <c r="AS279">
        <v>94.039011957654324</v>
      </c>
      <c r="AT279" t="e">
        <v>#DIV/0!</v>
      </c>
      <c r="AU279" t="e">
        <v>#DIV/0!</v>
      </c>
      <c r="AV279"/>
      <c r="AW279"/>
      <c r="FY279" s="214">
        <v>274</v>
      </c>
      <c r="FZ279">
        <v>0.66399331413661944</v>
      </c>
      <c r="GA279">
        <v>10.702990647762832</v>
      </c>
      <c r="GB279">
        <v>9.8150685650747356</v>
      </c>
      <c r="GC279">
        <v>3.3047318016029985</v>
      </c>
      <c r="GD279">
        <v>14.355117646949486</v>
      </c>
      <c r="GE279">
        <v>35.071526074236068</v>
      </c>
      <c r="GF279">
        <v>17.966799505479305</v>
      </c>
      <c r="GG279">
        <v>6.3496579050975344</v>
      </c>
      <c r="GH279">
        <v>4.1315584430342529</v>
      </c>
      <c r="GI279">
        <v>15.507475649959012</v>
      </c>
      <c r="GJ279"/>
      <c r="GK279"/>
      <c r="GL279"/>
      <c r="GM279"/>
    </row>
    <row r="280" spans="1:195" s="7" customFormat="1">
      <c r="A280" s="1"/>
      <c r="B280">
        <v>0.91283360573955119</v>
      </c>
      <c r="C280">
        <v>1</v>
      </c>
      <c r="D280">
        <v>39799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71.27200509932058</v>
      </c>
      <c r="AO280">
        <v>12.578878252002287</v>
      </c>
      <c r="AP280">
        <v>42.770537223269535</v>
      </c>
      <c r="AQ280">
        <v>78.784760335944142</v>
      </c>
      <c r="AR280">
        <v>11.447553162494517</v>
      </c>
      <c r="AS280">
        <v>66.998347810622221</v>
      </c>
      <c r="AT280" t="e">
        <v>#DIV/0!</v>
      </c>
      <c r="AU280" t="e">
        <v>#DIV/0!</v>
      </c>
      <c r="AV280"/>
      <c r="AW280"/>
      <c r="FY280" s="214">
        <v>275</v>
      </c>
      <c r="FZ280">
        <v>0.5834558721447235</v>
      </c>
      <c r="GA280">
        <v>23.062860621469085</v>
      </c>
      <c r="GB280">
        <v>20.586880241995306</v>
      </c>
      <c r="GC280">
        <v>5.4421410918317363</v>
      </c>
      <c r="GD280">
        <v>0.82058126146342925</v>
      </c>
      <c r="GE280">
        <v>3.3061833193284302</v>
      </c>
      <c r="GF280">
        <v>21.800268846901929</v>
      </c>
      <c r="GG280">
        <v>17.597272683449916</v>
      </c>
      <c r="GH280">
        <v>1.1967763997980561</v>
      </c>
      <c r="GI280">
        <v>10.255120983555415</v>
      </c>
      <c r="GJ280"/>
      <c r="GK280"/>
      <c r="GL280"/>
      <c r="GM280"/>
    </row>
    <row r="281" spans="1:195" s="7" customFormat="1">
      <c r="A281" s="1"/>
      <c r="B281">
        <v>0.98487246658798888</v>
      </c>
      <c r="C281">
        <v>7</v>
      </c>
      <c r="D281">
        <v>39799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99.6582565674656</v>
      </c>
      <c r="AO281">
        <v>22.306870220589559</v>
      </c>
      <c r="AP281">
        <v>137.94517079955997</v>
      </c>
      <c r="AQ281">
        <v>119.20185903936</v>
      </c>
      <c r="AR281">
        <v>20.457515506073211</v>
      </c>
      <c r="AS281">
        <v>101.56788499193524</v>
      </c>
      <c r="AT281" t="e">
        <v>#DIV/0!</v>
      </c>
      <c r="AU281" t="e">
        <v>#DIV/0!</v>
      </c>
      <c r="AV281"/>
      <c r="AW281"/>
      <c r="FY281" s="214">
        <v>276</v>
      </c>
      <c r="FZ281">
        <v>0.81101107049357013</v>
      </c>
      <c r="GA281">
        <v>11.927317235533941</v>
      </c>
      <c r="GB281">
        <v>10.024906088475888</v>
      </c>
      <c r="GC281">
        <v>3.3057559573185538</v>
      </c>
      <c r="GD281">
        <v>7.2472546558931752</v>
      </c>
      <c r="GE281">
        <v>17.329167838339824</v>
      </c>
      <c r="GF281">
        <v>11.776197134037528</v>
      </c>
      <c r="GG281">
        <v>8.0117461453687202</v>
      </c>
      <c r="GH281">
        <v>4.2968871269912263</v>
      </c>
      <c r="GI281">
        <v>9.9685539463449722</v>
      </c>
      <c r="GJ281"/>
      <c r="GK281"/>
      <c r="GL281"/>
      <c r="GM281"/>
    </row>
    <row r="282" spans="1:195" s="7" customFormat="1">
      <c r="A282" s="1"/>
      <c r="B282">
        <v>0.7132563086890733</v>
      </c>
      <c r="C282">
        <v>8</v>
      </c>
      <c r="D282">
        <v>39799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52.973667650266904</v>
      </c>
      <c r="AO282">
        <v>14.63133444900158</v>
      </c>
      <c r="AP282">
        <v>52.030194523190588</v>
      </c>
      <c r="AQ282">
        <v>85.156945850834617</v>
      </c>
      <c r="AR282">
        <v>13.480721878493231</v>
      </c>
      <c r="AS282">
        <v>64.153917419441228</v>
      </c>
      <c r="AT282">
        <v>7.9587446511904005</v>
      </c>
      <c r="AU282">
        <v>14.264179360692889</v>
      </c>
      <c r="AV282"/>
      <c r="AW282"/>
      <c r="FY282" s="214">
        <v>277</v>
      </c>
      <c r="FZ282">
        <v>0.13407516159261343</v>
      </c>
      <c r="GA282">
        <v>15.498105331680481</v>
      </c>
      <c r="GB282">
        <v>9.9501990646012786</v>
      </c>
      <c r="GC282">
        <v>1.7889602499249078</v>
      </c>
      <c r="GD282">
        <v>9.2079021311903695</v>
      </c>
      <c r="GE282">
        <v>26.154651031612634</v>
      </c>
      <c r="GF282">
        <v>13.727412379413568</v>
      </c>
      <c r="GG282">
        <v>6.2353875531198808</v>
      </c>
      <c r="GH282">
        <v>9.8788064994211968</v>
      </c>
      <c r="GI282">
        <v>12.343642745943017</v>
      </c>
      <c r="GJ282"/>
      <c r="GK282"/>
      <c r="GL282"/>
      <c r="GM282"/>
    </row>
    <row r="283" spans="1:195" s="7" customFormat="1">
      <c r="A283" s="1"/>
      <c r="B283">
        <v>0.64086140322954388</v>
      </c>
      <c r="C283">
        <v>3</v>
      </c>
      <c r="D283">
        <v>39799</v>
      </c>
      <c r="E283">
        <v>0</v>
      </c>
      <c r="F283">
        <v>83.333333333333329</v>
      </c>
      <c r="G283">
        <v>166.66666666666666</v>
      </c>
      <c r="H283">
        <v>0</v>
      </c>
      <c r="I283">
        <v>0</v>
      </c>
      <c r="J283">
        <v>48.076923076923073</v>
      </c>
      <c r="K283">
        <v>72.115384615384613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85.621623809683101</v>
      </c>
      <c r="AO283">
        <v>15.145387069582227</v>
      </c>
      <c r="AP283">
        <v>63.883000543482545</v>
      </c>
      <c r="AQ283">
        <v>87.914379896551864</v>
      </c>
      <c r="AR283">
        <v>13.769177809468696</v>
      </c>
      <c r="AS283">
        <v>80.881214299963901</v>
      </c>
      <c r="AT283" t="e">
        <v>#DIV/0!</v>
      </c>
      <c r="AU283" t="e">
        <v>#DIV/0!</v>
      </c>
      <c r="AV283"/>
      <c r="AW283"/>
      <c r="FY283" s="214">
        <v>278</v>
      </c>
      <c r="FZ283">
        <v>1.5451444087839994</v>
      </c>
      <c r="GA283">
        <v>18.572209867569978</v>
      </c>
      <c r="GB283">
        <v>10.492065496433682</v>
      </c>
      <c r="GC283">
        <v>1.5467277948122184</v>
      </c>
      <c r="GD283">
        <v>1.5276369196656918</v>
      </c>
      <c r="GE283">
        <v>5.3279483114208963</v>
      </c>
      <c r="GF283">
        <v>9.9528864758257889</v>
      </c>
      <c r="GG283">
        <v>7.1682634313385671</v>
      </c>
      <c r="GH283">
        <v>3.4891281113839954</v>
      </c>
      <c r="GI283">
        <v>6.1459011129519565</v>
      </c>
      <c r="GJ283"/>
      <c r="GK283"/>
      <c r="GL283"/>
      <c r="GM283"/>
    </row>
    <row r="284" spans="1:195" s="7" customFormat="1">
      <c r="A284" s="1"/>
      <c r="B284">
        <v>0.87524357571021039</v>
      </c>
      <c r="C284">
        <v>10</v>
      </c>
      <c r="D284">
        <v>39799</v>
      </c>
      <c r="E284">
        <v>0</v>
      </c>
      <c r="F284">
        <v>0</v>
      </c>
      <c r="G284">
        <v>62.5</v>
      </c>
      <c r="H284">
        <v>10.416666666666666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48.533502004831945</v>
      </c>
      <c r="AO284">
        <v>12.233603659922045</v>
      </c>
      <c r="AP284">
        <v>40.126060845537836</v>
      </c>
      <c r="AQ284">
        <v>75.172416115779029</v>
      </c>
      <c r="AR284">
        <v>11.133989224618539</v>
      </c>
      <c r="AS284">
        <v>58.139218129349473</v>
      </c>
      <c r="AT284" t="e">
        <v>#DIV/0!</v>
      </c>
      <c r="AU284" t="e">
        <v>#DIV/0!</v>
      </c>
      <c r="AV284"/>
      <c r="AW284"/>
      <c r="FY284" s="214">
        <v>279</v>
      </c>
      <c r="FZ284">
        <v>0.91864377612625703</v>
      </c>
      <c r="GA284">
        <v>16.536233954682118</v>
      </c>
      <c r="GB284">
        <v>8.5582287483754946</v>
      </c>
      <c r="GC284">
        <v>1.1172420710652577</v>
      </c>
      <c r="GD284">
        <v>4.5345769687841599</v>
      </c>
      <c r="GE284">
        <v>13.124172010517512</v>
      </c>
      <c r="GF284">
        <v>11.985076096193046</v>
      </c>
      <c r="GG284">
        <v>3.7959213022010436</v>
      </c>
      <c r="GH284">
        <v>0.55651403675738742</v>
      </c>
      <c r="GI284">
        <v>7.3564840645844436</v>
      </c>
      <c r="GJ284"/>
      <c r="GK284"/>
      <c r="GL284"/>
      <c r="GM284"/>
    </row>
    <row r="285" spans="1:195" s="7" customFormat="1">
      <c r="A285" s="1"/>
      <c r="B285">
        <v>0.68802967761026412</v>
      </c>
      <c r="C285">
        <v>1</v>
      </c>
      <c r="D285">
        <v>39799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63.54375553174831</v>
      </c>
      <c r="AO285">
        <v>11.004670368457315</v>
      </c>
      <c r="AP285">
        <v>35.210249253554139</v>
      </c>
      <c r="AQ285">
        <v>72.187468219967727</v>
      </c>
      <c r="AR285">
        <v>10.183432477619657</v>
      </c>
      <c r="AS285">
        <v>58.234825739144554</v>
      </c>
      <c r="AT285">
        <v>6.4340060269674195</v>
      </c>
      <c r="AU285">
        <v>19.025133173752558</v>
      </c>
      <c r="AV285"/>
      <c r="AW285"/>
      <c r="FY285" s="214">
        <v>280</v>
      </c>
      <c r="FZ285">
        <v>0.52991815254400609</v>
      </c>
      <c r="GA285">
        <v>10.734663595184603</v>
      </c>
      <c r="GB285">
        <v>7.3946045525244735</v>
      </c>
      <c r="GC285">
        <v>1.6742995216411363</v>
      </c>
      <c r="GD285">
        <v>4.6021702203446164</v>
      </c>
      <c r="GE285">
        <v>9.7198583994470322</v>
      </c>
      <c r="GF285">
        <v>17.546775671290582</v>
      </c>
      <c r="GG285">
        <v>18.206630821236267</v>
      </c>
      <c r="GH285">
        <v>8.7337146279330238</v>
      </c>
      <c r="GI285">
        <v>9.5448979835768188</v>
      </c>
      <c r="GJ285"/>
      <c r="GK285"/>
      <c r="GL285"/>
      <c r="GM285"/>
    </row>
    <row r="286" spans="1:195" s="7" customFormat="1">
      <c r="A286" s="1"/>
      <c r="B286">
        <v>5.2493591779612769E-2</v>
      </c>
      <c r="C286">
        <v>1</v>
      </c>
      <c r="D286">
        <v>39799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90.088866342016985</v>
      </c>
      <c r="AO286">
        <v>17.207439845451272</v>
      </c>
      <c r="AP286">
        <v>67.68354398947038</v>
      </c>
      <c r="AQ286">
        <v>108.17191055782951</v>
      </c>
      <c r="AR286">
        <v>15.643449187152671</v>
      </c>
      <c r="AS286">
        <v>86.138158135353308</v>
      </c>
      <c r="AT286" t="e">
        <v>#DIV/0!</v>
      </c>
      <c r="AU286" t="e">
        <v>#DIV/0!</v>
      </c>
      <c r="AV286"/>
      <c r="AW286"/>
      <c r="FY286" s="214">
        <v>281</v>
      </c>
      <c r="FZ286">
        <v>0.54924324113479095</v>
      </c>
      <c r="GA286">
        <v>24.463443538456222</v>
      </c>
      <c r="GB286">
        <v>13.211592677547403</v>
      </c>
      <c r="GC286">
        <v>1.5767932845662607</v>
      </c>
      <c r="GD286">
        <v>1.1493993109307064</v>
      </c>
      <c r="GE286">
        <v>5.681885337663477</v>
      </c>
      <c r="GF286">
        <v>18.029226085768784</v>
      </c>
      <c r="GG286">
        <v>10.77707785048765</v>
      </c>
      <c r="GH286">
        <v>2.9842986029364886</v>
      </c>
      <c r="GI286">
        <v>8.1870629025684512</v>
      </c>
      <c r="GJ286"/>
      <c r="GK286"/>
      <c r="GL286"/>
      <c r="GM286"/>
    </row>
    <row r="287" spans="1:195" s="7" customFormat="1">
      <c r="A287" s="1"/>
      <c r="B287">
        <v>8.3687959073376783E-2</v>
      </c>
      <c r="C287">
        <v>4</v>
      </c>
      <c r="D287">
        <v>39799</v>
      </c>
      <c r="E287">
        <v>0</v>
      </c>
      <c r="F287">
        <v>0</v>
      </c>
      <c r="G287">
        <v>584.89304812834223</v>
      </c>
      <c r="H287">
        <v>0</v>
      </c>
      <c r="I287">
        <v>0</v>
      </c>
      <c r="J287">
        <v>37.878787878787875</v>
      </c>
      <c r="K287">
        <v>227.27272727272725</v>
      </c>
      <c r="L287">
        <v>37.878787878787875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75.871026163581931</v>
      </c>
      <c r="AO287">
        <v>16.827841016001091</v>
      </c>
      <c r="AP287">
        <v>51.168351021569165</v>
      </c>
      <c r="AQ287">
        <v>110.12782000237259</v>
      </c>
      <c r="AR287">
        <v>15.85840567106731</v>
      </c>
      <c r="AS287">
        <v>81.987921035445964</v>
      </c>
      <c r="AT287">
        <v>9.4513841759731232</v>
      </c>
      <c r="AU287">
        <v>34.128674209793843</v>
      </c>
      <c r="AV287"/>
      <c r="AW287"/>
      <c r="FY287" s="214">
        <v>282</v>
      </c>
      <c r="FZ287">
        <v>0.93824749793266793</v>
      </c>
      <c r="GA287">
        <v>23.494273505957171</v>
      </c>
      <c r="GB287">
        <v>19.005419390586237</v>
      </c>
      <c r="GC287">
        <v>4.760833896599947</v>
      </c>
      <c r="GD287">
        <v>5.4458480099919502</v>
      </c>
      <c r="GE287">
        <v>13.611943345577147</v>
      </c>
      <c r="GF287">
        <v>19.446260326977352</v>
      </c>
      <c r="GG287">
        <v>18.123485588391414</v>
      </c>
      <c r="GH287">
        <v>8.8495267521897034</v>
      </c>
      <c r="GI287">
        <v>13.526802847679562</v>
      </c>
      <c r="GJ287"/>
      <c r="GK287"/>
      <c r="GL287"/>
      <c r="GM287"/>
    </row>
    <row r="288" spans="1:195" s="7" customFormat="1">
      <c r="A288" s="1"/>
      <c r="B288">
        <v>0.94704184249864221</v>
      </c>
      <c r="C288">
        <v>7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78.849622761672265</v>
      </c>
      <c r="AO288">
        <v>14.042772867211124</v>
      </c>
      <c r="AP288">
        <v>57.035380011945954</v>
      </c>
      <c r="AQ288">
        <v>90.441962483892624</v>
      </c>
      <c r="AR288">
        <v>12.95723108223677</v>
      </c>
      <c r="AS288">
        <v>71.069017986998276</v>
      </c>
      <c r="AT288">
        <v>7.5616449567617465</v>
      </c>
      <c r="AU288">
        <v>7.7092555869553889</v>
      </c>
      <c r="AV288"/>
      <c r="AW288"/>
      <c r="FY288" s="214">
        <v>283</v>
      </c>
      <c r="FZ288">
        <v>0.68003835225845954</v>
      </c>
      <c r="GA288">
        <v>22.908335604121383</v>
      </c>
      <c r="GB288">
        <v>11.954297750679681</v>
      </c>
      <c r="GC288">
        <v>1.3104305632155671</v>
      </c>
      <c r="GD288">
        <v>5.2869184431305642</v>
      </c>
      <c r="GE288">
        <v>12.448634599705253</v>
      </c>
      <c r="GF288">
        <v>10.228905616373765</v>
      </c>
      <c r="GG288">
        <v>5.0471599209284044</v>
      </c>
      <c r="GH288">
        <v>0.80775901560723096</v>
      </c>
      <c r="GI288">
        <v>8.338733929886418</v>
      </c>
      <c r="GJ288"/>
      <c r="GK288"/>
      <c r="GL288"/>
      <c r="GM288"/>
    </row>
    <row r="289" spans="1:195" s="7" customFormat="1">
      <c r="A289" s="1"/>
      <c r="B289">
        <v>0.73652912992513109</v>
      </c>
      <c r="C289">
        <v>5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72.683305931337998</v>
      </c>
      <c r="AO289">
        <v>15.99571544079671</v>
      </c>
      <c r="AP289">
        <v>74.929771936228249</v>
      </c>
      <c r="AQ289">
        <v>91.6689828981673</v>
      </c>
      <c r="AR289">
        <v>14.91117600012455</v>
      </c>
      <c r="AS289">
        <v>75.218504912930754</v>
      </c>
      <c r="AT289">
        <v>8.5455430701761053</v>
      </c>
      <c r="AU289">
        <v>20.683687218930832</v>
      </c>
      <c r="AV289"/>
      <c r="AW289"/>
      <c r="FY289" s="214">
        <v>284</v>
      </c>
      <c r="FZ289">
        <v>1.1393602403215881</v>
      </c>
      <c r="GA289">
        <v>10.0047206098576</v>
      </c>
      <c r="GB289">
        <v>6.8311916479477359</v>
      </c>
      <c r="GC289">
        <v>2.3580848060782884</v>
      </c>
      <c r="GD289">
        <v>4.3375814995042461</v>
      </c>
      <c r="GE289">
        <v>13.502489567631461</v>
      </c>
      <c r="GF289">
        <v>21.428303968353752</v>
      </c>
      <c r="GG289">
        <v>15.915257521468167</v>
      </c>
      <c r="GH289">
        <v>6.9782562227679907</v>
      </c>
      <c r="GI289">
        <v>9.9575861331019215</v>
      </c>
      <c r="GJ289"/>
      <c r="GK289"/>
      <c r="GL289"/>
      <c r="GM289"/>
    </row>
    <row r="290" spans="1:195" s="7" customFormat="1">
      <c r="A290" s="1"/>
      <c r="B290">
        <v>6.8090006991318397E-2</v>
      </c>
      <c r="C290">
        <v>9</v>
      </c>
      <c r="D290">
        <v>39847</v>
      </c>
      <c r="E290">
        <v>0</v>
      </c>
      <c r="F290">
        <v>130.20833333333334</v>
      </c>
      <c r="G290">
        <v>130.20833333333334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110.34310234263259</v>
      </c>
      <c r="AO290">
        <v>23.470390305726408</v>
      </c>
      <c r="AP290">
        <v>123.87847038886957</v>
      </c>
      <c r="AQ290">
        <v>117.86891955333283</v>
      </c>
      <c r="AR290">
        <v>21.694125671204564</v>
      </c>
      <c r="AS290">
        <v>138.01369660598678</v>
      </c>
      <c r="AT290">
        <v>11.053136833186381</v>
      </c>
      <c r="AU290">
        <v>33.742828064174645</v>
      </c>
      <c r="AV290"/>
      <c r="AW290"/>
      <c r="FY290" s="214">
        <v>285</v>
      </c>
      <c r="FZ290">
        <v>0.6797597190428335</v>
      </c>
      <c r="GA290">
        <v>3.3393455797807228</v>
      </c>
      <c r="GB290">
        <v>1.9911782333390042</v>
      </c>
      <c r="GC290">
        <v>1.0824009354471644</v>
      </c>
      <c r="GD290">
        <v>5.2110318248241549</v>
      </c>
      <c r="GE290">
        <v>15.848971438368809</v>
      </c>
      <c r="GF290">
        <v>18.165200452420557</v>
      </c>
      <c r="GG290">
        <v>13.086575134555396</v>
      </c>
      <c r="GH290">
        <v>6.9782562227679907</v>
      </c>
      <c r="GI290">
        <v>8.623218048948404</v>
      </c>
      <c r="GJ290"/>
      <c r="GK290"/>
      <c r="GL290"/>
      <c r="GM290"/>
    </row>
    <row r="291" spans="1:195" s="7" customFormat="1">
      <c r="A291" s="1"/>
      <c r="B291">
        <v>0.91837411897295773</v>
      </c>
      <c r="C291">
        <v>3</v>
      </c>
      <c r="D291">
        <v>39847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77.002920923130148</v>
      </c>
      <c r="AO291">
        <v>15.877955661648111</v>
      </c>
      <c r="AP291">
        <v>73.111180924765677</v>
      </c>
      <c r="AQ291">
        <v>104.65154132193803</v>
      </c>
      <c r="AR291">
        <v>14.43450514695283</v>
      </c>
      <c r="AS291">
        <v>73.873845710753713</v>
      </c>
      <c r="AT291" t="e">
        <v>#DIV/0!</v>
      </c>
      <c r="AU291" t="e">
        <v>#DIV/0!</v>
      </c>
      <c r="AV291"/>
      <c r="AW291"/>
      <c r="FY291" s="214">
        <v>286</v>
      </c>
      <c r="FZ291">
        <v>0.67009717474744113</v>
      </c>
      <c r="GA291">
        <v>10.201653118610789</v>
      </c>
      <c r="GB291">
        <v>5.7801050926367772</v>
      </c>
      <c r="GC291">
        <v>1.3348260536431824</v>
      </c>
      <c r="GD291">
        <v>7.2712137221715958</v>
      </c>
      <c r="GE291">
        <v>18.616637919263948</v>
      </c>
      <c r="GF291">
        <v>12.439975824871018</v>
      </c>
      <c r="GG291">
        <v>7.167098474983332</v>
      </c>
      <c r="GH291">
        <v>7.7044348807015295</v>
      </c>
      <c r="GI291">
        <v>9.7512462174895678</v>
      </c>
      <c r="GJ291"/>
      <c r="GK291"/>
      <c r="GL291"/>
      <c r="GM291"/>
    </row>
    <row r="292" spans="1:195" s="7" customFormat="1">
      <c r="A292" s="1"/>
      <c r="B292">
        <v>0.56994054452947207</v>
      </c>
      <c r="C292">
        <v>8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76.784494449391985</v>
      </c>
      <c r="AO292">
        <v>15.249911979290919</v>
      </c>
      <c r="AP292">
        <v>55.632372486644861</v>
      </c>
      <c r="AQ292">
        <v>84.698797198797394</v>
      </c>
      <c r="AR292">
        <v>13.864200454658414</v>
      </c>
      <c r="AS292">
        <v>75.58958206224267</v>
      </c>
      <c r="AT292" t="e">
        <v>#DIV/0!</v>
      </c>
      <c r="AU292" t="e">
        <v>#DIV/0!</v>
      </c>
      <c r="AV292"/>
      <c r="AW292"/>
      <c r="FY292" s="214">
        <v>287</v>
      </c>
      <c r="FZ292">
        <v>0.27170900686979771</v>
      </c>
      <c r="GA292">
        <v>11.006348517019608</v>
      </c>
      <c r="GB292">
        <v>7.4718517145752354</v>
      </c>
      <c r="GC292">
        <v>1.8472410729676167</v>
      </c>
      <c r="GD292">
        <v>2.7206891877674315</v>
      </c>
      <c r="GE292">
        <v>11.544959743411892</v>
      </c>
      <c r="GF292">
        <v>21.509116475821806</v>
      </c>
      <c r="GG292">
        <v>12.723932489124868</v>
      </c>
      <c r="GH292">
        <v>6.3896783880372032</v>
      </c>
      <c r="GI292">
        <v>8.7837697375739214</v>
      </c>
      <c r="GJ292"/>
      <c r="GK292"/>
      <c r="GL292"/>
      <c r="GM292"/>
    </row>
    <row r="293" spans="1:195" s="7" customFormat="1">
      <c r="A293" s="1"/>
      <c r="B293">
        <v>0.19455337070854584</v>
      </c>
      <c r="C293">
        <v>5</v>
      </c>
      <c r="D293">
        <v>39847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97.363132904598473</v>
      </c>
      <c r="AO293">
        <v>18.711547386813262</v>
      </c>
      <c r="AP293">
        <v>230.47676760256178</v>
      </c>
      <c r="AQ293">
        <v>104.91914214849994</v>
      </c>
      <c r="AR293">
        <v>17.201249499678102</v>
      </c>
      <c r="AS293">
        <v>95.082542983908937</v>
      </c>
      <c r="AT293" t="e">
        <v>#DIV/0!</v>
      </c>
      <c r="AU293" t="e">
        <v>#DIV/0!</v>
      </c>
      <c r="AV293"/>
      <c r="AW293"/>
      <c r="FY293" s="214">
        <v>288</v>
      </c>
      <c r="FZ293">
        <v>0.32880541015508591</v>
      </c>
      <c r="GA293">
        <v>1.9291882229385777</v>
      </c>
      <c r="GB293">
        <v>7.3592733007687148</v>
      </c>
      <c r="GC293">
        <v>4.2722193204427024</v>
      </c>
      <c r="GD293">
        <v>1.8977496672040193</v>
      </c>
      <c r="GE293">
        <v>13.228268989116319</v>
      </c>
      <c r="GF293">
        <v>21.985786975466315</v>
      </c>
      <c r="GG293">
        <v>7.3877922103026883</v>
      </c>
      <c r="GH293">
        <v>3.5728764376672766</v>
      </c>
      <c r="GI293">
        <v>7.7146215482207605</v>
      </c>
      <c r="GJ293"/>
      <c r="GK293"/>
      <c r="GL293"/>
      <c r="GM293"/>
    </row>
    <row r="294" spans="1:195" s="7" customFormat="1">
      <c r="A294" s="1"/>
      <c r="B294">
        <v>0.10629812851903342</v>
      </c>
      <c r="C294">
        <v>4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70.513201953958713</v>
      </c>
      <c r="AO294">
        <v>9.2750571152053123</v>
      </c>
      <c r="AP294">
        <v>30.824483805071061</v>
      </c>
      <c r="AQ294">
        <v>65.767911930186784</v>
      </c>
      <c r="AR294">
        <v>8.4444014566942354</v>
      </c>
      <c r="AS294">
        <v>51.927723464331855</v>
      </c>
      <c r="AT294" t="e">
        <v>#DIV/0!</v>
      </c>
      <c r="AU294" t="e">
        <v>#DIV/0!</v>
      </c>
      <c r="AV294"/>
      <c r="AW294"/>
      <c r="FY294" s="214">
        <v>289</v>
      </c>
      <c r="FZ294">
        <v>1.4110692471913862</v>
      </c>
      <c r="GA294">
        <v>11.887015342258628</v>
      </c>
      <c r="GB294">
        <v>9.1757873641368199</v>
      </c>
      <c r="GC294">
        <v>3.0371778848220972</v>
      </c>
      <c r="GD294">
        <v>4.4789135204564676</v>
      </c>
      <c r="GE294">
        <v>15.014880361250222</v>
      </c>
      <c r="GF294">
        <v>17.813297867706975</v>
      </c>
      <c r="GG294">
        <v>8.4510878079767373</v>
      </c>
      <c r="GH294">
        <v>5.833164351279815</v>
      </c>
      <c r="GI294">
        <v>9.4821575037640145</v>
      </c>
      <c r="GJ294"/>
      <c r="GK294"/>
      <c r="GL294"/>
      <c r="GM294"/>
    </row>
    <row r="295" spans="1:195" s="7" customFormat="1">
      <c r="A295" s="1"/>
      <c r="B295">
        <v>0.10505523376208092</v>
      </c>
      <c r="C295">
        <v>9</v>
      </c>
      <c r="D295">
        <v>39847</v>
      </c>
      <c r="E295">
        <v>0</v>
      </c>
      <c r="F295">
        <v>130.20833333333334</v>
      </c>
      <c r="G295">
        <v>130.20833333333334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69.041173125236384</v>
      </c>
      <c r="AO295">
        <v>11.180406592495839</v>
      </c>
      <c r="AP295">
        <v>47.255381357875905</v>
      </c>
      <c r="AQ295">
        <v>68.483093029286721</v>
      </c>
      <c r="AR295">
        <v>10.176215290215927</v>
      </c>
      <c r="AS295">
        <v>56.744559020781985</v>
      </c>
      <c r="AT295" t="e">
        <v>#DIV/0!</v>
      </c>
      <c r="AU295" t="e">
        <v>#DIV/0!</v>
      </c>
      <c r="AV295"/>
      <c r="AW295"/>
      <c r="FY295" s="214">
        <v>290</v>
      </c>
      <c r="FZ295">
        <v>0.73814826230206787</v>
      </c>
      <c r="GA295">
        <v>3.2515129880451408</v>
      </c>
      <c r="GB295">
        <v>5.382403171180143</v>
      </c>
      <c r="GC295">
        <v>2.8743208032540739</v>
      </c>
      <c r="GD295">
        <v>0.78186241373573195</v>
      </c>
      <c r="GE295">
        <v>4.5863314073112909</v>
      </c>
      <c r="GF295">
        <v>18.906929206070679</v>
      </c>
      <c r="GG295">
        <v>17.053306998487898</v>
      </c>
      <c r="GH295">
        <v>9.3222924626638104</v>
      </c>
      <c r="GI295">
        <v>7.1055593728810154</v>
      </c>
      <c r="GJ295"/>
      <c r="GK295"/>
      <c r="GL295"/>
      <c r="GM295"/>
    </row>
    <row r="296" spans="1:195" s="7" customFormat="1">
      <c r="A296" s="1"/>
      <c r="B296">
        <v>0.36718413037435838</v>
      </c>
      <c r="C296">
        <v>10</v>
      </c>
      <c r="D296">
        <v>39847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 s="80"/>
      <c r="AK296" s="81"/>
      <c r="AL296" s="81"/>
      <c r="AM296" s="43">
        <v>280</v>
      </c>
      <c r="AN296">
        <v>64.310809623897811</v>
      </c>
      <c r="AO296">
        <v>14.311412567834713</v>
      </c>
      <c r="AP296">
        <v>81.238240948582074</v>
      </c>
      <c r="AQ296">
        <v>88.687533545722559</v>
      </c>
      <c r="AR296">
        <v>13.367782273121209</v>
      </c>
      <c r="AS296">
        <v>64.067359167914788</v>
      </c>
      <c r="AT296">
        <v>8.1580555453701731</v>
      </c>
      <c r="AU296">
        <v>20.346560864656031</v>
      </c>
      <c r="AV296"/>
      <c r="AW296"/>
      <c r="FY296" s="214">
        <v>291</v>
      </c>
      <c r="FZ296">
        <v>1.005563711944601</v>
      </c>
      <c r="GA296">
        <v>6.6017665260116942</v>
      </c>
      <c r="GB296">
        <v>4.826897756273576</v>
      </c>
      <c r="GC296">
        <v>1.6528842322913206</v>
      </c>
      <c r="GD296">
        <v>6.8779361898815772</v>
      </c>
      <c r="GE296">
        <v>20.475253388394112</v>
      </c>
      <c r="GF296">
        <v>24.792403594362337</v>
      </c>
      <c r="GG296">
        <v>12.377563488584048</v>
      </c>
      <c r="GH296">
        <v>1.7875222031384326</v>
      </c>
      <c r="GI296">
        <v>10.880328846561259</v>
      </c>
      <c r="GJ296"/>
      <c r="GK296"/>
      <c r="GL296"/>
      <c r="GM296"/>
    </row>
    <row r="297" spans="1:195" s="7" customFormat="1">
      <c r="A297" s="1"/>
      <c r="B297">
        <v>0.84395184213730001</v>
      </c>
      <c r="C297">
        <v>4</v>
      </c>
      <c r="D297">
        <v>39847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 s="80"/>
      <c r="AK297" s="81"/>
      <c r="AL297" s="81"/>
      <c r="AM297" s="43">
        <v>281</v>
      </c>
      <c r="AN297">
        <v>76.214214103498577</v>
      </c>
      <c r="AO297">
        <v>12.521898612403456</v>
      </c>
      <c r="AP297">
        <v>59.063019263281447</v>
      </c>
      <c r="AQ297">
        <v>86.610022832060238</v>
      </c>
      <c r="AR297">
        <v>11.562408826282812</v>
      </c>
      <c r="AS297">
        <v>64.030195737351264</v>
      </c>
      <c r="AT297">
        <v>6.9289008221463524</v>
      </c>
      <c r="AU297">
        <v>-12.88456353658478</v>
      </c>
      <c r="AV297"/>
      <c r="AW297"/>
      <c r="FY297" s="214">
        <v>292</v>
      </c>
      <c r="FZ297">
        <v>1.4110692471913862</v>
      </c>
      <c r="GA297">
        <v>3.6808202744030476</v>
      </c>
      <c r="GB297">
        <v>5.4680891320174601</v>
      </c>
      <c r="GC297">
        <v>3.1797569099228067</v>
      </c>
      <c r="GD297">
        <v>4.3119337318307327</v>
      </c>
      <c r="GE297">
        <v>7.5179292540161864</v>
      </c>
      <c r="GF297">
        <v>9.0365167037455389</v>
      </c>
      <c r="GG297">
        <v>13.403559601571637</v>
      </c>
      <c r="GH297">
        <v>9.4060407889470916</v>
      </c>
      <c r="GI297">
        <v>7.3460433079231358</v>
      </c>
      <c r="GJ297"/>
      <c r="GK297"/>
      <c r="GL297"/>
      <c r="GM297"/>
    </row>
    <row r="298" spans="1:195" s="7" customFormat="1">
      <c r="A298" s="1"/>
      <c r="B298">
        <v>0.61343228577894093</v>
      </c>
      <c r="C298">
        <v>7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102.10373634381595</v>
      </c>
      <c r="AO298">
        <v>20.692933662145482</v>
      </c>
      <c r="AP298">
        <v>110.71462446197751</v>
      </c>
      <c r="AQ298">
        <v>127.20264116188315</v>
      </c>
      <c r="AR298">
        <v>19.002509749980124</v>
      </c>
      <c r="AS298">
        <v>99.446392198625716</v>
      </c>
      <c r="AT298">
        <v>10.731335597205932</v>
      </c>
      <c r="AU298">
        <v>24.026887734364657</v>
      </c>
      <c r="AV298"/>
      <c r="AW298"/>
      <c r="FY298" s="214">
        <v>293</v>
      </c>
      <c r="FZ298">
        <v>1.3972907527801706</v>
      </c>
      <c r="GA298">
        <v>11.714353561540138</v>
      </c>
      <c r="GB298">
        <v>10.686408709131221</v>
      </c>
      <c r="GC298">
        <v>3.6941399266345538</v>
      </c>
      <c r="GD298">
        <v>6.9419003739870044</v>
      </c>
      <c r="GE298">
        <v>14.611524551066111</v>
      </c>
      <c r="GF298">
        <v>13.072630835684954</v>
      </c>
      <c r="GG298">
        <v>14.717811129179644</v>
      </c>
      <c r="GH298">
        <v>7.2295012016178344</v>
      </c>
      <c r="GI298">
        <v>10.757383587242259</v>
      </c>
      <c r="GJ298"/>
      <c r="GK298"/>
      <c r="GL298"/>
      <c r="GM298"/>
    </row>
    <row r="299" spans="1:195" s="7" customFormat="1">
      <c r="A299" s="1"/>
      <c r="B299">
        <v>0.9099432163195067</v>
      </c>
      <c r="C299">
        <v>2</v>
      </c>
      <c r="D299">
        <v>39910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78.944862818965433</v>
      </c>
      <c r="AO299">
        <v>12.648843352040895</v>
      </c>
      <c r="AP299">
        <v>33.387398409515775</v>
      </c>
      <c r="AQ299">
        <v>79.011213795906727</v>
      </c>
      <c r="AR299">
        <v>11.523367095931144</v>
      </c>
      <c r="AS299">
        <v>67.809069004942614</v>
      </c>
      <c r="AT299" t="e">
        <v>#DIV/0!</v>
      </c>
      <c r="AU299" t="e">
        <v>#DIV/0!</v>
      </c>
      <c r="AV299"/>
      <c r="AW299"/>
      <c r="FY299" s="214">
        <v>294</v>
      </c>
      <c r="FZ299">
        <v>1.0562776214034413</v>
      </c>
      <c r="GA299">
        <v>3.4542521668193862</v>
      </c>
      <c r="GB299">
        <v>10.421238927836759</v>
      </c>
      <c r="GC299">
        <v>5.4233069081578451</v>
      </c>
      <c r="GD299">
        <v>11.062098585109876</v>
      </c>
      <c r="GE299">
        <v>27.435384782644217</v>
      </c>
      <c r="GF299">
        <v>18.158470336039194</v>
      </c>
      <c r="GG299">
        <v>8.3724545625133366</v>
      </c>
      <c r="GH299">
        <v>4.2153067693175341</v>
      </c>
      <c r="GI299">
        <v>13.69526851816255</v>
      </c>
      <c r="GJ299"/>
      <c r="GK299"/>
      <c r="GL299"/>
      <c r="GM299"/>
    </row>
    <row r="300" spans="1:195" s="7" customFormat="1">
      <c r="A300" s="1"/>
      <c r="B300">
        <v>0.72547623443762177</v>
      </c>
      <c r="C300">
        <v>8</v>
      </c>
      <c r="D300">
        <v>39910</v>
      </c>
      <c r="E300">
        <v>0</v>
      </c>
      <c r="F300">
        <v>0</v>
      </c>
      <c r="G300">
        <v>0</v>
      </c>
      <c r="H300">
        <v>31.25</v>
      </c>
      <c r="I300">
        <v>31.25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74.593192913821113</v>
      </c>
      <c r="AO300">
        <v>15.487329975468896</v>
      </c>
      <c r="AP300">
        <v>73.07396239162523</v>
      </c>
      <c r="AQ300">
        <v>92.452832217032764</v>
      </c>
      <c r="AR300">
        <v>14.103809480865689</v>
      </c>
      <c r="AS300">
        <v>69.401909526573419</v>
      </c>
      <c r="AT300" t="e">
        <v>#DIV/0!</v>
      </c>
      <c r="AU300" t="e">
        <v>#DIV/0!</v>
      </c>
      <c r="AV300"/>
      <c r="AW300"/>
      <c r="FY300" s="214">
        <v>295</v>
      </c>
      <c r="FZ300">
        <v>0.82377605814646548</v>
      </c>
      <c r="GA300">
        <v>10.57720179742199</v>
      </c>
      <c r="GB300">
        <v>8.3496016435019946</v>
      </c>
      <c r="GC300">
        <v>2.3401038115840844</v>
      </c>
      <c r="GD300">
        <v>1.6405028043248508</v>
      </c>
      <c r="GE300">
        <v>7.7804596199541125</v>
      </c>
      <c r="GF300">
        <v>18.374795253033415</v>
      </c>
      <c r="GG300">
        <v>9.1652550531084529</v>
      </c>
      <c r="GH300">
        <v>3.7425410588434276</v>
      </c>
      <c r="GI300">
        <v>7.2071789167278917</v>
      </c>
      <c r="GJ300"/>
      <c r="GK300"/>
      <c r="GL300"/>
      <c r="GM300"/>
    </row>
    <row r="301" spans="1:195" s="7" customFormat="1">
      <c r="A301" s="1"/>
      <c r="B301">
        <v>0.54689563824992327</v>
      </c>
      <c r="C301">
        <v>2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62.704029805559173</v>
      </c>
      <c r="AO301">
        <v>13.502663529854374</v>
      </c>
      <c r="AP301">
        <v>99.307257380152464</v>
      </c>
      <c r="AQ301">
        <v>75.005937589495034</v>
      </c>
      <c r="AR301">
        <v>12.287357960541868</v>
      </c>
      <c r="AS301">
        <v>60.085749237530635</v>
      </c>
      <c r="AT301" t="e">
        <v>#DIV/0!</v>
      </c>
      <c r="AU301" t="e">
        <v>#DIV/0!</v>
      </c>
      <c r="AV301"/>
      <c r="AW301"/>
      <c r="FY301" s="214">
        <v>296</v>
      </c>
      <c r="FZ301">
        <v>1.0281688510043303</v>
      </c>
      <c r="GA301">
        <v>10.957349428351879</v>
      </c>
      <c r="GB301">
        <v>8.523389425116882</v>
      </c>
      <c r="GC301">
        <v>2.8814801449217136</v>
      </c>
      <c r="GD301">
        <v>4.3550585090557679</v>
      </c>
      <c r="GE301">
        <v>10.396669106177676</v>
      </c>
      <c r="GF301">
        <v>12.574018232164685</v>
      </c>
      <c r="GG301">
        <v>9.7367636342094972</v>
      </c>
      <c r="GH301">
        <v>7.7044348807015295</v>
      </c>
      <c r="GI301">
        <v>8.5218634058160614</v>
      </c>
      <c r="GJ301"/>
      <c r="GK301"/>
      <c r="GL301"/>
      <c r="GM301"/>
    </row>
    <row r="302" spans="1:195" s="7" customFormat="1">
      <c r="A302" s="1"/>
      <c r="B302">
        <v>0.43847313038282021</v>
      </c>
      <c r="C302">
        <v>7</v>
      </c>
      <c r="D302">
        <v>39910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74.985671587102075</v>
      </c>
      <c r="AO302">
        <v>14.684684876411575</v>
      </c>
      <c r="AP302">
        <v>81.65863590048383</v>
      </c>
      <c r="AQ302">
        <v>80.937288479119189</v>
      </c>
      <c r="AR302">
        <v>13.731217274615352</v>
      </c>
      <c r="AS302">
        <v>72.597018034742447</v>
      </c>
      <c r="AT302">
        <v>7.5033700473374481</v>
      </c>
      <c r="AU302">
        <v>37.21966604664221</v>
      </c>
      <c r="AV302"/>
      <c r="AW302"/>
      <c r="FY302" s="214">
        <v>297</v>
      </c>
      <c r="FZ302">
        <v>0.74707593305476638</v>
      </c>
      <c r="GA302">
        <v>9.6562330789076576</v>
      </c>
      <c r="GB302">
        <v>5.5255466759606326</v>
      </c>
      <c r="GC302">
        <v>1.2111310269411604</v>
      </c>
      <c r="GD302">
        <v>7.7340079007586588</v>
      </c>
      <c r="GE302">
        <v>17.703172061761428</v>
      </c>
      <c r="GF302">
        <v>25.256316086170301</v>
      </c>
      <c r="GG302">
        <v>18.972574654186207</v>
      </c>
      <c r="GH302">
        <v>0.33499330513312475</v>
      </c>
      <c r="GI302">
        <v>11.296290381449138</v>
      </c>
      <c r="GJ302"/>
      <c r="GK302"/>
      <c r="GL302"/>
      <c r="GM302"/>
    </row>
    <row r="303" spans="1:195" s="7" customFormat="1">
      <c r="A303" s="1"/>
      <c r="B303">
        <v>0.49387699795229789</v>
      </c>
      <c r="C303">
        <v>3</v>
      </c>
      <c r="D303">
        <v>39910</v>
      </c>
      <c r="E303">
        <v>0</v>
      </c>
      <c r="F303">
        <v>0</v>
      </c>
      <c r="G303">
        <v>0</v>
      </c>
      <c r="H303">
        <v>0</v>
      </c>
      <c r="I303">
        <v>173.61111111111111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63.271499608676336</v>
      </c>
      <c r="AO303">
        <v>13.380091170051012</v>
      </c>
      <c r="AP303">
        <v>46.002267483127845</v>
      </c>
      <c r="AQ303">
        <v>84.269296333169365</v>
      </c>
      <c r="AR303">
        <v>12.342583878689686</v>
      </c>
      <c r="AS303">
        <v>64.381296251526607</v>
      </c>
      <c r="AT303">
        <v>7.2553230841476397</v>
      </c>
      <c r="AU303">
        <v>25.541052547342861</v>
      </c>
      <c r="AV303"/>
      <c r="AW303"/>
      <c r="FY303" s="214">
        <v>298</v>
      </c>
      <c r="FZ303">
        <v>0.68359703594303034</v>
      </c>
      <c r="GA303">
        <v>4.6894149557148141</v>
      </c>
      <c r="GB303">
        <v>3.5643656034416225</v>
      </c>
      <c r="GC303">
        <v>1.6527738596263104</v>
      </c>
      <c r="GD303">
        <v>10.341717816108609</v>
      </c>
      <c r="GE303">
        <v>25.246381242469411</v>
      </c>
      <c r="GF303">
        <v>19.292465046133877</v>
      </c>
      <c r="GG303">
        <v>12.7680468407241</v>
      </c>
      <c r="GH303">
        <v>3.4891281113839954</v>
      </c>
      <c r="GI303">
        <v>11.89525927945378</v>
      </c>
      <c r="GJ303"/>
      <c r="GK303"/>
      <c r="GL303"/>
      <c r="GM303"/>
    </row>
    <row r="304" spans="1:195" s="7" customFormat="1">
      <c r="A304" s="1"/>
      <c r="B304">
        <v>1.2045287933649007E-2</v>
      </c>
      <c r="C304">
        <v>5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52.083333333333336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75.793869807676927</v>
      </c>
      <c r="AO304">
        <v>11.76345656915586</v>
      </c>
      <c r="AP304">
        <v>35.71367762326183</v>
      </c>
      <c r="AQ304">
        <v>69.676582082282465</v>
      </c>
      <c r="AR304">
        <v>10.694373481429567</v>
      </c>
      <c r="AS304">
        <v>65.77930468018026</v>
      </c>
      <c r="AT304" t="e">
        <v>#DIV/0!</v>
      </c>
      <c r="AU304" t="e">
        <v>#DIV/0!</v>
      </c>
      <c r="AV304"/>
      <c r="AW304"/>
      <c r="FY304" s="214">
        <v>299</v>
      </c>
      <c r="FZ304">
        <v>0.99918121811815308</v>
      </c>
      <c r="GA304">
        <v>9.5945750506515424</v>
      </c>
      <c r="GB304">
        <v>7.3739336551339907</v>
      </c>
      <c r="GC304">
        <v>2.5464736479704566</v>
      </c>
      <c r="GD304">
        <v>2.0886952078721208</v>
      </c>
      <c r="GE304">
        <v>7.4650201851204301</v>
      </c>
      <c r="GF304">
        <v>13.687595713721963</v>
      </c>
      <c r="GG304">
        <v>9.1669650324828424</v>
      </c>
      <c r="GH304">
        <v>11.363227613261676</v>
      </c>
      <c r="GI304">
        <v>7.7313848442464197</v>
      </c>
      <c r="GJ304"/>
      <c r="GK304"/>
      <c r="GL304"/>
      <c r="GM304"/>
    </row>
    <row r="305" spans="1:195" s="7" customFormat="1">
      <c r="A305" s="1"/>
      <c r="B305">
        <v>8.792701960909266E-2</v>
      </c>
      <c r="C305">
        <v>2</v>
      </c>
      <c r="D305">
        <v>39910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83.834781247525626</v>
      </c>
      <c r="AO305">
        <v>14.251511841370435</v>
      </c>
      <c r="AP305">
        <v>43.68855257876659</v>
      </c>
      <c r="AQ305">
        <v>86.584551250843163</v>
      </c>
      <c r="AR305">
        <v>13.146993786017964</v>
      </c>
      <c r="AS305">
        <v>73.739356181574308</v>
      </c>
      <c r="AT305">
        <v>7.3073910629738057</v>
      </c>
      <c r="AU305">
        <v>19.055438920409753</v>
      </c>
      <c r="AV305"/>
      <c r="AW305"/>
      <c r="FY305" s="214">
        <v>300</v>
      </c>
      <c r="FZ305">
        <v>0.76029716103472955</v>
      </c>
      <c r="GA305">
        <v>10.760108633519941</v>
      </c>
      <c r="GB305">
        <v>11.217433005771955</v>
      </c>
      <c r="GC305">
        <v>4.2075046634961168</v>
      </c>
      <c r="GD305">
        <v>10.479551822756653</v>
      </c>
      <c r="GE305">
        <v>22.648728136388304</v>
      </c>
      <c r="GF305">
        <v>14.790900963108156</v>
      </c>
      <c r="GG305">
        <v>15.171871895371202</v>
      </c>
      <c r="GH305">
        <v>9.8788064994211968</v>
      </c>
      <c r="GI305">
        <v>13.736769175864358</v>
      </c>
      <c r="GJ305"/>
      <c r="GK305"/>
      <c r="GL305"/>
      <c r="GM305"/>
    </row>
    <row r="306" spans="1:195" s="7" customFormat="1">
      <c r="A306" s="1"/>
      <c r="B306">
        <v>0.38213506369495809</v>
      </c>
      <c r="C306">
        <v>2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44.876879824720675</v>
      </c>
      <c r="AO306">
        <v>10.794634521609829</v>
      </c>
      <c r="AP306">
        <v>28.236437963248985</v>
      </c>
      <c r="AQ306">
        <v>70.002667085931847</v>
      </c>
      <c r="AR306">
        <v>10.005022150629534</v>
      </c>
      <c r="AS306">
        <v>48.917755911469982</v>
      </c>
      <c r="AT306">
        <v>6.1976951558198046</v>
      </c>
      <c r="AU306">
        <v>14.08269022447249</v>
      </c>
      <c r="AV306"/>
      <c r="AW306"/>
      <c r="FY306" s="214">
        <v>301</v>
      </c>
      <c r="FZ306">
        <v>1.0723226595252813</v>
      </c>
      <c r="GA306">
        <v>2.7433103418839426</v>
      </c>
      <c r="GB306">
        <v>6.3147668873166412</v>
      </c>
      <c r="GC306">
        <v>4.0701811754754242</v>
      </c>
      <c r="GD306">
        <v>5.7623828042309846</v>
      </c>
      <c r="GE306">
        <v>12.349951676531505</v>
      </c>
      <c r="GF306">
        <v>9.851353918098475</v>
      </c>
      <c r="GG306">
        <v>10.773956736605774</v>
      </c>
      <c r="GH306">
        <v>9.0170234047562658</v>
      </c>
      <c r="GI306">
        <v>8.5202839831483779</v>
      </c>
      <c r="GJ306"/>
      <c r="GK306"/>
      <c r="GL306"/>
      <c r="GM306"/>
    </row>
    <row r="307" spans="1:195" s="7" customFormat="1">
      <c r="A307" s="1"/>
      <c r="B307">
        <v>1.5042882671926439E-2</v>
      </c>
      <c r="C307">
        <v>8</v>
      </c>
      <c r="D307">
        <v>39910</v>
      </c>
      <c r="E307">
        <v>0</v>
      </c>
      <c r="F307">
        <v>0</v>
      </c>
      <c r="G307">
        <v>0</v>
      </c>
      <c r="H307">
        <v>31.25</v>
      </c>
      <c r="I307">
        <v>31.25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75.24156863839093</v>
      </c>
      <c r="AO307">
        <v>16.7965902927698</v>
      </c>
      <c r="AP307">
        <v>138.47809696510012</v>
      </c>
      <c r="AQ307">
        <v>91.278119937442952</v>
      </c>
      <c r="AR307">
        <v>15.46037941418405</v>
      </c>
      <c r="AS307">
        <v>78.884655570873804</v>
      </c>
      <c r="AT307" t="e">
        <v>#DIV/0!</v>
      </c>
      <c r="AU307" t="e">
        <v>#DIV/0!</v>
      </c>
      <c r="AV307"/>
      <c r="AW307"/>
      <c r="FY307" s="214">
        <v>302</v>
      </c>
      <c r="FZ307">
        <v>0.93186500410622031</v>
      </c>
      <c r="GA307">
        <v>16.246480519015201</v>
      </c>
      <c r="GB307">
        <v>12.072332377122823</v>
      </c>
      <c r="GC307">
        <v>3.0966011471363464</v>
      </c>
      <c r="GD307">
        <v>5.9649014230365207</v>
      </c>
      <c r="GE307">
        <v>17.207004440396318</v>
      </c>
      <c r="GF307">
        <v>19.449027665947952</v>
      </c>
      <c r="GG307">
        <v>9.2556895343961525</v>
      </c>
      <c r="GH307">
        <v>6.4755946829300735</v>
      </c>
      <c r="GI307">
        <v>11.456606029474106</v>
      </c>
      <c r="GJ307"/>
      <c r="GK307"/>
      <c r="GL307"/>
      <c r="GM307"/>
    </row>
    <row r="308" spans="1:195" s="7" customFormat="1">
      <c r="A308" s="1"/>
      <c r="B308">
        <v>0.99658650942409266</v>
      </c>
      <c r="C308">
        <v>5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55.290626410612205</v>
      </c>
      <c r="AO308">
        <v>10.951063450477779</v>
      </c>
      <c r="AP308">
        <v>65.216476330581145</v>
      </c>
      <c r="AQ308">
        <v>64.761758951569021</v>
      </c>
      <c r="AR308">
        <v>10.171004752009512</v>
      </c>
      <c r="AS308">
        <v>53.78411074605426</v>
      </c>
      <c r="AT308">
        <v>6.1489089513869715</v>
      </c>
      <c r="AU308">
        <v>11.292611284217216</v>
      </c>
      <c r="AV308"/>
      <c r="AW308"/>
      <c r="FY308" s="214">
        <v>303</v>
      </c>
      <c r="FZ308">
        <v>1.129697696026196</v>
      </c>
      <c r="GA308">
        <v>17.567859790120291</v>
      </c>
      <c r="GB308">
        <v>11.837990416490502</v>
      </c>
      <c r="GC308">
        <v>2.6255327736932008</v>
      </c>
      <c r="GD308">
        <v>3.8258419155112784</v>
      </c>
      <c r="GE308">
        <v>9.1444014170567751</v>
      </c>
      <c r="GF308">
        <v>8.6559957214217036</v>
      </c>
      <c r="GG308">
        <v>6.6042102512397012</v>
      </c>
      <c r="GH308">
        <v>5.3603986408057089</v>
      </c>
      <c r="GI308">
        <v>7.9053275926067519</v>
      </c>
      <c r="GJ308"/>
      <c r="GK308"/>
      <c r="GL308"/>
      <c r="GM308"/>
    </row>
    <row r="309" spans="1:195" s="7" customFormat="1">
      <c r="A309" s="1"/>
      <c r="B309">
        <v>0.31972872574596334</v>
      </c>
      <c r="C309">
        <v>7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93.75</v>
      </c>
      <c r="J309">
        <v>41.666666666666664</v>
      </c>
      <c r="K309">
        <v>20.833333333333332</v>
      </c>
      <c r="L309">
        <v>10.416666666666666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70.609577139662093</v>
      </c>
      <c r="AO309">
        <v>16.46134234141601</v>
      </c>
      <c r="AP309">
        <v>69.352982141419488</v>
      </c>
      <c r="AQ309">
        <v>94.822944628863894</v>
      </c>
      <c r="AR309">
        <v>14.964856674014555</v>
      </c>
      <c r="AS309">
        <v>74.513046279201603</v>
      </c>
      <c r="AT309" t="e">
        <v>#DIV/0!</v>
      </c>
      <c r="AU309" t="e">
        <v>#DIV/0!</v>
      </c>
      <c r="AV309"/>
      <c r="AW309"/>
      <c r="FY309" s="214">
        <v>304</v>
      </c>
      <c r="FZ309">
        <v>0.21178879344263263</v>
      </c>
      <c r="GA309">
        <v>1.8159105928676604</v>
      </c>
      <c r="GB309">
        <v>10.854783556287231</v>
      </c>
      <c r="GC309">
        <v>6.1843859178067282</v>
      </c>
      <c r="GD309">
        <v>7.4069046531967899</v>
      </c>
      <c r="GE309">
        <v>15.973359584235231</v>
      </c>
      <c r="GF309">
        <v>23.745633749094033</v>
      </c>
      <c r="GG309">
        <v>19.871552366661557</v>
      </c>
      <c r="GH309">
        <v>1.7875222031384326</v>
      </c>
      <c r="GI309">
        <v>12.841702126234836</v>
      </c>
      <c r="GJ309"/>
      <c r="GK309"/>
      <c r="GL309"/>
      <c r="GM309"/>
    </row>
    <row r="310" spans="1:195" s="7" customFormat="1">
      <c r="A310" s="1"/>
      <c r="B310">
        <v>0.16795962670000897</v>
      </c>
      <c r="C310">
        <v>4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93.787394909839776</v>
      </c>
      <c r="AO310">
        <v>20.632784417201087</v>
      </c>
      <c r="AP310">
        <v>115.24597838139745</v>
      </c>
      <c r="AQ310">
        <v>103.29405917800415</v>
      </c>
      <c r="AR310">
        <v>19.138902548439145</v>
      </c>
      <c r="AS310">
        <v>97.382363145262929</v>
      </c>
      <c r="AT310">
        <v>9.9759107245912109</v>
      </c>
      <c r="AU310">
        <v>10.649602201633288</v>
      </c>
      <c r="AV310"/>
      <c r="AW310"/>
      <c r="FY310" s="214">
        <v>305</v>
      </c>
      <c r="FZ310">
        <v>0.91864377612625703</v>
      </c>
      <c r="GA310">
        <v>9.3105266278650785</v>
      </c>
      <c r="GB310">
        <v>4.7276735776154819</v>
      </c>
      <c r="GC310">
        <v>1.0071549759230964</v>
      </c>
      <c r="GD310">
        <v>2.0598983151005807</v>
      </c>
      <c r="GE310">
        <v>7.8740758696269255</v>
      </c>
      <c r="GF310">
        <v>15.551808748977388</v>
      </c>
      <c r="GG310">
        <v>10.355619163569058</v>
      </c>
      <c r="GH310">
        <v>6.4734267143204844</v>
      </c>
      <c r="GI310">
        <v>6.4629553233722188</v>
      </c>
      <c r="GJ310"/>
      <c r="GK310"/>
      <c r="GL310"/>
      <c r="GM310"/>
    </row>
    <row r="311" spans="1:195" s="7" customFormat="1">
      <c r="A311" s="1"/>
      <c r="B311">
        <v>0.95399694924279466</v>
      </c>
      <c r="C311">
        <v>8</v>
      </c>
      <c r="D311">
        <v>39949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10.416666666666666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63.809121896114448</v>
      </c>
      <c r="AO311">
        <v>10.537710284642824</v>
      </c>
      <c r="AP311">
        <v>46.280855624922232</v>
      </c>
      <c r="AQ311">
        <v>70.001416016646687</v>
      </c>
      <c r="AR311">
        <v>9.9368217789316109</v>
      </c>
      <c r="AS311">
        <v>59.324918552840806</v>
      </c>
      <c r="AT311" t="e">
        <v>#DIV/0!</v>
      </c>
      <c r="AU311" t="e">
        <v>#DIV/0!</v>
      </c>
      <c r="AV311"/>
      <c r="AW311"/>
      <c r="FY311" s="214">
        <v>306</v>
      </c>
      <c r="FZ311">
        <v>1.391465525384975</v>
      </c>
      <c r="GA311">
        <v>22.376431188309333</v>
      </c>
      <c r="GB311">
        <v>12.681558419478774</v>
      </c>
      <c r="GC311">
        <v>1.7445135736150956</v>
      </c>
      <c r="GD311">
        <v>3.9298792672385163</v>
      </c>
      <c r="GE311">
        <v>14.91381117078866</v>
      </c>
      <c r="GF311">
        <v>24.384488650604244</v>
      </c>
      <c r="GG311">
        <v>11.20517662422775</v>
      </c>
      <c r="GH311">
        <v>8.3748326283281188E-2</v>
      </c>
      <c r="GI311">
        <v>10.65548439712656</v>
      </c>
      <c r="GJ311"/>
      <c r="GK311"/>
      <c r="GL311"/>
      <c r="GM311"/>
    </row>
    <row r="312" spans="1:195" s="7" customFormat="1">
      <c r="A312" s="1"/>
      <c r="B312">
        <v>0.61997573733795797</v>
      </c>
      <c r="C312">
        <v>2</v>
      </c>
      <c r="D312">
        <v>39949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62.353332216563146</v>
      </c>
      <c r="AO312">
        <v>12.581116000004025</v>
      </c>
      <c r="AP312">
        <v>41.722611005196804</v>
      </c>
      <c r="AQ312">
        <v>76.679195617520023</v>
      </c>
      <c r="AR312">
        <v>11.81920398735091</v>
      </c>
      <c r="AS312">
        <v>64.374592572809178</v>
      </c>
      <c r="AT312">
        <v>7.0943557446861947</v>
      </c>
      <c r="AU312">
        <v>6.1416099838969691</v>
      </c>
      <c r="AV312"/>
      <c r="AW312"/>
      <c r="FY312" s="214">
        <v>307</v>
      </c>
      <c r="FZ312">
        <v>0.81484838739376697</v>
      </c>
      <c r="GA312">
        <v>9.0892963374634324</v>
      </c>
      <c r="GB312">
        <v>7.152870405728744</v>
      </c>
      <c r="GC312">
        <v>1.9956866267542193</v>
      </c>
      <c r="GD312">
        <v>7.81556276759438</v>
      </c>
      <c r="GE312">
        <v>21.537244850735316</v>
      </c>
      <c r="GF312">
        <v>19.093735319744443</v>
      </c>
      <c r="GG312">
        <v>11.55820032578818</v>
      </c>
      <c r="GH312">
        <v>6.0006610038463775</v>
      </c>
      <c r="GI312">
        <v>11.415327149157205</v>
      </c>
      <c r="GJ312"/>
      <c r="GK312"/>
      <c r="GL312"/>
      <c r="GM312"/>
    </row>
    <row r="313" spans="1:195" s="7" customFormat="1">
      <c r="A313" s="1"/>
      <c r="B313">
        <v>0.21086526613635215</v>
      </c>
      <c r="C313">
        <v>6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78.090175033894141</v>
      </c>
      <c r="AO313">
        <v>17.516561221696882</v>
      </c>
      <c r="AP313">
        <v>103.61709083313825</v>
      </c>
      <c r="AQ313">
        <v>98.437341104323067</v>
      </c>
      <c r="AR313">
        <v>15.948565159254766</v>
      </c>
      <c r="AS313">
        <v>82.215143191860932</v>
      </c>
      <c r="AT313" t="e">
        <v>#DIV/0!</v>
      </c>
      <c r="AU313" t="e">
        <v>#DIV/0!</v>
      </c>
      <c r="AV313"/>
      <c r="AW313"/>
      <c r="FY313" s="214">
        <v>308</v>
      </c>
      <c r="FZ313">
        <v>1.0694988493834046</v>
      </c>
      <c r="GA313">
        <v>6.5201489959207226</v>
      </c>
      <c r="GB313">
        <v>9.1966329368734918</v>
      </c>
      <c r="GC313">
        <v>4.5015921693601317</v>
      </c>
      <c r="GD313">
        <v>4.1838065819296135</v>
      </c>
      <c r="GE313">
        <v>12.63986248170411</v>
      </c>
      <c r="GF313">
        <v>16.536883981022591</v>
      </c>
      <c r="GG313">
        <v>12.725842821684733</v>
      </c>
      <c r="GH313">
        <v>7.5347702595253789</v>
      </c>
      <c r="GI313">
        <v>9.4899722563133029</v>
      </c>
      <c r="GJ313"/>
      <c r="GK313"/>
      <c r="GL313"/>
      <c r="GM313"/>
    </row>
    <row r="314" spans="1:195" s="7" customFormat="1">
      <c r="A314" s="1"/>
      <c r="B314">
        <v>0.55019487950644397</v>
      </c>
      <c r="C314">
        <v>2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81.039832854433442</v>
      </c>
      <c r="AO314">
        <v>18.599715295360216</v>
      </c>
      <c r="AP314">
        <v>143.34751178472382</v>
      </c>
      <c r="AQ314">
        <v>93.623149790999548</v>
      </c>
      <c r="AR314">
        <v>16.909154141615346</v>
      </c>
      <c r="AS314">
        <v>78.351982846548253</v>
      </c>
      <c r="AT314" t="e">
        <v>#DIV/0!</v>
      </c>
      <c r="AU314" t="e">
        <v>#DIV/0!</v>
      </c>
      <c r="AV314"/>
      <c r="AW314"/>
      <c r="FY314" s="214">
        <v>309</v>
      </c>
      <c r="FZ314">
        <v>1.2965978074051836</v>
      </c>
      <c r="GA314">
        <v>3.2540745915725324</v>
      </c>
      <c r="GB314">
        <v>5.791570784551741</v>
      </c>
      <c r="GC314">
        <v>3.2466464209162256</v>
      </c>
      <c r="GD314">
        <v>1.724997488331542</v>
      </c>
      <c r="GE314">
        <v>11.162559606675558</v>
      </c>
      <c r="GF314">
        <v>26.880911444466747</v>
      </c>
      <c r="GG314">
        <v>12.481067354031078</v>
      </c>
      <c r="GH314">
        <v>2.5115328924623825</v>
      </c>
      <c r="GI314">
        <v>8.285939893117714</v>
      </c>
      <c r="GJ314"/>
      <c r="GK314"/>
      <c r="GL314"/>
      <c r="GM314"/>
    </row>
    <row r="315" spans="1:195" s="7" customFormat="1">
      <c r="A315" s="1"/>
      <c r="B315">
        <v>0.47906468065720542</v>
      </c>
      <c r="C315">
        <v>1</v>
      </c>
      <c r="D315">
        <v>39949</v>
      </c>
      <c r="E315">
        <v>0</v>
      </c>
      <c r="F315">
        <v>0</v>
      </c>
      <c r="G315">
        <v>40.788152610441763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61.811738757498823</v>
      </c>
      <c r="AO315">
        <v>11.090642332435962</v>
      </c>
      <c r="AP315">
        <v>43.258809572922878</v>
      </c>
      <c r="AQ315">
        <v>72.017052168579596</v>
      </c>
      <c r="AR315">
        <v>10.80910378541655</v>
      </c>
      <c r="AS315">
        <v>58.876765107075819</v>
      </c>
      <c r="AT315">
        <v>6.3562991823503792</v>
      </c>
      <c r="AU315">
        <v>18.18996665404012</v>
      </c>
      <c r="AV315"/>
      <c r="AW315"/>
      <c r="FY315" s="214">
        <v>310</v>
      </c>
      <c r="FZ315">
        <v>0.73458957861749707</v>
      </c>
      <c r="GA315">
        <v>10.375133234172193</v>
      </c>
      <c r="GB315">
        <v>10.693627196399381</v>
      </c>
      <c r="GC315">
        <v>3.9749302366872845</v>
      </c>
      <c r="GD315">
        <v>6.4868924366702521</v>
      </c>
      <c r="GE315">
        <v>20.248326550545752</v>
      </c>
      <c r="GF315">
        <v>29.970982776257305</v>
      </c>
      <c r="GG315">
        <v>19.836650227087038</v>
      </c>
      <c r="GH315">
        <v>5.7989325846968267</v>
      </c>
      <c r="GI315">
        <v>13.591522485783326</v>
      </c>
      <c r="GJ315"/>
      <c r="GK315"/>
      <c r="GL315"/>
      <c r="GM315"/>
    </row>
    <row r="316" spans="1:195" s="7" customFormat="1">
      <c r="A316" s="1"/>
      <c r="B316">
        <v>0.29857290082325005</v>
      </c>
      <c r="C316">
        <v>7</v>
      </c>
      <c r="D316">
        <v>39949</v>
      </c>
      <c r="E316">
        <v>0</v>
      </c>
      <c r="F316">
        <v>0</v>
      </c>
      <c r="G316">
        <v>0</v>
      </c>
      <c r="H316">
        <v>0</v>
      </c>
      <c r="I316">
        <v>93.75</v>
      </c>
      <c r="J316">
        <v>41.666666666666664</v>
      </c>
      <c r="K316">
        <v>20.833333333333332</v>
      </c>
      <c r="L316">
        <v>10.416666666666666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92.899098592121476</v>
      </c>
      <c r="AO316">
        <v>20.867726121186212</v>
      </c>
      <c r="AP316">
        <v>113.25736242609531</v>
      </c>
      <c r="AQ316">
        <v>113.65197195673261</v>
      </c>
      <c r="AR316">
        <v>19.161734040395942</v>
      </c>
      <c r="AS316">
        <v>92.047804925024735</v>
      </c>
      <c r="AT316">
        <v>10.536119828417151</v>
      </c>
      <c r="AU316">
        <v>23.533570723451565</v>
      </c>
      <c r="AV316"/>
      <c r="AW316"/>
      <c r="FY316" s="214">
        <v>311</v>
      </c>
      <c r="FZ316">
        <v>0.72108971742190775</v>
      </c>
      <c r="GA316">
        <v>9.9421042401581889</v>
      </c>
      <c r="GB316">
        <v>9.1535913460802796</v>
      </c>
      <c r="GC316">
        <v>3.1485048930081971</v>
      </c>
      <c r="GD316">
        <v>1.7483929013915502</v>
      </c>
      <c r="GE316">
        <v>5.0350781136511609</v>
      </c>
      <c r="GF316">
        <v>14.145559464923982</v>
      </c>
      <c r="GG316">
        <v>12.278144610849484</v>
      </c>
      <c r="GH316">
        <v>5.9169126775630962</v>
      </c>
      <c r="GI316">
        <v>7.1762481664011153</v>
      </c>
      <c r="GJ316"/>
      <c r="GK316"/>
      <c r="GL316"/>
      <c r="GM316"/>
    </row>
    <row r="317" spans="1:195" s="7" customFormat="1">
      <c r="A317" s="1"/>
      <c r="B317">
        <v>0.29374578430665288</v>
      </c>
      <c r="C317">
        <v>2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67.633564770039499</v>
      </c>
      <c r="AO317">
        <v>12.80396540152501</v>
      </c>
      <c r="AP317">
        <v>57.563455800711125</v>
      </c>
      <c r="AQ317">
        <v>70.47553358757267</v>
      </c>
      <c r="AR317">
        <v>11.830720422143331</v>
      </c>
      <c r="AS317">
        <v>62.987380221084614</v>
      </c>
      <c r="AT317">
        <v>6.5074122022826844</v>
      </c>
      <c r="AU317">
        <v>9.5912243286617702</v>
      </c>
      <c r="AV317"/>
      <c r="AW317"/>
      <c r="FY317" s="214">
        <v>312</v>
      </c>
      <c r="FZ317">
        <v>0.60689691085133135</v>
      </c>
      <c r="GA317">
        <v>16.980305778758588</v>
      </c>
      <c r="GB317">
        <v>12.534792529272531</v>
      </c>
      <c r="GC317">
        <v>2.8021411876011602</v>
      </c>
      <c r="GD317">
        <v>3.7420278082478737</v>
      </c>
      <c r="GE317">
        <v>9.7107928959979652</v>
      </c>
      <c r="GF317">
        <v>16.589680643684371</v>
      </c>
      <c r="GG317">
        <v>11.653685916695427</v>
      </c>
      <c r="GH317">
        <v>5.2445865165490275</v>
      </c>
      <c r="GI317">
        <v>9.4323213832632167</v>
      </c>
      <c r="GJ317"/>
      <c r="GK317"/>
      <c r="GL317"/>
      <c r="GM317"/>
    </row>
    <row r="318" spans="1:195" s="7" customFormat="1">
      <c r="A318" s="1"/>
      <c r="B318">
        <v>0.93248271144949335</v>
      </c>
      <c r="C318">
        <v>10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90.443545135446243</v>
      </c>
      <c r="AO318">
        <v>16.870471750955609</v>
      </c>
      <c r="AP318">
        <v>72.298917299625913</v>
      </c>
      <c r="AQ318">
        <v>102.15610282356171</v>
      </c>
      <c r="AR318">
        <v>15.872742290586542</v>
      </c>
      <c r="AS318">
        <v>89.626106379599307</v>
      </c>
      <c r="AT318">
        <v>9.3075366182704826</v>
      </c>
      <c r="AU318">
        <v>35.91716755068596</v>
      </c>
      <c r="AV318"/>
      <c r="AW318"/>
      <c r="FY318" s="214">
        <v>313</v>
      </c>
      <c r="FZ318">
        <v>0.59695573334031282</v>
      </c>
      <c r="GA318">
        <v>3.9238279388508772</v>
      </c>
      <c r="GB318">
        <v>4.4726676417997648</v>
      </c>
      <c r="GC318">
        <v>2.17903654598951</v>
      </c>
      <c r="GD318">
        <v>1.9742097371711176</v>
      </c>
      <c r="GE318">
        <v>4.2414601726204681</v>
      </c>
      <c r="GF318">
        <v>9.9204457432984405</v>
      </c>
      <c r="GG318">
        <v>7.4873772405965875</v>
      </c>
      <c r="GH318">
        <v>0.64026236304066864</v>
      </c>
      <c r="GI318">
        <v>4.3153022590432002</v>
      </c>
      <c r="GJ318"/>
      <c r="GK318"/>
      <c r="GL318"/>
      <c r="GM318"/>
    </row>
    <row r="319" spans="1:195" s="7" customFormat="1">
      <c r="A319" s="1"/>
      <c r="B319">
        <v>0.11345034244814034</v>
      </c>
      <c r="C319">
        <v>4</v>
      </c>
      <c r="D319">
        <v>39987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69.930319801507864</v>
      </c>
      <c r="AO319">
        <v>11.769946207616254</v>
      </c>
      <c r="AP319">
        <v>39.359225630642293</v>
      </c>
      <c r="AQ319">
        <v>74.657256214972108</v>
      </c>
      <c r="AR319">
        <v>10.915121567211155</v>
      </c>
      <c r="AS319">
        <v>62.998842198469262</v>
      </c>
      <c r="AT319">
        <v>6.3580969143212194</v>
      </c>
      <c r="AU319">
        <v>2.786132282382884</v>
      </c>
      <c r="AV319"/>
      <c r="AW319"/>
      <c r="FY319" s="214">
        <v>314</v>
      </c>
      <c r="FZ319">
        <v>0.79168598190278527</v>
      </c>
      <c r="GA319">
        <v>5.3807310669121104</v>
      </c>
      <c r="GB319">
        <v>6.7514797906785144</v>
      </c>
      <c r="GC319">
        <v>3.1029100687443743</v>
      </c>
      <c r="GD319">
        <v>11.368411494969569</v>
      </c>
      <c r="GE319">
        <v>25.779205920400841</v>
      </c>
      <c r="GF319">
        <v>25.354001681795502</v>
      </c>
      <c r="GG319">
        <v>22.193390112663238</v>
      </c>
      <c r="GH319">
        <v>6.9461924247945905</v>
      </c>
      <c r="GI319">
        <v>15.174153452070247</v>
      </c>
      <c r="GJ319"/>
      <c r="GK319"/>
      <c r="GL319"/>
      <c r="GM319"/>
    </row>
    <row r="320" spans="1:195" s="7" customFormat="1">
      <c r="A320" s="1"/>
      <c r="B320">
        <v>0.12730474547451465</v>
      </c>
      <c r="C320">
        <v>7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62.382216916372485</v>
      </c>
      <c r="AO320">
        <v>20.290598530799539</v>
      </c>
      <c r="AP320">
        <v>151.70394367830099</v>
      </c>
      <c r="AQ320">
        <v>100.69354354296514</v>
      </c>
      <c r="AR320">
        <v>18.637716704438354</v>
      </c>
      <c r="AS320">
        <v>76.933510906441711</v>
      </c>
      <c r="AT320" t="e">
        <v>#DIV/0!</v>
      </c>
      <c r="AU320" t="e">
        <v>#DIV/0!</v>
      </c>
      <c r="AV320"/>
      <c r="AW320"/>
      <c r="FY320" s="214">
        <v>315</v>
      </c>
      <c r="FZ320">
        <v>0.72747221124835537</v>
      </c>
      <c r="GA320">
        <v>29.3781320110701</v>
      </c>
      <c r="GB320">
        <v>15.666750575576732</v>
      </c>
      <c r="GC320">
        <v>1.2716414740007529</v>
      </c>
      <c r="GD320">
        <v>5.2393469201936558</v>
      </c>
      <c r="GE320">
        <v>15.484904313601289</v>
      </c>
      <c r="GF320">
        <v>20.744896537149522</v>
      </c>
      <c r="GG320">
        <v>12.156653135745684</v>
      </c>
      <c r="GH320">
        <v>3.6245609659771576</v>
      </c>
      <c r="GI320">
        <v>11.952896701411664</v>
      </c>
      <c r="GJ320"/>
      <c r="GK320"/>
      <c r="GL320"/>
      <c r="GM320"/>
    </row>
    <row r="321" spans="1:195" s="7" customFormat="1">
      <c r="A321" s="1"/>
      <c r="B321">
        <v>0.48777365704774156</v>
      </c>
      <c r="C321">
        <v>1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77.570921985815602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56.585859437768079</v>
      </c>
      <c r="AO321">
        <v>9.5968511685413631</v>
      </c>
      <c r="AP321">
        <v>36.486940499849304</v>
      </c>
      <c r="AQ321">
        <v>64.741783092496561</v>
      </c>
      <c r="AR321">
        <v>8.9151620285218343</v>
      </c>
      <c r="AS321">
        <v>51.205632198519559</v>
      </c>
      <c r="AT321">
        <v>5.7378353209350941</v>
      </c>
      <c r="AU321">
        <v>14.713213444288119</v>
      </c>
      <c r="AV321"/>
      <c r="AW321"/>
      <c r="FY321" s="214">
        <v>316</v>
      </c>
      <c r="FZ321">
        <v>0.47610179972766264</v>
      </c>
      <c r="GA321">
        <v>4.8382938698017481</v>
      </c>
      <c r="GB321">
        <v>3.9931940391112173</v>
      </c>
      <c r="GC321">
        <v>1.7337873572047746</v>
      </c>
      <c r="GD321">
        <v>14.548692566376713</v>
      </c>
      <c r="GE321">
        <v>36.109675656950067</v>
      </c>
      <c r="GF321">
        <v>16.791070540967944</v>
      </c>
      <c r="GG321">
        <v>4.4675098903818196</v>
      </c>
      <c r="GH321">
        <v>2.5115328924623825</v>
      </c>
      <c r="GI321">
        <v>13.661933071416685</v>
      </c>
      <c r="GJ321"/>
      <c r="GK321"/>
      <c r="GL321"/>
      <c r="GM321"/>
    </row>
    <row r="322" spans="1:195" s="7" customFormat="1">
      <c r="A322" s="1"/>
      <c r="B322">
        <v>0.67376285544489978</v>
      </c>
      <c r="C322">
        <v>2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94.876633253858742</v>
      </c>
      <c r="AO322">
        <v>16.495928676703496</v>
      </c>
      <c r="AP322">
        <v>92.600644568482323</v>
      </c>
      <c r="AQ322">
        <v>103.36655714305719</v>
      </c>
      <c r="AR322">
        <v>15.021039446003204</v>
      </c>
      <c r="AS322">
        <v>83.46806546018324</v>
      </c>
      <c r="AT322" t="e">
        <v>#DIV/0!</v>
      </c>
      <c r="AU322" t="e">
        <v>#DIV/0!</v>
      </c>
      <c r="AV322"/>
      <c r="AW322"/>
      <c r="FY322" s="214">
        <v>317</v>
      </c>
      <c r="FZ322">
        <v>0.94564349851743579</v>
      </c>
      <c r="GA322">
        <v>3.5697959617807697</v>
      </c>
      <c r="GB322">
        <v>3.9702732019983067</v>
      </c>
      <c r="GC322">
        <v>1.9848762281794066</v>
      </c>
      <c r="GD322">
        <v>3.8293245843057666</v>
      </c>
      <c r="GE322">
        <v>11.32299704173254</v>
      </c>
      <c r="GF322">
        <v>18.273124299161545</v>
      </c>
      <c r="GG322">
        <v>11.58358990946693</v>
      </c>
      <c r="GH322">
        <v>2.9842986029364886</v>
      </c>
      <c r="GI322">
        <v>7.7184108957226254</v>
      </c>
      <c r="GJ322"/>
      <c r="GK322"/>
      <c r="GL322"/>
      <c r="GM322"/>
    </row>
    <row r="323" spans="1:195" s="7" customFormat="1">
      <c r="A323" s="1"/>
      <c r="B323">
        <v>0.97285158334888289</v>
      </c>
      <c r="C323">
        <v>7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92.424234157667598</v>
      </c>
      <c r="AO323">
        <v>17.424794807891953</v>
      </c>
      <c r="AP323">
        <v>112.98521175994031</v>
      </c>
      <c r="AQ323">
        <v>96.47343317420605</v>
      </c>
      <c r="AR323">
        <v>16.032440592704191</v>
      </c>
      <c r="AS323">
        <v>86.979869662131776</v>
      </c>
      <c r="AT323">
        <v>8.6004619246280232</v>
      </c>
      <c r="AU323">
        <v>37.059992955984455</v>
      </c>
      <c r="AV323"/>
      <c r="AW323"/>
      <c r="FY323" s="214">
        <v>318</v>
      </c>
      <c r="FZ323">
        <v>1.0858225207208709</v>
      </c>
      <c r="GA323">
        <v>25.559635641216438</v>
      </c>
      <c r="GB323">
        <v>18.852825854171567</v>
      </c>
      <c r="GC323">
        <v>4.1087573564386748</v>
      </c>
      <c r="GD323">
        <v>0.61777821038209302</v>
      </c>
      <c r="GE323">
        <v>8.8205366420633879</v>
      </c>
      <c r="GF323">
        <v>21.709638412849834</v>
      </c>
      <c r="GG323">
        <v>8.0584319642820699</v>
      </c>
      <c r="GH323">
        <v>0.55651403675738742</v>
      </c>
      <c r="GI323">
        <v>9.5409716264186972</v>
      </c>
      <c r="GJ323"/>
      <c r="GK323"/>
      <c r="GL323"/>
      <c r="GM323"/>
    </row>
    <row r="324" spans="1:195" s="7" customFormat="1">
      <c r="A324" s="1"/>
      <c r="B324">
        <v>0.71783647394065064</v>
      </c>
      <c r="C324">
        <v>10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71.002965775284693</v>
      </c>
      <c r="AO324">
        <v>14.694919632859698</v>
      </c>
      <c r="AP324">
        <v>63.933690519352112</v>
      </c>
      <c r="AQ324">
        <v>84.399011333717482</v>
      </c>
      <c r="AR324">
        <v>13.359661957902757</v>
      </c>
      <c r="AS324">
        <v>71.062960525226757</v>
      </c>
      <c r="AT324" t="e">
        <v>#DIV/0!</v>
      </c>
      <c r="AU324" t="e">
        <v>#DIV/0!</v>
      </c>
      <c r="AV324"/>
      <c r="AW324"/>
      <c r="FY324" s="214">
        <v>319</v>
      </c>
      <c r="FZ324">
        <v>1.014947623024367</v>
      </c>
      <c r="GA324">
        <v>17.237588492320722</v>
      </c>
      <c r="GB324">
        <v>13.256477086125489</v>
      </c>
      <c r="GC324">
        <v>3.2257993222052774</v>
      </c>
      <c r="GD324">
        <v>6.0430933593321026</v>
      </c>
      <c r="GE324">
        <v>18.855728919402818</v>
      </c>
      <c r="GF324">
        <v>15.270073877854177</v>
      </c>
      <c r="GG324">
        <v>5.948241913867526</v>
      </c>
      <c r="GH324">
        <v>5.9169126775630962</v>
      </c>
      <c r="GI324">
        <v>11.002513480549768</v>
      </c>
      <c r="GJ324"/>
      <c r="GK324"/>
      <c r="GL324"/>
      <c r="GM324"/>
    </row>
    <row r="325" spans="1:195" s="7" customFormat="1">
      <c r="A325" s="1"/>
      <c r="B325">
        <v>2.2435539976976671E-2</v>
      </c>
      <c r="C325">
        <v>5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69.830007366972012</v>
      </c>
      <c r="AO325">
        <v>12.600472144758692</v>
      </c>
      <c r="AP325">
        <v>60.106844247866512</v>
      </c>
      <c r="AQ325">
        <v>76.635898283530707</v>
      </c>
      <c r="AR325">
        <v>11.646048607280015</v>
      </c>
      <c r="AS325">
        <v>64.604260490518499</v>
      </c>
      <c r="AT325">
        <v>6.6870856606183438</v>
      </c>
      <c r="AU325">
        <v>33.16420981409744</v>
      </c>
      <c r="AV325"/>
      <c r="AW325"/>
      <c r="FY325" s="214">
        <v>320</v>
      </c>
      <c r="FZ325">
        <v>1.0987651154852078</v>
      </c>
      <c r="GA325">
        <v>10.748268028774463</v>
      </c>
      <c r="GB325">
        <v>7.5828055096111848</v>
      </c>
      <c r="GC325">
        <v>1.97444674101018</v>
      </c>
      <c r="GD325">
        <v>2.8590208015696126</v>
      </c>
      <c r="GE325">
        <v>7.7848834668514453</v>
      </c>
      <c r="GF325">
        <v>12.741988175812118</v>
      </c>
      <c r="GG325">
        <v>7.3737500050326785</v>
      </c>
      <c r="GH325">
        <v>1.8712705294217138</v>
      </c>
      <c r="GI325">
        <v>6.4451924807633976</v>
      </c>
      <c r="GJ325"/>
      <c r="GK325"/>
      <c r="GL325"/>
      <c r="GM325"/>
    </row>
    <row r="326" spans="1:195" s="7" customFormat="1">
      <c r="A326" s="1"/>
      <c r="B326">
        <v>7.6473636548645807E-2</v>
      </c>
      <c r="C326">
        <v>5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106.93739316914119</v>
      </c>
      <c r="AO326">
        <v>21.070771241640195</v>
      </c>
      <c r="AP326">
        <v>122.64955012770326</v>
      </c>
      <c r="AQ326">
        <v>121.71158730691685</v>
      </c>
      <c r="AR326">
        <v>19.168099990195643</v>
      </c>
      <c r="AS326">
        <v>99.222804699151624</v>
      </c>
      <c r="AT326" t="e">
        <v>#DIV/0!</v>
      </c>
      <c r="AU326" t="e">
        <v>#DIV/0!</v>
      </c>
      <c r="AV326"/>
      <c r="AW326"/>
      <c r="FY326" s="214">
        <v>321</v>
      </c>
      <c r="FZ326">
        <v>1.2328402770778215</v>
      </c>
      <c r="GA326">
        <v>4.0646896129890342</v>
      </c>
      <c r="GB326">
        <v>2.0214942097642488</v>
      </c>
      <c r="GC326">
        <v>0.92560489610247343</v>
      </c>
      <c r="GD326">
        <v>3.9954198405105115</v>
      </c>
      <c r="GE326">
        <v>17.329929208442543</v>
      </c>
      <c r="GF326">
        <v>26.079193954647881</v>
      </c>
      <c r="GG326">
        <v>12.732776382745421</v>
      </c>
      <c r="GH326">
        <v>5.9169126775630962</v>
      </c>
      <c r="GI326">
        <v>9.3051554432820129</v>
      </c>
      <c r="GJ326"/>
      <c r="GK326"/>
      <c r="GL326"/>
      <c r="GM326"/>
    </row>
    <row r="327" spans="1:195" s="7" customFormat="1">
      <c r="A327" s="1"/>
      <c r="B327">
        <v>0.24199560778385232</v>
      </c>
      <c r="C327">
        <v>9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53.659101482116071</v>
      </c>
      <c r="AO327">
        <v>10.867497165749359</v>
      </c>
      <c r="AP327">
        <v>31.976848742578319</v>
      </c>
      <c r="AQ327">
        <v>69.265626131448968</v>
      </c>
      <c r="AR327">
        <v>10.070616808180619</v>
      </c>
      <c r="AS327">
        <v>51.862817797224878</v>
      </c>
      <c r="AT327">
        <v>5.8543529120011568</v>
      </c>
      <c r="AU327">
        <v>2.0645792379553658</v>
      </c>
      <c r="AV327"/>
      <c r="AW327"/>
      <c r="FY327" s="214">
        <v>322</v>
      </c>
      <c r="FZ327">
        <v>1.206397821117895</v>
      </c>
      <c r="GA327">
        <v>19.438018479138915</v>
      </c>
      <c r="GB327">
        <v>10.026094577924232</v>
      </c>
      <c r="GC327">
        <v>0.84808443702621017</v>
      </c>
      <c r="GD327">
        <v>1.5040531078048245</v>
      </c>
      <c r="GE327">
        <v>4.8086019550652601</v>
      </c>
      <c r="GF327">
        <v>15.850095607777659</v>
      </c>
      <c r="GG327">
        <v>14.047027910353425</v>
      </c>
      <c r="GH327">
        <v>7.3154174965107046</v>
      </c>
      <c r="GI327">
        <v>8.0195301297845223</v>
      </c>
      <c r="GJ327"/>
      <c r="GK327"/>
      <c r="GL327"/>
      <c r="GM327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81.693062144969701</v>
      </c>
      <c r="AO328">
        <v>13.945811969873926</v>
      </c>
      <c r="AP328">
        <v>83.44507354205841</v>
      </c>
      <c r="AQ328">
        <v>89.297231570921483</v>
      </c>
      <c r="AR328">
        <v>13.059836687232639</v>
      </c>
      <c r="AS328">
        <v>72.072149107883021</v>
      </c>
      <c r="AT328">
        <v>7.8552643732740668</v>
      </c>
      <c r="AU328">
        <v>49.602820345698582</v>
      </c>
      <c r="AV328"/>
      <c r="AW328"/>
      <c r="FY328" s="214">
        <v>323</v>
      </c>
      <c r="FZ328">
        <v>0.94791004222806041</v>
      </c>
      <c r="GA328">
        <v>2.6970874668708396</v>
      </c>
      <c r="GB328">
        <v>2.8916554662158651</v>
      </c>
      <c r="GC328">
        <v>1.9943001698444855</v>
      </c>
      <c r="GD328">
        <v>1.9362486961679806</v>
      </c>
      <c r="GE328">
        <v>2.7543347570389027</v>
      </c>
      <c r="GF328">
        <v>16.215663388307767</v>
      </c>
      <c r="GG328">
        <v>16.960962184640337</v>
      </c>
      <c r="GH328">
        <v>5.4441469670889902</v>
      </c>
      <c r="GI328">
        <v>6.0591609333504852</v>
      </c>
      <c r="GJ328"/>
      <c r="GK328"/>
      <c r="GL328"/>
      <c r="GM328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39.607952096510829</v>
      </c>
      <c r="AO329">
        <v>6.5414751412810617</v>
      </c>
      <c r="AP329">
        <v>30.797536559895839</v>
      </c>
      <c r="AQ329">
        <v>39.75154537575095</v>
      </c>
      <c r="AR329">
        <v>5.9471176379070254</v>
      </c>
      <c r="AS329">
        <v>31.972261787425992</v>
      </c>
      <c r="AT329" t="e">
        <v>#DIV/0!</v>
      </c>
      <c r="AU329" t="e">
        <v>#DIV/0!</v>
      </c>
      <c r="AV329"/>
      <c r="AW329"/>
      <c r="FY329" s="214">
        <v>324</v>
      </c>
      <c r="FZ329">
        <v>0.46926306557414704</v>
      </c>
      <c r="GA329">
        <v>17.805993623972402</v>
      </c>
      <c r="GB329">
        <v>14.759791201210893</v>
      </c>
      <c r="GC329">
        <v>3.9821972177538552</v>
      </c>
      <c r="GD329">
        <v>8.3018424345767272</v>
      </c>
      <c r="GE329">
        <v>18.025339711305463</v>
      </c>
      <c r="GF329">
        <v>12.882954123757742</v>
      </c>
      <c r="GG329">
        <v>8.3768688752265561</v>
      </c>
      <c r="GH329">
        <v>8.3748326283281188E-2</v>
      </c>
      <c r="GI329">
        <v>11.436896494143211</v>
      </c>
      <c r="GJ329"/>
      <c r="GK329"/>
      <c r="GL329"/>
      <c r="GM329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85.574225179209932</v>
      </c>
      <c r="AO330">
        <v>23.588957889761776</v>
      </c>
      <c r="AP330">
        <v>154.19466729055756</v>
      </c>
      <c r="AQ330">
        <v>122.84216199493177</v>
      </c>
      <c r="AR330">
        <v>21.62369386062371</v>
      </c>
      <c r="AS330">
        <v>101.2345104256914</v>
      </c>
      <c r="AT330">
        <v>11.739123253490819</v>
      </c>
      <c r="AU330">
        <v>38.116471265426277</v>
      </c>
      <c r="AV330"/>
      <c r="AW330"/>
      <c r="FY330" s="214">
        <v>325</v>
      </c>
      <c r="FZ330">
        <v>1.4011280696803672</v>
      </c>
      <c r="GA330">
        <v>5.905260316950848</v>
      </c>
      <c r="GB330">
        <v>10.70014774744379</v>
      </c>
      <c r="GC330">
        <v>5.6571268060272804</v>
      </c>
      <c r="GD330">
        <v>1.2087068810615889</v>
      </c>
      <c r="GE330">
        <v>4.1561410129214433</v>
      </c>
      <c r="GF330">
        <v>18.963787301900837</v>
      </c>
      <c r="GG330">
        <v>15.554457226071571</v>
      </c>
      <c r="GH330">
        <v>4.1293904744246639</v>
      </c>
      <c r="GI330">
        <v>7.9611718401493965</v>
      </c>
      <c r="GJ330"/>
      <c r="GK330"/>
      <c r="GL330"/>
      <c r="GM330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102.5710109898874</v>
      </c>
      <c r="AO331">
        <v>18.273955243842387</v>
      </c>
      <c r="AP331">
        <v>93.832679095159904</v>
      </c>
      <c r="AQ331">
        <v>116.24725484597489</v>
      </c>
      <c r="AR331">
        <v>16.803438460613673</v>
      </c>
      <c r="AS331">
        <v>94.152926984102891</v>
      </c>
      <c r="AT331">
        <v>9.5833914752278719</v>
      </c>
      <c r="AU331">
        <v>17.104127602230534</v>
      </c>
      <c r="AV331"/>
      <c r="AW331"/>
      <c r="FY331" s="214">
        <v>326</v>
      </c>
      <c r="FZ331">
        <v>1.0217863571778827</v>
      </c>
      <c r="GA331">
        <v>17.453784385366365</v>
      </c>
      <c r="GB331">
        <v>11.525065406373169</v>
      </c>
      <c r="GC331">
        <v>2.78009713496904</v>
      </c>
      <c r="GD331">
        <v>3.967796078732944</v>
      </c>
      <c r="GE331">
        <v>14.039008783108873</v>
      </c>
      <c r="GF331">
        <v>28.95787692261203</v>
      </c>
      <c r="GG331">
        <v>16.281335072193563</v>
      </c>
      <c r="GH331">
        <v>0.64026236304066864</v>
      </c>
      <c r="GI331">
        <v>11.29863356563042</v>
      </c>
      <c r="GJ331"/>
      <c r="GK331"/>
      <c r="GL331"/>
      <c r="GM331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96.481151253857291</v>
      </c>
      <c r="AO332">
        <v>20.851236722897827</v>
      </c>
      <c r="AP332">
        <v>132.89924245630314</v>
      </c>
      <c r="AQ332">
        <v>99.131791684401009</v>
      </c>
      <c r="AR332">
        <v>19.134856436201943</v>
      </c>
      <c r="AS332">
        <v>96.007035042464281</v>
      </c>
      <c r="AT332">
        <v>9.6887045339004576</v>
      </c>
      <c r="AU332">
        <v>16.056788273732288</v>
      </c>
      <c r="AV332"/>
      <c r="AW332"/>
      <c r="FY332" s="214">
        <v>327</v>
      </c>
      <c r="FZ332">
        <v>1.2000153272914471</v>
      </c>
      <c r="GA332">
        <v>10.801356020796723</v>
      </c>
      <c r="GB332">
        <v>9.6616082630946867</v>
      </c>
      <c r="GC332">
        <v>3.1246413030571634</v>
      </c>
      <c r="GD332">
        <v>9.2478485160525388</v>
      </c>
      <c r="GE332">
        <v>21.134964935407528</v>
      </c>
      <c r="GF332">
        <v>12.248830287791629</v>
      </c>
      <c r="GG332">
        <v>9.924767006396225</v>
      </c>
      <c r="GH332">
        <v>4.0456421481413827</v>
      </c>
      <c r="GI332">
        <v>11.376209452615486</v>
      </c>
      <c r="GJ332"/>
      <c r="GK332"/>
      <c r="GL332"/>
      <c r="GM332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51.79052496319072</v>
      </c>
      <c r="AO333">
        <v>11.940381164267967</v>
      </c>
      <c r="AP333">
        <v>75.301066072702284</v>
      </c>
      <c r="AQ333">
        <v>66.182334223801817</v>
      </c>
      <c r="AR333">
        <v>11.046287952667232</v>
      </c>
      <c r="AS333">
        <v>53.004019604328988</v>
      </c>
      <c r="AT333">
        <v>5.9328841190891675</v>
      </c>
      <c r="AU333">
        <v>26.087389792955189</v>
      </c>
      <c r="AV333"/>
      <c r="AW333"/>
      <c r="FY333" s="214">
        <v>328</v>
      </c>
      <c r="FZ333">
        <v>0.20467142607349095</v>
      </c>
      <c r="GA333">
        <v>9.5049863427896533</v>
      </c>
      <c r="GB333">
        <v>6.7072252643251407</v>
      </c>
      <c r="GC333">
        <v>1.7207755300600054</v>
      </c>
      <c r="GD333">
        <v>6.0839083626813171</v>
      </c>
      <c r="GE333">
        <v>15.209598460010872</v>
      </c>
      <c r="GF333">
        <v>15.665891617938659</v>
      </c>
      <c r="GG333">
        <v>14.409099550079578</v>
      </c>
      <c r="GH333">
        <v>8.7657784259064222</v>
      </c>
      <c r="GI333">
        <v>10.075487019931771</v>
      </c>
      <c r="GJ333"/>
      <c r="GK333"/>
      <c r="GL333"/>
      <c r="GM333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88.882992569276055</v>
      </c>
      <c r="AO334">
        <v>14.661170602063203</v>
      </c>
      <c r="AP334">
        <v>78.717634249281289</v>
      </c>
      <c r="AQ334">
        <v>98.910912265301008</v>
      </c>
      <c r="AR334">
        <v>13.328658965890787</v>
      </c>
      <c r="AS334">
        <v>75.746312972491978</v>
      </c>
      <c r="AT334" t="e">
        <v>#DIV/0!</v>
      </c>
      <c r="AU334" t="e">
        <v>#DIV/0!</v>
      </c>
      <c r="AV334"/>
      <c r="AW334"/>
      <c r="FY334" s="214">
        <v>329</v>
      </c>
      <c r="FZ334">
        <v>1.1493014178326069</v>
      </c>
      <c r="GA334">
        <v>5.5400838526776681</v>
      </c>
      <c r="GB334">
        <v>4.5023087159169899</v>
      </c>
      <c r="GC334">
        <v>2.0554649651918422</v>
      </c>
      <c r="GD334">
        <v>3.0202218920290438</v>
      </c>
      <c r="GE334">
        <v>9.1914640139105881</v>
      </c>
      <c r="GF334">
        <v>9.2337894742808349</v>
      </c>
      <c r="GG334">
        <v>8.0055421969533818</v>
      </c>
      <c r="GH334">
        <v>9.8788064994211968</v>
      </c>
      <c r="GI334">
        <v>6.4347550509964844</v>
      </c>
      <c r="GJ334"/>
      <c r="GK334"/>
      <c r="GL334"/>
      <c r="GM334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91.746757311029057</v>
      </c>
      <c r="AO335">
        <v>16.608477945390181</v>
      </c>
      <c r="AP335">
        <v>68.312289905578709</v>
      </c>
      <c r="AQ335">
        <v>97.771376752245331</v>
      </c>
      <c r="AR335">
        <v>15.313786783369277</v>
      </c>
      <c r="AS335">
        <v>81.570892724044768</v>
      </c>
      <c r="AT335">
        <v>8.1191290529144258</v>
      </c>
      <c r="AU335">
        <v>-2.7006456823102809</v>
      </c>
      <c r="AV335"/>
      <c r="AW335"/>
      <c r="FY335" s="214">
        <v>330</v>
      </c>
      <c r="FZ335">
        <v>0.51641829134841677</v>
      </c>
      <c r="GA335">
        <v>36.836622507115422</v>
      </c>
      <c r="GB335">
        <v>20.495344522519542</v>
      </c>
      <c r="GC335">
        <v>2.2404062291417293</v>
      </c>
      <c r="GD335">
        <v>0.91605654435937711</v>
      </c>
      <c r="GE335">
        <v>5.4294987663753727</v>
      </c>
      <c r="GF335">
        <v>14.965869401365133</v>
      </c>
      <c r="GG335">
        <v>6.2627752578529945</v>
      </c>
      <c r="GH335">
        <v>0.64026236304066864</v>
      </c>
      <c r="GI335">
        <v>8.5731250372777108</v>
      </c>
      <c r="GJ335"/>
      <c r="GK335"/>
      <c r="GL335"/>
      <c r="GM33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54.644540291363271</v>
      </c>
      <c r="AO336">
        <v>9.5748912637494641</v>
      </c>
      <c r="AP336">
        <v>33.017731239912415</v>
      </c>
      <c r="AQ336">
        <v>60.480390854332001</v>
      </c>
      <c r="AR336">
        <v>8.8958425885595034</v>
      </c>
      <c r="AS336">
        <v>48.223605649009023</v>
      </c>
      <c r="AT336">
        <v>5.2129822321635251</v>
      </c>
      <c r="AU336">
        <v>-0.42693710407550078</v>
      </c>
      <c r="AV336"/>
      <c r="AW336"/>
      <c r="FY336" s="214">
        <v>331</v>
      </c>
      <c r="FZ336">
        <v>0.40934285214698191</v>
      </c>
      <c r="GA336">
        <v>3.239524663981201</v>
      </c>
      <c r="GB336">
        <v>7.8689824411075371</v>
      </c>
      <c r="GC336">
        <v>3.8026886505730459</v>
      </c>
      <c r="GD336">
        <v>3.5096613080547017</v>
      </c>
      <c r="GE336">
        <v>8.7605419944558811</v>
      </c>
      <c r="GF336">
        <v>15.100853798168114</v>
      </c>
      <c r="GG336">
        <v>11.116826264860848</v>
      </c>
      <c r="GH336">
        <v>2.4277845661791013</v>
      </c>
      <c r="GI336">
        <v>7.5734717691572166</v>
      </c>
      <c r="GJ336"/>
      <c r="GK336"/>
      <c r="GL336"/>
      <c r="GM336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80.996065481135957</v>
      </c>
      <c r="AO337">
        <v>14.352026575601247</v>
      </c>
      <c r="AP337">
        <v>105.46252990038067</v>
      </c>
      <c r="AQ337">
        <v>83.604016503125052</v>
      </c>
      <c r="AR337">
        <v>13.238692872061122</v>
      </c>
      <c r="AS337">
        <v>70.382268008621836</v>
      </c>
      <c r="AT337">
        <v>7.2747067539774042</v>
      </c>
      <c r="AU337">
        <v>78.992828621471006</v>
      </c>
      <c r="AV337"/>
      <c r="AW337"/>
      <c r="FY337" s="214">
        <v>332</v>
      </c>
      <c r="FZ337">
        <v>1.0794400268944231</v>
      </c>
      <c r="GA337">
        <v>4.3475779316467946</v>
      </c>
      <c r="GB337">
        <v>4.1816081994786165</v>
      </c>
      <c r="GC337">
        <v>2.1277716320900089</v>
      </c>
      <c r="GD337">
        <v>9.3078948463733191</v>
      </c>
      <c r="GE337">
        <v>23.072215910188632</v>
      </c>
      <c r="GF337">
        <v>22.90946527245972</v>
      </c>
      <c r="GG337">
        <v>16.386749270200461</v>
      </c>
      <c r="GH337">
        <v>6.0844093301296587</v>
      </c>
      <c r="GI337">
        <v>12.359984336047848</v>
      </c>
      <c r="GJ337"/>
      <c r="GK337"/>
      <c r="GL337"/>
      <c r="GM337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66.495587965224402</v>
      </c>
      <c r="AO338">
        <v>12.065902350573111</v>
      </c>
      <c r="AP338">
        <v>66.096255430983973</v>
      </c>
      <c r="AQ338">
        <v>83.063321522503642</v>
      </c>
      <c r="AR338">
        <v>11.362715184527367</v>
      </c>
      <c r="AS338">
        <v>55.213435538478102</v>
      </c>
      <c r="AT338">
        <v>6.6597374262458624</v>
      </c>
      <c r="AU338">
        <v>8.4175167637349393</v>
      </c>
      <c r="AV338"/>
      <c r="AW338"/>
      <c r="FY338" s="214">
        <v>333</v>
      </c>
      <c r="FZ338">
        <v>0.94818867544368646</v>
      </c>
      <c r="GA338">
        <v>3.1938849535238747</v>
      </c>
      <c r="GB338">
        <v>5.9243568153082595</v>
      </c>
      <c r="GC338">
        <v>3.3237297565995085</v>
      </c>
      <c r="GD338">
        <v>2.0306610746762814</v>
      </c>
      <c r="GE338">
        <v>8.784076316111161</v>
      </c>
      <c r="GF338">
        <v>17.3807826672078</v>
      </c>
      <c r="GG338">
        <v>15.969804411048662</v>
      </c>
      <c r="GH338">
        <v>12.895168900331086</v>
      </c>
      <c r="GI338">
        <v>8.3060928455051837</v>
      </c>
      <c r="GJ338"/>
      <c r="GK338"/>
      <c r="GL338"/>
      <c r="GM338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43.846775092980025</v>
      </c>
      <c r="AO339">
        <v>9.1240585581383673</v>
      </c>
      <c r="AP339">
        <v>77.645963589685778</v>
      </c>
      <c r="AQ339">
        <v>57.901470071753714</v>
      </c>
      <c r="AR339">
        <v>8.5097691585948976</v>
      </c>
      <c r="AS339">
        <v>43.773601056737384</v>
      </c>
      <c r="AT339">
        <v>5.4604175687967498</v>
      </c>
      <c r="AU339">
        <v>13.997958617058471</v>
      </c>
      <c r="AV339"/>
      <c r="AW339"/>
      <c r="FY339" s="214">
        <v>334</v>
      </c>
      <c r="FZ339">
        <v>0.93852613114829431</v>
      </c>
      <c r="GA339">
        <v>17.995550966952276</v>
      </c>
      <c r="GB339">
        <v>12.917548055710283</v>
      </c>
      <c r="GC339">
        <v>3.1118105231305977</v>
      </c>
      <c r="GD339">
        <v>0.71999662645396123</v>
      </c>
      <c r="GE339">
        <v>4.8958069111257592</v>
      </c>
      <c r="GF339">
        <v>14.945361797372023</v>
      </c>
      <c r="GG339">
        <v>13.169736130959533</v>
      </c>
      <c r="GH339">
        <v>8.2587809488493278</v>
      </c>
      <c r="GI339">
        <v>8.0384919461628996</v>
      </c>
      <c r="GJ339"/>
      <c r="GK339"/>
      <c r="GL339"/>
      <c r="GM339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81.168690219994602</v>
      </c>
      <c r="AO340">
        <v>17.605237948864776</v>
      </c>
      <c r="AP340">
        <v>77.08002853115039</v>
      </c>
      <c r="AQ340">
        <v>96.124895073804282</v>
      </c>
      <c r="AR340">
        <v>16.029180365771037</v>
      </c>
      <c r="AS340">
        <v>81.131221045368065</v>
      </c>
      <c r="AT340" t="e">
        <v>#DIV/0!</v>
      </c>
      <c r="AU340" t="e">
        <v>#DIV/0!</v>
      </c>
      <c r="AV340"/>
      <c r="AW340"/>
      <c r="FY340" s="214">
        <v>335</v>
      </c>
      <c r="FZ340">
        <v>1.2425028213732139</v>
      </c>
      <c r="GA340">
        <v>10.906514753778261</v>
      </c>
      <c r="GB340">
        <v>5.4407806043414011</v>
      </c>
      <c r="GC340">
        <v>0.81840130330704441</v>
      </c>
      <c r="GD340">
        <v>2.7199327627883152</v>
      </c>
      <c r="GE340">
        <v>10.4985133588268</v>
      </c>
      <c r="GF340">
        <v>23.104175380815665</v>
      </c>
      <c r="GG340">
        <v>13.194258682265216</v>
      </c>
      <c r="GH340">
        <v>3.5750444062768651</v>
      </c>
      <c r="GI340">
        <v>8.3711410493382967</v>
      </c>
      <c r="GJ340"/>
      <c r="GK340"/>
      <c r="GL340"/>
      <c r="GM340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50.910812840414458</v>
      </c>
      <c r="AO341">
        <v>12.301486407880954</v>
      </c>
      <c r="AP341">
        <v>25.021244479947413</v>
      </c>
      <c r="AQ341">
        <v>75.637317676631781</v>
      </c>
      <c r="AR341">
        <v>11.183491516634202</v>
      </c>
      <c r="AS341">
        <v>54.603265555653266</v>
      </c>
      <c r="AT341" t="e">
        <v>#DIV/0!</v>
      </c>
      <c r="AU341" t="e">
        <v>#DIV/0!</v>
      </c>
      <c r="AV341"/>
      <c r="AW341"/>
      <c r="FY341" s="214">
        <v>336</v>
      </c>
      <c r="FZ341">
        <v>1.1464776076907297</v>
      </c>
      <c r="GA341">
        <v>17.700151428024597</v>
      </c>
      <c r="GB341">
        <v>12.706358659034176</v>
      </c>
      <c r="GC341">
        <v>2.8920970687393504</v>
      </c>
      <c r="GD341">
        <v>9.1305679093426697</v>
      </c>
      <c r="GE341">
        <v>22.252926871561446</v>
      </c>
      <c r="GF341">
        <v>11.36867295561809</v>
      </c>
      <c r="GG341">
        <v>8.9347936350543744</v>
      </c>
      <c r="GH341">
        <v>8.9332750784729846</v>
      </c>
      <c r="GI341">
        <v>12.513901002325873</v>
      </c>
      <c r="GJ341"/>
      <c r="GK341"/>
      <c r="GL341"/>
      <c r="GM341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89.697036808766754</v>
      </c>
      <c r="AO342">
        <v>17.537071947079152</v>
      </c>
      <c r="AP342">
        <v>92.517620536804685</v>
      </c>
      <c r="AQ342">
        <v>107.96564606920495</v>
      </c>
      <c r="AR342">
        <v>15.943436789011351</v>
      </c>
      <c r="AS342">
        <v>82.426540640718372</v>
      </c>
      <c r="AT342" t="e">
        <v>#DIV/0!</v>
      </c>
      <c r="AU342" t="e">
        <v>#DIV/0!</v>
      </c>
      <c r="AV342"/>
      <c r="AW342"/>
      <c r="FY342" s="214">
        <v>337</v>
      </c>
      <c r="FZ342">
        <v>0.67009717474744113</v>
      </c>
      <c r="GA342">
        <v>2.7615265750343192</v>
      </c>
      <c r="GB342">
        <v>3.9365472123889234</v>
      </c>
      <c r="GC342">
        <v>2.3567285505664293</v>
      </c>
      <c r="GD342">
        <v>7.334776897596786</v>
      </c>
      <c r="GE342">
        <v>18.483294206948067</v>
      </c>
      <c r="GF342">
        <v>23.0236717544851</v>
      </c>
      <c r="GG342">
        <v>17.313595484729909</v>
      </c>
      <c r="GH342">
        <v>4.6021561848987709</v>
      </c>
      <c r="GI342">
        <v>10.813517983021313</v>
      </c>
      <c r="GJ342"/>
      <c r="GK342"/>
      <c r="GL342"/>
      <c r="GM342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76.348411045958045</v>
      </c>
      <c r="AO343">
        <v>17.576927799602437</v>
      </c>
      <c r="AP343">
        <v>103.49197059542301</v>
      </c>
      <c r="AQ343">
        <v>92.765883260644813</v>
      </c>
      <c r="AR343">
        <v>15.979347327290093</v>
      </c>
      <c r="AS343">
        <v>75.395698357526513</v>
      </c>
      <c r="AT343" t="e">
        <v>#DIV/0!</v>
      </c>
      <c r="AU343" t="e">
        <v>#DIV/0!</v>
      </c>
      <c r="AV343"/>
      <c r="AW343"/>
      <c r="FY343" s="214">
        <v>338</v>
      </c>
      <c r="FZ343">
        <v>1.1461989744751038</v>
      </c>
      <c r="GA343">
        <v>6.1393513096262859</v>
      </c>
      <c r="GB343">
        <v>4.3573022342856618</v>
      </c>
      <c r="GC343">
        <v>1.800839883442426</v>
      </c>
      <c r="GD343">
        <v>3.133406030056932</v>
      </c>
      <c r="GE343">
        <v>5.3738178254509616</v>
      </c>
      <c r="GF343">
        <v>9.9703814964247748</v>
      </c>
      <c r="GG343">
        <v>9.0147428640289942</v>
      </c>
      <c r="GH343">
        <v>1.8712705294217138</v>
      </c>
      <c r="GI343">
        <v>5.4511077028942028</v>
      </c>
      <c r="GJ343"/>
      <c r="GK343"/>
      <c r="GL343"/>
      <c r="GM343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74.597171416043381</v>
      </c>
      <c r="AO344">
        <v>15.507208333945508</v>
      </c>
      <c r="AP344">
        <v>93.144055889028166</v>
      </c>
      <c r="AQ344">
        <v>88.347421999796907</v>
      </c>
      <c r="AR344">
        <v>14.288536051995301</v>
      </c>
      <c r="AS344">
        <v>69.34366750752605</v>
      </c>
      <c r="AT344">
        <v>7.64257925881786</v>
      </c>
      <c r="AU344">
        <v>29.424566161850215</v>
      </c>
      <c r="AV344"/>
      <c r="AW344"/>
      <c r="FY344" s="214">
        <v>339</v>
      </c>
      <c r="FZ344">
        <v>0.91369741121812775</v>
      </c>
      <c r="GA344">
        <v>9.7549607813872434</v>
      </c>
      <c r="GB344">
        <v>9.9158106090520644</v>
      </c>
      <c r="GC344">
        <v>3.5039837251149573</v>
      </c>
      <c r="GD344">
        <v>5.8326448281002818</v>
      </c>
      <c r="GE344">
        <v>17.322272532032301</v>
      </c>
      <c r="GF344">
        <v>20.638443203468057</v>
      </c>
      <c r="GG344">
        <v>14.415219609618942</v>
      </c>
      <c r="GH344">
        <v>8.7657784259064222</v>
      </c>
      <c r="GI344">
        <v>11.46555281354995</v>
      </c>
      <c r="GJ344"/>
      <c r="GK344"/>
      <c r="GL344"/>
      <c r="GM344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55.926979763949802</v>
      </c>
      <c r="AO345">
        <v>9.5966875105888967</v>
      </c>
      <c r="AP345">
        <v>36.707496945285158</v>
      </c>
      <c r="AQ345">
        <v>59.011738079210637</v>
      </c>
      <c r="AR345">
        <v>8.9394318426408326</v>
      </c>
      <c r="AS345">
        <v>50.795423505672474</v>
      </c>
      <c r="AT345">
        <v>5.2749080210243848</v>
      </c>
      <c r="AU345">
        <v>9.3686922571855007</v>
      </c>
      <c r="AV345"/>
      <c r="AW345"/>
      <c r="FY345" s="214">
        <v>340</v>
      </c>
      <c r="FZ345">
        <v>0.54952187435041699</v>
      </c>
      <c r="GA345">
        <v>10.262801098102747</v>
      </c>
      <c r="GB345">
        <v>10.667928589933796</v>
      </c>
      <c r="GC345">
        <v>3.8495622456134999</v>
      </c>
      <c r="GD345">
        <v>7.1308913070860642</v>
      </c>
      <c r="GE345">
        <v>15.307008155458668</v>
      </c>
      <c r="GF345">
        <v>10.373255546842397</v>
      </c>
      <c r="GG345">
        <v>9.930248618893831</v>
      </c>
      <c r="GH345">
        <v>6.0844093301296587</v>
      </c>
      <c r="GI345">
        <v>10.22097006148949</v>
      </c>
      <c r="GJ345"/>
      <c r="GK345"/>
      <c r="GL345"/>
      <c r="GM34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93.250677367272502</v>
      </c>
      <c r="AO346">
        <v>12.924258992716446</v>
      </c>
      <c r="AP346">
        <v>34.050630953737169</v>
      </c>
      <c r="AQ346">
        <v>96.876378920396363</v>
      </c>
      <c r="AR346">
        <v>11.749326357014951</v>
      </c>
      <c r="AS346">
        <v>82.995468718963338</v>
      </c>
      <c r="AT346" t="e">
        <v>#DIV/0!</v>
      </c>
      <c r="AU346" t="e">
        <v>#DIV/0!</v>
      </c>
      <c r="AV346"/>
      <c r="AW346"/>
      <c r="FY346" s="214">
        <v>341</v>
      </c>
      <c r="FZ346">
        <v>1.1265952526686929</v>
      </c>
      <c r="GA346">
        <v>24.07810580966278</v>
      </c>
      <c r="GB346">
        <v>14.326229547127136</v>
      </c>
      <c r="GC346">
        <v>1.8523708664874869</v>
      </c>
      <c r="GD346">
        <v>8.0953215471113769</v>
      </c>
      <c r="GE346">
        <v>17.948128432291242</v>
      </c>
      <c r="GF346">
        <v>17.862531360461908</v>
      </c>
      <c r="GG346">
        <v>14.767259187622575</v>
      </c>
      <c r="GH346">
        <v>0.64026236304066864</v>
      </c>
      <c r="GI346">
        <v>12.793020054443565</v>
      </c>
      <c r="GJ346"/>
      <c r="GK346"/>
      <c r="GL346"/>
      <c r="GM346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49.124669073917062</v>
      </c>
      <c r="AO347">
        <v>11.55133943395051</v>
      </c>
      <c r="AP347">
        <v>55.864082573042488</v>
      </c>
      <c r="AQ347">
        <v>63.809678308684624</v>
      </c>
      <c r="AR347">
        <v>10.692613652378634</v>
      </c>
      <c r="AS347">
        <v>53.37965014085983</v>
      </c>
      <c r="AT347">
        <v>5.7285238766365838</v>
      </c>
      <c r="AU347">
        <v>0.34440409885569867</v>
      </c>
      <c r="AV347"/>
      <c r="AW347"/>
      <c r="FY347" s="214">
        <v>342</v>
      </c>
      <c r="FZ347">
        <v>0.41544671275780354</v>
      </c>
      <c r="GA347">
        <v>10.838206218640222</v>
      </c>
      <c r="GB347">
        <v>5.6529005578968334</v>
      </c>
      <c r="GC347">
        <v>1.0871841699072176</v>
      </c>
      <c r="GD347">
        <v>2.1315693533319284</v>
      </c>
      <c r="GE347">
        <v>9.1586367757365146</v>
      </c>
      <c r="GF347">
        <v>13.621410976212125</v>
      </c>
      <c r="GG347">
        <v>9.3277364709568857</v>
      </c>
      <c r="GH347">
        <v>7.6185185858086601</v>
      </c>
      <c r="GI347">
        <v>6.6824101195219505</v>
      </c>
      <c r="GJ347"/>
      <c r="GK347"/>
      <c r="GL347"/>
      <c r="GM347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82.183395471114821</v>
      </c>
      <c r="AO348">
        <v>18.909567589345201</v>
      </c>
      <c r="AP348">
        <v>117.42078681979125</v>
      </c>
      <c r="AQ348">
        <v>101.85711675550947</v>
      </c>
      <c r="AR348">
        <v>17.36970267842683</v>
      </c>
      <c r="AS348">
        <v>85.465488415222282</v>
      </c>
      <c r="AT348">
        <v>9.4921471970760525</v>
      </c>
      <c r="AU348">
        <v>29.818755475432404</v>
      </c>
      <c r="AV348"/>
      <c r="AW348"/>
      <c r="FY348" s="214">
        <v>343</v>
      </c>
      <c r="FZ348">
        <v>1.0662187989144596</v>
      </c>
      <c r="GA348">
        <v>3.1914710693149462</v>
      </c>
      <c r="GB348">
        <v>5.4148136966576592</v>
      </c>
      <c r="GC348">
        <v>3.3017438899963576</v>
      </c>
      <c r="GD348">
        <v>3.1025356533088582</v>
      </c>
      <c r="GE348">
        <v>8.5087704625207436</v>
      </c>
      <c r="GF348">
        <v>18.155082590860893</v>
      </c>
      <c r="GG348">
        <v>15.144987442381453</v>
      </c>
      <c r="GH348">
        <v>4.2131388007079451</v>
      </c>
      <c r="GI348">
        <v>7.9310157977414626</v>
      </c>
      <c r="GJ348"/>
      <c r="GK348"/>
      <c r="GL348"/>
      <c r="GM348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58.238764310609255</v>
      </c>
      <c r="AO349">
        <v>12.648744417946684</v>
      </c>
      <c r="AP349">
        <v>53.509416120877454</v>
      </c>
      <c r="AQ349">
        <v>78.756746415755515</v>
      </c>
      <c r="AR349">
        <v>11.677401140034233</v>
      </c>
      <c r="AS349">
        <v>60.831951697354427</v>
      </c>
      <c r="AT349" t="e">
        <v>#DIV/0!</v>
      </c>
      <c r="AU349" t="e">
        <v>#DIV/0!</v>
      </c>
      <c r="AV349"/>
      <c r="AW349"/>
      <c r="FY349" s="214">
        <v>344</v>
      </c>
      <c r="FZ349">
        <v>1.3511490337642209</v>
      </c>
      <c r="GA349">
        <v>10.884589660413612</v>
      </c>
      <c r="GB349">
        <v>5.4223140587862551</v>
      </c>
      <c r="GC349">
        <v>0.78512817321401474</v>
      </c>
      <c r="GD349">
        <v>4.6657131442020496</v>
      </c>
      <c r="GE349">
        <v>10.096166990681654</v>
      </c>
      <c r="GF349">
        <v>10.644741839714147</v>
      </c>
      <c r="GG349">
        <v>10.970547784261088</v>
      </c>
      <c r="GH349">
        <v>5.833164351279815</v>
      </c>
      <c r="GI349">
        <v>7.4832595750236699</v>
      </c>
      <c r="GJ349"/>
      <c r="GK349"/>
      <c r="GL349"/>
      <c r="GM349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68.733647456598234</v>
      </c>
      <c r="AO350">
        <v>12.362645365666861</v>
      </c>
      <c r="AP350">
        <v>38.939170389794477</v>
      </c>
      <c r="AQ350">
        <v>84.991610037864973</v>
      </c>
      <c r="AR350">
        <v>11.250977811280494</v>
      </c>
      <c r="AS350">
        <v>63.335506450290048</v>
      </c>
      <c r="AT350" t="e">
        <v>#DIV/0!</v>
      </c>
      <c r="AU350" t="e">
        <v>#DIV/0!</v>
      </c>
      <c r="AV350"/>
      <c r="AW350"/>
      <c r="FY350" s="214">
        <v>345</v>
      </c>
      <c r="FZ350">
        <v>0.52991815254400609</v>
      </c>
      <c r="GA350">
        <v>15.823548861062191</v>
      </c>
      <c r="GB350">
        <v>8.770928215687821</v>
      </c>
      <c r="GC350">
        <v>1.4542685924845009</v>
      </c>
      <c r="GD350">
        <v>5.2552101100642181</v>
      </c>
      <c r="GE350">
        <v>9.7678209171333652</v>
      </c>
      <c r="GF350">
        <v>11.572084184215763</v>
      </c>
      <c r="GG350">
        <v>12.89090787601425</v>
      </c>
      <c r="GH350">
        <v>4.2131388007079451</v>
      </c>
      <c r="GI350">
        <v>8.444743318245914</v>
      </c>
      <c r="GJ350"/>
      <c r="GK350"/>
      <c r="GL350"/>
      <c r="GM350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75.700438942844926</v>
      </c>
      <c r="AO351">
        <v>12.641182058709116</v>
      </c>
      <c r="AP351">
        <v>134.43738280742187</v>
      </c>
      <c r="AQ351">
        <v>79.871265123111073</v>
      </c>
      <c r="AR351">
        <v>11.849712956113088</v>
      </c>
      <c r="AS351">
        <v>64.335017302809632</v>
      </c>
      <c r="AT351" t="e">
        <v>#DIV/0!</v>
      </c>
      <c r="AU351" t="e">
        <v>#DIV/0!</v>
      </c>
      <c r="AV351"/>
      <c r="AW351"/>
      <c r="FY351" s="214">
        <v>346</v>
      </c>
      <c r="FZ351">
        <v>0.67037580796306717</v>
      </c>
      <c r="GA351">
        <v>11.313588660692767</v>
      </c>
      <c r="GB351">
        <v>8.6044242411931595</v>
      </c>
      <c r="GC351">
        <v>2.2127319585481047</v>
      </c>
      <c r="GD351">
        <v>4.6632727345160596</v>
      </c>
      <c r="GE351">
        <v>15.495348669910024</v>
      </c>
      <c r="GF351">
        <v>15.251285449785177</v>
      </c>
      <c r="GG351">
        <v>7.1499137966948281</v>
      </c>
      <c r="GH351">
        <v>11.279479286978395</v>
      </c>
      <c r="GI351">
        <v>9.777061180335723</v>
      </c>
      <c r="GJ351"/>
      <c r="GK351"/>
      <c r="GL351"/>
      <c r="GM351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99.865847719128126</v>
      </c>
      <c r="AO352">
        <v>18.933183129563322</v>
      </c>
      <c r="AP352">
        <v>98.738663078989774</v>
      </c>
      <c r="AQ352">
        <v>107.57922221586429</v>
      </c>
      <c r="AR352">
        <v>17.403380648390282</v>
      </c>
      <c r="AS352">
        <v>92.712071232367407</v>
      </c>
      <c r="AT352">
        <v>9.3700809408115884</v>
      </c>
      <c r="AU352">
        <v>14.829501348115443</v>
      </c>
      <c r="AV352"/>
      <c r="AW352"/>
      <c r="FY352" s="214">
        <v>347</v>
      </c>
      <c r="FZ352">
        <v>0.80134852619817776</v>
      </c>
      <c r="GA352">
        <v>4.3671019882443378</v>
      </c>
      <c r="GB352">
        <v>8.0816180065889078</v>
      </c>
      <c r="GC352">
        <v>4.3003451716959802</v>
      </c>
      <c r="GD352">
        <v>4.3752689231864874</v>
      </c>
      <c r="GE352">
        <v>13.326447386142087</v>
      </c>
      <c r="GF352">
        <v>19.420516773582026</v>
      </c>
      <c r="GG352">
        <v>12.083388281835589</v>
      </c>
      <c r="GH352">
        <v>5.3603986408057089</v>
      </c>
      <c r="GI352">
        <v>9.435369045001762</v>
      </c>
      <c r="GJ352"/>
      <c r="GK352"/>
      <c r="GL352"/>
      <c r="GM352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71.63664217086162</v>
      </c>
      <c r="AO353">
        <v>16.72873217743021</v>
      </c>
      <c r="AP353">
        <v>94.190828347012655</v>
      </c>
      <c r="AQ353">
        <v>91.295912024417063</v>
      </c>
      <c r="AR353">
        <v>15.220147640156268</v>
      </c>
      <c r="AS353">
        <v>80.764493265682816</v>
      </c>
      <c r="AT353" t="e">
        <v>#DIV/0!</v>
      </c>
      <c r="AU353" t="e">
        <v>#DIV/0!</v>
      </c>
      <c r="AV353"/>
      <c r="AW353"/>
      <c r="FY353" s="214">
        <v>348</v>
      </c>
      <c r="FZ353">
        <v>0.7980684757292329</v>
      </c>
      <c r="GA353">
        <v>23.628181253387393</v>
      </c>
      <c r="GB353">
        <v>14.534459267331933</v>
      </c>
      <c r="GC353">
        <v>2.0554787273221438</v>
      </c>
      <c r="GD353">
        <v>1.7957766410372558</v>
      </c>
      <c r="GE353">
        <v>4.0480780404121406</v>
      </c>
      <c r="GF353">
        <v>4.3743576161034259</v>
      </c>
      <c r="GG353">
        <v>4.8111255074899066</v>
      </c>
      <c r="GH353">
        <v>3.5728764376672766</v>
      </c>
      <c r="GI353">
        <v>6.1559602542040626</v>
      </c>
      <c r="GJ353"/>
      <c r="GK353"/>
      <c r="GL353"/>
      <c r="GM353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43.608952301918279</v>
      </c>
      <c r="AO354">
        <v>8.2447468176903183</v>
      </c>
      <c r="AP354">
        <v>69.574696338390282</v>
      </c>
      <c r="AQ354">
        <v>48.258418850107063</v>
      </c>
      <c r="AR354">
        <v>7.6744110678314783</v>
      </c>
      <c r="AS354">
        <v>37.59253770234055</v>
      </c>
      <c r="AT354">
        <v>4.3864366111721198</v>
      </c>
      <c r="AU354">
        <v>-3.1513400116339172</v>
      </c>
      <c r="AV354"/>
      <c r="AW354"/>
      <c r="FY354" s="214">
        <v>349</v>
      </c>
      <c r="FZ354">
        <v>0.55663924171955859</v>
      </c>
      <c r="GA354">
        <v>9.1929995276793388</v>
      </c>
      <c r="GB354">
        <v>8.4856351730504507</v>
      </c>
      <c r="GC354">
        <v>2.9186521344698191</v>
      </c>
      <c r="GD354">
        <v>7.2886579803777574</v>
      </c>
      <c r="GE354">
        <v>18.150535315273054</v>
      </c>
      <c r="GF354">
        <v>14.885227378890004</v>
      </c>
      <c r="GG354">
        <v>10.017921584582034</v>
      </c>
      <c r="GH354">
        <v>3.5728764376672766</v>
      </c>
      <c r="GI354">
        <v>10.222010971036632</v>
      </c>
      <c r="GJ354"/>
      <c r="GK354"/>
      <c r="GL354"/>
      <c r="GM354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82.95039004522495</v>
      </c>
      <c r="AO355">
        <v>17.306872054702051</v>
      </c>
      <c r="AP355">
        <v>76.146030790364719</v>
      </c>
      <c r="AQ355">
        <v>102.52836393944834</v>
      </c>
      <c r="AR355">
        <v>15.936803276993688</v>
      </c>
      <c r="AS355">
        <v>81.601091781351556</v>
      </c>
      <c r="AT355">
        <v>9.0609989386756951</v>
      </c>
      <c r="AU355">
        <v>26.703284725666471</v>
      </c>
      <c r="AV355"/>
      <c r="AW355"/>
      <c r="FY355" s="214">
        <v>350</v>
      </c>
      <c r="FZ355">
        <v>0.67721454211658272</v>
      </c>
      <c r="GA355">
        <v>11.380006207827863</v>
      </c>
      <c r="GB355">
        <v>8.1024095551280286</v>
      </c>
      <c r="GC355">
        <v>2.2245209199513059</v>
      </c>
      <c r="GD355">
        <v>3.0088046784206552</v>
      </c>
      <c r="GE355">
        <v>8.3228225759667964</v>
      </c>
      <c r="GF355">
        <v>21.482763090906261</v>
      </c>
      <c r="GG355">
        <v>17.59218147242316</v>
      </c>
      <c r="GH355">
        <v>5.9169126775630962</v>
      </c>
      <c r="GI355">
        <v>9.031114526367082</v>
      </c>
      <c r="GJ355"/>
      <c r="GK355"/>
      <c r="GL355"/>
      <c r="GM35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68.468409350833412</v>
      </c>
      <c r="AO356">
        <v>15.609926422354032</v>
      </c>
      <c r="AP356">
        <v>75.331725201836804</v>
      </c>
      <c r="AQ356">
        <v>84.37659682790057</v>
      </c>
      <c r="AR356">
        <v>14.381916132366687</v>
      </c>
      <c r="AS356">
        <v>68.754635908595731</v>
      </c>
      <c r="AT356">
        <v>7.7015480999586794</v>
      </c>
      <c r="AU356">
        <v>13.105486938523713</v>
      </c>
      <c r="AV356"/>
      <c r="AW356"/>
      <c r="FY356" s="214">
        <v>351</v>
      </c>
      <c r="FZ356">
        <v>1.2066764543335209</v>
      </c>
      <c r="GA356">
        <v>16.949738892098576</v>
      </c>
      <c r="GB356">
        <v>15.52491059814851</v>
      </c>
      <c r="GC356">
        <v>4.9059024938350468</v>
      </c>
      <c r="GD356">
        <v>3.8534587557076487</v>
      </c>
      <c r="GE356">
        <v>14.428832136728984</v>
      </c>
      <c r="GF356">
        <v>20.0234394543129</v>
      </c>
      <c r="GG356">
        <v>7.1965473966415283</v>
      </c>
      <c r="GH356">
        <v>1.955018855704995</v>
      </c>
      <c r="GI356">
        <v>10.67226062138527</v>
      </c>
      <c r="GJ356"/>
      <c r="GK356"/>
      <c r="GL356"/>
      <c r="GM356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83.158126299091677</v>
      </c>
      <c r="AO357">
        <v>20.179122284262913</v>
      </c>
      <c r="AP357">
        <v>120.15141906972194</v>
      </c>
      <c r="AQ357">
        <v>113.48982442091742</v>
      </c>
      <c r="AR357">
        <v>18.357510028943572</v>
      </c>
      <c r="AS357">
        <v>83.60130082765788</v>
      </c>
      <c r="AT357" t="e">
        <v>#DIV/0!</v>
      </c>
      <c r="AU357" t="e">
        <v>#DIV/0!</v>
      </c>
      <c r="AV357"/>
      <c r="AW357"/>
      <c r="FY357" s="214">
        <v>352</v>
      </c>
      <c r="FZ357">
        <v>0.53602201315482767</v>
      </c>
      <c r="GA357">
        <v>24.555158404608186</v>
      </c>
      <c r="GB357">
        <v>17.893172981393743</v>
      </c>
      <c r="GC357">
        <v>3.6282683552955177</v>
      </c>
      <c r="GD357">
        <v>3.8128725769785361</v>
      </c>
      <c r="GE357">
        <v>9.0355997549771665</v>
      </c>
      <c r="GF357">
        <v>18.355048343114831</v>
      </c>
      <c r="GG357">
        <v>21.82695758720407</v>
      </c>
      <c r="GH357">
        <v>16.470213306607953</v>
      </c>
      <c r="GI357">
        <v>13.034883279681916</v>
      </c>
      <c r="GJ357"/>
      <c r="GK357"/>
      <c r="GL357"/>
      <c r="GM357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60.615355156006999</v>
      </c>
      <c r="AO358">
        <v>10.33825376940587</v>
      </c>
      <c r="AP358">
        <v>62.888586074110464</v>
      </c>
      <c r="AQ358">
        <v>66.534019940770136</v>
      </c>
      <c r="AR358">
        <v>9.4109438696038339</v>
      </c>
      <c r="AS358">
        <v>51.347951948346299</v>
      </c>
      <c r="AT358" t="e">
        <v>#DIV/0!</v>
      </c>
      <c r="AU358" t="e">
        <v>#DIV/0!</v>
      </c>
      <c r="AV358"/>
      <c r="AW358"/>
      <c r="FY358" s="214">
        <v>353</v>
      </c>
      <c r="FZ358">
        <v>0.52991815254400609</v>
      </c>
      <c r="GA358">
        <v>10.823293961603195</v>
      </c>
      <c r="GB358">
        <v>12.395380285600002</v>
      </c>
      <c r="GC358">
        <v>4.4364220509088828</v>
      </c>
      <c r="GD358">
        <v>3.7432338453589096</v>
      </c>
      <c r="GE358">
        <v>8.4007221235541003</v>
      </c>
      <c r="GF358">
        <v>12.58714457729533</v>
      </c>
      <c r="GG358">
        <v>14.430839860427541</v>
      </c>
      <c r="GH358">
        <v>9.4897891152303728</v>
      </c>
      <c r="GI358">
        <v>9.364649390912346</v>
      </c>
      <c r="GJ358"/>
      <c r="GK358"/>
      <c r="GL358"/>
      <c r="GM358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54.952973036440426</v>
      </c>
      <c r="AO359">
        <v>12.563020687460172</v>
      </c>
      <c r="AP359">
        <v>89.723249993907672</v>
      </c>
      <c r="AQ359">
        <v>70.029778202404771</v>
      </c>
      <c r="AR359">
        <v>11.445668546691095</v>
      </c>
      <c r="AS359">
        <v>54.835852851615513</v>
      </c>
      <c r="AT359" t="e">
        <v>#DIV/0!</v>
      </c>
      <c r="AU359" t="e">
        <v>#DIV/0!</v>
      </c>
      <c r="AV359"/>
      <c r="AW359"/>
      <c r="FY359" s="214">
        <v>354</v>
      </c>
      <c r="FZ359">
        <v>1.0819852038206739</v>
      </c>
      <c r="GA359">
        <v>11.494081612581788</v>
      </c>
      <c r="GB359">
        <v>12.596397122017516</v>
      </c>
      <c r="GC359">
        <v>4.5886248307710051</v>
      </c>
      <c r="GD359">
        <v>4.1372067178037915</v>
      </c>
      <c r="GE359">
        <v>12.616740325105777</v>
      </c>
      <c r="GF359">
        <v>16.631567713673391</v>
      </c>
      <c r="GG359">
        <v>7.2550780960571792</v>
      </c>
      <c r="GH359">
        <v>3.5750444062768651</v>
      </c>
      <c r="GI359">
        <v>9.5221142008183435</v>
      </c>
      <c r="GJ359"/>
      <c r="GK359"/>
      <c r="GL359"/>
      <c r="GM359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52.678228156764263</v>
      </c>
      <c r="AO360">
        <v>11.367621671245526</v>
      </c>
      <c r="AP360">
        <v>50.183888830148689</v>
      </c>
      <c r="AQ360">
        <v>68.136774611340527</v>
      </c>
      <c r="AR360">
        <v>10.525919559389258</v>
      </c>
      <c r="AS360">
        <v>53.318745682735923</v>
      </c>
      <c r="AT360">
        <v>6.2146695719339968</v>
      </c>
      <c r="AU360">
        <v>17.926865150693491</v>
      </c>
      <c r="AV360"/>
      <c r="AW360"/>
      <c r="FY360" s="214">
        <v>355</v>
      </c>
      <c r="FZ360">
        <v>1.2634942244031833</v>
      </c>
      <c r="GA360">
        <v>24.340216291642768</v>
      </c>
      <c r="GB360">
        <v>13.520774898842701</v>
      </c>
      <c r="GC360">
        <v>1.5511551455476154</v>
      </c>
      <c r="GD360">
        <v>3.8285803986002045</v>
      </c>
      <c r="GE360">
        <v>14.345554974526308</v>
      </c>
      <c r="GF360">
        <v>22.075729266367514</v>
      </c>
      <c r="GG360">
        <v>10.024855145642722</v>
      </c>
      <c r="GH360">
        <v>0.16749665256656238</v>
      </c>
      <c r="GI360">
        <v>10.407334751018899</v>
      </c>
      <c r="GJ360"/>
      <c r="GK360"/>
      <c r="GL360"/>
      <c r="GM360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66.456855027489397</v>
      </c>
      <c r="AO361">
        <v>12.985290045115192</v>
      </c>
      <c r="AP361">
        <v>63.693996415010403</v>
      </c>
      <c r="AQ361">
        <v>78.722569028159967</v>
      </c>
      <c r="AR361">
        <v>11.829549780922932</v>
      </c>
      <c r="AS361">
        <v>62.650268554910618</v>
      </c>
      <c r="AT361" t="e">
        <v>#DIV/0!</v>
      </c>
      <c r="AU361" t="e">
        <v>#DIV/0!</v>
      </c>
      <c r="AV361"/>
      <c r="AW361"/>
      <c r="FY361" s="214">
        <v>356</v>
      </c>
      <c r="FZ361">
        <v>0.7980684757292329</v>
      </c>
      <c r="GA361">
        <v>12.155193166564768</v>
      </c>
      <c r="GB361">
        <v>10.80877280313714</v>
      </c>
      <c r="GC361">
        <v>3.4151543267515292</v>
      </c>
      <c r="GD361">
        <v>4.845902685954619</v>
      </c>
      <c r="GE361">
        <v>13.609506657292103</v>
      </c>
      <c r="GF361">
        <v>17.665326691951844</v>
      </c>
      <c r="GG361">
        <v>12.768739502596913</v>
      </c>
      <c r="GH361">
        <v>6.0844093301296587</v>
      </c>
      <c r="GI361">
        <v>10.385756917354989</v>
      </c>
      <c r="GJ361"/>
      <c r="GK361"/>
      <c r="GL361"/>
      <c r="GM361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71.77863976392544</v>
      </c>
      <c r="AO362">
        <v>14.154075075121417</v>
      </c>
      <c r="AP362">
        <v>66.274991873630199</v>
      </c>
      <c r="AQ362">
        <v>86.417481786617316</v>
      </c>
      <c r="AR362">
        <v>13.581511290441194</v>
      </c>
      <c r="AS362">
        <v>74.271509682784625</v>
      </c>
      <c r="AT362" t="e">
        <v>#DIV/0!</v>
      </c>
      <c r="AU362" t="e">
        <v>#DIV/0!</v>
      </c>
      <c r="AV362"/>
      <c r="AW362"/>
      <c r="FY362" s="214">
        <v>357</v>
      </c>
      <c r="FZ362">
        <v>0.90759355060730629</v>
      </c>
      <c r="GA362">
        <v>10.034764600311627</v>
      </c>
      <c r="GB362">
        <v>5.3708097005308115</v>
      </c>
      <c r="GC362">
        <v>0.96360406801275855</v>
      </c>
      <c r="GD362">
        <v>2.8330894592368852</v>
      </c>
      <c r="GE362">
        <v>8.6294853530961237</v>
      </c>
      <c r="GF362">
        <v>10.351398163560114</v>
      </c>
      <c r="GG362">
        <v>4.4296522015297413</v>
      </c>
      <c r="GH362">
        <v>2.5952812187456633</v>
      </c>
      <c r="GI362">
        <v>5.5285106852159238</v>
      </c>
      <c r="GJ362"/>
      <c r="GK362"/>
      <c r="GL362"/>
      <c r="GM362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76.534617821434082</v>
      </c>
      <c r="AO363">
        <v>14.327087606451045</v>
      </c>
      <c r="AP363">
        <v>70.037788467931492</v>
      </c>
      <c r="AQ363">
        <v>81.551802743281058</v>
      </c>
      <c r="AR363">
        <v>13.216021081924577</v>
      </c>
      <c r="AS363">
        <v>69.609565284673266</v>
      </c>
      <c r="AT363">
        <v>7.4060645800960891</v>
      </c>
      <c r="AU363">
        <v>19.896440035996584</v>
      </c>
      <c r="AV363"/>
      <c r="AW363"/>
      <c r="FY363" s="214">
        <v>358</v>
      </c>
      <c r="FZ363">
        <v>0.68359703594303034</v>
      </c>
      <c r="GA363">
        <v>3.1820443487783976</v>
      </c>
      <c r="GB363">
        <v>5.3544849079491001</v>
      </c>
      <c r="GC363">
        <v>2.7654611137601357</v>
      </c>
      <c r="GD363">
        <v>1.7301948982389472</v>
      </c>
      <c r="GE363">
        <v>5.3356603740493806</v>
      </c>
      <c r="GF363">
        <v>16.076096831781939</v>
      </c>
      <c r="GG363">
        <v>16.233709700606767</v>
      </c>
      <c r="GH363">
        <v>8.9332750784729846</v>
      </c>
      <c r="GI363">
        <v>7.0576200821992883</v>
      </c>
      <c r="GJ363"/>
      <c r="GK363"/>
      <c r="GL363"/>
      <c r="GM363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64.85825483979815</v>
      </c>
      <c r="AO364">
        <v>9.2606876656032888</v>
      </c>
      <c r="AP364">
        <v>18.425091343446692</v>
      </c>
      <c r="AQ364">
        <v>65.774362220684779</v>
      </c>
      <c r="AR364">
        <v>8.4435476177302906</v>
      </c>
      <c r="AS364">
        <v>50.215087796560141</v>
      </c>
      <c r="AT364" t="e">
        <v>#DIV/0!</v>
      </c>
      <c r="AU364" t="e">
        <v>#DIV/0!</v>
      </c>
      <c r="AV364"/>
      <c r="AW364"/>
      <c r="FY364" s="214">
        <v>359</v>
      </c>
      <c r="FZ364">
        <v>0.60051441702488351</v>
      </c>
      <c r="GA364">
        <v>8.1138429937808922</v>
      </c>
      <c r="GB364">
        <v>8.9627680981398932</v>
      </c>
      <c r="GC364">
        <v>3.5948024538409502</v>
      </c>
      <c r="GD364">
        <v>4.1351520546829121</v>
      </c>
      <c r="GE364">
        <v>9.0971274560462128</v>
      </c>
      <c r="GF364">
        <v>8.6837415562086484</v>
      </c>
      <c r="GG364">
        <v>5.5953843648664305</v>
      </c>
      <c r="GH364">
        <v>2.9842986029364886</v>
      </c>
      <c r="GI364">
        <v>6.9541075571198991</v>
      </c>
      <c r="GJ364"/>
      <c r="GK364"/>
      <c r="GL364"/>
      <c r="GM364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76.91122740611452</v>
      </c>
      <c r="AO365">
        <v>15.822253640030414</v>
      </c>
      <c r="AP365">
        <v>94.896002299633949</v>
      </c>
      <c r="AQ365">
        <v>85.291155744745936</v>
      </c>
      <c r="AR365">
        <v>14.384833110254919</v>
      </c>
      <c r="AS365">
        <v>74.146040079634787</v>
      </c>
      <c r="AT365" t="e">
        <v>#DIV/0!</v>
      </c>
      <c r="AU365" t="e">
        <v>#DIV/0!</v>
      </c>
      <c r="AV365"/>
      <c r="AW365"/>
      <c r="FY365" s="214">
        <v>360</v>
      </c>
      <c r="FZ365">
        <v>1.2634942244031833</v>
      </c>
      <c r="GA365">
        <v>15.850462289604982</v>
      </c>
      <c r="GB365">
        <v>9.6294336381481127</v>
      </c>
      <c r="GC365">
        <v>1.6715178774761255</v>
      </c>
      <c r="GD365">
        <v>1.7567214706307448</v>
      </c>
      <c r="GE365">
        <v>6.6457311464932465</v>
      </c>
      <c r="GF365">
        <v>20.45855235014433</v>
      </c>
      <c r="GG365">
        <v>14.615271154253989</v>
      </c>
      <c r="GH365">
        <v>1.1130280735147748</v>
      </c>
      <c r="GI365">
        <v>8.0977153019958443</v>
      </c>
      <c r="GJ365"/>
      <c r="GK365"/>
      <c r="GL365"/>
      <c r="GM36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74.72098914844284</v>
      </c>
      <c r="AO366">
        <v>13.680048493589558</v>
      </c>
      <c r="AP366">
        <v>64.464532035110977</v>
      </c>
      <c r="AQ366">
        <v>87.738750246670818</v>
      </c>
      <c r="AR366">
        <v>12.62780370659595</v>
      </c>
      <c r="AS366">
        <v>66.66647948056098</v>
      </c>
      <c r="AT366">
        <v>7.4371916316417819</v>
      </c>
      <c r="AU366">
        <v>21.63996686942658</v>
      </c>
      <c r="AV366"/>
      <c r="AW366"/>
      <c r="FY366" s="214">
        <v>361</v>
      </c>
      <c r="FZ366">
        <v>0.94892354898638043</v>
      </c>
      <c r="GA366">
        <v>5.723661304300065</v>
      </c>
      <c r="GB366">
        <v>6.6165645987770203</v>
      </c>
      <c r="GC366">
        <v>3.1551061905272988</v>
      </c>
      <c r="GD366">
        <v>2.2160666023799775</v>
      </c>
      <c r="GE366">
        <v>4.9406424443431529</v>
      </c>
      <c r="GF366">
        <v>11.763926859389922</v>
      </c>
      <c r="GG366">
        <v>11.393067288932734</v>
      </c>
      <c r="GH366">
        <v>5.9169126775630962</v>
      </c>
      <c r="GI366">
        <v>6.4158746682148875</v>
      </c>
      <c r="GJ366"/>
      <c r="GK366"/>
      <c r="GL366"/>
      <c r="GM366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79.455976278922549</v>
      </c>
      <c r="AO367">
        <v>16.268636962490064</v>
      </c>
      <c r="AP367">
        <v>89.650456216055574</v>
      </c>
      <c r="AQ367">
        <v>96.716785658896981</v>
      </c>
      <c r="AR367">
        <v>14.968212544164579</v>
      </c>
      <c r="AS367">
        <v>74.819710650460493</v>
      </c>
      <c r="AT367" t="e">
        <v>#DIV/0!</v>
      </c>
      <c r="AU367" t="e">
        <v>#DIV/0!</v>
      </c>
      <c r="AV367"/>
      <c r="AW367"/>
      <c r="FY367" s="214">
        <v>362</v>
      </c>
      <c r="FZ367">
        <v>0.34485044827692601</v>
      </c>
      <c r="GA367">
        <v>18.209024689710237</v>
      </c>
      <c r="GB367">
        <v>14.713164884531118</v>
      </c>
      <c r="GC367">
        <v>3.6695932042547463</v>
      </c>
      <c r="GD367">
        <v>2.0767345808204749</v>
      </c>
      <c r="GE367">
        <v>10.595417824230765</v>
      </c>
      <c r="GF367">
        <v>19.213892741228406</v>
      </c>
      <c r="GG367">
        <v>9.3822879840859876</v>
      </c>
      <c r="GH367">
        <v>5.4441469670889902</v>
      </c>
      <c r="GI367">
        <v>9.4177148243530588</v>
      </c>
      <c r="GJ367"/>
      <c r="GK367"/>
      <c r="GL367"/>
      <c r="GM367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92.188408874383427</v>
      </c>
      <c r="AO368">
        <v>19.376096502200603</v>
      </c>
      <c r="AP368">
        <v>56.122482089510179</v>
      </c>
      <c r="AQ368">
        <v>129.14819660301674</v>
      </c>
      <c r="AR368">
        <v>18.162470215650188</v>
      </c>
      <c r="AS368">
        <v>94.951503971208396</v>
      </c>
      <c r="AT368">
        <v>10.908098779110587</v>
      </c>
      <c r="AU368">
        <v>-22.457274432155561</v>
      </c>
      <c r="AV368"/>
      <c r="AW368"/>
      <c r="FY368" s="214">
        <v>363</v>
      </c>
      <c r="FZ368">
        <v>0.48604297723868106</v>
      </c>
      <c r="GA368">
        <v>3.1588526278917017</v>
      </c>
      <c r="GB368">
        <v>2.0053313236484582</v>
      </c>
      <c r="GC368">
        <v>1.0249408332584293</v>
      </c>
      <c r="GD368">
        <v>1.0161044634821348</v>
      </c>
      <c r="GE368">
        <v>6.0350761052985407</v>
      </c>
      <c r="GF368">
        <v>17.199179602770769</v>
      </c>
      <c r="GG368">
        <v>8.5480856073972369</v>
      </c>
      <c r="GH368">
        <v>0.55651403675738742</v>
      </c>
      <c r="GI368">
        <v>4.4686792149412318</v>
      </c>
      <c r="GJ368"/>
      <c r="GK368"/>
      <c r="GL368"/>
      <c r="GM368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60.617948944304054</v>
      </c>
      <c r="AO369">
        <v>14.134514978198974</v>
      </c>
      <c r="AP369">
        <v>47.275946276340854</v>
      </c>
      <c r="AQ369">
        <v>86.201393363434676</v>
      </c>
      <c r="AR369">
        <v>13.040633001316634</v>
      </c>
      <c r="AS369">
        <v>67.460115507054084</v>
      </c>
      <c r="AT369">
        <v>7.4368746102753631</v>
      </c>
      <c r="AU369">
        <v>10.203672576694766</v>
      </c>
      <c r="AV369"/>
      <c r="AW369"/>
      <c r="FY369" s="214">
        <v>364</v>
      </c>
      <c r="FZ369">
        <v>0.99534390121795624</v>
      </c>
      <c r="GA369">
        <v>5.0664780869113297</v>
      </c>
      <c r="GB369">
        <v>5.892299890332664</v>
      </c>
      <c r="GC369">
        <v>2.958744896037957</v>
      </c>
      <c r="GD369">
        <v>8.274313512354464</v>
      </c>
      <c r="GE369">
        <v>23.53000484157025</v>
      </c>
      <c r="GF369">
        <v>24.198049369617987</v>
      </c>
      <c r="GG369">
        <v>16.202725084300283</v>
      </c>
      <c r="GH369">
        <v>8.1750326225660466</v>
      </c>
      <c r="GI369">
        <v>12.561557740770709</v>
      </c>
      <c r="GJ369"/>
      <c r="GK369"/>
      <c r="GL369"/>
      <c r="GM369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74.547558167665372</v>
      </c>
      <c r="AO370">
        <v>14.118044546443627</v>
      </c>
      <c r="AP370">
        <v>108.1919490161271</v>
      </c>
      <c r="AQ370">
        <v>83.498840228926326</v>
      </c>
      <c r="AR370">
        <v>13.216089701917214</v>
      </c>
      <c r="AS370">
        <v>74.74080870824676</v>
      </c>
      <c r="AT370" t="e">
        <v>#DIV/0!</v>
      </c>
      <c r="AU370" t="e">
        <v>#DIV/0!</v>
      </c>
      <c r="AV370"/>
      <c r="AW370"/>
      <c r="FY370" s="214">
        <v>365</v>
      </c>
      <c r="FZ370">
        <v>1.2450479982994644</v>
      </c>
      <c r="GA370">
        <v>6.2263655665189592</v>
      </c>
      <c r="GB370">
        <v>10.92028188592327</v>
      </c>
      <c r="GC370">
        <v>5.3764370301844</v>
      </c>
      <c r="GD370">
        <v>2.1717433817634428</v>
      </c>
      <c r="GE370">
        <v>5.1265903308971001</v>
      </c>
      <c r="GF370">
        <v>13.232360409019918</v>
      </c>
      <c r="GG370">
        <v>12.356709873786954</v>
      </c>
      <c r="GH370">
        <v>4.1293904744246639</v>
      </c>
      <c r="GI370">
        <v>7.5335913437322857</v>
      </c>
      <c r="GJ370"/>
      <c r="GK370"/>
      <c r="GL370"/>
      <c r="GM370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84.567226421305378</v>
      </c>
      <c r="AO371">
        <v>16.187030636320575</v>
      </c>
      <c r="AP371">
        <v>92.906303102373585</v>
      </c>
      <c r="AQ371">
        <v>101.52519174915847</v>
      </c>
      <c r="AR371">
        <v>14.715482396655066</v>
      </c>
      <c r="AS371">
        <v>76.736087150218381</v>
      </c>
      <c r="AT371" t="e">
        <v>#DIV/0!</v>
      </c>
      <c r="AU371" t="e">
        <v>#DIV/0!</v>
      </c>
      <c r="AV371"/>
      <c r="AW371"/>
      <c r="FY371" s="214">
        <v>366</v>
      </c>
      <c r="FZ371">
        <v>0.68331840272740441</v>
      </c>
      <c r="GA371">
        <v>10.915156547073623</v>
      </c>
      <c r="GB371">
        <v>7.9430243157653253</v>
      </c>
      <c r="GC371">
        <v>2.2057607771638716</v>
      </c>
      <c r="GD371">
        <v>4.410392808159199</v>
      </c>
      <c r="GE371">
        <v>11.378671622047358</v>
      </c>
      <c r="GF371">
        <v>15.431453831313879</v>
      </c>
      <c r="GG371">
        <v>12.411752240927536</v>
      </c>
      <c r="GH371">
        <v>4.0456421481413827</v>
      </c>
      <c r="GI371">
        <v>8.6613207725385308</v>
      </c>
      <c r="GJ371"/>
      <c r="GK371"/>
      <c r="GL371"/>
      <c r="GM371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1.0628342212155094E-3</v>
      </c>
      <c r="H372" s="59">
        <f t="shared" ref="H372:AK372" si="377">+H36</f>
        <v>6.8018000000000002E-3</v>
      </c>
      <c r="I372" s="59">
        <f t="shared" si="377"/>
        <v>4.3529350407149732E-2</v>
      </c>
      <c r="J372" s="59">
        <f t="shared" si="377"/>
        <v>0.12893017672014584</v>
      </c>
      <c r="K372" s="59">
        <f t="shared" si="377"/>
        <v>0.27857395790355882</v>
      </c>
      <c r="L372" s="59">
        <f t="shared" si="377"/>
        <v>0.50636715682427036</v>
      </c>
      <c r="M372" s="59">
        <f t="shared" si="377"/>
        <v>0.82511200572009868</v>
      </c>
      <c r="N372" s="59">
        <f t="shared" si="377"/>
        <v>1.2467988957258624</v>
      </c>
      <c r="O372" s="59">
        <f t="shared" si="377"/>
        <v>1.7827844729175482</v>
      </c>
      <c r="P372" s="59">
        <f t="shared" si="377"/>
        <v>2.4439105044382416</v>
      </c>
      <c r="Q372" s="59">
        <f t="shared" si="377"/>
        <v>3.2405882860530784</v>
      </c>
      <c r="R372" s="59">
        <f t="shared" si="377"/>
        <v>4.1828613448324496</v>
      </c>
      <c r="S372" s="59">
        <f t="shared" si="377"/>
        <v>5.2804536478779598</v>
      </c>
      <c r="T372" s="59">
        <f t="shared" si="377"/>
        <v>6.5428076873601926</v>
      </c>
      <c r="U372" s="59">
        <f t="shared" si="377"/>
        <v>7.9791152370399594</v>
      </c>
      <c r="V372" s="59">
        <f t="shared" si="377"/>
        <v>9.5983426467451238</v>
      </c>
      <c r="W372" s="59">
        <f t="shared" si="377"/>
        <v>11.409251965958095</v>
      </c>
      <c r="X372" s="59">
        <f t="shared" si="377"/>
        <v>13.420418816457433</v>
      </c>
      <c r="Y372" s="59">
        <f t="shared" si="377"/>
        <v>15.640247686113412</v>
      </c>
      <c r="Z372" s="59">
        <f t="shared" si="377"/>
        <v>18.076985145572394</v>
      </c>
      <c r="AA372" s="59">
        <f t="shared" si="377"/>
        <v>20.738731369477062</v>
      </c>
      <c r="AB372" s="59">
        <f t="shared" si="377"/>
        <v>23.633450257346329</v>
      </c>
      <c r="AC372" s="59">
        <f t="shared" si="377"/>
        <v>26.768978385682214</v>
      </c>
      <c r="AD372" s="59">
        <f t="shared" si="377"/>
        <v>30.153032975381233</v>
      </c>
      <c r="AE372" s="59">
        <f t="shared" si="377"/>
        <v>33.793219022492863</v>
      </c>
      <c r="AF372" s="59">
        <f t="shared" si="377"/>
        <v>37.697035712648905</v>
      </c>
      <c r="AG372" s="59">
        <f t="shared" si="377"/>
        <v>41.871882217897436</v>
      </c>
      <c r="AH372" s="59">
        <f t="shared" si="377"/>
        <v>46.32506295766467</v>
      </c>
      <c r="AI372" s="59">
        <f t="shared" si="377"/>
        <v>51.063792392034465</v>
      </c>
      <c r="AJ372" s="59">
        <f t="shared" si="377"/>
        <v>56.095199404656171</v>
      </c>
      <c r="AK372" s="59">
        <f t="shared" si="377"/>
        <v>61.426331323775749</v>
      </c>
      <c r="AL372" s="78"/>
      <c r="AM372" s="43">
        <v>356</v>
      </c>
      <c r="AN372">
        <v>72.895949705232866</v>
      </c>
      <c r="AO372">
        <v>15.95621825143426</v>
      </c>
      <c r="AP372">
        <v>79.542551873052105</v>
      </c>
      <c r="AQ372">
        <v>92.536830557462793</v>
      </c>
      <c r="AR372">
        <v>14.708936183113877</v>
      </c>
      <c r="AS372">
        <v>72.239378338422156</v>
      </c>
      <c r="AT372">
        <v>7.8137304118135988</v>
      </c>
      <c r="AU372">
        <v>26.290241013974317</v>
      </c>
      <c r="AV372"/>
      <c r="AW372"/>
      <c r="FY372" s="214">
        <v>367</v>
      </c>
      <c r="FZ372">
        <v>0.75645984413453271</v>
      </c>
      <c r="GA372">
        <v>8.6932781080532173</v>
      </c>
      <c r="GB372">
        <v>12.474175628913228</v>
      </c>
      <c r="GC372">
        <v>5.3196671010177674</v>
      </c>
      <c r="GD372">
        <v>6.0953871923309242</v>
      </c>
      <c r="GE372">
        <v>13.840406662775338</v>
      </c>
      <c r="GF372">
        <v>16.489214942319744</v>
      </c>
      <c r="GG372">
        <v>11.788797623119965</v>
      </c>
      <c r="GH372">
        <v>0.72401068932394974</v>
      </c>
      <c r="GI372">
        <v>10.322159698420467</v>
      </c>
      <c r="GJ372"/>
      <c r="GK372"/>
      <c r="GL372"/>
      <c r="GM372"/>
    </row>
    <row r="373" spans="1:195" s="7" customFormat="1">
      <c r="A373" s="95"/>
      <c r="B373" s="71">
        <f t="shared" ref="B373:B378" si="378">+C4</f>
        <v>39646</v>
      </c>
      <c r="C373" s="18">
        <f t="shared" ref="C373:C382" si="379">+D70</f>
        <v>4.1666666666666661</v>
      </c>
      <c r="D373" s="18">
        <f t="shared" ref="D373:D382" si="380">SUM(G373:AK373)</f>
        <v>0.2827749515003038</v>
      </c>
      <c r="E373" s="19">
        <f t="shared" ref="E373:E382" si="381">IF(C373&lt;1, 0.000001, D373/C373)</f>
        <v>6.7865988360072918E-2</v>
      </c>
      <c r="F373" s="19"/>
      <c r="G373" s="18">
        <f>AVERAGE(E228:E237)*G$372</f>
        <v>0</v>
      </c>
      <c r="H373" s="18">
        <f t="shared" ref="H373:AK373" si="382">AVERAGE(F228:F237)*H$372</f>
        <v>1.4170416666666664E-2</v>
      </c>
      <c r="I373" s="18">
        <f t="shared" si="382"/>
        <v>0</v>
      </c>
      <c r="J373" s="18">
        <f t="shared" si="382"/>
        <v>0.26860453483363711</v>
      </c>
      <c r="K373" s="18">
        <f t="shared" si="382"/>
        <v>0</v>
      </c>
      <c r="L373" s="18">
        <f t="shared" si="382"/>
        <v>0</v>
      </c>
      <c r="M373" s="18">
        <f t="shared" si="382"/>
        <v>0</v>
      </c>
      <c r="N373" s="18">
        <f t="shared" si="382"/>
        <v>0</v>
      </c>
      <c r="O373" s="18">
        <f t="shared" si="382"/>
        <v>0</v>
      </c>
      <c r="P373" s="18">
        <f t="shared" si="382"/>
        <v>0</v>
      </c>
      <c r="Q373" s="18">
        <f t="shared" si="382"/>
        <v>0</v>
      </c>
      <c r="R373" s="18">
        <f t="shared" si="382"/>
        <v>0</v>
      </c>
      <c r="S373" s="18">
        <f t="shared" si="382"/>
        <v>0</v>
      </c>
      <c r="T373" s="18">
        <f t="shared" si="382"/>
        <v>0</v>
      </c>
      <c r="U373" s="18">
        <f t="shared" si="382"/>
        <v>0</v>
      </c>
      <c r="V373" s="18">
        <f t="shared" si="382"/>
        <v>0</v>
      </c>
      <c r="W373" s="18">
        <f t="shared" si="382"/>
        <v>0</v>
      </c>
      <c r="X373" s="18">
        <f t="shared" si="382"/>
        <v>0</v>
      </c>
      <c r="Y373" s="18">
        <f t="shared" si="382"/>
        <v>0</v>
      </c>
      <c r="Z373" s="18">
        <f t="shared" si="382"/>
        <v>0</v>
      </c>
      <c r="AA373" s="18">
        <f t="shared" si="382"/>
        <v>0</v>
      </c>
      <c r="AB373" s="18">
        <f t="shared" si="382"/>
        <v>0</v>
      </c>
      <c r="AC373" s="18">
        <f t="shared" si="382"/>
        <v>0</v>
      </c>
      <c r="AD373" s="18">
        <f t="shared" si="382"/>
        <v>0</v>
      </c>
      <c r="AE373" s="18">
        <f t="shared" si="382"/>
        <v>0</v>
      </c>
      <c r="AF373" s="18">
        <f t="shared" si="382"/>
        <v>0</v>
      </c>
      <c r="AG373" s="18">
        <f t="shared" si="382"/>
        <v>0</v>
      </c>
      <c r="AH373" s="18">
        <f t="shared" si="382"/>
        <v>0</v>
      </c>
      <c r="AI373" s="18">
        <f t="shared" si="382"/>
        <v>0</v>
      </c>
      <c r="AJ373" s="18">
        <f t="shared" si="382"/>
        <v>0</v>
      </c>
      <c r="AK373" s="18">
        <f t="shared" si="382"/>
        <v>0</v>
      </c>
      <c r="AL373" s="78"/>
      <c r="AM373" s="43">
        <v>357</v>
      </c>
      <c r="AN373">
        <v>56.137089731731734</v>
      </c>
      <c r="AO373">
        <v>8.1904764457653432</v>
      </c>
      <c r="AP373">
        <v>31.124703317296522</v>
      </c>
      <c r="AQ373">
        <v>51.64418900084695</v>
      </c>
      <c r="AR373">
        <v>7.6372836631193932</v>
      </c>
      <c r="AS373">
        <v>45.10640635710697</v>
      </c>
      <c r="AT373">
        <v>4.4921133012087369</v>
      </c>
      <c r="AU373">
        <v>3.3017535396422701</v>
      </c>
      <c r="AV373"/>
      <c r="AW373"/>
      <c r="FY373" s="214">
        <v>368</v>
      </c>
      <c r="FZ373">
        <v>1.2002939605070733</v>
      </c>
      <c r="GA373">
        <v>10.94872048249834</v>
      </c>
      <c r="GB373">
        <v>5.6395486678776479</v>
      </c>
      <c r="GC373">
        <v>0.93777436190119579</v>
      </c>
      <c r="GD373">
        <v>0.73380994577328473</v>
      </c>
      <c r="GE373">
        <v>8.0194844553783149</v>
      </c>
      <c r="GF373">
        <v>21.498480656504832</v>
      </c>
      <c r="GG373">
        <v>14.679631021382638</v>
      </c>
      <c r="GH373">
        <v>12.897336868940677</v>
      </c>
      <c r="GI373">
        <v>8.2455231531231927</v>
      </c>
      <c r="GJ373"/>
      <c r="GK373"/>
      <c r="GL373"/>
      <c r="GM373"/>
    </row>
    <row r="374" spans="1:195" s="7" customFormat="1">
      <c r="A374" s="95"/>
      <c r="B374" s="71">
        <f t="shared" si="378"/>
        <v>39673</v>
      </c>
      <c r="C374" s="18">
        <f t="shared" si="379"/>
        <v>14.583333333333332</v>
      </c>
      <c r="D374" s="18">
        <f t="shared" si="380"/>
        <v>2.1919896213009036</v>
      </c>
      <c r="E374" s="19">
        <f t="shared" si="381"/>
        <v>0.15030785974634769</v>
      </c>
      <c r="F374" s="19">
        <f>IF(F388&lt;0,0,F388)</f>
        <v>2.9450021772196203E-2</v>
      </c>
      <c r="G374" s="18">
        <f>AVERAGE(E238:E247)*G$372</f>
        <v>0</v>
      </c>
      <c r="H374" s="18">
        <f t="shared" ref="H374:AK374" si="383">AVERAGE(F238:F247)*H$372</f>
        <v>0</v>
      </c>
      <c r="I374" s="18">
        <f t="shared" si="383"/>
        <v>0</v>
      </c>
      <c r="J374" s="18">
        <f t="shared" si="383"/>
        <v>1.6116272090018227</v>
      </c>
      <c r="K374" s="18">
        <f t="shared" si="383"/>
        <v>0.58036241229908081</v>
      </c>
      <c r="L374" s="18">
        <f t="shared" si="383"/>
        <v>0</v>
      </c>
      <c r="M374" s="18">
        <f t="shared" si="383"/>
        <v>0</v>
      </c>
      <c r="N374" s="18">
        <f t="shared" si="383"/>
        <v>0</v>
      </c>
      <c r="O374" s="18">
        <f t="shared" si="383"/>
        <v>0</v>
      </c>
      <c r="P374" s="18">
        <f t="shared" si="383"/>
        <v>0</v>
      </c>
      <c r="Q374" s="18">
        <f t="shared" si="383"/>
        <v>0</v>
      </c>
      <c r="R374" s="18">
        <f t="shared" si="383"/>
        <v>0</v>
      </c>
      <c r="S374" s="18">
        <f t="shared" si="383"/>
        <v>0</v>
      </c>
      <c r="T374" s="18">
        <f t="shared" si="383"/>
        <v>0</v>
      </c>
      <c r="U374" s="18">
        <f t="shared" si="383"/>
        <v>0</v>
      </c>
      <c r="V374" s="18">
        <f t="shared" si="383"/>
        <v>0</v>
      </c>
      <c r="W374" s="18">
        <f t="shared" si="383"/>
        <v>0</v>
      </c>
      <c r="X374" s="18">
        <f t="shared" si="383"/>
        <v>0</v>
      </c>
      <c r="Y374" s="18">
        <f t="shared" si="383"/>
        <v>0</v>
      </c>
      <c r="Z374" s="18">
        <f t="shared" si="383"/>
        <v>0</v>
      </c>
      <c r="AA374" s="18">
        <f t="shared" si="383"/>
        <v>0</v>
      </c>
      <c r="AB374" s="18">
        <f t="shared" si="383"/>
        <v>0</v>
      </c>
      <c r="AC374" s="18">
        <f t="shared" si="383"/>
        <v>0</v>
      </c>
      <c r="AD374" s="18">
        <f t="shared" si="383"/>
        <v>0</v>
      </c>
      <c r="AE374" s="18">
        <f t="shared" si="383"/>
        <v>0</v>
      </c>
      <c r="AF374" s="18">
        <f t="shared" si="383"/>
        <v>0</v>
      </c>
      <c r="AG374" s="18">
        <f t="shared" si="383"/>
        <v>0</v>
      </c>
      <c r="AH374" s="18">
        <f t="shared" si="383"/>
        <v>0</v>
      </c>
      <c r="AI374" s="18">
        <f t="shared" si="383"/>
        <v>0</v>
      </c>
      <c r="AJ374" s="18">
        <f t="shared" si="383"/>
        <v>0</v>
      </c>
      <c r="AK374" s="18">
        <f t="shared" si="383"/>
        <v>0</v>
      </c>
      <c r="AL374" s="78"/>
      <c r="AM374" s="43">
        <v>358</v>
      </c>
      <c r="AN374">
        <v>47.326220448442825</v>
      </c>
      <c r="AO374">
        <v>10.714831066982338</v>
      </c>
      <c r="AP374">
        <v>38.73683489939782</v>
      </c>
      <c r="AQ374">
        <v>67.352144371779971</v>
      </c>
      <c r="AR374">
        <v>9.9196201486272511</v>
      </c>
      <c r="AS374">
        <v>48.507884774412027</v>
      </c>
      <c r="AT374">
        <v>5.8508581654616849</v>
      </c>
      <c r="AU374">
        <v>12.256424129806605</v>
      </c>
      <c r="AV374"/>
      <c r="AW374"/>
      <c r="FY374" s="214">
        <v>369</v>
      </c>
      <c r="FZ374">
        <v>0.93824749793266793</v>
      </c>
      <c r="GA374">
        <v>15.590765691833919</v>
      </c>
      <c r="GB374">
        <v>12.399854350239487</v>
      </c>
      <c r="GC374">
        <v>3.2626450791431125</v>
      </c>
      <c r="GD374">
        <v>3.0511411142945821</v>
      </c>
      <c r="GE374">
        <v>8.4870871661017837</v>
      </c>
      <c r="GF374">
        <v>16.161956110343091</v>
      </c>
      <c r="GG374">
        <v>12.662129032990354</v>
      </c>
      <c r="GH374">
        <v>5.9169126775630962</v>
      </c>
      <c r="GI374">
        <v>9.0327771015681009</v>
      </c>
      <c r="GJ374"/>
      <c r="GK374"/>
      <c r="GL374"/>
      <c r="GM374"/>
    </row>
    <row r="375" spans="1:195" s="7" customFormat="1">
      <c r="A375" s="95"/>
      <c r="B375" s="71">
        <f t="shared" si="378"/>
        <v>39714</v>
      </c>
      <c r="C375" s="18">
        <f t="shared" si="379"/>
        <v>35.416666666666664</v>
      </c>
      <c r="D375" s="18">
        <f t="shared" si="380"/>
        <v>9.4954125531675846</v>
      </c>
      <c r="E375" s="19">
        <f t="shared" si="381"/>
        <v>0.26810576620708476</v>
      </c>
      <c r="F375" s="19">
        <f>IF(F389&lt;0,0,F389)</f>
        <v>1.4114535696835415E-2</v>
      </c>
      <c r="G375" s="18">
        <f>AVERAGE(E248:E257)*G$372</f>
        <v>0</v>
      </c>
      <c r="H375" s="18">
        <f t="shared" ref="H375:AK375" si="384">AVERAGE(F248:F257)*H$372</f>
        <v>0</v>
      </c>
      <c r="I375" s="18">
        <f t="shared" si="384"/>
        <v>0.27205844004468582</v>
      </c>
      <c r="J375" s="18">
        <f t="shared" si="384"/>
        <v>1.3430226741681857</v>
      </c>
      <c r="K375" s="18">
        <f t="shared" si="384"/>
        <v>3.1919932676449445</v>
      </c>
      <c r="L375" s="18">
        <f t="shared" si="384"/>
        <v>2.1098631534344596</v>
      </c>
      <c r="M375" s="18">
        <f t="shared" si="384"/>
        <v>2.5784750178753084</v>
      </c>
      <c r="N375" s="18">
        <f t="shared" si="384"/>
        <v>0</v>
      </c>
      <c r="O375" s="18">
        <f t="shared" si="384"/>
        <v>0</v>
      </c>
      <c r="P375" s="18">
        <f t="shared" si="384"/>
        <v>0</v>
      </c>
      <c r="Q375" s="18">
        <f t="shared" si="384"/>
        <v>0</v>
      </c>
      <c r="R375" s="18">
        <f t="shared" si="384"/>
        <v>0</v>
      </c>
      <c r="S375" s="18">
        <f t="shared" si="384"/>
        <v>0</v>
      </c>
      <c r="T375" s="18">
        <f t="shared" si="384"/>
        <v>0</v>
      </c>
      <c r="U375" s="18">
        <f t="shared" si="384"/>
        <v>0</v>
      </c>
      <c r="V375" s="18">
        <f t="shared" si="384"/>
        <v>0</v>
      </c>
      <c r="W375" s="18">
        <f t="shared" si="384"/>
        <v>0</v>
      </c>
      <c r="X375" s="18">
        <f t="shared" si="384"/>
        <v>0</v>
      </c>
      <c r="Y375" s="18">
        <f t="shared" si="384"/>
        <v>0</v>
      </c>
      <c r="Z375" s="18">
        <f t="shared" si="384"/>
        <v>0</v>
      </c>
      <c r="AA375" s="18">
        <f t="shared" si="384"/>
        <v>0</v>
      </c>
      <c r="AB375" s="18">
        <f t="shared" si="384"/>
        <v>0</v>
      </c>
      <c r="AC375" s="18">
        <f t="shared" si="384"/>
        <v>0</v>
      </c>
      <c r="AD375" s="18">
        <f t="shared" si="384"/>
        <v>0</v>
      </c>
      <c r="AE375" s="18">
        <f t="shared" si="384"/>
        <v>0</v>
      </c>
      <c r="AF375" s="18">
        <f t="shared" si="384"/>
        <v>0</v>
      </c>
      <c r="AG375" s="18">
        <f t="shared" si="384"/>
        <v>0</v>
      </c>
      <c r="AH375" s="18">
        <f t="shared" si="384"/>
        <v>0</v>
      </c>
      <c r="AI375" s="18">
        <f t="shared" si="384"/>
        <v>0</v>
      </c>
      <c r="AJ375" s="18">
        <f t="shared" si="384"/>
        <v>0</v>
      </c>
      <c r="AK375" s="18">
        <f t="shared" si="384"/>
        <v>0</v>
      </c>
      <c r="AL375" s="78"/>
      <c r="AM375" s="43">
        <v>359</v>
      </c>
      <c r="AN375">
        <v>65.222683621344828</v>
      </c>
      <c r="AO375">
        <v>10.405551298953522</v>
      </c>
      <c r="AP375">
        <v>47.645095194610626</v>
      </c>
      <c r="AQ375">
        <v>58.721739554647215</v>
      </c>
      <c r="AR375">
        <v>9.6631973721465432</v>
      </c>
      <c r="AS375">
        <v>55.772612260118265</v>
      </c>
      <c r="AT375">
        <v>5.1710604240937768</v>
      </c>
      <c r="AU375">
        <v>0.95142031649126269</v>
      </c>
      <c r="AV375"/>
      <c r="AW375"/>
      <c r="FY375" s="214">
        <v>370</v>
      </c>
      <c r="FZ375">
        <v>0.87476860082093211</v>
      </c>
      <c r="GA375">
        <v>5.0210529865812354</v>
      </c>
      <c r="GB375">
        <v>4.9363125111578086</v>
      </c>
      <c r="GC375">
        <v>2.330654111509447</v>
      </c>
      <c r="GD375">
        <v>8.2578256905043403</v>
      </c>
      <c r="GE375">
        <v>17.966218686513795</v>
      </c>
      <c r="GF375">
        <v>12.777604346343589</v>
      </c>
      <c r="GG375">
        <v>7.8805883264363494</v>
      </c>
      <c r="GH375">
        <v>8.3748326283281188E-2</v>
      </c>
      <c r="GI375">
        <v>8.8567052755890447</v>
      </c>
      <c r="GJ375"/>
      <c r="GK375"/>
      <c r="GL375"/>
      <c r="GM375"/>
    </row>
    <row r="376" spans="1:195" s="7" customFormat="1">
      <c r="A376" s="95"/>
      <c r="B376" s="71">
        <f t="shared" si="378"/>
        <v>39747</v>
      </c>
      <c r="C376" s="18">
        <f t="shared" si="379"/>
        <v>76.714031649245072</v>
      </c>
      <c r="D376" s="18">
        <f t="shared" si="380"/>
        <v>2.3828653396189723</v>
      </c>
      <c r="E376" s="19">
        <f t="shared" si="381"/>
        <v>3.1061662232979795E-2</v>
      </c>
      <c r="F376" s="19">
        <f>IF(F390&lt;0,0,F390)</f>
        <v>0</v>
      </c>
      <c r="G376" s="18">
        <f>AVERAGE(E258:E267)*G$372</f>
        <v>0</v>
      </c>
      <c r="H376" s="18">
        <f t="shared" ref="H376:AK376" si="385">AVERAGE(F258:F267)*H$372</f>
        <v>0.17713020833333334</v>
      </c>
      <c r="I376" s="18">
        <f t="shared" si="385"/>
        <v>2.205735131285639</v>
      </c>
      <c r="J376" s="18">
        <f t="shared" si="385"/>
        <v>0</v>
      </c>
      <c r="K376" s="18">
        <f t="shared" si="385"/>
        <v>0</v>
      </c>
      <c r="L376" s="18">
        <f t="shared" si="385"/>
        <v>0</v>
      </c>
      <c r="M376" s="18">
        <f t="shared" si="385"/>
        <v>0</v>
      </c>
      <c r="N376" s="18">
        <f t="shared" si="385"/>
        <v>0</v>
      </c>
      <c r="O376" s="18">
        <f t="shared" si="385"/>
        <v>0</v>
      </c>
      <c r="P376" s="18">
        <f t="shared" si="385"/>
        <v>0</v>
      </c>
      <c r="Q376" s="18">
        <f t="shared" si="385"/>
        <v>0</v>
      </c>
      <c r="R376" s="18">
        <f t="shared" si="385"/>
        <v>0</v>
      </c>
      <c r="S376" s="18">
        <f t="shared" si="385"/>
        <v>0</v>
      </c>
      <c r="T376" s="18">
        <f t="shared" si="385"/>
        <v>0</v>
      </c>
      <c r="U376" s="18">
        <f t="shared" si="385"/>
        <v>0</v>
      </c>
      <c r="V376" s="18">
        <f t="shared" si="385"/>
        <v>0</v>
      </c>
      <c r="W376" s="18">
        <f t="shared" si="385"/>
        <v>0</v>
      </c>
      <c r="X376" s="18">
        <f t="shared" si="385"/>
        <v>0</v>
      </c>
      <c r="Y376" s="18">
        <f t="shared" si="385"/>
        <v>0</v>
      </c>
      <c r="Z376" s="18">
        <f t="shared" si="385"/>
        <v>0</v>
      </c>
      <c r="AA376" s="18">
        <f t="shared" si="385"/>
        <v>0</v>
      </c>
      <c r="AB376" s="18">
        <f t="shared" si="385"/>
        <v>0</v>
      </c>
      <c r="AC376" s="18">
        <f t="shared" si="385"/>
        <v>0</v>
      </c>
      <c r="AD376" s="18">
        <f t="shared" si="385"/>
        <v>0</v>
      </c>
      <c r="AE376" s="18">
        <f t="shared" si="385"/>
        <v>0</v>
      </c>
      <c r="AF376" s="18">
        <f t="shared" si="385"/>
        <v>0</v>
      </c>
      <c r="AG376" s="18">
        <f t="shared" si="385"/>
        <v>0</v>
      </c>
      <c r="AH376" s="18">
        <f t="shared" si="385"/>
        <v>0</v>
      </c>
      <c r="AI376" s="18">
        <f t="shared" si="385"/>
        <v>0</v>
      </c>
      <c r="AJ376" s="18">
        <f t="shared" si="385"/>
        <v>0</v>
      </c>
      <c r="AK376" s="18">
        <f t="shared" si="385"/>
        <v>0</v>
      </c>
      <c r="AL376" s="78"/>
      <c r="AM376" s="43">
        <v>360</v>
      </c>
      <c r="AN376">
        <v>66.42802772761442</v>
      </c>
      <c r="AO376">
        <v>12.730738875514392</v>
      </c>
      <c r="AP376">
        <v>92.609740240295167</v>
      </c>
      <c r="AQ376">
        <v>81.101927526665335</v>
      </c>
      <c r="AR376">
        <v>11.610026868854035</v>
      </c>
      <c r="AS376">
        <v>56.273762950045544</v>
      </c>
      <c r="AT376" t="e">
        <v>#DIV/0!</v>
      </c>
      <c r="AU376" t="e">
        <v>#DIV/0!</v>
      </c>
      <c r="AV376"/>
      <c r="AW376"/>
      <c r="FY376" s="214">
        <v>371</v>
      </c>
      <c r="FZ376">
        <v>0.27781286748061929</v>
      </c>
      <c r="GA376">
        <v>16.281077399410059</v>
      </c>
      <c r="GB376">
        <v>10.2216738659529</v>
      </c>
      <c r="GC376">
        <v>2.0471435906289561</v>
      </c>
      <c r="GD376">
        <v>5.0262432093223808</v>
      </c>
      <c r="GE376">
        <v>14.825233519263456</v>
      </c>
      <c r="GF376">
        <v>17.120305492035218</v>
      </c>
      <c r="GG376">
        <v>13.173639202553385</v>
      </c>
      <c r="GH376">
        <v>8.7315466593234348</v>
      </c>
      <c r="GI376">
        <v>10.203633071947339</v>
      </c>
      <c r="GJ376"/>
      <c r="GK376"/>
      <c r="GL376"/>
      <c r="GM376"/>
    </row>
    <row r="377" spans="1:195" s="7" customFormat="1">
      <c r="A377" s="95"/>
      <c r="B377" s="71">
        <f t="shared" si="378"/>
        <v>39775</v>
      </c>
      <c r="C377" s="18">
        <f t="shared" si="379"/>
        <v>23.57954545454545</v>
      </c>
      <c r="D377" s="18">
        <f t="shared" si="380"/>
        <v>1.1278049546694036</v>
      </c>
      <c r="E377" s="19">
        <f t="shared" si="381"/>
        <v>4.7829800487184354E-2</v>
      </c>
      <c r="F377" s="19">
        <f>IF(F391&lt;0,0,F391)</f>
        <v>1.541694833096072E-2</v>
      </c>
      <c r="G377" s="18">
        <f>AVERAGE(E268:E277)*G$372</f>
        <v>0</v>
      </c>
      <c r="H377" s="18">
        <f t="shared" ref="H377:AK377" si="386">AVERAGE(F268:F277)*H$372</f>
        <v>1.4170416666666664E-2</v>
      </c>
      <c r="I377" s="18">
        <f t="shared" si="386"/>
        <v>0.84503000316909982</v>
      </c>
      <c r="J377" s="18">
        <f t="shared" si="386"/>
        <v>0.26860453483363711</v>
      </c>
      <c r="K377" s="18">
        <f t="shared" si="386"/>
        <v>0</v>
      </c>
      <c r="L377" s="18">
        <f t="shared" si="386"/>
        <v>0</v>
      </c>
      <c r="M377" s="18">
        <f t="shared" si="386"/>
        <v>0</v>
      </c>
      <c r="N377" s="18">
        <f t="shared" si="386"/>
        <v>0</v>
      </c>
      <c r="O377" s="18">
        <f t="shared" si="386"/>
        <v>0</v>
      </c>
      <c r="P377" s="18">
        <f t="shared" si="386"/>
        <v>0</v>
      </c>
      <c r="Q377" s="18">
        <f t="shared" si="386"/>
        <v>0</v>
      </c>
      <c r="R377" s="18">
        <f t="shared" si="386"/>
        <v>0</v>
      </c>
      <c r="S377" s="18">
        <f t="shared" si="386"/>
        <v>0</v>
      </c>
      <c r="T377" s="18">
        <f t="shared" si="386"/>
        <v>0</v>
      </c>
      <c r="U377" s="18">
        <f t="shared" si="386"/>
        <v>0</v>
      </c>
      <c r="V377" s="18">
        <f t="shared" si="386"/>
        <v>0</v>
      </c>
      <c r="W377" s="18">
        <f t="shared" si="386"/>
        <v>0</v>
      </c>
      <c r="X377" s="18">
        <f t="shared" si="386"/>
        <v>0</v>
      </c>
      <c r="Y377" s="18">
        <f t="shared" si="386"/>
        <v>0</v>
      </c>
      <c r="Z377" s="18">
        <f t="shared" si="386"/>
        <v>0</v>
      </c>
      <c r="AA377" s="18">
        <f t="shared" si="386"/>
        <v>0</v>
      </c>
      <c r="AB377" s="18">
        <f t="shared" si="386"/>
        <v>0</v>
      </c>
      <c r="AC377" s="18">
        <f t="shared" si="386"/>
        <v>0</v>
      </c>
      <c r="AD377" s="18">
        <f t="shared" si="386"/>
        <v>0</v>
      </c>
      <c r="AE377" s="18">
        <f t="shared" si="386"/>
        <v>0</v>
      </c>
      <c r="AF377" s="18">
        <f t="shared" si="386"/>
        <v>0</v>
      </c>
      <c r="AG377" s="18">
        <f t="shared" si="386"/>
        <v>0</v>
      </c>
      <c r="AH377" s="18">
        <f t="shared" si="386"/>
        <v>0</v>
      </c>
      <c r="AI377" s="18">
        <f t="shared" si="386"/>
        <v>0</v>
      </c>
      <c r="AJ377" s="18">
        <f t="shared" si="386"/>
        <v>0</v>
      </c>
      <c r="AK377" s="18">
        <f t="shared" si="386"/>
        <v>0</v>
      </c>
      <c r="AL377" s="78"/>
      <c r="AM377" s="43">
        <v>361</v>
      </c>
      <c r="AN377">
        <v>46.628645367152501</v>
      </c>
      <c r="AO377">
        <v>9.7371991609523878</v>
      </c>
      <c r="AP377">
        <v>39.02148504627403</v>
      </c>
      <c r="AQ377">
        <v>59.090746183414545</v>
      </c>
      <c r="AR377">
        <v>9.0315079802666922</v>
      </c>
      <c r="AS377">
        <v>45.61566411172069</v>
      </c>
      <c r="AT377">
        <v>5.2131955112002046</v>
      </c>
      <c r="AU377">
        <v>8.7802405728759272</v>
      </c>
      <c r="AV377"/>
      <c r="AW377"/>
      <c r="FY377" s="214">
        <v>372</v>
      </c>
      <c r="FZ377">
        <v>0.66399331413661944</v>
      </c>
      <c r="GA377">
        <v>4.3419318283860271</v>
      </c>
      <c r="GB377">
        <v>5.81984769742769</v>
      </c>
      <c r="GC377">
        <v>3.0478789656171426</v>
      </c>
      <c r="GD377">
        <v>3.9431318583022703</v>
      </c>
      <c r="GE377">
        <v>18.211280266384161</v>
      </c>
      <c r="GF377">
        <v>24.437506770010909</v>
      </c>
      <c r="GG377">
        <v>8.4491932389761537</v>
      </c>
      <c r="GH377">
        <v>7.8719315332680919</v>
      </c>
      <c r="GI377">
        <v>9.8692399884163873</v>
      </c>
      <c r="GJ377"/>
      <c r="GK377"/>
      <c r="GL377"/>
      <c r="GM377"/>
    </row>
    <row r="378" spans="1:195" s="7" customFormat="1">
      <c r="A378" s="95"/>
      <c r="B378" s="71">
        <f t="shared" si="378"/>
        <v>39799</v>
      </c>
      <c r="C378" s="18">
        <f t="shared" si="379"/>
        <v>221.89556766762649</v>
      </c>
      <c r="D378" s="18">
        <f t="shared" si="380"/>
        <v>65.451971058440336</v>
      </c>
      <c r="E378" s="19">
        <f t="shared" si="381"/>
        <v>0.29496745584607487</v>
      </c>
      <c r="F378" s="19">
        <f t="shared" ref="F378:F382" si="387">IF(F392&lt;0,0,F392)</f>
        <v>7.5800672695632162E-2</v>
      </c>
      <c r="G378" s="18">
        <f>AVERAGE(E278:E287)*G$372</f>
        <v>0</v>
      </c>
      <c r="H378" s="18">
        <f t="shared" ref="H378:AK378" si="388">AVERAGE(F278:F287)*H$372</f>
        <v>5.6681666666666658E-2</v>
      </c>
      <c r="I378" s="18">
        <f t="shared" si="388"/>
        <v>6.0895505020340819</v>
      </c>
      <c r="J378" s="18">
        <f t="shared" si="388"/>
        <v>0.13430226741681855</v>
      </c>
      <c r="K378" s="18">
        <f t="shared" si="388"/>
        <v>0</v>
      </c>
      <c r="L378" s="18">
        <f t="shared" si="388"/>
        <v>6.2705723091583581</v>
      </c>
      <c r="M378" s="18">
        <f t="shared" si="388"/>
        <v>43.455418133423024</v>
      </c>
      <c r="N378" s="18">
        <f t="shared" si="388"/>
        <v>9.4454461797413813</v>
      </c>
      <c r="O378" s="18">
        <f t="shared" si="388"/>
        <v>0</v>
      </c>
      <c r="P378" s="18">
        <f t="shared" si="388"/>
        <v>0</v>
      </c>
      <c r="Q378" s="18">
        <f t="shared" si="388"/>
        <v>0</v>
      </c>
      <c r="R378" s="18">
        <f t="shared" si="388"/>
        <v>0</v>
      </c>
      <c r="S378" s="18">
        <f t="shared" si="388"/>
        <v>0</v>
      </c>
      <c r="T378" s="18">
        <f t="shared" si="388"/>
        <v>0</v>
      </c>
      <c r="U378" s="18">
        <f t="shared" si="388"/>
        <v>0</v>
      </c>
      <c r="V378" s="18">
        <f t="shared" si="388"/>
        <v>0</v>
      </c>
      <c r="W378" s="18">
        <f t="shared" si="388"/>
        <v>0</v>
      </c>
      <c r="X378" s="18">
        <f t="shared" si="388"/>
        <v>0</v>
      </c>
      <c r="Y378" s="18">
        <f t="shared" si="388"/>
        <v>0</v>
      </c>
      <c r="Z378" s="18">
        <f t="shared" si="388"/>
        <v>0</v>
      </c>
      <c r="AA378" s="18">
        <f t="shared" si="388"/>
        <v>0</v>
      </c>
      <c r="AB378" s="18">
        <f t="shared" si="388"/>
        <v>0</v>
      </c>
      <c r="AC378" s="18">
        <f t="shared" si="388"/>
        <v>0</v>
      </c>
      <c r="AD378" s="18">
        <f t="shared" si="388"/>
        <v>0</v>
      </c>
      <c r="AE378" s="18">
        <f t="shared" si="388"/>
        <v>0</v>
      </c>
      <c r="AF378" s="18">
        <f t="shared" si="388"/>
        <v>0</v>
      </c>
      <c r="AG378" s="18">
        <f t="shared" si="388"/>
        <v>0</v>
      </c>
      <c r="AH378" s="18">
        <f t="shared" si="388"/>
        <v>0</v>
      </c>
      <c r="AI378" s="18">
        <f t="shared" si="388"/>
        <v>0</v>
      </c>
      <c r="AJ378" s="18">
        <f t="shared" si="388"/>
        <v>0</v>
      </c>
      <c r="AK378" s="18">
        <f t="shared" si="388"/>
        <v>0</v>
      </c>
      <c r="AL378" s="78"/>
      <c r="AM378" s="43">
        <v>362</v>
      </c>
      <c r="AN378">
        <v>81.980613120324264</v>
      </c>
      <c r="AO378">
        <v>14.093921414912291</v>
      </c>
      <c r="AP378">
        <v>31.013034877622598</v>
      </c>
      <c r="AQ378">
        <v>93.066828148580697</v>
      </c>
      <c r="AR378">
        <v>13.003407707040859</v>
      </c>
      <c r="AS378">
        <v>74.822157390062671</v>
      </c>
      <c r="AT378">
        <v>7.5868719520822081</v>
      </c>
      <c r="AU378">
        <v>10.823311390901997</v>
      </c>
      <c r="AV378"/>
      <c r="AW378"/>
      <c r="FY378" s="214">
        <v>373</v>
      </c>
      <c r="FZ378">
        <v>0.92576114349539873</v>
      </c>
      <c r="GA378">
        <v>10.878943557152848</v>
      </c>
      <c r="GB378">
        <v>5.9297320764004402</v>
      </c>
      <c r="GC378">
        <v>0.85158653778287152</v>
      </c>
      <c r="GD378">
        <v>2.880698582981768</v>
      </c>
      <c r="GE378">
        <v>14.811041334993753</v>
      </c>
      <c r="GF378">
        <v>22.36574993048189</v>
      </c>
      <c r="GG378">
        <v>6.7059759052549799</v>
      </c>
      <c r="GH378">
        <v>0.55651403675738742</v>
      </c>
      <c r="GI378">
        <v>7.637242237080561</v>
      </c>
      <c r="GJ378"/>
      <c r="GK378"/>
      <c r="GL378"/>
      <c r="GM378"/>
    </row>
    <row r="379" spans="1:195" s="7" customFormat="1">
      <c r="A379" s="77" t="s">
        <v>61</v>
      </c>
      <c r="B379" s="71">
        <f t="shared" ref="B379:B382" si="389">+C10</f>
        <v>39847</v>
      </c>
      <c r="C379" s="18">
        <f t="shared" si="379"/>
        <v>52.083333333333336</v>
      </c>
      <c r="D379" s="18">
        <f t="shared" si="380"/>
        <v>1.3107070418528577</v>
      </c>
      <c r="E379" s="19">
        <f t="shared" si="381"/>
        <v>2.5165575203574868E-2</v>
      </c>
      <c r="F379" s="19">
        <f t="shared" si="387"/>
        <v>0</v>
      </c>
      <c r="G379" s="18">
        <f>AVERAGE(E288:E297)*G$372</f>
        <v>0</v>
      </c>
      <c r="H379" s="18">
        <f t="shared" ref="H379:AK379" si="390">AVERAGE(F288:F297)*H$372</f>
        <v>0.17713020833333334</v>
      </c>
      <c r="I379" s="18">
        <f t="shared" si="390"/>
        <v>1.1335768335195244</v>
      </c>
      <c r="J379" s="18">
        <f t="shared" si="390"/>
        <v>0</v>
      </c>
      <c r="K379" s="18">
        <f t="shared" si="390"/>
        <v>0</v>
      </c>
      <c r="L379" s="18">
        <f t="shared" si="390"/>
        <v>0</v>
      </c>
      <c r="M379" s="18">
        <f t="shared" si="390"/>
        <v>0</v>
      </c>
      <c r="N379" s="18">
        <f t="shared" si="390"/>
        <v>0</v>
      </c>
      <c r="O379" s="18">
        <f t="shared" si="390"/>
        <v>0</v>
      </c>
      <c r="P379" s="18">
        <f t="shared" si="390"/>
        <v>0</v>
      </c>
      <c r="Q379" s="18">
        <f t="shared" si="390"/>
        <v>0</v>
      </c>
      <c r="R379" s="18">
        <f t="shared" si="390"/>
        <v>0</v>
      </c>
      <c r="S379" s="18">
        <f t="shared" si="390"/>
        <v>0</v>
      </c>
      <c r="T379" s="18">
        <f t="shared" si="390"/>
        <v>0</v>
      </c>
      <c r="U379" s="18">
        <f t="shared" si="390"/>
        <v>0</v>
      </c>
      <c r="V379" s="18">
        <f t="shared" si="390"/>
        <v>0</v>
      </c>
      <c r="W379" s="18">
        <f t="shared" si="390"/>
        <v>0</v>
      </c>
      <c r="X379" s="18">
        <f t="shared" si="390"/>
        <v>0</v>
      </c>
      <c r="Y379" s="18">
        <f t="shared" si="390"/>
        <v>0</v>
      </c>
      <c r="Z379" s="18">
        <f t="shared" si="390"/>
        <v>0</v>
      </c>
      <c r="AA379" s="18">
        <f t="shared" si="390"/>
        <v>0</v>
      </c>
      <c r="AB379" s="18">
        <f t="shared" si="390"/>
        <v>0</v>
      </c>
      <c r="AC379" s="18">
        <f t="shared" si="390"/>
        <v>0</v>
      </c>
      <c r="AD379" s="18">
        <f t="shared" si="390"/>
        <v>0</v>
      </c>
      <c r="AE379" s="18">
        <f t="shared" si="390"/>
        <v>0</v>
      </c>
      <c r="AF379" s="18">
        <f t="shared" si="390"/>
        <v>0</v>
      </c>
      <c r="AG379" s="18">
        <f t="shared" si="390"/>
        <v>0</v>
      </c>
      <c r="AH379" s="18">
        <f t="shared" si="390"/>
        <v>0</v>
      </c>
      <c r="AI379" s="18">
        <f t="shared" si="390"/>
        <v>0</v>
      </c>
      <c r="AJ379" s="18">
        <f t="shared" si="390"/>
        <v>0</v>
      </c>
      <c r="AK379" s="18">
        <f t="shared" si="390"/>
        <v>0</v>
      </c>
      <c r="AL379" s="78"/>
      <c r="AM379" s="43">
        <v>363</v>
      </c>
      <c r="AN379">
        <v>52.845141856389773</v>
      </c>
      <c r="AO379">
        <v>6.7691923829255431</v>
      </c>
      <c r="AP379">
        <v>48.502138410853462</v>
      </c>
      <c r="AQ379">
        <v>44.498806792684569</v>
      </c>
      <c r="AR379">
        <v>6.1666646640914164</v>
      </c>
      <c r="AS379">
        <v>39.259502972297348</v>
      </c>
      <c r="AT379" t="e">
        <v>#DIV/0!</v>
      </c>
      <c r="AU379" t="e">
        <v>#DIV/0!</v>
      </c>
      <c r="AV379"/>
      <c r="AW379"/>
      <c r="FY379" s="214">
        <v>374</v>
      </c>
      <c r="FZ379">
        <v>0.13763384527718425</v>
      </c>
      <c r="GA379">
        <v>10.308440808560071</v>
      </c>
      <c r="GB379">
        <v>11.581575083396046</v>
      </c>
      <c r="GC379">
        <v>4.0315877490552889</v>
      </c>
      <c r="GD379">
        <v>10.193453264370897</v>
      </c>
      <c r="GE379">
        <v>23.271364301344267</v>
      </c>
      <c r="GF379">
        <v>14.296869642995574</v>
      </c>
      <c r="GG379">
        <v>10.402288776801244</v>
      </c>
      <c r="GH379">
        <v>7.064172517660861</v>
      </c>
      <c r="GI379">
        <v>12.988266172601628</v>
      </c>
      <c r="GJ379"/>
      <c r="GK379"/>
      <c r="GL379"/>
      <c r="GM379"/>
    </row>
    <row r="380" spans="1:195" s="7" customFormat="1">
      <c r="A380" s="77" t="s">
        <v>62</v>
      </c>
      <c r="B380" s="71">
        <f t="shared" si="389"/>
        <v>39910</v>
      </c>
      <c r="C380" s="18">
        <f t="shared" si="379"/>
        <v>35.069444444444443</v>
      </c>
      <c r="D380" s="18">
        <f t="shared" si="380"/>
        <v>20.111954821173004</v>
      </c>
      <c r="E380" s="19">
        <f t="shared" si="381"/>
        <v>0.57348940480176491</v>
      </c>
      <c r="F380" s="19">
        <f t="shared" si="387"/>
        <v>4.9623213722545439E-2</v>
      </c>
      <c r="G380" s="18">
        <f>AVERAGE(E298:E307)*G$372</f>
        <v>0</v>
      </c>
      <c r="H380" s="18">
        <f t="shared" ref="H380:AK380" si="391">AVERAGE(F298:F307)*H$372</f>
        <v>0</v>
      </c>
      <c r="I380" s="18">
        <f t="shared" si="391"/>
        <v>0</v>
      </c>
      <c r="J380" s="18">
        <f t="shared" si="391"/>
        <v>0.80581360450091144</v>
      </c>
      <c r="K380" s="18">
        <f t="shared" si="391"/>
        <v>6.5774406727229167</v>
      </c>
      <c r="L380" s="18">
        <f t="shared" si="391"/>
        <v>0</v>
      </c>
      <c r="M380" s="18">
        <f t="shared" si="391"/>
        <v>0</v>
      </c>
      <c r="N380" s="18">
        <f t="shared" si="391"/>
        <v>0</v>
      </c>
      <c r="O380" s="18">
        <f t="shared" si="391"/>
        <v>0</v>
      </c>
      <c r="P380" s="18">
        <f t="shared" si="391"/>
        <v>12.728700543949177</v>
      </c>
      <c r="Q380" s="18">
        <f t="shared" si="391"/>
        <v>0</v>
      </c>
      <c r="R380" s="18">
        <f t="shared" si="391"/>
        <v>0</v>
      </c>
      <c r="S380" s="18">
        <f t="shared" si="391"/>
        <v>0</v>
      </c>
      <c r="T380" s="18">
        <f t="shared" si="391"/>
        <v>0</v>
      </c>
      <c r="U380" s="18">
        <f t="shared" si="391"/>
        <v>0</v>
      </c>
      <c r="V380" s="18">
        <f t="shared" si="391"/>
        <v>0</v>
      </c>
      <c r="W380" s="18">
        <f t="shared" si="391"/>
        <v>0</v>
      </c>
      <c r="X380" s="18">
        <f t="shared" si="391"/>
        <v>0</v>
      </c>
      <c r="Y380" s="18">
        <f t="shared" si="391"/>
        <v>0</v>
      </c>
      <c r="Z380" s="18">
        <f t="shared" si="391"/>
        <v>0</v>
      </c>
      <c r="AA380" s="18">
        <f t="shared" si="391"/>
        <v>0</v>
      </c>
      <c r="AB380" s="18">
        <f t="shared" si="391"/>
        <v>0</v>
      </c>
      <c r="AC380" s="18">
        <f t="shared" si="391"/>
        <v>0</v>
      </c>
      <c r="AD380" s="18">
        <f t="shared" si="391"/>
        <v>0</v>
      </c>
      <c r="AE380" s="18">
        <f t="shared" si="391"/>
        <v>0</v>
      </c>
      <c r="AF380" s="18">
        <f t="shared" si="391"/>
        <v>0</v>
      </c>
      <c r="AG380" s="18">
        <f t="shared" si="391"/>
        <v>0</v>
      </c>
      <c r="AH380" s="18">
        <f t="shared" si="391"/>
        <v>0</v>
      </c>
      <c r="AI380" s="18">
        <f t="shared" si="391"/>
        <v>0</v>
      </c>
      <c r="AJ380" s="18">
        <f t="shared" si="391"/>
        <v>0</v>
      </c>
      <c r="AK380" s="18">
        <f t="shared" si="391"/>
        <v>0</v>
      </c>
      <c r="AL380" s="78"/>
      <c r="AM380" s="43">
        <v>364</v>
      </c>
      <c r="AN380">
        <v>89.760735360574131</v>
      </c>
      <c r="AO380">
        <v>19.254693461913952</v>
      </c>
      <c r="AP380">
        <v>84.594672386654295</v>
      </c>
      <c r="AQ380">
        <v>107.85454994567965</v>
      </c>
      <c r="AR380">
        <v>17.504266783558144</v>
      </c>
      <c r="AS380">
        <v>92.177913625020608</v>
      </c>
      <c r="AT380" t="e">
        <v>#DIV/0!</v>
      </c>
      <c r="AU380" t="e">
        <v>#DIV/0!</v>
      </c>
      <c r="AV380"/>
      <c r="AW380"/>
      <c r="FY380" s="214">
        <v>375</v>
      </c>
      <c r="FZ380">
        <v>0.33874658766610444</v>
      </c>
      <c r="GA380">
        <v>4.1510666619589855</v>
      </c>
      <c r="GB380">
        <v>5.9725140144176354</v>
      </c>
      <c r="GC380">
        <v>3.2167030291631509</v>
      </c>
      <c r="GD380">
        <v>2.0664557869166602</v>
      </c>
      <c r="GE380">
        <v>3.2408649039910715</v>
      </c>
      <c r="GF380">
        <v>10.121278453186221</v>
      </c>
      <c r="GG380">
        <v>14.117758465005153</v>
      </c>
      <c r="GH380">
        <v>9.3222924626638104</v>
      </c>
      <c r="GI380">
        <v>6.3121555433143053</v>
      </c>
      <c r="GJ380"/>
      <c r="GK380"/>
      <c r="GL380"/>
      <c r="GM380"/>
    </row>
    <row r="381" spans="1:195" s="7" customFormat="1">
      <c r="A381" s="1"/>
      <c r="B381" s="71">
        <f t="shared" si="389"/>
        <v>39949</v>
      </c>
      <c r="C381" s="18">
        <f t="shared" si="379"/>
        <v>38.453815261044177</v>
      </c>
      <c r="D381" s="18">
        <f t="shared" si="380"/>
        <v>16.954749435948401</v>
      </c>
      <c r="E381" s="19">
        <f t="shared" si="381"/>
        <v>0.44091202188523776</v>
      </c>
      <c r="F381" s="19">
        <f t="shared" si="387"/>
        <v>0</v>
      </c>
      <c r="G381" s="18">
        <f>AVERAGE(E308:E317)*G$372</f>
        <v>0</v>
      </c>
      <c r="H381" s="18">
        <f t="shared" ref="H381:AK381" si="392">AVERAGE(F308:F317)*H$372</f>
        <v>0</v>
      </c>
      <c r="I381" s="18">
        <f t="shared" si="392"/>
        <v>0.17754817874402185</v>
      </c>
      <c r="J381" s="18">
        <f t="shared" si="392"/>
        <v>0</v>
      </c>
      <c r="K381" s="18">
        <f t="shared" si="392"/>
        <v>5.2232617106917276</v>
      </c>
      <c r="L381" s="18">
        <f t="shared" si="392"/>
        <v>4.2197263068689193</v>
      </c>
      <c r="M381" s="18">
        <f t="shared" si="392"/>
        <v>3.4379666905004105</v>
      </c>
      <c r="N381" s="18">
        <f t="shared" si="392"/>
        <v>3.8962465491433202</v>
      </c>
      <c r="O381" s="18">
        <f t="shared" si="392"/>
        <v>0</v>
      </c>
      <c r="P381" s="18">
        <f t="shared" si="392"/>
        <v>0</v>
      </c>
      <c r="Q381" s="18">
        <f t="shared" si="392"/>
        <v>0</v>
      </c>
      <c r="R381" s="18">
        <f t="shared" si="392"/>
        <v>0</v>
      </c>
      <c r="S381" s="18">
        <f t="shared" si="392"/>
        <v>0</v>
      </c>
      <c r="T381" s="18">
        <f t="shared" si="392"/>
        <v>0</v>
      </c>
      <c r="U381" s="18">
        <f t="shared" si="392"/>
        <v>0</v>
      </c>
      <c r="V381" s="18">
        <f t="shared" si="392"/>
        <v>0</v>
      </c>
      <c r="W381" s="18">
        <f t="shared" si="392"/>
        <v>0</v>
      </c>
      <c r="X381" s="18">
        <f t="shared" si="392"/>
        <v>0</v>
      </c>
      <c r="Y381" s="18">
        <f t="shared" si="392"/>
        <v>0</v>
      </c>
      <c r="Z381" s="18">
        <f t="shared" si="392"/>
        <v>0</v>
      </c>
      <c r="AA381" s="18">
        <f t="shared" si="392"/>
        <v>0</v>
      </c>
      <c r="AB381" s="18">
        <f t="shared" si="392"/>
        <v>0</v>
      </c>
      <c r="AC381" s="18">
        <f t="shared" si="392"/>
        <v>0</v>
      </c>
      <c r="AD381" s="18">
        <f t="shared" si="392"/>
        <v>0</v>
      </c>
      <c r="AE381" s="18">
        <f t="shared" si="392"/>
        <v>0</v>
      </c>
      <c r="AF381" s="18">
        <f t="shared" si="392"/>
        <v>0</v>
      </c>
      <c r="AG381" s="18">
        <f t="shared" si="392"/>
        <v>0</v>
      </c>
      <c r="AH381" s="18">
        <f t="shared" si="392"/>
        <v>0</v>
      </c>
      <c r="AI381" s="18">
        <f t="shared" si="392"/>
        <v>0</v>
      </c>
      <c r="AJ381" s="18">
        <f t="shared" si="392"/>
        <v>0</v>
      </c>
      <c r="AK381" s="18">
        <f t="shared" si="392"/>
        <v>0</v>
      </c>
      <c r="AL381" s="78"/>
      <c r="AM381" s="43">
        <v>365</v>
      </c>
      <c r="AN381">
        <v>47.859040480829592</v>
      </c>
      <c r="AO381">
        <v>11.676539153770392</v>
      </c>
      <c r="AP381">
        <v>24.034157730779775</v>
      </c>
      <c r="AQ381">
        <v>68.318518294550458</v>
      </c>
      <c r="AR381">
        <v>10.627244891374611</v>
      </c>
      <c r="AS381">
        <v>51.402774793505621</v>
      </c>
      <c r="AT381" t="e">
        <v>#DIV/0!</v>
      </c>
      <c r="AU381" t="e">
        <v>#DIV/0!</v>
      </c>
      <c r="AV381"/>
      <c r="AW381"/>
      <c r="FY381" s="214">
        <v>376</v>
      </c>
      <c r="FZ381">
        <v>0.80773102002462538</v>
      </c>
      <c r="GA381">
        <v>4.1961834762103276</v>
      </c>
      <c r="GB381">
        <v>6.0570368857632513</v>
      </c>
      <c r="GC381">
        <v>3.0208104059459657</v>
      </c>
      <c r="GD381">
        <v>5.0447526016896305</v>
      </c>
      <c r="GE381">
        <v>12.438109810391625</v>
      </c>
      <c r="GF381">
        <v>18.871037931157439</v>
      </c>
      <c r="GG381">
        <v>13.222940771614786</v>
      </c>
      <c r="GH381">
        <v>0.55651403675738742</v>
      </c>
      <c r="GI381">
        <v>8.7145316581783874</v>
      </c>
      <c r="GJ381"/>
      <c r="GK381"/>
      <c r="GL381"/>
      <c r="GM381"/>
    </row>
    <row r="382" spans="1:195" s="7" customFormat="1">
      <c r="A382" s="1"/>
      <c r="B382" s="71">
        <f t="shared" si="389"/>
        <v>39987</v>
      </c>
      <c r="C382" s="18">
        <f t="shared" si="379"/>
        <v>7.7570921985815602</v>
      </c>
      <c r="D382" s="18">
        <f t="shared" si="380"/>
        <v>3.927936721819473</v>
      </c>
      <c r="E382" s="19">
        <f t="shared" si="381"/>
        <v>0.50636715682427036</v>
      </c>
      <c r="F382" s="19">
        <f t="shared" si="387"/>
        <v>3.6425435223337911E-3</v>
      </c>
      <c r="G382" s="18">
        <f>AVERAGE(E318:E327)*G$372</f>
        <v>0</v>
      </c>
      <c r="H382" s="18">
        <f t="shared" ref="H382:AK382" si="393">AVERAGE(F318:F327)*H$372</f>
        <v>0</v>
      </c>
      <c r="I382" s="18">
        <f t="shared" si="393"/>
        <v>0</v>
      </c>
      <c r="J382" s="18">
        <f t="shared" si="393"/>
        <v>0</v>
      </c>
      <c r="K382" s="18">
        <f t="shared" si="393"/>
        <v>0</v>
      </c>
      <c r="L382" s="18">
        <f t="shared" si="393"/>
        <v>3.927936721819473</v>
      </c>
      <c r="M382" s="18">
        <f t="shared" si="393"/>
        <v>0</v>
      </c>
      <c r="N382" s="18">
        <f t="shared" si="393"/>
        <v>0</v>
      </c>
      <c r="O382" s="18">
        <f t="shared" si="393"/>
        <v>0</v>
      </c>
      <c r="P382" s="18">
        <f t="shared" si="393"/>
        <v>0</v>
      </c>
      <c r="Q382" s="18">
        <f t="shared" si="393"/>
        <v>0</v>
      </c>
      <c r="R382" s="18">
        <f t="shared" si="393"/>
        <v>0</v>
      </c>
      <c r="S382" s="18">
        <f t="shared" si="393"/>
        <v>0</v>
      </c>
      <c r="T382" s="18">
        <f t="shared" si="393"/>
        <v>0</v>
      </c>
      <c r="U382" s="18">
        <f t="shared" si="393"/>
        <v>0</v>
      </c>
      <c r="V382" s="18">
        <f t="shared" si="393"/>
        <v>0</v>
      </c>
      <c r="W382" s="18">
        <f t="shared" si="393"/>
        <v>0</v>
      </c>
      <c r="X382" s="18">
        <f t="shared" si="393"/>
        <v>0</v>
      </c>
      <c r="Y382" s="18">
        <f t="shared" si="393"/>
        <v>0</v>
      </c>
      <c r="Z382" s="18">
        <f t="shared" si="393"/>
        <v>0</v>
      </c>
      <c r="AA382" s="18">
        <f t="shared" si="393"/>
        <v>0</v>
      </c>
      <c r="AB382" s="18">
        <f t="shared" si="393"/>
        <v>0</v>
      </c>
      <c r="AC382" s="18">
        <f t="shared" si="393"/>
        <v>0</v>
      </c>
      <c r="AD382" s="18">
        <f t="shared" si="393"/>
        <v>0</v>
      </c>
      <c r="AE382" s="18">
        <f t="shared" si="393"/>
        <v>0</v>
      </c>
      <c r="AF382" s="18">
        <f t="shared" si="393"/>
        <v>0</v>
      </c>
      <c r="AG382" s="18">
        <f t="shared" si="393"/>
        <v>0</v>
      </c>
      <c r="AH382" s="18">
        <f t="shared" si="393"/>
        <v>0</v>
      </c>
      <c r="AI382" s="18">
        <f t="shared" si="393"/>
        <v>0</v>
      </c>
      <c r="AJ382" s="18">
        <f t="shared" si="393"/>
        <v>0</v>
      </c>
      <c r="AK382" s="18">
        <f t="shared" si="393"/>
        <v>0</v>
      </c>
      <c r="AL382" s="78"/>
      <c r="AM382" s="43">
        <v>366</v>
      </c>
      <c r="AN382">
        <v>56.632068178417228</v>
      </c>
      <c r="AO382">
        <v>13.573963344649092</v>
      </c>
      <c r="AP382">
        <v>56.449717586976043</v>
      </c>
      <c r="AQ382">
        <v>78.086493465858112</v>
      </c>
      <c r="AR382">
        <v>12.352498028915857</v>
      </c>
      <c r="AS382">
        <v>60.416169054366378</v>
      </c>
      <c r="AT382" t="e">
        <v>#DIV/0!</v>
      </c>
      <c r="AU382" t="e">
        <v>#DIV/0!</v>
      </c>
      <c r="AV382"/>
      <c r="AW382"/>
      <c r="FY382" s="214">
        <v>377</v>
      </c>
      <c r="FZ382">
        <v>0.80773102002462538</v>
      </c>
      <c r="GA382">
        <v>10.403869401179051</v>
      </c>
      <c r="GB382">
        <v>13.831071123991517</v>
      </c>
      <c r="GC382">
        <v>5.5132056416351105</v>
      </c>
      <c r="GD382">
        <v>6.9935623034481607</v>
      </c>
      <c r="GE382">
        <v>15.240340632299503</v>
      </c>
      <c r="GF382">
        <v>13.347702697834183</v>
      </c>
      <c r="GG382">
        <v>13.263567607458876</v>
      </c>
      <c r="GH382">
        <v>7.1974374036444342</v>
      </c>
      <c r="GI382">
        <v>11.703430166962777</v>
      </c>
      <c r="GJ382"/>
      <c r="GK382"/>
      <c r="GL382"/>
      <c r="GM382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72.07214636157245</v>
      </c>
      <c r="AO383">
        <v>15.946467585244296</v>
      </c>
      <c r="AP383">
        <v>93.434945805922354</v>
      </c>
      <c r="AQ383">
        <v>86.503557490409122</v>
      </c>
      <c r="AR383">
        <v>14.49678871385845</v>
      </c>
      <c r="AS383">
        <v>70.473116807540023</v>
      </c>
      <c r="AT383" t="e">
        <v>#DIV/0!</v>
      </c>
      <c r="AU383" t="e">
        <v>#DIV/0!</v>
      </c>
      <c r="AV383"/>
      <c r="AW383"/>
      <c r="FY383" s="214">
        <v>378</v>
      </c>
      <c r="FZ383">
        <v>1.4146279308759568</v>
      </c>
      <c r="GA383">
        <v>18.37826020140956</v>
      </c>
      <c r="GB383">
        <v>10.446376886904407</v>
      </c>
      <c r="GC383">
        <v>1.8693475983295131</v>
      </c>
      <c r="GD383">
        <v>5.2050294109692805</v>
      </c>
      <c r="GE383">
        <v>10.563070404061436</v>
      </c>
      <c r="GF383">
        <v>8.4841657488193363</v>
      </c>
      <c r="GG383">
        <v>11.27694420538224</v>
      </c>
      <c r="GH383">
        <v>6.9782562227679907</v>
      </c>
      <c r="GI383">
        <v>8.8329589136803666</v>
      </c>
      <c r="GJ383"/>
      <c r="GK383"/>
      <c r="GL383"/>
      <c r="GM383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66.392805443800526</v>
      </c>
      <c r="AO384">
        <v>12.099762572711381</v>
      </c>
      <c r="AP384">
        <v>48.039249352329946</v>
      </c>
      <c r="AQ384">
        <v>84.800603573887187</v>
      </c>
      <c r="AR384">
        <v>11.547943243766047</v>
      </c>
      <c r="AS384">
        <v>61.514665897332172</v>
      </c>
      <c r="AT384">
        <v>7.5118218595832316</v>
      </c>
      <c r="AU384">
        <v>34.184132057488725</v>
      </c>
      <c r="AV384"/>
      <c r="AW384"/>
      <c r="FY384" s="214">
        <v>379</v>
      </c>
      <c r="FZ384">
        <v>1.0662187989144598</v>
      </c>
      <c r="GA384">
        <v>2.1447135004597722</v>
      </c>
      <c r="GB384">
        <v>3.4197902458690201</v>
      </c>
      <c r="GC384">
        <v>2.0944248996148671</v>
      </c>
      <c r="GD384">
        <v>13.268239873964573</v>
      </c>
      <c r="GE384">
        <v>33.759282085041313</v>
      </c>
      <c r="GF384">
        <v>18.378441293953188</v>
      </c>
      <c r="GG384">
        <v>6.0852865947410439</v>
      </c>
      <c r="GH384">
        <v>0.55651403675738742</v>
      </c>
      <c r="GI384">
        <v>12.927954217580256</v>
      </c>
      <c r="GJ384"/>
      <c r="GK384"/>
      <c r="GL384"/>
      <c r="GM384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73.079146377362989</v>
      </c>
      <c r="AO385">
        <v>13.523756842203966</v>
      </c>
      <c r="AP385">
        <v>40.602567576383002</v>
      </c>
      <c r="AQ385">
        <v>87.503515822010186</v>
      </c>
      <c r="AR385">
        <v>12.497285574343913</v>
      </c>
      <c r="AS385">
        <v>65.558364797793459</v>
      </c>
      <c r="AT385">
        <v>7.3274162355350141</v>
      </c>
      <c r="AU385">
        <v>8.4740725991182639</v>
      </c>
      <c r="AV385"/>
      <c r="AW385"/>
      <c r="FY385" s="214">
        <v>380</v>
      </c>
      <c r="FZ385">
        <v>1.3308104384151158</v>
      </c>
      <c r="GA385">
        <v>10.840257773403454</v>
      </c>
      <c r="GB385">
        <v>10.290605621328893</v>
      </c>
      <c r="GC385">
        <v>3.6720791103355159</v>
      </c>
      <c r="GD385">
        <v>5.002756977340991</v>
      </c>
      <c r="GE385">
        <v>15.077121925013175</v>
      </c>
      <c r="GF385">
        <v>31.023110368900049</v>
      </c>
      <c r="GG385">
        <v>20.773940418018942</v>
      </c>
      <c r="GH385">
        <v>2.4277845661791013</v>
      </c>
      <c r="GI385">
        <v>12.511609038997538</v>
      </c>
      <c r="GJ385"/>
      <c r="GK385"/>
      <c r="GL385"/>
      <c r="GM38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64.459967012122263</v>
      </c>
      <c r="AO386">
        <v>13.568643722431238</v>
      </c>
      <c r="AP386">
        <v>76.789770921532664</v>
      </c>
      <c r="AQ386">
        <v>68.985478861739807</v>
      </c>
      <c r="AR386">
        <v>12.347662008717807</v>
      </c>
      <c r="AS386">
        <v>62.527195221096136</v>
      </c>
      <c r="AT386" t="e">
        <v>#DIV/0!</v>
      </c>
      <c r="AU386" t="e">
        <v>#DIV/0!</v>
      </c>
      <c r="AV386"/>
      <c r="AW386"/>
      <c r="FY386" s="214">
        <v>381</v>
      </c>
      <c r="FZ386">
        <v>0.94818867544368646</v>
      </c>
      <c r="GA386">
        <v>17.161744224649077</v>
      </c>
      <c r="GB386">
        <v>12.210012323337482</v>
      </c>
      <c r="GC386">
        <v>2.665108804949992</v>
      </c>
      <c r="GD386">
        <v>14.203407235173488</v>
      </c>
      <c r="GE386">
        <v>28.691424838499788</v>
      </c>
      <c r="GF386">
        <v>11.721355380991106</v>
      </c>
      <c r="GG386">
        <v>10.305884624974235</v>
      </c>
      <c r="GH386">
        <v>0.55651403675738742</v>
      </c>
      <c r="GI386">
        <v>14.427091279516224</v>
      </c>
      <c r="GJ386"/>
      <c r="GK386"/>
      <c r="GL386"/>
      <c r="GM386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82.856036900276337</v>
      </c>
      <c r="AO387">
        <v>15.520402363695046</v>
      </c>
      <c r="AP387">
        <v>52.293102088687654</v>
      </c>
      <c r="AQ387">
        <v>97.908308877917761</v>
      </c>
      <c r="AR387">
        <v>14.10945669426822</v>
      </c>
      <c r="AS387">
        <v>71.95821103986394</v>
      </c>
      <c r="AT387" t="e">
        <v>#DIV/0!</v>
      </c>
      <c r="AU387" t="e">
        <v>#DIV/0!</v>
      </c>
      <c r="AV387"/>
      <c r="AW387"/>
      <c r="FY387" s="214">
        <v>382</v>
      </c>
      <c r="FZ387">
        <v>1.5009906002630482</v>
      </c>
      <c r="GA387">
        <v>3.9760592465704425</v>
      </c>
      <c r="GB387">
        <v>9.8433322625715789</v>
      </c>
      <c r="GC387">
        <v>5.2756591004506577</v>
      </c>
      <c r="GD387">
        <v>7.1149618917259581</v>
      </c>
      <c r="GE387">
        <v>19.059618366656508</v>
      </c>
      <c r="GF387">
        <v>20.884003876751549</v>
      </c>
      <c r="GG387">
        <v>20.987010938248709</v>
      </c>
      <c r="GH387">
        <v>14.040260771819263</v>
      </c>
      <c r="GI387">
        <v>13.211633530571506</v>
      </c>
      <c r="GJ387"/>
      <c r="GK387"/>
      <c r="GL387"/>
      <c r="GM387"/>
    </row>
    <row r="388" spans="1:195" s="7" customFormat="1">
      <c r="A388" s="1"/>
      <c r="B388" s="13"/>
      <c r="C388" s="21"/>
      <c r="D388" s="96"/>
      <c r="E388" s="3"/>
      <c r="F388" s="19">
        <f t="shared" ref="F388:F398" si="394">IF(C374&lt;1,0,LN(E374/E373)/E21)</f>
        <v>2.9450021772196203E-2</v>
      </c>
      <c r="G388" s="13"/>
      <c r="H388" s="19">
        <f>IF(G406&lt;0,0,G406)</f>
        <v>2.9831003307395812E-2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80.615802240620056</v>
      </c>
      <c r="AO388">
        <v>14.742493155712429</v>
      </c>
      <c r="AP388">
        <v>51.313577793705946</v>
      </c>
      <c r="AQ388">
        <v>86.655935460925448</v>
      </c>
      <c r="AR388">
        <v>13.771883013684297</v>
      </c>
      <c r="AS388">
        <v>80.442590055234504</v>
      </c>
      <c r="AT388">
        <v>7.5922427238703598</v>
      </c>
      <c r="AU388">
        <v>11.882121916519031</v>
      </c>
      <c r="AV388"/>
      <c r="AW388"/>
      <c r="FY388" s="214">
        <v>383</v>
      </c>
      <c r="FZ388">
        <v>1.099043748700834</v>
      </c>
      <c r="GA388">
        <v>18.065019606219021</v>
      </c>
      <c r="GB388">
        <v>12.295180580759318</v>
      </c>
      <c r="GC388">
        <v>2.7425154161141654</v>
      </c>
      <c r="GD388">
        <v>8.0746537355805739</v>
      </c>
      <c r="GE388">
        <v>16.929507963979169</v>
      </c>
      <c r="GF388">
        <v>10.868692229052368</v>
      </c>
      <c r="GG388">
        <v>7.9525222887150901</v>
      </c>
      <c r="GH388">
        <v>6.4755946829300735</v>
      </c>
      <c r="GI388">
        <v>11.261055430822331</v>
      </c>
      <c r="GJ388"/>
      <c r="GK388"/>
      <c r="GL388"/>
      <c r="GM388"/>
    </row>
    <row r="389" spans="1:195" s="7" customFormat="1">
      <c r="A389" s="1"/>
      <c r="B389" s="13"/>
      <c r="C389" s="21"/>
      <c r="D389" s="96"/>
      <c r="E389" s="3"/>
      <c r="F389" s="19">
        <f t="shared" si="394"/>
        <v>1.4114535696835415E-2</v>
      </c>
      <c r="G389" s="13"/>
      <c r="H389" s="19">
        <f t="shared" ref="H389:H398" si="395">IF(G407&lt;0,0,G407)</f>
        <v>0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80.467848345002182</v>
      </c>
      <c r="AO389">
        <v>11.596567183606213</v>
      </c>
      <c r="AP389">
        <v>58.946622321204629</v>
      </c>
      <c r="AQ389">
        <v>73.543245342381894</v>
      </c>
      <c r="AR389">
        <v>10.567396507202645</v>
      </c>
      <c r="AS389">
        <v>62.791443023433267</v>
      </c>
      <c r="AT389" t="e">
        <v>#DIV/0!</v>
      </c>
      <c r="AU389" t="e">
        <v>#DIV/0!</v>
      </c>
      <c r="AV389"/>
      <c r="AW389"/>
      <c r="FY389" s="214">
        <v>384</v>
      </c>
      <c r="FZ389">
        <v>1.3376491725686313</v>
      </c>
      <c r="GA389">
        <v>18.566563764309208</v>
      </c>
      <c r="GB389">
        <v>14.354255662505404</v>
      </c>
      <c r="GC389">
        <v>3.8203269146705576</v>
      </c>
      <c r="GD389">
        <v>4.0139285933525359</v>
      </c>
      <c r="GE389">
        <v>8.1924828169103101</v>
      </c>
      <c r="GF389">
        <v>10.12247097600849</v>
      </c>
      <c r="GG389">
        <v>8.4686855296252084</v>
      </c>
      <c r="GH389">
        <v>1.6695421102721626</v>
      </c>
      <c r="GI389">
        <v>8.3734824702798711</v>
      </c>
      <c r="GJ389"/>
      <c r="GK389"/>
      <c r="GL389"/>
      <c r="GM389"/>
    </row>
    <row r="390" spans="1:195" s="7" customFormat="1">
      <c r="A390" s="1"/>
      <c r="B390" s="13"/>
      <c r="C390" s="21"/>
      <c r="D390" s="96"/>
      <c r="E390" s="3"/>
      <c r="F390" s="19">
        <f t="shared" si="394"/>
        <v>-6.5315370289610916E-2</v>
      </c>
      <c r="G390" s="13"/>
      <c r="H390" s="19">
        <f t="shared" si="395"/>
        <v>2.1194457764444213E-2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94.064154853145581</v>
      </c>
      <c r="AO390">
        <v>19.500759531976307</v>
      </c>
      <c r="AP390">
        <v>116.29995457266021</v>
      </c>
      <c r="AQ390">
        <v>104.27565216206307</v>
      </c>
      <c r="AR390">
        <v>18.085370422340837</v>
      </c>
      <c r="AS390">
        <v>91.289797596610384</v>
      </c>
      <c r="AT390">
        <v>9.7676195141486826</v>
      </c>
      <c r="AU390">
        <v>19.473942882728611</v>
      </c>
      <c r="AV390"/>
      <c r="AW390"/>
      <c r="FY390" s="214">
        <v>385</v>
      </c>
      <c r="FZ390">
        <v>0.87448996760530606</v>
      </c>
      <c r="GA390">
        <v>17.087447816964481</v>
      </c>
      <c r="GB390">
        <v>18.128343103122756</v>
      </c>
      <c r="GC390">
        <v>6.2599312254454658</v>
      </c>
      <c r="GD390">
        <v>3.0406574237098289</v>
      </c>
      <c r="GE390">
        <v>9.658484013002262</v>
      </c>
      <c r="GF390">
        <v>15.015552729456243</v>
      </c>
      <c r="GG390">
        <v>12.227269665621487</v>
      </c>
      <c r="GH390">
        <v>7.2295012016178344</v>
      </c>
      <c r="GI390">
        <v>10.602005689079046</v>
      </c>
      <c r="GJ390"/>
      <c r="GK390"/>
      <c r="GL390"/>
      <c r="GM390"/>
    </row>
    <row r="391" spans="1:195" s="7" customFormat="1">
      <c r="A391" s="1"/>
      <c r="B391" s="13"/>
      <c r="C391" s="21"/>
      <c r="D391" s="96"/>
      <c r="E391" s="3"/>
      <c r="F391" s="19">
        <f t="shared" si="394"/>
        <v>1.541694833096072E-2</v>
      </c>
      <c r="G391" s="13"/>
      <c r="H391" s="19">
        <f t="shared" si="395"/>
        <v>4.705991721923701E-3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44.066695275473627</v>
      </c>
      <c r="AO391">
        <v>9.5929075586431587</v>
      </c>
      <c r="AP391">
        <v>42.494383100476291</v>
      </c>
      <c r="AQ391">
        <v>58.859835908283095</v>
      </c>
      <c r="AR391">
        <v>8.8996896865007287</v>
      </c>
      <c r="AS391">
        <v>43.289826925243482</v>
      </c>
      <c r="AT391">
        <v>5.1584831154729907</v>
      </c>
      <c r="AU391">
        <v>9.1312395068886563</v>
      </c>
      <c r="AV391"/>
      <c r="AW391"/>
      <c r="FY391" s="214">
        <v>386</v>
      </c>
      <c r="FZ391">
        <v>1.5958583182428399</v>
      </c>
      <c r="GA391">
        <v>7.4887961322137908</v>
      </c>
      <c r="GB391">
        <v>9.3763438353158435</v>
      </c>
      <c r="GC391">
        <v>3.9250908095138257</v>
      </c>
      <c r="GD391">
        <v>2.6848982273667068</v>
      </c>
      <c r="GE391">
        <v>13.440932142657442</v>
      </c>
      <c r="GF391">
        <v>23.745092319958111</v>
      </c>
      <c r="GG391">
        <v>12.278144610849484</v>
      </c>
      <c r="GH391">
        <v>5.9169126775630962</v>
      </c>
      <c r="GI391">
        <v>9.7838010179302799</v>
      </c>
      <c r="GJ391"/>
      <c r="GK391"/>
      <c r="GL391"/>
      <c r="GM391"/>
    </row>
    <row r="392" spans="1:195" s="7" customFormat="1">
      <c r="A392" s="1"/>
      <c r="B392" s="13"/>
      <c r="C392" s="21"/>
      <c r="D392" s="96"/>
      <c r="E392" s="3"/>
      <c r="F392" s="19">
        <f t="shared" si="394"/>
        <v>7.5800672695632162E-2</v>
      </c>
      <c r="G392" s="13"/>
      <c r="H392" s="19">
        <f t="shared" si="395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53.895158265847996</v>
      </c>
      <c r="AO392">
        <v>13.673342326291419</v>
      </c>
      <c r="AP392">
        <v>79.586413752252838</v>
      </c>
      <c r="AQ392">
        <v>72.929648597733433</v>
      </c>
      <c r="AR392">
        <v>12.4550518547195</v>
      </c>
      <c r="AS392">
        <v>59.868769721243126</v>
      </c>
      <c r="AT392" t="e">
        <v>#DIV/0!</v>
      </c>
      <c r="AU392" t="e">
        <v>#DIV/0!</v>
      </c>
      <c r="AV392"/>
      <c r="AW392"/>
      <c r="FY392" s="214">
        <v>387</v>
      </c>
      <c r="FZ392">
        <v>0.8247895649047855</v>
      </c>
      <c r="GA392">
        <v>9.8432288183601404</v>
      </c>
      <c r="GB392">
        <v>11.101659846213092</v>
      </c>
      <c r="GC392">
        <v>4.3442848417559361</v>
      </c>
      <c r="GD392">
        <v>6.0430227590346917</v>
      </c>
      <c r="GE392">
        <v>20.11783717416035</v>
      </c>
      <c r="GF392">
        <v>24.735387365750118</v>
      </c>
      <c r="GG392">
        <v>14.614090646213604</v>
      </c>
      <c r="GH392">
        <v>9.573537441513654</v>
      </c>
      <c r="GI392">
        <v>12.762801155169013</v>
      </c>
      <c r="GJ392"/>
      <c r="GK392"/>
      <c r="GL392"/>
      <c r="GM392"/>
    </row>
    <row r="393" spans="1:195" s="7" customFormat="1">
      <c r="A393" s="1"/>
      <c r="B393" s="13"/>
      <c r="C393" s="21"/>
      <c r="D393" s="96"/>
      <c r="E393" s="3"/>
      <c r="F393" s="19">
        <f t="shared" si="394"/>
        <v>-5.1278917371590654E-2</v>
      </c>
      <c r="G393" s="13"/>
      <c r="H393" s="19">
        <f t="shared" si="395"/>
        <v>3.1108372648644817E-2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82.581961369807232</v>
      </c>
      <c r="AO393">
        <v>17.890366366025685</v>
      </c>
      <c r="AP393">
        <v>88.19414130806588</v>
      </c>
      <c r="AQ393">
        <v>98.301917998478231</v>
      </c>
      <c r="AR393">
        <v>16.455043353886371</v>
      </c>
      <c r="AS393">
        <v>81.301931987258158</v>
      </c>
      <c r="AT393">
        <v>8.3080792127355014</v>
      </c>
      <c r="AU393">
        <v>8.6524408434927089</v>
      </c>
      <c r="AV393"/>
      <c r="AW393"/>
      <c r="FY393" s="214">
        <v>388</v>
      </c>
      <c r="FZ393">
        <v>1.6654410759653975</v>
      </c>
      <c r="GA393">
        <v>2.8171761705839709</v>
      </c>
      <c r="GB393">
        <v>7.0460188598822384</v>
      </c>
      <c r="GC393">
        <v>4.1355378186029652</v>
      </c>
      <c r="GD393">
        <v>9.0937885393755238</v>
      </c>
      <c r="GE393">
        <v>20.06678041551941</v>
      </c>
      <c r="GF393">
        <v>19.815025797301757</v>
      </c>
      <c r="GG393">
        <v>19.819819423521341</v>
      </c>
      <c r="GH393">
        <v>6.9782562227679907</v>
      </c>
      <c r="GI393">
        <v>12.775486703475163</v>
      </c>
      <c r="GJ393"/>
      <c r="GK393"/>
      <c r="GL393"/>
      <c r="GM393"/>
    </row>
    <row r="394" spans="1:195" s="7" customFormat="1">
      <c r="A394" s="1"/>
      <c r="B394" s="13"/>
      <c r="C394" s="21"/>
      <c r="D394" s="96"/>
      <c r="E394" s="3"/>
      <c r="F394" s="19">
        <f t="shared" si="394"/>
        <v>4.9623213722545439E-2</v>
      </c>
      <c r="G394" s="13"/>
      <c r="H394" s="19">
        <f t="shared" si="395"/>
        <v>0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67.046352649730707</v>
      </c>
      <c r="AO394">
        <v>13.595774745103075</v>
      </c>
      <c r="AP394">
        <v>44.821119263189196</v>
      </c>
      <c r="AQ394">
        <v>83.44903752320009</v>
      </c>
      <c r="AR394">
        <v>12.372648629707356</v>
      </c>
      <c r="AS394">
        <v>64.736658442159751</v>
      </c>
      <c r="AT394" t="e">
        <v>#DIV/0!</v>
      </c>
      <c r="AU394" t="e">
        <v>#DIV/0!</v>
      </c>
      <c r="AV394"/>
      <c r="AW394"/>
      <c r="FY394" s="214">
        <v>389</v>
      </c>
      <c r="FZ394">
        <v>0.6262219994421161</v>
      </c>
      <c r="GA394">
        <v>10.362622013902268</v>
      </c>
      <c r="GB394">
        <v>8.4112529325442686</v>
      </c>
      <c r="GC394">
        <v>2.4752602497854452</v>
      </c>
      <c r="GD394">
        <v>5.2922619941187641</v>
      </c>
      <c r="GE394">
        <v>13.368425547124019</v>
      </c>
      <c r="GF394">
        <v>14.488518893899139</v>
      </c>
      <c r="GG394">
        <v>8.3034461047954409</v>
      </c>
      <c r="GH394">
        <v>2.3440362398958201</v>
      </c>
      <c r="GI394">
        <v>8.5215319175689981</v>
      </c>
      <c r="GJ394"/>
      <c r="GK394"/>
      <c r="GL394"/>
      <c r="GM394"/>
    </row>
    <row r="395" spans="1:195" s="7" customFormat="1">
      <c r="A395" s="1"/>
      <c r="B395" s="13"/>
      <c r="C395" s="21"/>
      <c r="D395" s="96"/>
      <c r="E395" s="3"/>
      <c r="F395" s="19">
        <f t="shared" si="394"/>
        <v>-6.7408744381165977E-3</v>
      </c>
      <c r="G395" s="13"/>
      <c r="H395" s="19">
        <f t="shared" si="395"/>
        <v>0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94.743424985887117</v>
      </c>
      <c r="AO395">
        <v>20.015998840409839</v>
      </c>
      <c r="AP395">
        <v>162.87414888744158</v>
      </c>
      <c r="AQ395">
        <v>93.700865546895884</v>
      </c>
      <c r="AR395">
        <v>18.233312528228687</v>
      </c>
      <c r="AS395">
        <v>97.022154938055735</v>
      </c>
      <c r="AT395" t="e">
        <v>#DIV/0!</v>
      </c>
      <c r="AU395" t="e">
        <v>#DIV/0!</v>
      </c>
      <c r="AV395"/>
      <c r="AW395"/>
      <c r="FY395" s="214">
        <v>390</v>
      </c>
      <c r="FZ395">
        <v>0.28493023484976099</v>
      </c>
      <c r="GA395">
        <v>10.930081651552479</v>
      </c>
      <c r="GB395">
        <v>9.6359381263345014</v>
      </c>
      <c r="GC395">
        <v>3.1318139496239903</v>
      </c>
      <c r="GD395">
        <v>1.06125149251502</v>
      </c>
      <c r="GE395">
        <v>4.1613099948867349</v>
      </c>
      <c r="GF395">
        <v>9.6655241682733717</v>
      </c>
      <c r="GG395">
        <v>9.5440240257297919</v>
      </c>
      <c r="GH395">
        <v>9.3222924626638104</v>
      </c>
      <c r="GI395">
        <v>6.3293628175473016</v>
      </c>
      <c r="GJ395"/>
      <c r="GK395"/>
      <c r="GL395"/>
      <c r="GM395"/>
    </row>
    <row r="396" spans="1:195" s="7" customFormat="1">
      <c r="A396" s="1"/>
      <c r="B396" s="13"/>
      <c r="C396" s="21"/>
      <c r="D396" s="96"/>
      <c r="E396" s="3"/>
      <c r="F396" s="19">
        <f t="shared" si="394"/>
        <v>3.6425435223337911E-3</v>
      </c>
      <c r="G396" s="13"/>
      <c r="H396" s="19">
        <f t="shared" si="395"/>
        <v>4.6182219544811734E-3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81.662873022040387</v>
      </c>
      <c r="AO396">
        <v>19.388513341220531</v>
      </c>
      <c r="AP396">
        <v>116.73253373276528</v>
      </c>
      <c r="AQ396">
        <v>112.95007623793278</v>
      </c>
      <c r="AR396">
        <v>17.804463797555915</v>
      </c>
      <c r="AS396">
        <v>82.32589695465353</v>
      </c>
      <c r="AT396" t="e">
        <v>#DIV/0!</v>
      </c>
      <c r="AU396" t="e">
        <v>#DIV/0!</v>
      </c>
      <c r="AV396"/>
      <c r="AW396"/>
      <c r="FY396" s="214">
        <v>391</v>
      </c>
      <c r="FZ396">
        <v>0.86154737284096894</v>
      </c>
      <c r="GA396">
        <v>4.3117272711717121</v>
      </c>
      <c r="GB396">
        <v>3.8905381566937676</v>
      </c>
      <c r="GC396">
        <v>1.6866214784689322</v>
      </c>
      <c r="GD396">
        <v>5.9580314652144946</v>
      </c>
      <c r="GE396">
        <v>13.480586791873558</v>
      </c>
      <c r="GF396">
        <v>9.5238698946358333</v>
      </c>
      <c r="GG396">
        <v>6.6354197211035046</v>
      </c>
      <c r="GH396">
        <v>2.9842986029364886</v>
      </c>
      <c r="GI396">
        <v>7.1896398168520204</v>
      </c>
      <c r="GJ396"/>
      <c r="GK396"/>
      <c r="GL396"/>
      <c r="GM396"/>
    </row>
    <row r="397" spans="1:195" s="7" customFormat="1">
      <c r="A397" s="1"/>
      <c r="B397" s="13"/>
      <c r="C397" s="21"/>
      <c r="D397" s="96"/>
      <c r="E397" s="3"/>
      <c r="F397" s="19">
        <f t="shared" si="394"/>
        <v>0</v>
      </c>
      <c r="G397" s="13"/>
      <c r="H397" s="19">
        <f t="shared" si="395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94.990331071872561</v>
      </c>
      <c r="AO397">
        <v>22.311599414111953</v>
      </c>
      <c r="AP397">
        <v>167.55896005231585</v>
      </c>
      <c r="AQ397">
        <v>112.89073142429247</v>
      </c>
      <c r="AR397">
        <v>20.283272194647235</v>
      </c>
      <c r="AS397">
        <v>94.250593260065713</v>
      </c>
      <c r="AT397" t="e">
        <v>#DIV/0!</v>
      </c>
      <c r="AU397" t="e">
        <v>#DIV/0!</v>
      </c>
      <c r="AV397"/>
      <c r="AW397"/>
      <c r="FY397" s="214">
        <v>392</v>
      </c>
      <c r="FZ397">
        <v>0.27781286748061929</v>
      </c>
      <c r="GA397">
        <v>16.181256483610536</v>
      </c>
      <c r="GB397">
        <v>10.028421383618079</v>
      </c>
      <c r="GC397">
        <v>1.691188399549479</v>
      </c>
      <c r="GD397">
        <v>4.3068595788862245</v>
      </c>
      <c r="GE397">
        <v>13.940209274223236</v>
      </c>
      <c r="GF397">
        <v>24.994796324938683</v>
      </c>
      <c r="GG397">
        <v>16.350735086152582</v>
      </c>
      <c r="GH397">
        <v>5.833164351279815</v>
      </c>
      <c r="GI397">
        <v>10.742166783921615</v>
      </c>
      <c r="GJ397"/>
      <c r="GK397"/>
      <c r="GL397"/>
      <c r="GM397"/>
    </row>
    <row r="398" spans="1:195" s="7" customFormat="1">
      <c r="A398" s="1"/>
      <c r="B398" s="13"/>
      <c r="C398" s="21"/>
      <c r="D398" s="96"/>
      <c r="E398" s="3"/>
      <c r="F398" s="19">
        <f t="shared" si="394"/>
        <v>0</v>
      </c>
      <c r="G398" s="13"/>
      <c r="H398" s="19">
        <f t="shared" si="395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92.720006384688915</v>
      </c>
      <c r="AO398">
        <v>20.206429322527455</v>
      </c>
      <c r="AP398">
        <v>95.317282550081416</v>
      </c>
      <c r="AQ398">
        <v>115.89353058562922</v>
      </c>
      <c r="AR398">
        <v>18.394543906221962</v>
      </c>
      <c r="AS398">
        <v>94.559040692170655</v>
      </c>
      <c r="AT398" t="e">
        <v>#DIV/0!</v>
      </c>
      <c r="AU398" t="e">
        <v>#DIV/0!</v>
      </c>
      <c r="AV398"/>
      <c r="AW398"/>
      <c r="FY398" s="214">
        <v>393</v>
      </c>
      <c r="FZ398">
        <v>0.47610179972766264</v>
      </c>
      <c r="GA398">
        <v>10.326281864822928</v>
      </c>
      <c r="GB398">
        <v>6.9474553381458186</v>
      </c>
      <c r="GC398">
        <v>1.8956340709385884</v>
      </c>
      <c r="GD398">
        <v>10.162571678721502</v>
      </c>
      <c r="GE398">
        <v>22.492734754003589</v>
      </c>
      <c r="GF398">
        <v>14.620628137233535</v>
      </c>
      <c r="GG398">
        <v>12.437532226077142</v>
      </c>
      <c r="GH398">
        <v>7.7881832069848107</v>
      </c>
      <c r="GI398">
        <v>12.431260348959231</v>
      </c>
      <c r="GJ398"/>
      <c r="GK398"/>
      <c r="GL398"/>
      <c r="GM398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85.027492648993629</v>
      </c>
      <c r="AO399">
        <v>16.587176487510824</v>
      </c>
      <c r="AP399">
        <v>84.165725109218485</v>
      </c>
      <c r="AQ399">
        <v>95.763785682872935</v>
      </c>
      <c r="AR399">
        <v>15.639941791000401</v>
      </c>
      <c r="AS399">
        <v>80.043850393567865</v>
      </c>
      <c r="AT399">
        <v>8.8572722836056226</v>
      </c>
      <c r="AU399">
        <v>31.299113508305886</v>
      </c>
      <c r="AV399"/>
      <c r="AW399"/>
      <c r="FY399" s="214">
        <v>394</v>
      </c>
      <c r="FZ399">
        <v>0.92830632042164951</v>
      </c>
      <c r="GA399">
        <v>2.5397862358685148</v>
      </c>
      <c r="GB399">
        <v>7.6233431531159201</v>
      </c>
      <c r="GC399">
        <v>4.4612501248768615</v>
      </c>
      <c r="GD399">
        <v>4.8456581837188155</v>
      </c>
      <c r="GE399">
        <v>11.573832212025463</v>
      </c>
      <c r="GF399">
        <v>10.564294117824772</v>
      </c>
      <c r="GG399">
        <v>8.7721200819613863</v>
      </c>
      <c r="GH399">
        <v>4.0456421481413827</v>
      </c>
      <c r="GI399">
        <v>7.8112919303257335</v>
      </c>
      <c r="GJ399"/>
      <c r="GK399"/>
      <c r="GL399"/>
      <c r="GM399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67.584511713764996</v>
      </c>
      <c r="AO400">
        <v>12.733949517928654</v>
      </c>
      <c r="AP400">
        <v>65.935553265608064</v>
      </c>
      <c r="AQ400">
        <v>78.919388010502374</v>
      </c>
      <c r="AR400">
        <v>11.589171150457881</v>
      </c>
      <c r="AS400">
        <v>61.811515240240091</v>
      </c>
      <c r="AT400" t="e">
        <v>#DIV/0!</v>
      </c>
      <c r="AU400" t="e">
        <v>#DIV/0!</v>
      </c>
      <c r="AV400"/>
      <c r="AW400"/>
      <c r="FY400" s="214">
        <v>395</v>
      </c>
      <c r="FZ400">
        <v>1.1964566436068762</v>
      </c>
      <c r="GA400">
        <v>11.14025626444983</v>
      </c>
      <c r="GB400">
        <v>8.4585792203574339</v>
      </c>
      <c r="GC400">
        <v>2.6794989363506376</v>
      </c>
      <c r="GD400">
        <v>4.0143602930521523</v>
      </c>
      <c r="GE400">
        <v>8.4024702551633705</v>
      </c>
      <c r="GF400">
        <v>15.203753813093678</v>
      </c>
      <c r="GG400">
        <v>11.760047637018618</v>
      </c>
      <c r="GH400">
        <v>1.8712705294217138</v>
      </c>
      <c r="GI400">
        <v>7.9993460115717543</v>
      </c>
      <c r="GJ400"/>
      <c r="GK400"/>
      <c r="GL400"/>
      <c r="GM400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80.237527182583477</v>
      </c>
      <c r="AO401">
        <v>16.308927120252044</v>
      </c>
      <c r="AP401">
        <v>60.960608026348588</v>
      </c>
      <c r="AQ401">
        <v>100.12368283562472</v>
      </c>
      <c r="AR401">
        <v>14.826619436971555</v>
      </c>
      <c r="AS401">
        <v>77.613340743991429</v>
      </c>
      <c r="AT401" t="e">
        <v>#DIV/0!</v>
      </c>
      <c r="AU401" t="e">
        <v>#DIV/0!</v>
      </c>
      <c r="AV401"/>
      <c r="AW401"/>
      <c r="FY401" s="214">
        <v>396</v>
      </c>
      <c r="FZ401">
        <v>1.2902153135787358</v>
      </c>
      <c r="GA401">
        <v>19.586201275683443</v>
      </c>
      <c r="GB401">
        <v>13.624606354840257</v>
      </c>
      <c r="GC401">
        <v>2.7996555551782798</v>
      </c>
      <c r="GD401">
        <v>5.9426506938661614</v>
      </c>
      <c r="GE401">
        <v>17.940042358873473</v>
      </c>
      <c r="GF401">
        <v>25.117848636528731</v>
      </c>
      <c r="GG401">
        <v>21.431399725083594</v>
      </c>
      <c r="GH401">
        <v>10.551132660435268</v>
      </c>
      <c r="GI401">
        <v>13.940716328570826</v>
      </c>
      <c r="GJ401"/>
      <c r="GK401"/>
      <c r="GL401"/>
      <c r="GM401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73.337158810033401</v>
      </c>
      <c r="AO402">
        <v>14.912549753001304</v>
      </c>
      <c r="AP402">
        <v>66.094764942873837</v>
      </c>
      <c r="AQ402">
        <v>90.235870091611417</v>
      </c>
      <c r="AR402">
        <v>13.748259396970264</v>
      </c>
      <c r="AS402">
        <v>72.686193373377051</v>
      </c>
      <c r="AT402">
        <v>7.6640008279845979</v>
      </c>
      <c r="AU402">
        <v>31.285961948620983</v>
      </c>
      <c r="AV402"/>
      <c r="AW402"/>
      <c r="FY402" s="214">
        <v>397</v>
      </c>
      <c r="FZ402">
        <v>0.65405213662560102</v>
      </c>
      <c r="GA402">
        <v>17.316792138202764</v>
      </c>
      <c r="GB402">
        <v>12.70378307645678</v>
      </c>
      <c r="GC402">
        <v>3.1088530322951904</v>
      </c>
      <c r="GD402">
        <v>12.306925954357991</v>
      </c>
      <c r="GE402">
        <v>29.928791292797602</v>
      </c>
      <c r="GF402">
        <v>19.703755122928285</v>
      </c>
      <c r="GG402">
        <v>11.644090706027457</v>
      </c>
      <c r="GH402">
        <v>5.9169126775630962</v>
      </c>
      <c r="GI402">
        <v>15.495483441591348</v>
      </c>
      <c r="GJ402"/>
      <c r="GK402"/>
      <c r="GL402"/>
      <c r="GM402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105.42348291545734</v>
      </c>
      <c r="AO403">
        <v>19.27092713346557</v>
      </c>
      <c r="AP403">
        <v>78.130137948624153</v>
      </c>
      <c r="AQ403">
        <v>113.96063961307537</v>
      </c>
      <c r="AR403">
        <v>17.735161300937808</v>
      </c>
      <c r="AS403">
        <v>92.66640725987186</v>
      </c>
      <c r="AT403">
        <v>9.7560294011289042</v>
      </c>
      <c r="AU403">
        <v>32.438701581349385</v>
      </c>
      <c r="AV403"/>
      <c r="AW403"/>
      <c r="FY403" s="214">
        <v>398</v>
      </c>
      <c r="FZ403">
        <v>0.94508623208618359</v>
      </c>
      <c r="GA403">
        <v>19.279758906693292</v>
      </c>
      <c r="GB403">
        <v>11.414037077693317</v>
      </c>
      <c r="GC403">
        <v>2.2540693535837439</v>
      </c>
      <c r="GD403">
        <v>5.4593983217688171</v>
      </c>
      <c r="GE403">
        <v>13.181672518182408</v>
      </c>
      <c r="GF403">
        <v>12.172815405245894</v>
      </c>
      <c r="GG403">
        <v>8.5739335750727719</v>
      </c>
      <c r="GH403">
        <v>9.4919570838399601</v>
      </c>
      <c r="GI403">
        <v>10.12247517148929</v>
      </c>
      <c r="GJ403"/>
      <c r="GK403"/>
      <c r="GL403"/>
      <c r="GM403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72.287037013692355</v>
      </c>
      <c r="AO404">
        <v>19.90721042732147</v>
      </c>
      <c r="AP404">
        <v>89.502391945743881</v>
      </c>
      <c r="AQ404">
        <v>104.21333102699576</v>
      </c>
      <c r="AR404">
        <v>18.121882618913489</v>
      </c>
      <c r="AS404">
        <v>81.314644520648798</v>
      </c>
      <c r="AT404" t="e">
        <v>#DIV/0!</v>
      </c>
      <c r="AU404" t="e">
        <v>#DIV/0!</v>
      </c>
      <c r="AV404"/>
      <c r="AW404"/>
      <c r="FY404" s="214">
        <v>399</v>
      </c>
      <c r="FZ404">
        <v>0.54313938052396937</v>
      </c>
      <c r="GA404">
        <v>11.468636574246455</v>
      </c>
      <c r="GB404">
        <v>9.8409916706607596</v>
      </c>
      <c r="GC404">
        <v>3.1445781842682496</v>
      </c>
      <c r="GD404">
        <v>7.0177195787955498</v>
      </c>
      <c r="GE404">
        <v>14.947304870268779</v>
      </c>
      <c r="GF404">
        <v>10.075969678316074</v>
      </c>
      <c r="GG404">
        <v>14.693673226652651</v>
      </c>
      <c r="GH404">
        <v>14.598942777186238</v>
      </c>
      <c r="GI404">
        <v>11.250252781941301</v>
      </c>
      <c r="GJ404"/>
      <c r="GK404"/>
      <c r="GL404"/>
      <c r="GM404"/>
    </row>
    <row r="405" spans="1:195" s="7" customFormat="1">
      <c r="A405" s="189">
        <v>13.69</v>
      </c>
      <c r="B405" s="71">
        <f t="shared" ref="B405:B414" si="396">+C4</f>
        <v>39646</v>
      </c>
      <c r="C405" s="61">
        <v>0</v>
      </c>
      <c r="D405" s="61">
        <f t="shared" ref="D405:D414" si="397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2</v>
      </c>
      <c r="E405" s="108">
        <f t="shared" ref="E405:E414" si="398">IF(D405=0,0.00000001,(1-$A$43/100)*($A$39*(D405^($A$41))))</f>
        <v>4.3529350407149732E-2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68.213484203073023</v>
      </c>
      <c r="AO405">
        <v>12.812936518189801</v>
      </c>
      <c r="AP405">
        <v>76.697860759841845</v>
      </c>
      <c r="AQ405">
        <v>74.193577893076267</v>
      </c>
      <c r="AR405">
        <v>11.826988740634038</v>
      </c>
      <c r="AS405">
        <v>64.975417538955483</v>
      </c>
      <c r="AT405">
        <v>6.6907000433983548</v>
      </c>
      <c r="AU405">
        <v>40.805741222958787</v>
      </c>
      <c r="AV405"/>
      <c r="AW405"/>
      <c r="FY405" s="214">
        <v>400</v>
      </c>
      <c r="FZ405">
        <v>0.49570552153407355</v>
      </c>
      <c r="GA405">
        <v>9.7203639009923855</v>
      </c>
      <c r="GB405">
        <v>10.267540517503916</v>
      </c>
      <c r="GC405">
        <v>3.9173832962978405</v>
      </c>
      <c r="GD405">
        <v>7.430286887069725</v>
      </c>
      <c r="GE405">
        <v>19.036496210058175</v>
      </c>
      <c r="GF405">
        <v>20.829656708826413</v>
      </c>
      <c r="GG405">
        <v>14.888932083479823</v>
      </c>
      <c r="GH405">
        <v>8.344697243742198</v>
      </c>
      <c r="GI405">
        <v>12.59285231106127</v>
      </c>
      <c r="GJ405"/>
      <c r="GK405"/>
      <c r="GL405"/>
      <c r="GM405"/>
    </row>
    <row r="406" spans="1:195" s="7" customFormat="1">
      <c r="A406" s="189">
        <v>9.4499999999999993</v>
      </c>
      <c r="B406" s="71">
        <f t="shared" si="396"/>
        <v>39673</v>
      </c>
      <c r="C406" s="61">
        <f>B406-B405</f>
        <v>27</v>
      </c>
      <c r="D406" s="61">
        <f t="shared" si="397"/>
        <v>3.1428571428571428</v>
      </c>
      <c r="E406" s="108">
        <f t="shared" si="398"/>
        <v>0.14603577032985052</v>
      </c>
      <c r="F406" s="19">
        <f t="shared" ref="F406:F414" si="399">IF(C374&lt;1,0,LN(E406/E405)/E21)</f>
        <v>4.4830228199403979E-2</v>
      </c>
      <c r="G406" s="19">
        <f t="shared" ref="G406:G414" si="400">IF(D406=0, 0, 0.051-(0.068*LN(D406))+(0.006*A406))</f>
        <v>2.9831003307395812E-2</v>
      </c>
      <c r="H406" s="19">
        <f t="shared" ref="H406:H414" si="401">+IF((G406&gt;0),G406,0)</f>
        <v>2.9831003307395812E-2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60.272124011821532</v>
      </c>
      <c r="AO406">
        <v>9.4019715871864058</v>
      </c>
      <c r="AP406">
        <v>27.025982163804354</v>
      </c>
      <c r="AQ406">
        <v>64.066528923976762</v>
      </c>
      <c r="AR406">
        <v>8.7264335855551938</v>
      </c>
      <c r="AS406">
        <v>50.283077207380742</v>
      </c>
      <c r="AT406">
        <v>5.5027318162822594</v>
      </c>
      <c r="AU406">
        <v>9.3850259118824155</v>
      </c>
      <c r="AV406"/>
      <c r="AW406"/>
      <c r="FY406" s="214">
        <v>401</v>
      </c>
      <c r="FZ406">
        <v>0.41188802907323274</v>
      </c>
      <c r="GA406">
        <v>15.15108619093799</v>
      </c>
      <c r="GB406">
        <v>8.3125010715403675</v>
      </c>
      <c r="GC406">
        <v>1.4114793135627912</v>
      </c>
      <c r="GD406">
        <v>7.5961027725075843</v>
      </c>
      <c r="GE406">
        <v>18.815969348948833</v>
      </c>
      <c r="GF406">
        <v>16.171284111644113</v>
      </c>
      <c r="GG406">
        <v>10.106661850054625</v>
      </c>
      <c r="GH406">
        <v>3.6566247639505578</v>
      </c>
      <c r="GI406">
        <v>10.375833166628782</v>
      </c>
      <c r="GJ406"/>
      <c r="GK406"/>
      <c r="GL406"/>
      <c r="GM406"/>
    </row>
    <row r="407" spans="1:195" s="7" customFormat="1">
      <c r="A407" s="189">
        <v>4.03</v>
      </c>
      <c r="B407" s="71">
        <f t="shared" si="396"/>
        <v>39714</v>
      </c>
      <c r="C407" s="61">
        <f>B407-$B$405</f>
        <v>68</v>
      </c>
      <c r="D407" s="61">
        <f t="shared" si="397"/>
        <v>3.6470588235294117</v>
      </c>
      <c r="E407" s="108">
        <f t="shared" si="398"/>
        <v>0.21752370450155123</v>
      </c>
      <c r="F407" s="19">
        <f t="shared" si="399"/>
        <v>9.71844480109188E-3</v>
      </c>
      <c r="G407" s="19">
        <f t="shared" si="400"/>
        <v>-1.2806630787243544E-2</v>
      </c>
      <c r="H407" s="19">
        <f t="shared" si="401"/>
        <v>0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53.40415449348243</v>
      </c>
      <c r="AO407">
        <v>10.981141389836953</v>
      </c>
      <c r="AP407">
        <v>62.629457616778083</v>
      </c>
      <c r="AQ407">
        <v>56.522280571791285</v>
      </c>
      <c r="AR407">
        <v>10.173607684245098</v>
      </c>
      <c r="AS407">
        <v>49.661439781026587</v>
      </c>
      <c r="AT407">
        <v>5.0830210985600601</v>
      </c>
      <c r="AU407">
        <v>2.6108842534251662</v>
      </c>
      <c r="AV407"/>
      <c r="AW407"/>
      <c r="FY407" s="214">
        <v>402</v>
      </c>
      <c r="FZ407">
        <v>0.93824749793266793</v>
      </c>
      <c r="GA407">
        <v>11.31117477648384</v>
      </c>
      <c r="GB407">
        <v>12.463121837217731</v>
      </c>
      <c r="GC407">
        <v>4.8288382447416582</v>
      </c>
      <c r="GD407">
        <v>6.5925128444219778</v>
      </c>
      <c r="GE407">
        <v>18.149800958701526</v>
      </c>
      <c r="GF407">
        <v>24.593494687635438</v>
      </c>
      <c r="GG407">
        <v>14.09309050459575</v>
      </c>
      <c r="GH407">
        <v>0.64026236304066864</v>
      </c>
      <c r="GI407">
        <v>12.343994296207685</v>
      </c>
      <c r="GJ407"/>
      <c r="GK407"/>
      <c r="GL407"/>
      <c r="GM407"/>
    </row>
    <row r="408" spans="1:195" s="7" customFormat="1">
      <c r="A408" s="189">
        <v>0.78</v>
      </c>
      <c r="B408" s="71">
        <f t="shared" si="396"/>
        <v>39747</v>
      </c>
      <c r="C408" s="61">
        <f t="shared" ref="C408:C414" si="402">B408-$B$405</f>
        <v>101</v>
      </c>
      <c r="D408" s="61">
        <f t="shared" si="397"/>
        <v>1.6605358093323082</v>
      </c>
      <c r="E408" s="108">
        <f t="shared" si="398"/>
        <v>2.6451399782152236E-2</v>
      </c>
      <c r="F408" s="19">
        <f t="shared" si="399"/>
        <v>-6.3848447032718275E-2</v>
      </c>
      <c r="G408" s="19">
        <f t="shared" si="400"/>
        <v>2.1194457764444213E-2</v>
      </c>
      <c r="H408" s="19">
        <f t="shared" si="401"/>
        <v>2.1194457764444213E-2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87.991943121038645</v>
      </c>
      <c r="AO408">
        <v>16.128461219205665</v>
      </c>
      <c r="AP408">
        <v>73.207666642075608</v>
      </c>
      <c r="AQ408">
        <v>104.34661053366086</v>
      </c>
      <c r="AR408">
        <v>14.840780050269673</v>
      </c>
      <c r="AS408">
        <v>82.069405210543025</v>
      </c>
      <c r="AT408" t="e">
        <v>#DIV/0!</v>
      </c>
      <c r="AU408" t="e">
        <v>#DIV/0!</v>
      </c>
      <c r="AV408"/>
      <c r="AW408"/>
      <c r="FY408" s="214">
        <v>403</v>
      </c>
      <c r="FZ408">
        <v>0.68077322580115363</v>
      </c>
      <c r="GA408">
        <v>12.158277666298144</v>
      </c>
      <c r="GB408">
        <v>10.823439137774148</v>
      </c>
      <c r="GC408">
        <v>3.4427880382896863</v>
      </c>
      <c r="GD408">
        <v>1.8904286557285008</v>
      </c>
      <c r="GE408">
        <v>12.839884495675584</v>
      </c>
      <c r="GF408">
        <v>29.578912472973464</v>
      </c>
      <c r="GG408">
        <v>18.896117494669735</v>
      </c>
      <c r="GH408">
        <v>8.2587809488493278</v>
      </c>
      <c r="GI408">
        <v>11.118413842822163</v>
      </c>
      <c r="GJ408"/>
      <c r="GK408"/>
      <c r="GL408"/>
      <c r="GM408"/>
    </row>
    <row r="409" spans="1:195" s="7" customFormat="1">
      <c r="A409" s="189">
        <v>0.14000000000000001</v>
      </c>
      <c r="B409" s="71">
        <f t="shared" si="396"/>
        <v>39775</v>
      </c>
      <c r="C409" s="61">
        <f t="shared" si="402"/>
        <v>129</v>
      </c>
      <c r="D409" s="61">
        <f t="shared" si="397"/>
        <v>2.0000000000000004</v>
      </c>
      <c r="E409" s="108">
        <f t="shared" si="398"/>
        <v>4.3529350407149753E-2</v>
      </c>
      <c r="F409" s="19">
        <f t="shared" si="399"/>
        <v>1.7790226923251024E-2</v>
      </c>
      <c r="G409" s="19">
        <f t="shared" si="400"/>
        <v>4.705991721923701E-3</v>
      </c>
      <c r="H409" s="19">
        <f t="shared" si="401"/>
        <v>4.705991721923701E-3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74.834830875291047</v>
      </c>
      <c r="AO409">
        <v>19.041333546935746</v>
      </c>
      <c r="AP409">
        <v>103.8851609418743</v>
      </c>
      <c r="AQ409">
        <v>99.578383425614803</v>
      </c>
      <c r="AR409">
        <v>17.668032490864572</v>
      </c>
      <c r="AS409">
        <v>80.474741942115358</v>
      </c>
      <c r="AT409">
        <v>9.1515164177818047</v>
      </c>
      <c r="AU409">
        <v>12.52002079578638</v>
      </c>
      <c r="AV409"/>
      <c r="AW409"/>
      <c r="FY409" s="214">
        <v>404</v>
      </c>
      <c r="FZ409">
        <v>1.4880480054987109</v>
      </c>
      <c r="GA409">
        <v>4.4947946740299498</v>
      </c>
      <c r="GB409">
        <v>2.3212854833253496</v>
      </c>
      <c r="GC409">
        <v>0.99333653155154256</v>
      </c>
      <c r="GD409">
        <v>4.7654688118618473</v>
      </c>
      <c r="GE409">
        <v>14.595873012739416</v>
      </c>
      <c r="GF409">
        <v>17.663592557452642</v>
      </c>
      <c r="GG409">
        <v>8.4139515138290886</v>
      </c>
      <c r="GH409">
        <v>3.0680469292197698</v>
      </c>
      <c r="GI409">
        <v>7.5125478540133219</v>
      </c>
      <c r="GJ409"/>
      <c r="GK409"/>
      <c r="GL409"/>
      <c r="GM409"/>
    </row>
    <row r="410" spans="1:195" s="7" customFormat="1">
      <c r="A410" s="189">
        <v>0.21</v>
      </c>
      <c r="B410" s="71">
        <f t="shared" si="396"/>
        <v>39799</v>
      </c>
      <c r="C410" s="61">
        <f t="shared" si="402"/>
        <v>153</v>
      </c>
      <c r="D410" s="61">
        <f t="shared" si="397"/>
        <v>3.2546524000146757</v>
      </c>
      <c r="E410" s="108">
        <f t="shared" si="398"/>
        <v>0.16036559855310578</v>
      </c>
      <c r="F410" s="19">
        <f t="shared" si="399"/>
        <v>5.4334198624723218E-2</v>
      </c>
      <c r="G410" s="19">
        <f t="shared" si="400"/>
        <v>-2.7985812667750801E-2</v>
      </c>
      <c r="H410" s="19">
        <f t="shared" si="401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58.517789297739057</v>
      </c>
      <c r="AO410">
        <v>12.132652245404085</v>
      </c>
      <c r="AP410">
        <v>68.036739544437324</v>
      </c>
      <c r="AQ410">
        <v>63.165524508280498</v>
      </c>
      <c r="AR410">
        <v>11.029683859458258</v>
      </c>
      <c r="AS410">
        <v>54.828713797537539</v>
      </c>
      <c r="AT410" t="e">
        <v>#DIV/0!</v>
      </c>
      <c r="AU410" t="e">
        <v>#DIV/0!</v>
      </c>
      <c r="AV410"/>
      <c r="AW410"/>
      <c r="FY410" s="214">
        <v>405</v>
      </c>
      <c r="FZ410">
        <v>1.3340904888840606</v>
      </c>
      <c r="GA410">
        <v>2.8652297652502257</v>
      </c>
      <c r="GB410">
        <v>5.5906290169980899</v>
      </c>
      <c r="GC410">
        <v>3.3600844082327357</v>
      </c>
      <c r="GD410">
        <v>6.0274978909792996</v>
      </c>
      <c r="GE410">
        <v>18.381274674656762</v>
      </c>
      <c r="GF410">
        <v>16.936205427326264</v>
      </c>
      <c r="GG410">
        <v>8.804398501745009</v>
      </c>
      <c r="GH410">
        <v>5.1586702216561573</v>
      </c>
      <c r="GI410">
        <v>9.4905627614058812</v>
      </c>
      <c r="GJ410"/>
      <c r="GK410"/>
      <c r="GL410"/>
      <c r="GM410"/>
    </row>
    <row r="411" spans="1:195" s="7" customFormat="1">
      <c r="A411" s="189">
        <v>1.28</v>
      </c>
      <c r="B411" s="71">
        <f>+C10</f>
        <v>39847</v>
      </c>
      <c r="C411" s="61">
        <f t="shared" si="402"/>
        <v>201</v>
      </c>
      <c r="D411" s="61">
        <f t="shared" si="397"/>
        <v>1.5</v>
      </c>
      <c r="E411" s="108">
        <f t="shared" si="398"/>
        <v>2.0146344197937927E-2</v>
      </c>
      <c r="F411" s="19">
        <f t="shared" si="399"/>
        <v>-4.3217361604567232E-2</v>
      </c>
      <c r="G411" s="19">
        <f t="shared" si="400"/>
        <v>3.1108372648644817E-2</v>
      </c>
      <c r="H411" s="19">
        <f t="shared" si="401"/>
        <v>3.1108372648644817E-2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60.476561400410539</v>
      </c>
      <c r="AO411">
        <v>12.095677821154457</v>
      </c>
      <c r="AP411">
        <v>61.64087994793389</v>
      </c>
      <c r="AQ411">
        <v>72.726039604086068</v>
      </c>
      <c r="AR411">
        <v>11.186822621806467</v>
      </c>
      <c r="AS411">
        <v>59.697240850944389</v>
      </c>
      <c r="AT411">
        <v>6.6575832798903605</v>
      </c>
      <c r="AU411">
        <v>-1.6534217878405482</v>
      </c>
      <c r="AV411"/>
      <c r="AW411"/>
      <c r="FY411" s="214">
        <v>406</v>
      </c>
      <c r="FZ411">
        <v>0.58701455582929429</v>
      </c>
      <c r="GA411">
        <v>4.1740978160853928</v>
      </c>
      <c r="GB411">
        <v>4.7254957434431013</v>
      </c>
      <c r="GC411">
        <v>2.1881842314613404</v>
      </c>
      <c r="GD411">
        <v>5.0152907523301584</v>
      </c>
      <c r="GE411">
        <v>13.267923638332435</v>
      </c>
      <c r="GF411">
        <v>20.822244075757535</v>
      </c>
      <c r="GG411">
        <v>14.143981213383032</v>
      </c>
      <c r="GH411">
        <v>2.5115328924623825</v>
      </c>
      <c r="GI411">
        <v>8.9629062256557539</v>
      </c>
      <c r="GJ411"/>
      <c r="GK411"/>
      <c r="GL411"/>
      <c r="GM411"/>
    </row>
    <row r="412" spans="1:195" s="7" customFormat="1">
      <c r="A412" s="189">
        <v>4</v>
      </c>
      <c r="B412" s="71">
        <f t="shared" si="396"/>
        <v>39910</v>
      </c>
      <c r="C412" s="61">
        <f t="shared" si="402"/>
        <v>264</v>
      </c>
      <c r="D412" s="61">
        <f t="shared" si="397"/>
        <v>4.5643564356435649</v>
      </c>
      <c r="E412" s="108">
        <f t="shared" si="398"/>
        <v>0.39668181987768453</v>
      </c>
      <c r="F412" s="19">
        <f t="shared" si="399"/>
        <v>4.7303359611594729E-2</v>
      </c>
      <c r="G412" s="19">
        <f t="shared" si="400"/>
        <v>-2.8242871778566478E-2</v>
      </c>
      <c r="H412" s="19">
        <f t="shared" si="401"/>
        <v>0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92.68311260699889</v>
      </c>
      <c r="AO412">
        <v>21.565695048212696</v>
      </c>
      <c r="AP412">
        <v>85.854810032998984</v>
      </c>
      <c r="AQ412">
        <v>132.22446890263876</v>
      </c>
      <c r="AR412">
        <v>19.642449317519159</v>
      </c>
      <c r="AS412">
        <v>97.091595423980479</v>
      </c>
      <c r="AT412" t="e">
        <v>#DIV/0!</v>
      </c>
      <c r="AU412" t="e">
        <v>#DIV/0!</v>
      </c>
      <c r="AV412"/>
      <c r="AW412"/>
      <c r="FY412" s="214">
        <v>407</v>
      </c>
      <c r="FZ412">
        <v>0.67466936519033205</v>
      </c>
      <c r="GA412">
        <v>16.428441861111676</v>
      </c>
      <c r="GB412">
        <v>13.454341802003725</v>
      </c>
      <c r="GC412">
        <v>3.4182549927121055</v>
      </c>
      <c r="GD412">
        <v>4.8903543221034713</v>
      </c>
      <c r="GE412">
        <v>12.800903639240762</v>
      </c>
      <c r="GF412">
        <v>13.515062794020436</v>
      </c>
      <c r="GG412">
        <v>10.91497895363041</v>
      </c>
      <c r="GH412">
        <v>4.7696528374653333</v>
      </c>
      <c r="GI412">
        <v>9.8900333497360489</v>
      </c>
      <c r="GJ412"/>
      <c r="GK412"/>
      <c r="GL412"/>
      <c r="GM412"/>
    </row>
    <row r="413" spans="1:195" s="7" customFormat="1">
      <c r="A413" s="190">
        <v>7.33</v>
      </c>
      <c r="B413" s="71">
        <f t="shared" si="396"/>
        <v>39949</v>
      </c>
      <c r="C413" s="61">
        <f t="shared" si="402"/>
        <v>303</v>
      </c>
      <c r="D413" s="61">
        <f t="shared" si="397"/>
        <v>4.4650783289817229</v>
      </c>
      <c r="E413" s="108">
        <f t="shared" si="398"/>
        <v>0.37399529549374527</v>
      </c>
      <c r="F413" s="19">
        <f t="shared" si="399"/>
        <v>-1.5100328112419912E-3</v>
      </c>
      <c r="G413" s="19">
        <f t="shared" si="400"/>
        <v>-6.767499480054992E-3</v>
      </c>
      <c r="H413" s="19">
        <f t="shared" si="401"/>
        <v>0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114.64805130491979</v>
      </c>
      <c r="AO413">
        <v>23.524685874254644</v>
      </c>
      <c r="AP413">
        <v>130.91602199740595</v>
      </c>
      <c r="AQ413">
        <v>128.77943957884611</v>
      </c>
      <c r="AR413">
        <v>21.577151997730873</v>
      </c>
      <c r="AS413">
        <v>112.87344301812016</v>
      </c>
      <c r="AT413">
        <v>11.759256588860771</v>
      </c>
      <c r="AU413">
        <v>-7.3608566834973059</v>
      </c>
      <c r="AV413"/>
      <c r="AW413"/>
      <c r="FY413" s="214">
        <v>408</v>
      </c>
      <c r="FZ413">
        <v>0.65761082031017182</v>
      </c>
      <c r="GA413">
        <v>11.478063294783</v>
      </c>
      <c r="GB413">
        <v>12.496284545442352</v>
      </c>
      <c r="GC413">
        <v>4.3630394527390255</v>
      </c>
      <c r="GD413">
        <v>1.8737682829868003</v>
      </c>
      <c r="GE413">
        <v>4.4070671748054302</v>
      </c>
      <c r="GF413">
        <v>11.065989619726306</v>
      </c>
      <c r="GG413">
        <v>8.4259172339799004</v>
      </c>
      <c r="GH413">
        <v>2.4277845661791013</v>
      </c>
      <c r="GI413">
        <v>6.9703069632035231</v>
      </c>
      <c r="GJ413"/>
      <c r="GK413"/>
      <c r="GL413"/>
      <c r="GM413"/>
    </row>
    <row r="414" spans="1:195" s="7" customFormat="1">
      <c r="A414" s="189">
        <v>10.51</v>
      </c>
      <c r="B414" s="71">
        <f t="shared" si="396"/>
        <v>39987</v>
      </c>
      <c r="C414" s="61">
        <f t="shared" si="402"/>
        <v>341</v>
      </c>
      <c r="D414" s="61">
        <f t="shared" si="397"/>
        <v>5</v>
      </c>
      <c r="E414" s="108">
        <f t="shared" si="398"/>
        <v>0.50636715682427036</v>
      </c>
      <c r="F414" s="19">
        <f t="shared" si="399"/>
        <v>7.9741787919164666E-3</v>
      </c>
      <c r="G414" s="19">
        <f t="shared" si="400"/>
        <v>4.6182219544811734E-3</v>
      </c>
      <c r="H414" s="19">
        <f t="shared" si="401"/>
        <v>4.6182219544811734E-3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76.580550414687835</v>
      </c>
      <c r="AO414">
        <v>14.854319278153236</v>
      </c>
      <c r="AP414">
        <v>46.953222424128697</v>
      </c>
      <c r="AQ414">
        <v>92.895203645655684</v>
      </c>
      <c r="AR414">
        <v>14.040198461144993</v>
      </c>
      <c r="AS414">
        <v>76.770732004692675</v>
      </c>
      <c r="AT414">
        <v>8.2010017699260391</v>
      </c>
      <c r="AU414">
        <v>-10.06112249203052</v>
      </c>
      <c r="AV414"/>
      <c r="AW414"/>
      <c r="FY414" s="214">
        <v>409</v>
      </c>
      <c r="FZ414">
        <v>0.66043463045204875</v>
      </c>
      <c r="GA414">
        <v>15.724673439264144</v>
      </c>
      <c r="GB414">
        <v>13.257110387630698</v>
      </c>
      <c r="GC414">
        <v>3.7825158604465337</v>
      </c>
      <c r="GD414">
        <v>3.9892929668715715</v>
      </c>
      <c r="GE414">
        <v>12.974812064398288</v>
      </c>
      <c r="GF414">
        <v>22.689476490498308</v>
      </c>
      <c r="GG414">
        <v>17.612615724352864</v>
      </c>
      <c r="GH414">
        <v>7.5347702595253789</v>
      </c>
      <c r="GI414">
        <v>11.455207746709727</v>
      </c>
      <c r="GJ414"/>
      <c r="GK414"/>
      <c r="GL414"/>
      <c r="GM414"/>
    </row>
    <row r="415" spans="1:195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66.841971116272504</v>
      </c>
      <c r="AO415">
        <v>17.001311235807655</v>
      </c>
      <c r="AP415">
        <v>61.103396627184139</v>
      </c>
      <c r="AQ415">
        <v>97.581208722860026</v>
      </c>
      <c r="AR415">
        <v>15.825676050513287</v>
      </c>
      <c r="AS415">
        <v>73.425149176509379</v>
      </c>
      <c r="AT415">
        <v>9.0186246463955104</v>
      </c>
      <c r="AU415">
        <v>3.9917440944749596</v>
      </c>
      <c r="AV415"/>
      <c r="AW415"/>
      <c r="FY415" s="214">
        <v>410</v>
      </c>
      <c r="FZ415">
        <v>0.86510605652553973</v>
      </c>
      <c r="GA415">
        <v>17.636691221464311</v>
      </c>
      <c r="GB415">
        <v>13.604371817813677</v>
      </c>
      <c r="GC415">
        <v>3.3937756547534348</v>
      </c>
      <c r="GD415">
        <v>7.3317275229803984</v>
      </c>
      <c r="GE415">
        <v>17.504459716325599</v>
      </c>
      <c r="GF415">
        <v>15.057917716731639</v>
      </c>
      <c r="GG415">
        <v>11.16519772530066</v>
      </c>
      <c r="GH415">
        <v>7.1479208439441422</v>
      </c>
      <c r="GI415">
        <v>12.121325883464856</v>
      </c>
      <c r="GJ415"/>
      <c r="GK415"/>
      <c r="GL415"/>
      <c r="GM415"/>
    </row>
    <row r="416" spans="1:195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87.89942966534241</v>
      </c>
      <c r="AO416">
        <v>19.027838736240714</v>
      </c>
      <c r="AP416">
        <v>93.838501033224674</v>
      </c>
      <c r="AQ416">
        <v>107.52391468056584</v>
      </c>
      <c r="AR416">
        <v>17.655764481141812</v>
      </c>
      <c r="AS416">
        <v>89.185772838176689</v>
      </c>
      <c r="AT416">
        <v>9.8154117505527108</v>
      </c>
      <c r="AU416">
        <v>20.841872878935806</v>
      </c>
      <c r="AV416"/>
      <c r="AW416"/>
      <c r="FY416" s="214">
        <v>411</v>
      </c>
      <c r="FZ416">
        <v>1.014947623024367</v>
      </c>
      <c r="GA416">
        <v>9.8106103769368964</v>
      </c>
      <c r="GB416">
        <v>9.4700176224317012</v>
      </c>
      <c r="GC416">
        <v>3.4316384463213327</v>
      </c>
      <c r="GD416">
        <v>1.9739285180673627</v>
      </c>
      <c r="GE416">
        <v>3.8501665043651947</v>
      </c>
      <c r="GF416">
        <v>13.6548051612374</v>
      </c>
      <c r="GG416">
        <v>13.650552199961567</v>
      </c>
      <c r="GH416">
        <v>3.5728764376672766</v>
      </c>
      <c r="GI416">
        <v>6.9610833604668469</v>
      </c>
      <c r="GJ416"/>
      <c r="GK416"/>
      <c r="GL416"/>
      <c r="GM416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100.13344575360176</v>
      </c>
      <c r="AO417">
        <v>15.806582587484963</v>
      </c>
      <c r="AP417">
        <v>72.311328599805705</v>
      </c>
      <c r="AQ417">
        <v>92.009430618848867</v>
      </c>
      <c r="AR417">
        <v>14.381829831115128</v>
      </c>
      <c r="AS417">
        <v>81.007799864786364</v>
      </c>
      <c r="AT417" t="e">
        <v>#DIV/0!</v>
      </c>
      <c r="AU417" t="e">
        <v>#DIV/0!</v>
      </c>
      <c r="AV417"/>
      <c r="AW417"/>
      <c r="FY417" s="214">
        <v>412</v>
      </c>
      <c r="FZ417">
        <v>0.54952187435041699</v>
      </c>
      <c r="GA417">
        <v>2.3391860628261734</v>
      </c>
      <c r="GB417">
        <v>8.1330380667493891</v>
      </c>
      <c r="GC417">
        <v>4.3888215204645977</v>
      </c>
      <c r="GD417">
        <v>6.9889878118390989</v>
      </c>
      <c r="GE417">
        <v>17.840259002069697</v>
      </c>
      <c r="GF417">
        <v>13.277493227060594</v>
      </c>
      <c r="GG417">
        <v>11.457170983732805</v>
      </c>
      <c r="GH417">
        <v>8.1750326225660466</v>
      </c>
      <c r="GI417">
        <v>10.258081726629655</v>
      </c>
      <c r="GJ417"/>
      <c r="GK417"/>
      <c r="GL417"/>
      <c r="GM417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93.432540752839429</v>
      </c>
      <c r="AO418">
        <v>19.198652322085366</v>
      </c>
      <c r="AP418">
        <v>92.550705144496604</v>
      </c>
      <c r="AQ418">
        <v>105.95453801097894</v>
      </c>
      <c r="AR418">
        <v>17.477738886880658</v>
      </c>
      <c r="AS418">
        <v>86.120660967117487</v>
      </c>
      <c r="AT418" t="e">
        <v>#DIV/0!</v>
      </c>
      <c r="AU418" t="e">
        <v>#DIV/0!</v>
      </c>
      <c r="AV418"/>
      <c r="AW418"/>
      <c r="FY418" s="214">
        <v>413</v>
      </c>
      <c r="FZ418">
        <v>0.75391466720828193</v>
      </c>
      <c r="GA418">
        <v>11.749600497299543</v>
      </c>
      <c r="GB418">
        <v>6.20036357085948</v>
      </c>
      <c r="GC418">
        <v>0.99107932203226179</v>
      </c>
      <c r="GD418">
        <v>1.97519298965224</v>
      </c>
      <c r="GE418">
        <v>9.6742844647620228</v>
      </c>
      <c r="GF418">
        <v>20.371756959826488</v>
      </c>
      <c r="GG418">
        <v>12.466147983036212</v>
      </c>
      <c r="GH418">
        <v>9.4082087575566788</v>
      </c>
      <c r="GI418">
        <v>8.4582659788101626</v>
      </c>
      <c r="GJ418"/>
      <c r="GK418"/>
      <c r="GL418"/>
      <c r="GM418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96.058800253944696</v>
      </c>
      <c r="AO419">
        <v>17.286368691139337</v>
      </c>
      <c r="AP419">
        <v>87.948246487456899</v>
      </c>
      <c r="AQ419">
        <v>109.68781597888191</v>
      </c>
      <c r="AR419">
        <v>15.715846793081216</v>
      </c>
      <c r="AS419">
        <v>84.593135002107189</v>
      </c>
      <c r="AT419" t="e">
        <v>#DIV/0!</v>
      </c>
      <c r="AU419" t="e">
        <v>#DIV/0!</v>
      </c>
      <c r="AV419"/>
      <c r="AW419"/>
      <c r="FY419" s="214">
        <v>414</v>
      </c>
      <c r="FZ419">
        <v>1.7429771007039749</v>
      </c>
      <c r="GA419">
        <v>9.9384507820409702</v>
      </c>
      <c r="GB419">
        <v>7.0391403413516009</v>
      </c>
      <c r="GC419">
        <v>2.3523699824051008</v>
      </c>
      <c r="GD419">
        <v>1.2661353599234839</v>
      </c>
      <c r="GE419">
        <v>5.2706565045985139</v>
      </c>
      <c r="GF419">
        <v>14.566122836526347</v>
      </c>
      <c r="GG419">
        <v>13.640611332511709</v>
      </c>
      <c r="GH419">
        <v>11.66632870255963</v>
      </c>
      <c r="GI419">
        <v>7.5079044719041637</v>
      </c>
      <c r="GJ419"/>
      <c r="GK419"/>
      <c r="GL419"/>
      <c r="GM419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66.237193386705087</v>
      </c>
      <c r="AO420">
        <v>11.24882745187797</v>
      </c>
      <c r="AP420">
        <v>65.188952060301389</v>
      </c>
      <c r="AQ420">
        <v>65.316945373521648</v>
      </c>
      <c r="AR420">
        <v>10.429490001699069</v>
      </c>
      <c r="AS420">
        <v>58.727984026029688</v>
      </c>
      <c r="AT420">
        <v>6.252411987292362</v>
      </c>
      <c r="AU420">
        <v>22.761669489419397</v>
      </c>
      <c r="AV420"/>
      <c r="AW420"/>
      <c r="FY420" s="214">
        <v>415</v>
      </c>
      <c r="FZ420">
        <v>1.203574010976018</v>
      </c>
      <c r="GA420">
        <v>9.8093025534897276</v>
      </c>
      <c r="GB420">
        <v>13.623593532883763</v>
      </c>
      <c r="GC420">
        <v>5.6822650238377577</v>
      </c>
      <c r="GD420">
        <v>8.1284533419266722</v>
      </c>
      <c r="GE420">
        <v>19.391557550593639</v>
      </c>
      <c r="GF420">
        <v>8.3484926488503319</v>
      </c>
      <c r="GG420">
        <v>2.2795801961105693</v>
      </c>
      <c r="GH420">
        <v>4.1315584430342529</v>
      </c>
      <c r="GI420">
        <v>10.867280486143439</v>
      </c>
      <c r="GJ420"/>
      <c r="GK420"/>
      <c r="GL420"/>
      <c r="GM420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75.062250276575057</v>
      </c>
      <c r="AO421">
        <v>14.697109570166834</v>
      </c>
      <c r="AP421">
        <v>83.710586188972457</v>
      </c>
      <c r="AQ421">
        <v>77.948643157134484</v>
      </c>
      <c r="AR421">
        <v>13.397958646189593</v>
      </c>
      <c r="AS421">
        <v>70.65742149755242</v>
      </c>
      <c r="AT421" t="e">
        <v>#DIV/0!</v>
      </c>
      <c r="AU421" t="e">
        <v>#DIV/0!</v>
      </c>
      <c r="AV421"/>
      <c r="AW421"/>
      <c r="FY421" s="214">
        <v>416</v>
      </c>
      <c r="FZ421">
        <v>1.0723226595252813</v>
      </c>
      <c r="GA421">
        <v>6.5352218197180383</v>
      </c>
      <c r="GB421">
        <v>11.878019646618393</v>
      </c>
      <c r="GC421">
        <v>5.5631486760436442</v>
      </c>
      <c r="GD421">
        <v>13.778403632483963</v>
      </c>
      <c r="GE421">
        <v>36.369911302263738</v>
      </c>
      <c r="GF421">
        <v>18.987593474049341</v>
      </c>
      <c r="GG421">
        <v>6.3468237834235</v>
      </c>
      <c r="GH421">
        <v>3.5728764376672766</v>
      </c>
      <c r="GI421">
        <v>15.791162159492176</v>
      </c>
      <c r="GJ421"/>
      <c r="GK421"/>
      <c r="GL421"/>
      <c r="GM421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1.0628342212155094E-3</v>
      </c>
      <c r="H422" s="44">
        <f t="shared" ref="H422:AK422" si="403">H372</f>
        <v>6.8018000000000002E-3</v>
      </c>
      <c r="I422" s="44">
        <f t="shared" si="403"/>
        <v>4.3529350407149732E-2</v>
      </c>
      <c r="J422" s="44">
        <f t="shared" si="403"/>
        <v>0.12893017672014584</v>
      </c>
      <c r="K422" s="44">
        <f t="shared" si="403"/>
        <v>0.27857395790355882</v>
      </c>
      <c r="L422" s="44">
        <f t="shared" si="403"/>
        <v>0.50636715682427036</v>
      </c>
      <c r="M422" s="44">
        <f t="shared" si="403"/>
        <v>0.82511200572009868</v>
      </c>
      <c r="N422" s="44">
        <f t="shared" si="403"/>
        <v>1.2467988957258624</v>
      </c>
      <c r="O422" s="44">
        <f t="shared" si="403"/>
        <v>1.7827844729175482</v>
      </c>
      <c r="P422" s="44">
        <f t="shared" si="403"/>
        <v>2.4439105044382416</v>
      </c>
      <c r="Q422" s="44">
        <f t="shared" si="403"/>
        <v>3.2405882860530784</v>
      </c>
      <c r="R422" s="44">
        <f t="shared" si="403"/>
        <v>4.1828613448324496</v>
      </c>
      <c r="S422" s="44">
        <f t="shared" si="403"/>
        <v>5.2804536478779598</v>
      </c>
      <c r="T422" s="44">
        <f t="shared" si="403"/>
        <v>6.5428076873601926</v>
      </c>
      <c r="U422" s="44">
        <f t="shared" si="403"/>
        <v>7.9791152370399594</v>
      </c>
      <c r="V422" s="44">
        <f t="shared" si="403"/>
        <v>9.5983426467451238</v>
      </c>
      <c r="W422" s="44">
        <f t="shared" si="403"/>
        <v>11.409251965958095</v>
      </c>
      <c r="X422" s="44">
        <f t="shared" si="403"/>
        <v>13.420418816457433</v>
      </c>
      <c r="Y422" s="44">
        <f t="shared" si="403"/>
        <v>15.640247686113412</v>
      </c>
      <c r="Z422" s="44">
        <f t="shared" si="403"/>
        <v>18.076985145572394</v>
      </c>
      <c r="AA422" s="44">
        <f t="shared" si="403"/>
        <v>20.738731369477062</v>
      </c>
      <c r="AB422" s="44">
        <f t="shared" si="403"/>
        <v>23.633450257346329</v>
      </c>
      <c r="AC422" s="44">
        <f t="shared" si="403"/>
        <v>26.768978385682214</v>
      </c>
      <c r="AD422" s="44">
        <f t="shared" si="403"/>
        <v>30.153032975381233</v>
      </c>
      <c r="AE422" s="44">
        <f t="shared" si="403"/>
        <v>33.793219022492863</v>
      </c>
      <c r="AF422" s="44">
        <f t="shared" si="403"/>
        <v>37.697035712648905</v>
      </c>
      <c r="AG422" s="44">
        <f t="shared" si="403"/>
        <v>41.871882217897436</v>
      </c>
      <c r="AH422" s="44">
        <f t="shared" si="403"/>
        <v>46.32506295766467</v>
      </c>
      <c r="AI422" s="44">
        <f t="shared" si="403"/>
        <v>51.063792392034465</v>
      </c>
      <c r="AJ422" s="44">
        <f t="shared" si="403"/>
        <v>56.095199404656171</v>
      </c>
      <c r="AK422" s="44">
        <f t="shared" si="403"/>
        <v>61.426331323775749</v>
      </c>
      <c r="AL422" s="4"/>
      <c r="AM422" s="43">
        <v>406</v>
      </c>
      <c r="AN422">
        <v>62.632184695833146</v>
      </c>
      <c r="AO422">
        <v>13.838239586446733</v>
      </c>
      <c r="AP422">
        <v>85.615942923917927</v>
      </c>
      <c r="AQ422">
        <v>76.398671144740433</v>
      </c>
      <c r="AR422">
        <v>12.759082439049429</v>
      </c>
      <c r="AS422">
        <v>64.013571621888232</v>
      </c>
      <c r="AT422">
        <v>6.8547059324732977</v>
      </c>
      <c r="AU422">
        <v>8.6297776567517754</v>
      </c>
      <c r="AV422"/>
      <c r="AW422"/>
      <c r="FY422" s="214">
        <v>417</v>
      </c>
      <c r="FZ422">
        <v>0.20467142607349095</v>
      </c>
      <c r="GA422">
        <v>21.791801109920719</v>
      </c>
      <c r="GB422">
        <v>15.299112830222263</v>
      </c>
      <c r="GC422">
        <v>2.5204913278191579</v>
      </c>
      <c r="GD422">
        <v>2.7760663319212089</v>
      </c>
      <c r="GE422">
        <v>5.7260868649864705</v>
      </c>
      <c r="GF422">
        <v>11.248610804710559</v>
      </c>
      <c r="GG422">
        <v>13.592751113191262</v>
      </c>
      <c r="GH422">
        <v>4.1293904744246639</v>
      </c>
      <c r="GI422">
        <v>8.7432886653942319</v>
      </c>
      <c r="GJ422"/>
      <c r="GK422"/>
      <c r="GL422"/>
      <c r="GM422"/>
    </row>
    <row r="423" spans="1:195" s="7" customFormat="1">
      <c r="A423" s="4"/>
      <c r="B423" s="48" t="s">
        <v>38</v>
      </c>
      <c r="C423" s="107">
        <f t="shared" ref="C423:C432" si="404">SUM(G423:AK423)</f>
        <v>1.2331189102934474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 t="shared" ref="H423:AK431" si="405">(($A$453+$A$455*(H$422)+($A$457*$D423))*($E21*H37))</f>
        <v>7.1173673691416611E-3</v>
      </c>
      <c r="I423" s="107">
        <f t="shared" si="405"/>
        <v>0</v>
      </c>
      <c r="J423" s="107">
        <f t="shared" si="405"/>
        <v>0.93852613114829408</v>
      </c>
      <c r="K423" s="107">
        <f t="shared" si="405"/>
        <v>0.28747541177601171</v>
      </c>
      <c r="L423" s="107">
        <f t="shared" si="405"/>
        <v>0</v>
      </c>
      <c r="M423" s="107">
        <f t="shared" si="405"/>
        <v>0</v>
      </c>
      <c r="N423" s="107">
        <f t="shared" si="405"/>
        <v>0</v>
      </c>
      <c r="O423" s="107">
        <f t="shared" si="405"/>
        <v>0</v>
      </c>
      <c r="P423" s="107">
        <f t="shared" si="405"/>
        <v>0</v>
      </c>
      <c r="Q423" s="107">
        <f t="shared" si="405"/>
        <v>0</v>
      </c>
      <c r="R423" s="107">
        <f t="shared" si="405"/>
        <v>0</v>
      </c>
      <c r="S423" s="107">
        <f t="shared" si="405"/>
        <v>0</v>
      </c>
      <c r="T423" s="107">
        <f t="shared" si="405"/>
        <v>0</v>
      </c>
      <c r="U423" s="107">
        <f t="shared" si="405"/>
        <v>0</v>
      </c>
      <c r="V423" s="107">
        <f t="shared" si="405"/>
        <v>0</v>
      </c>
      <c r="W423" s="107">
        <f t="shared" si="405"/>
        <v>0</v>
      </c>
      <c r="X423" s="107">
        <f t="shared" si="405"/>
        <v>0</v>
      </c>
      <c r="Y423" s="107">
        <f t="shared" si="405"/>
        <v>0</v>
      </c>
      <c r="Z423" s="107">
        <f t="shared" si="405"/>
        <v>0</v>
      </c>
      <c r="AA423" s="107">
        <f t="shared" si="405"/>
        <v>0</v>
      </c>
      <c r="AB423" s="107">
        <f t="shared" si="405"/>
        <v>0</v>
      </c>
      <c r="AC423" s="107">
        <f t="shared" si="405"/>
        <v>0</v>
      </c>
      <c r="AD423" s="107">
        <f t="shared" si="405"/>
        <v>0</v>
      </c>
      <c r="AE423" s="107">
        <f t="shared" si="405"/>
        <v>0</v>
      </c>
      <c r="AF423" s="107">
        <f t="shared" si="405"/>
        <v>0</v>
      </c>
      <c r="AG423" s="107">
        <f t="shared" si="405"/>
        <v>0</v>
      </c>
      <c r="AH423" s="107">
        <f t="shared" si="405"/>
        <v>0</v>
      </c>
      <c r="AI423" s="107">
        <f t="shared" si="405"/>
        <v>0</v>
      </c>
      <c r="AJ423" s="107">
        <f t="shared" si="405"/>
        <v>0</v>
      </c>
      <c r="AK423" s="107">
        <f t="shared" si="405"/>
        <v>0</v>
      </c>
      <c r="AL423" s="4"/>
      <c r="AM423" s="43">
        <v>407</v>
      </c>
      <c r="AN423">
        <v>78.429367953801133</v>
      </c>
      <c r="AO423">
        <v>15.244226004033511</v>
      </c>
      <c r="AP423">
        <v>68.760099202930817</v>
      </c>
      <c r="AQ423">
        <v>90.756693917214292</v>
      </c>
      <c r="AR423">
        <v>13.859675496091072</v>
      </c>
      <c r="AS423">
        <v>73.400727962408311</v>
      </c>
      <c r="AT423" t="e">
        <v>#DIV/0!</v>
      </c>
      <c r="AU423" t="e">
        <v>#DIV/0!</v>
      </c>
      <c r="AV423"/>
      <c r="AW423"/>
      <c r="FY423" s="214">
        <v>418</v>
      </c>
      <c r="FZ423">
        <v>0.81383488063544696</v>
      </c>
      <c r="GA423">
        <v>5.1004043517817408</v>
      </c>
      <c r="GB423">
        <v>5.1918097484323988</v>
      </c>
      <c r="GC423">
        <v>2.6172383442989222</v>
      </c>
      <c r="GD423">
        <v>7.1242549434385332</v>
      </c>
      <c r="GE423">
        <v>14.563445447667885</v>
      </c>
      <c r="GF423">
        <v>11.472553907880069</v>
      </c>
      <c r="GG423">
        <v>8.5045422615023814</v>
      </c>
      <c r="GH423">
        <v>2.5952812187456633</v>
      </c>
      <c r="GI423">
        <v>8.3885952696777277</v>
      </c>
      <c r="GJ423"/>
      <c r="GK423"/>
      <c r="GL423"/>
      <c r="GM423"/>
    </row>
    <row r="424" spans="1:195" s="7" customFormat="1">
      <c r="A424" s="4"/>
      <c r="B424" s="48" t="s">
        <v>39</v>
      </c>
      <c r="C424" s="107">
        <f t="shared" si="404"/>
        <v>6.7712166478382478</v>
      </c>
      <c r="D424" s="191">
        <f>$A$406</f>
        <v>9.4499999999999993</v>
      </c>
      <c r="E424" s="8"/>
      <c r="F424" s="124"/>
      <c r="G424" s="107">
        <f t="shared" ref="G424:V432" si="406">(($A$453+$A$455*(G$422)+($A$457*$D424))*($E22*G38))</f>
        <v>0</v>
      </c>
      <c r="H424" s="107">
        <f t="shared" si="406"/>
        <v>0</v>
      </c>
      <c r="I424" s="107">
        <f t="shared" si="406"/>
        <v>0.16134407217899921</v>
      </c>
      <c r="J424" s="107">
        <f t="shared" si="406"/>
        <v>1.7424802094049465</v>
      </c>
      <c r="K424" s="107">
        <f t="shared" si="406"/>
        <v>2.2028515837451952</v>
      </c>
      <c r="L424" s="107">
        <f t="shared" si="406"/>
        <v>1.213431477027104</v>
      </c>
      <c r="M424" s="107">
        <f t="shared" si="406"/>
        <v>1.4511093054820035</v>
      </c>
      <c r="N424" s="107">
        <f t="shared" si="406"/>
        <v>0</v>
      </c>
      <c r="O424" s="107">
        <f t="shared" si="406"/>
        <v>0</v>
      </c>
      <c r="P424" s="107">
        <f t="shared" si="406"/>
        <v>0</v>
      </c>
      <c r="Q424" s="107">
        <f t="shared" si="406"/>
        <v>0</v>
      </c>
      <c r="R424" s="107">
        <f t="shared" si="406"/>
        <v>0</v>
      </c>
      <c r="S424" s="107">
        <f t="shared" si="406"/>
        <v>0</v>
      </c>
      <c r="T424" s="107">
        <f t="shared" si="406"/>
        <v>0</v>
      </c>
      <c r="U424" s="107">
        <f t="shared" si="406"/>
        <v>0</v>
      </c>
      <c r="V424" s="107">
        <f t="shared" si="406"/>
        <v>0</v>
      </c>
      <c r="W424" s="107">
        <f t="shared" si="405"/>
        <v>0</v>
      </c>
      <c r="X424" s="107">
        <f t="shared" si="405"/>
        <v>0</v>
      </c>
      <c r="Y424" s="107">
        <f t="shared" si="405"/>
        <v>0</v>
      </c>
      <c r="Z424" s="107">
        <f t="shared" si="405"/>
        <v>0</v>
      </c>
      <c r="AA424" s="107">
        <f t="shared" si="405"/>
        <v>0</v>
      </c>
      <c r="AB424" s="107">
        <f t="shared" si="405"/>
        <v>0</v>
      </c>
      <c r="AC424" s="107">
        <f t="shared" si="405"/>
        <v>0</v>
      </c>
      <c r="AD424" s="107">
        <f t="shared" si="405"/>
        <v>0</v>
      </c>
      <c r="AE424" s="107">
        <f t="shared" si="405"/>
        <v>0</v>
      </c>
      <c r="AF424" s="107">
        <f t="shared" si="405"/>
        <v>0</v>
      </c>
      <c r="AG424" s="107">
        <f t="shared" si="405"/>
        <v>0</v>
      </c>
      <c r="AH424" s="107">
        <f t="shared" si="405"/>
        <v>0</v>
      </c>
      <c r="AI424" s="107">
        <f t="shared" si="405"/>
        <v>0</v>
      </c>
      <c r="AJ424" s="107">
        <f t="shared" si="405"/>
        <v>0</v>
      </c>
      <c r="AK424" s="107">
        <f t="shared" si="405"/>
        <v>0</v>
      </c>
      <c r="AL424" s="4"/>
      <c r="AM424" s="43">
        <v>408</v>
      </c>
      <c r="AN424">
        <v>47.695614421896245</v>
      </c>
      <c r="AO424">
        <v>10.593225316449374</v>
      </c>
      <c r="AP424">
        <v>32.893503149988277</v>
      </c>
      <c r="AQ424">
        <v>64.165831954155621</v>
      </c>
      <c r="AR424">
        <v>9.8216008182866901</v>
      </c>
      <c r="AS424">
        <v>49.888525185776956</v>
      </c>
      <c r="AT424">
        <v>5.3388586127389024</v>
      </c>
      <c r="AU424">
        <v>-19.089009787781162</v>
      </c>
      <c r="AV424"/>
      <c r="AW424"/>
      <c r="FY424" s="214">
        <v>419</v>
      </c>
      <c r="FZ424">
        <v>1.3205906276884714</v>
      </c>
      <c r="GA424">
        <v>4.7702936207424624</v>
      </c>
      <c r="GB424">
        <v>6.4546630875464492</v>
      </c>
      <c r="GC424">
        <v>3.3628285585948561</v>
      </c>
      <c r="GD424">
        <v>7.5452656164483507</v>
      </c>
      <c r="GE424">
        <v>17.789442148452892</v>
      </c>
      <c r="GF424">
        <v>9.5052757671525896</v>
      </c>
      <c r="GG424">
        <v>8.8288241949023849</v>
      </c>
      <c r="GH424">
        <v>9.3222924626638104</v>
      </c>
      <c r="GI424">
        <v>9.7103746949691221</v>
      </c>
      <c r="GJ424"/>
      <c r="GK424"/>
      <c r="GL424"/>
      <c r="GM424"/>
    </row>
    <row r="425" spans="1:195" s="7" customFormat="1">
      <c r="A425" s="4"/>
      <c r="B425" s="48" t="s">
        <v>40</v>
      </c>
      <c r="C425" s="107">
        <f t="shared" si="404"/>
        <v>3.4938284579326182</v>
      </c>
      <c r="D425" s="191">
        <f>A$407</f>
        <v>4.03</v>
      </c>
      <c r="E425" s="8"/>
      <c r="F425" s="124"/>
      <c r="G425" s="107">
        <f t="shared" si="406"/>
        <v>0</v>
      </c>
      <c r="H425" s="107">
        <f t="shared" si="405"/>
        <v>5.4093003778006306E-2</v>
      </c>
      <c r="I425" s="107">
        <f t="shared" si="405"/>
        <v>0.75384543371960799</v>
      </c>
      <c r="J425" s="107">
        <f t="shared" si="405"/>
        <v>0.40502659443160388</v>
      </c>
      <c r="K425" s="107">
        <f t="shared" si="405"/>
        <v>0.94774576907031505</v>
      </c>
      <c r="L425" s="107">
        <f t="shared" si="405"/>
        <v>0.61146442242196453</v>
      </c>
      <c r="M425" s="107">
        <f t="shared" si="405"/>
        <v>0.72165323451112018</v>
      </c>
      <c r="N425" s="107">
        <f t="shared" si="405"/>
        <v>0</v>
      </c>
      <c r="O425" s="107">
        <f t="shared" si="405"/>
        <v>0</v>
      </c>
      <c r="P425" s="107">
        <f t="shared" si="405"/>
        <v>0</v>
      </c>
      <c r="Q425" s="107">
        <f t="shared" si="405"/>
        <v>0</v>
      </c>
      <c r="R425" s="107">
        <f t="shared" si="405"/>
        <v>0</v>
      </c>
      <c r="S425" s="107">
        <f t="shared" si="405"/>
        <v>0</v>
      </c>
      <c r="T425" s="107">
        <f t="shared" si="405"/>
        <v>0</v>
      </c>
      <c r="U425" s="107">
        <f t="shared" si="405"/>
        <v>0</v>
      </c>
      <c r="V425" s="107">
        <f t="shared" si="405"/>
        <v>0</v>
      </c>
      <c r="W425" s="107">
        <f t="shared" si="405"/>
        <v>0</v>
      </c>
      <c r="X425" s="107">
        <f t="shared" si="405"/>
        <v>0</v>
      </c>
      <c r="Y425" s="107">
        <f t="shared" si="405"/>
        <v>0</v>
      </c>
      <c r="Z425" s="107">
        <f t="shared" si="405"/>
        <v>0</v>
      </c>
      <c r="AA425" s="107">
        <f t="shared" si="405"/>
        <v>0</v>
      </c>
      <c r="AB425" s="107">
        <f t="shared" si="405"/>
        <v>0</v>
      </c>
      <c r="AC425" s="107">
        <f t="shared" si="405"/>
        <v>0</v>
      </c>
      <c r="AD425" s="107">
        <f t="shared" si="405"/>
        <v>0</v>
      </c>
      <c r="AE425" s="107">
        <f t="shared" si="405"/>
        <v>0</v>
      </c>
      <c r="AF425" s="107">
        <f t="shared" si="405"/>
        <v>0</v>
      </c>
      <c r="AG425" s="107">
        <f t="shared" si="405"/>
        <v>0</v>
      </c>
      <c r="AH425" s="107">
        <f t="shared" si="405"/>
        <v>0</v>
      </c>
      <c r="AI425" s="107">
        <f t="shared" si="405"/>
        <v>0</v>
      </c>
      <c r="AJ425" s="107">
        <f t="shared" si="405"/>
        <v>0</v>
      </c>
      <c r="AK425" s="107">
        <f t="shared" si="405"/>
        <v>0</v>
      </c>
      <c r="AL425" s="4"/>
      <c r="AM425" s="43">
        <v>409</v>
      </c>
      <c r="AN425">
        <v>85.46170013587529</v>
      </c>
      <c r="AO425">
        <v>17.633008312493491</v>
      </c>
      <c r="AP425">
        <v>72.753583963491423</v>
      </c>
      <c r="AQ425">
        <v>109.68090957014955</v>
      </c>
      <c r="AR425">
        <v>16.030007556812265</v>
      </c>
      <c r="AS425">
        <v>87.458872545105237</v>
      </c>
      <c r="AT425" t="e">
        <v>#DIV/0!</v>
      </c>
      <c r="AU425" t="e">
        <v>#DIV/0!</v>
      </c>
      <c r="AV425"/>
      <c r="AW425"/>
      <c r="FY425" s="214">
        <v>420</v>
      </c>
      <c r="FZ425">
        <v>0.96140990342364963</v>
      </c>
      <c r="GA425">
        <v>17.647063436002334</v>
      </c>
      <c r="GB425">
        <v>12.571647797082306</v>
      </c>
      <c r="GC425">
        <v>3.4566030221594808</v>
      </c>
      <c r="GD425">
        <v>7.7614020655832725</v>
      </c>
      <c r="GE425">
        <v>15.995862656584508</v>
      </c>
      <c r="GF425">
        <v>10.423033167186674</v>
      </c>
      <c r="GG425">
        <v>9.6131275486698016</v>
      </c>
      <c r="GH425">
        <v>4.6859045111820521</v>
      </c>
      <c r="GI425">
        <v>10.733087680122216</v>
      </c>
      <c r="GJ425"/>
      <c r="GK425"/>
      <c r="GL425"/>
      <c r="GM425"/>
    </row>
    <row r="426" spans="1:195" s="7" customFormat="1">
      <c r="A426" s="128" t="s">
        <v>92</v>
      </c>
      <c r="B426" s="48" t="s">
        <v>41</v>
      </c>
      <c r="C426" s="107">
        <f t="shared" si="404"/>
        <v>0.59666793218222358</v>
      </c>
      <c r="D426" s="191">
        <f>A$408</f>
        <v>0.78</v>
      </c>
      <c r="E426" s="8"/>
      <c r="F426" s="124"/>
      <c r="G426" s="107">
        <f t="shared" si="406"/>
        <v>0</v>
      </c>
      <c r="H426" s="107">
        <f t="shared" si="405"/>
        <v>3.2721924278064522E-2</v>
      </c>
      <c r="I426" s="107">
        <f t="shared" si="405"/>
        <v>0.5188689476936903</v>
      </c>
      <c r="J426" s="107">
        <f t="shared" si="405"/>
        <v>4.5077060210468763E-2</v>
      </c>
      <c r="K426" s="107">
        <f t="shared" si="405"/>
        <v>0</v>
      </c>
      <c r="L426" s="107">
        <f t="shared" si="405"/>
        <v>0</v>
      </c>
      <c r="M426" s="107">
        <f t="shared" si="405"/>
        <v>0</v>
      </c>
      <c r="N426" s="107">
        <f t="shared" si="405"/>
        <v>0</v>
      </c>
      <c r="O426" s="107">
        <f t="shared" si="405"/>
        <v>0</v>
      </c>
      <c r="P426" s="107">
        <f t="shared" si="405"/>
        <v>0</v>
      </c>
      <c r="Q426" s="107">
        <f t="shared" si="405"/>
        <v>0</v>
      </c>
      <c r="R426" s="107">
        <f t="shared" si="405"/>
        <v>0</v>
      </c>
      <c r="S426" s="107">
        <f t="shared" si="405"/>
        <v>0</v>
      </c>
      <c r="T426" s="107">
        <f t="shared" si="405"/>
        <v>0</v>
      </c>
      <c r="U426" s="107">
        <f t="shared" si="405"/>
        <v>0</v>
      </c>
      <c r="V426" s="107">
        <f t="shared" si="405"/>
        <v>0</v>
      </c>
      <c r="W426" s="107">
        <f t="shared" si="405"/>
        <v>0</v>
      </c>
      <c r="X426" s="107">
        <f t="shared" si="405"/>
        <v>0</v>
      </c>
      <c r="Y426" s="107">
        <f t="shared" si="405"/>
        <v>0</v>
      </c>
      <c r="Z426" s="107">
        <f t="shared" si="405"/>
        <v>0</v>
      </c>
      <c r="AA426" s="107">
        <f t="shared" si="405"/>
        <v>0</v>
      </c>
      <c r="AB426" s="107">
        <f t="shared" si="405"/>
        <v>0</v>
      </c>
      <c r="AC426" s="107">
        <f t="shared" si="405"/>
        <v>0</v>
      </c>
      <c r="AD426" s="107">
        <f t="shared" si="405"/>
        <v>0</v>
      </c>
      <c r="AE426" s="107">
        <f t="shared" si="405"/>
        <v>0</v>
      </c>
      <c r="AF426" s="107">
        <f t="shared" si="405"/>
        <v>0</v>
      </c>
      <c r="AG426" s="107">
        <f t="shared" si="405"/>
        <v>0</v>
      </c>
      <c r="AH426" s="107">
        <f t="shared" si="405"/>
        <v>0</v>
      </c>
      <c r="AI426" s="107">
        <f t="shared" si="405"/>
        <v>0</v>
      </c>
      <c r="AJ426" s="107">
        <f t="shared" si="405"/>
        <v>0</v>
      </c>
      <c r="AK426" s="107">
        <f t="shared" si="405"/>
        <v>0</v>
      </c>
      <c r="AL426" s="4"/>
      <c r="AM426" s="43">
        <v>410</v>
      </c>
      <c r="AN426">
        <v>88.90877181867539</v>
      </c>
      <c r="AO426">
        <v>18.246160223909719</v>
      </c>
      <c r="AP426">
        <v>70.240291145256322</v>
      </c>
      <c r="AQ426">
        <v>105.82849415930426</v>
      </c>
      <c r="AR426">
        <v>16.969244190901541</v>
      </c>
      <c r="AS426">
        <v>87.19542604345942</v>
      </c>
      <c r="AT426">
        <v>9.0957401491321033</v>
      </c>
      <c r="AU426">
        <v>9.2020523524240083</v>
      </c>
      <c r="AV426"/>
      <c r="AW426"/>
      <c r="FY426" s="214">
        <v>421</v>
      </c>
      <c r="FZ426">
        <v>1.3572528943750424</v>
      </c>
      <c r="GA426">
        <v>9.6628835857895794</v>
      </c>
      <c r="GB426">
        <v>7.6173267652372232</v>
      </c>
      <c r="GC426">
        <v>2.7060366925114607</v>
      </c>
      <c r="GD426">
        <v>7.0789716288303417</v>
      </c>
      <c r="GE426">
        <v>20.154852548898095</v>
      </c>
      <c r="GF426">
        <v>17.817748706592671</v>
      </c>
      <c r="GG426">
        <v>11.331339947490914</v>
      </c>
      <c r="GH426">
        <v>8.7657784259064222</v>
      </c>
      <c r="GI426">
        <v>11.383894335712993</v>
      </c>
      <c r="GJ426"/>
      <c r="GK426"/>
      <c r="GL426"/>
      <c r="GM426"/>
    </row>
    <row r="427" spans="1:195" s="7" customFormat="1">
      <c r="A427" s="128" t="s">
        <v>93</v>
      </c>
      <c r="B427" s="48" t="s">
        <v>42</v>
      </c>
      <c r="C427" s="107">
        <f t="shared" si="404"/>
        <v>7.6221981722117764</v>
      </c>
      <c r="D427" s="191">
        <f>A$409</f>
        <v>0.14000000000000001</v>
      </c>
      <c r="E427" s="8"/>
      <c r="F427" s="124"/>
      <c r="G427" s="107">
        <f t="shared" si="406"/>
        <v>0</v>
      </c>
      <c r="H427" s="107">
        <f t="shared" si="405"/>
        <v>9.3347217572268323E-3</v>
      </c>
      <c r="I427" s="107">
        <f t="shared" si="405"/>
        <v>0.90785281155688213</v>
      </c>
      <c r="J427" s="107">
        <f t="shared" si="405"/>
        <v>5.1967155701598496E-2</v>
      </c>
      <c r="K427" s="107">
        <f t="shared" si="405"/>
        <v>0</v>
      </c>
      <c r="L427" s="107">
        <f t="shared" si="405"/>
        <v>0.75512417898736928</v>
      </c>
      <c r="M427" s="107">
        <f t="shared" si="405"/>
        <v>4.919024298406157</v>
      </c>
      <c r="N427" s="107">
        <f t="shared" si="405"/>
        <v>0.97889500580254285</v>
      </c>
      <c r="O427" s="107">
        <f t="shared" si="405"/>
        <v>0</v>
      </c>
      <c r="P427" s="107">
        <f t="shared" si="405"/>
        <v>0</v>
      </c>
      <c r="Q427" s="107">
        <f t="shared" si="405"/>
        <v>0</v>
      </c>
      <c r="R427" s="107">
        <f t="shared" si="405"/>
        <v>0</v>
      </c>
      <c r="S427" s="107">
        <f t="shared" si="405"/>
        <v>0</v>
      </c>
      <c r="T427" s="107">
        <f t="shared" si="405"/>
        <v>0</v>
      </c>
      <c r="U427" s="107">
        <f t="shared" si="405"/>
        <v>0</v>
      </c>
      <c r="V427" s="107">
        <f t="shared" si="405"/>
        <v>0</v>
      </c>
      <c r="W427" s="107">
        <f t="shared" si="405"/>
        <v>0</v>
      </c>
      <c r="X427" s="107">
        <f t="shared" si="405"/>
        <v>0</v>
      </c>
      <c r="Y427" s="107">
        <f t="shared" si="405"/>
        <v>0</v>
      </c>
      <c r="Z427" s="107">
        <f t="shared" si="405"/>
        <v>0</v>
      </c>
      <c r="AA427" s="107">
        <f t="shared" si="405"/>
        <v>0</v>
      </c>
      <c r="AB427" s="107">
        <f t="shared" si="405"/>
        <v>0</v>
      </c>
      <c r="AC427" s="107">
        <f t="shared" si="405"/>
        <v>0</v>
      </c>
      <c r="AD427" s="107">
        <f t="shared" si="405"/>
        <v>0</v>
      </c>
      <c r="AE427" s="107">
        <f t="shared" si="405"/>
        <v>0</v>
      </c>
      <c r="AF427" s="107">
        <f t="shared" si="405"/>
        <v>0</v>
      </c>
      <c r="AG427" s="107">
        <f t="shared" si="405"/>
        <v>0</v>
      </c>
      <c r="AH427" s="107">
        <f t="shared" si="405"/>
        <v>0</v>
      </c>
      <c r="AI427" s="107">
        <f t="shared" si="405"/>
        <v>0</v>
      </c>
      <c r="AJ427" s="107">
        <f t="shared" si="405"/>
        <v>0</v>
      </c>
      <c r="AK427" s="107">
        <f t="shared" si="405"/>
        <v>0</v>
      </c>
      <c r="AL427" s="4"/>
      <c r="AM427" s="43">
        <v>411</v>
      </c>
      <c r="AN427">
        <v>50.4064963167461</v>
      </c>
      <c r="AO427">
        <v>10.715782412292542</v>
      </c>
      <c r="AP427">
        <v>35.962026389129335</v>
      </c>
      <c r="AQ427">
        <v>67.390626250479954</v>
      </c>
      <c r="AR427">
        <v>9.7660389688871856</v>
      </c>
      <c r="AS427">
        <v>50.061955140398368</v>
      </c>
      <c r="AT427" t="e">
        <v>#DIV/0!</v>
      </c>
      <c r="AU427" t="e">
        <v>#DIV/0!</v>
      </c>
      <c r="AV427"/>
      <c r="AW427"/>
      <c r="FY427" s="214">
        <v>422</v>
      </c>
      <c r="FZ427">
        <v>0.61300077146215293</v>
      </c>
      <c r="GA427">
        <v>2.755673842835404</v>
      </c>
      <c r="GB427">
        <v>3.2462284067863019</v>
      </c>
      <c r="GC427">
        <v>2.1500329150330466</v>
      </c>
      <c r="GD427">
        <v>11.39836724401601</v>
      </c>
      <c r="GE427">
        <v>21.60673741840877</v>
      </c>
      <c r="GF427">
        <v>4.4257428352185419</v>
      </c>
      <c r="GG427">
        <v>6.9892103407467143</v>
      </c>
      <c r="GH427">
        <v>4.1293904744246639</v>
      </c>
      <c r="GI427">
        <v>9.4355708049994416</v>
      </c>
      <c r="GJ427"/>
      <c r="GK427"/>
      <c r="GL427"/>
      <c r="GM427"/>
    </row>
    <row r="428" spans="1:195" s="7" customFormat="1">
      <c r="A428" s="138" t="s">
        <v>95</v>
      </c>
      <c r="B428" s="48" t="s">
        <v>118</v>
      </c>
      <c r="C428" s="107">
        <f t="shared" si="404"/>
        <v>15.510685950452922</v>
      </c>
      <c r="D428" s="191">
        <f>A$410</f>
        <v>0.21</v>
      </c>
      <c r="E428" s="8"/>
      <c r="F428" s="124"/>
      <c r="G428" s="107">
        <f t="shared" si="406"/>
        <v>0</v>
      </c>
      <c r="H428" s="107">
        <f t="shared" si="405"/>
        <v>6.2369435642922105E-2</v>
      </c>
      <c r="I428" s="107">
        <f t="shared" si="405"/>
        <v>1.9147438651466977</v>
      </c>
      <c r="J428" s="107">
        <f t="shared" si="405"/>
        <v>3.5081473092555548E-2</v>
      </c>
      <c r="K428" s="107">
        <f t="shared" si="405"/>
        <v>0</v>
      </c>
      <c r="L428" s="107">
        <f t="shared" si="405"/>
        <v>1.5306380017180901</v>
      </c>
      <c r="M428" s="107">
        <f t="shared" si="405"/>
        <v>9.9793499726316774</v>
      </c>
      <c r="N428" s="107">
        <f t="shared" si="405"/>
        <v>1.9885032022209796</v>
      </c>
      <c r="O428" s="107">
        <f t="shared" si="405"/>
        <v>0</v>
      </c>
      <c r="P428" s="107">
        <f t="shared" si="405"/>
        <v>0</v>
      </c>
      <c r="Q428" s="107">
        <f t="shared" si="405"/>
        <v>0</v>
      </c>
      <c r="R428" s="107">
        <f t="shared" si="405"/>
        <v>0</v>
      </c>
      <c r="S428" s="107">
        <f t="shared" si="405"/>
        <v>0</v>
      </c>
      <c r="T428" s="107">
        <f t="shared" si="405"/>
        <v>0</v>
      </c>
      <c r="U428" s="107">
        <f t="shared" si="405"/>
        <v>0</v>
      </c>
      <c r="V428" s="107">
        <f t="shared" si="405"/>
        <v>0</v>
      </c>
      <c r="W428" s="107">
        <f t="shared" si="405"/>
        <v>0</v>
      </c>
      <c r="X428" s="107">
        <f t="shared" si="405"/>
        <v>0</v>
      </c>
      <c r="Y428" s="107">
        <f t="shared" si="405"/>
        <v>0</v>
      </c>
      <c r="Z428" s="107">
        <f t="shared" si="405"/>
        <v>0</v>
      </c>
      <c r="AA428" s="107">
        <f t="shared" si="405"/>
        <v>0</v>
      </c>
      <c r="AB428" s="107">
        <f t="shared" si="405"/>
        <v>0</v>
      </c>
      <c r="AC428" s="107">
        <f t="shared" si="405"/>
        <v>0</v>
      </c>
      <c r="AD428" s="107">
        <f t="shared" si="405"/>
        <v>0</v>
      </c>
      <c r="AE428" s="107">
        <f t="shared" si="405"/>
        <v>0</v>
      </c>
      <c r="AF428" s="107">
        <f t="shared" si="405"/>
        <v>0</v>
      </c>
      <c r="AG428" s="107">
        <f t="shared" si="405"/>
        <v>0</v>
      </c>
      <c r="AH428" s="107">
        <f t="shared" si="405"/>
        <v>0</v>
      </c>
      <c r="AI428" s="107">
        <f t="shared" si="405"/>
        <v>0</v>
      </c>
      <c r="AJ428" s="107">
        <f t="shared" si="405"/>
        <v>0</v>
      </c>
      <c r="AK428" s="107">
        <f t="shared" si="405"/>
        <v>0</v>
      </c>
      <c r="AL428" s="4"/>
      <c r="AM428" s="43">
        <v>412</v>
      </c>
      <c r="AN428">
        <v>69.396821534914267</v>
      </c>
      <c r="AO428">
        <v>15.762717283979166</v>
      </c>
      <c r="AP428">
        <v>84.372130868919342</v>
      </c>
      <c r="AQ428">
        <v>83.40759289828847</v>
      </c>
      <c r="AR428">
        <v>14.354483634435637</v>
      </c>
      <c r="AS428">
        <v>71.086807632377912</v>
      </c>
      <c r="AT428" t="e">
        <v>#DIV/0!</v>
      </c>
      <c r="AU428" t="e">
        <v>#DIV/0!</v>
      </c>
      <c r="AV428"/>
      <c r="AW428"/>
      <c r="FY428" s="214">
        <v>423</v>
      </c>
      <c r="FZ428">
        <v>0.6137356450048469</v>
      </c>
      <c r="GA428">
        <v>17.069754480020087</v>
      </c>
      <c r="GB428">
        <v>15.524842017124982</v>
      </c>
      <c r="GC428">
        <v>4.556166478133048</v>
      </c>
      <c r="GD428">
        <v>4.1124866378852118</v>
      </c>
      <c r="GE428">
        <v>15.953186579840741</v>
      </c>
      <c r="GF428">
        <v>25.882952216885798</v>
      </c>
      <c r="GG428">
        <v>14.91661476979678</v>
      </c>
      <c r="GH428">
        <v>4.6021561848987709</v>
      </c>
      <c r="GI428">
        <v>12.397616813411027</v>
      </c>
      <c r="GJ428"/>
      <c r="GK428"/>
      <c r="GL428"/>
      <c r="GM428"/>
    </row>
    <row r="429" spans="1:195" s="7" customFormat="1">
      <c r="A429" s="138" t="s">
        <v>94</v>
      </c>
      <c r="B429" s="48" t="s">
        <v>119</v>
      </c>
      <c r="C429" s="107">
        <f t="shared" si="404"/>
        <v>6.9369357337398592</v>
      </c>
      <c r="D429" s="191">
        <f>A$411</f>
        <v>1.28</v>
      </c>
      <c r="E429" s="8"/>
      <c r="F429" s="124"/>
      <c r="G429" s="107">
        <f t="shared" si="406"/>
        <v>0</v>
      </c>
      <c r="H429" s="107">
        <f t="shared" si="405"/>
        <v>7.3570334991410483E-2</v>
      </c>
      <c r="I429" s="107">
        <f t="shared" si="405"/>
        <v>0.46834894454840864</v>
      </c>
      <c r="J429" s="107">
        <f t="shared" si="405"/>
        <v>0.32883467906697061</v>
      </c>
      <c r="K429" s="107">
        <f t="shared" si="405"/>
        <v>2.6255308189268232</v>
      </c>
      <c r="L429" s="107">
        <f t="shared" si="405"/>
        <v>0</v>
      </c>
      <c r="M429" s="107">
        <f t="shared" si="405"/>
        <v>0</v>
      </c>
      <c r="N429" s="107">
        <f t="shared" si="405"/>
        <v>0</v>
      </c>
      <c r="O429" s="107">
        <f t="shared" si="405"/>
        <v>0</v>
      </c>
      <c r="P429" s="107">
        <f t="shared" si="405"/>
        <v>3.4406509562062464</v>
      </c>
      <c r="Q429" s="107">
        <f t="shared" si="405"/>
        <v>0</v>
      </c>
      <c r="R429" s="107">
        <f t="shared" si="405"/>
        <v>0</v>
      </c>
      <c r="S429" s="107">
        <f t="shared" si="405"/>
        <v>0</v>
      </c>
      <c r="T429" s="107">
        <f t="shared" si="405"/>
        <v>0</v>
      </c>
      <c r="U429" s="107">
        <f t="shared" si="405"/>
        <v>0</v>
      </c>
      <c r="V429" s="107">
        <f t="shared" si="405"/>
        <v>0</v>
      </c>
      <c r="W429" s="107">
        <f t="shared" si="405"/>
        <v>0</v>
      </c>
      <c r="X429" s="107">
        <f t="shared" si="405"/>
        <v>0</v>
      </c>
      <c r="Y429" s="107">
        <f t="shared" si="405"/>
        <v>0</v>
      </c>
      <c r="Z429" s="107">
        <f t="shared" si="405"/>
        <v>0</v>
      </c>
      <c r="AA429" s="107">
        <f t="shared" si="405"/>
        <v>0</v>
      </c>
      <c r="AB429" s="107">
        <f t="shared" si="405"/>
        <v>0</v>
      </c>
      <c r="AC429" s="107">
        <f t="shared" si="405"/>
        <v>0</v>
      </c>
      <c r="AD429" s="107">
        <f t="shared" si="405"/>
        <v>0</v>
      </c>
      <c r="AE429" s="107">
        <f t="shared" si="405"/>
        <v>0</v>
      </c>
      <c r="AF429" s="107">
        <f t="shared" si="405"/>
        <v>0</v>
      </c>
      <c r="AG429" s="107">
        <f t="shared" si="405"/>
        <v>0</v>
      </c>
      <c r="AH429" s="107">
        <f t="shared" si="405"/>
        <v>0</v>
      </c>
      <c r="AI429" s="107">
        <f t="shared" si="405"/>
        <v>0</v>
      </c>
      <c r="AJ429" s="107">
        <f t="shared" si="405"/>
        <v>0</v>
      </c>
      <c r="AK429" s="107">
        <f t="shared" si="405"/>
        <v>0</v>
      </c>
      <c r="AL429" s="4"/>
      <c r="AM429" s="43">
        <v>413</v>
      </c>
      <c r="AN429">
        <v>61.897050478750508</v>
      </c>
      <c r="AO429">
        <v>12.584621511158414</v>
      </c>
      <c r="AP429">
        <v>70.268176915273486</v>
      </c>
      <c r="AQ429">
        <v>82.04881519104336</v>
      </c>
      <c r="AR429">
        <v>11.989046151823956</v>
      </c>
      <c r="AS429">
        <v>61.68124461059714</v>
      </c>
      <c r="AT429">
        <v>7.3300030920373329</v>
      </c>
      <c r="AU429">
        <v>32.540308115365484</v>
      </c>
      <c r="AV429"/>
      <c r="AW429"/>
      <c r="FY429" s="214">
        <v>424</v>
      </c>
      <c r="FZ429">
        <v>0.91864377612625703</v>
      </c>
      <c r="GA429">
        <v>5.7759515216393158</v>
      </c>
      <c r="GB429">
        <v>5.1877963846393786</v>
      </c>
      <c r="GC429">
        <v>2.4404164459597464</v>
      </c>
      <c r="GD429">
        <v>2.471444813475014</v>
      </c>
      <c r="GE429">
        <v>9.1918587046992766</v>
      </c>
      <c r="GF429">
        <v>16.352943892114528</v>
      </c>
      <c r="GG429">
        <v>9.0740108074825088</v>
      </c>
      <c r="GH429">
        <v>7.1479208439441422</v>
      </c>
      <c r="GI429">
        <v>7.1024122859687706</v>
      </c>
      <c r="GJ429"/>
      <c r="GK429"/>
      <c r="GL429"/>
      <c r="GM429"/>
    </row>
    <row r="430" spans="1:195" s="7" customFormat="1">
      <c r="A430" s="128" t="s">
        <v>18</v>
      </c>
      <c r="B430" s="48" t="s">
        <v>120</v>
      </c>
      <c r="C430" s="107">
        <f t="shared" si="404"/>
        <v>11.711595582764032</v>
      </c>
      <c r="D430" s="191">
        <f>A$412</f>
        <v>4</v>
      </c>
      <c r="E430" s="8"/>
      <c r="F430" s="124"/>
      <c r="G430" s="107">
        <f t="shared" si="406"/>
        <v>0</v>
      </c>
      <c r="H430" s="107">
        <f t="shared" si="405"/>
        <v>0</v>
      </c>
      <c r="I430" s="107">
        <f t="shared" si="405"/>
        <v>6.3637674001684241E-2</v>
      </c>
      <c r="J430" s="107">
        <f t="shared" si="405"/>
        <v>0.28628827949606678</v>
      </c>
      <c r="K430" s="107">
        <f t="shared" si="405"/>
        <v>4.1274780893863179</v>
      </c>
      <c r="L430" s="107">
        <f t="shared" si="405"/>
        <v>1.440501684950299</v>
      </c>
      <c r="M430" s="107">
        <f t="shared" si="405"/>
        <v>1.1332578534011197</v>
      </c>
      <c r="N430" s="107">
        <f t="shared" si="405"/>
        <v>1.2237905682699182</v>
      </c>
      <c r="O430" s="107">
        <f t="shared" si="405"/>
        <v>0</v>
      </c>
      <c r="P430" s="107">
        <f t="shared" si="405"/>
        <v>3.4366414332586257</v>
      </c>
      <c r="Q430" s="107">
        <f t="shared" si="405"/>
        <v>0</v>
      </c>
      <c r="R430" s="107">
        <f t="shared" si="405"/>
        <v>0</v>
      </c>
      <c r="S430" s="107">
        <f t="shared" si="405"/>
        <v>0</v>
      </c>
      <c r="T430" s="107">
        <f t="shared" si="405"/>
        <v>0</v>
      </c>
      <c r="U430" s="107">
        <f t="shared" si="405"/>
        <v>0</v>
      </c>
      <c r="V430" s="107">
        <f t="shared" si="405"/>
        <v>0</v>
      </c>
      <c r="W430" s="107">
        <f t="shared" si="405"/>
        <v>0</v>
      </c>
      <c r="X430" s="107">
        <f t="shared" si="405"/>
        <v>0</v>
      </c>
      <c r="Y430" s="107">
        <f t="shared" si="405"/>
        <v>0</v>
      </c>
      <c r="Z430" s="107">
        <f t="shared" si="405"/>
        <v>0</v>
      </c>
      <c r="AA430" s="107">
        <f t="shared" si="405"/>
        <v>0</v>
      </c>
      <c r="AB430" s="107">
        <f t="shared" si="405"/>
        <v>0</v>
      </c>
      <c r="AC430" s="107">
        <f t="shared" si="405"/>
        <v>0</v>
      </c>
      <c r="AD430" s="107">
        <f t="shared" si="405"/>
        <v>0</v>
      </c>
      <c r="AE430" s="107">
        <f t="shared" si="405"/>
        <v>0</v>
      </c>
      <c r="AF430" s="107">
        <f t="shared" si="405"/>
        <v>0</v>
      </c>
      <c r="AG430" s="107">
        <f t="shared" si="405"/>
        <v>0</v>
      </c>
      <c r="AH430" s="107">
        <f t="shared" si="405"/>
        <v>0</v>
      </c>
      <c r="AI430" s="107">
        <f t="shared" si="405"/>
        <v>0</v>
      </c>
      <c r="AJ430" s="107">
        <f t="shared" si="405"/>
        <v>0</v>
      </c>
      <c r="AK430" s="107">
        <f t="shared" si="405"/>
        <v>0</v>
      </c>
      <c r="AL430" s="4"/>
      <c r="AM430" s="43">
        <v>414</v>
      </c>
      <c r="AN430">
        <v>52.935200114023495</v>
      </c>
      <c r="AO430">
        <v>11.166575560282762</v>
      </c>
      <c r="AP430">
        <v>26.327246231511594</v>
      </c>
      <c r="AQ430">
        <v>74.990697414525499</v>
      </c>
      <c r="AR430">
        <v>10.545145375172506</v>
      </c>
      <c r="AS430">
        <v>52.138084799868373</v>
      </c>
      <c r="AT430">
        <v>6.776753337066034</v>
      </c>
      <c r="AU430">
        <v>14.656988815947082</v>
      </c>
      <c r="AV430"/>
      <c r="AW430"/>
      <c r="FY430" s="214">
        <v>425</v>
      </c>
      <c r="FZ430">
        <v>0.53602201315482767</v>
      </c>
      <c r="GA430">
        <v>3.0582339374091707</v>
      </c>
      <c r="GB430">
        <v>4.0802404053914447</v>
      </c>
      <c r="GC430">
        <v>2.098589988005005</v>
      </c>
      <c r="GD430">
        <v>1.8628094826119765</v>
      </c>
      <c r="GE430">
        <v>6.4051873059874724</v>
      </c>
      <c r="GF430">
        <v>14.07301877868376</v>
      </c>
      <c r="GG430">
        <v>13.033112463088834</v>
      </c>
      <c r="GH430">
        <v>6.9782562227679907</v>
      </c>
      <c r="GI430">
        <v>6.0968385389380204</v>
      </c>
      <c r="GJ430"/>
      <c r="GK430"/>
      <c r="GL430"/>
      <c r="GM430"/>
    </row>
    <row r="431" spans="1:195" s="7" customFormat="1">
      <c r="A431" s="128" t="s">
        <v>17</v>
      </c>
      <c r="B431" s="48" t="s">
        <v>121</v>
      </c>
      <c r="C431" s="107">
        <f t="shared" si="404"/>
        <v>9.4060407889470916</v>
      </c>
      <c r="D431" s="191">
        <f>A$413</f>
        <v>7.33</v>
      </c>
      <c r="E431" s="8"/>
      <c r="F431" s="124"/>
      <c r="G431" s="107">
        <f t="shared" si="406"/>
        <v>0</v>
      </c>
      <c r="H431" s="107">
        <f t="shared" si="405"/>
        <v>0</v>
      </c>
      <c r="I431" s="107">
        <f t="shared" si="405"/>
        <v>8.3748326283281188E-2</v>
      </c>
      <c r="J431" s="107">
        <f t="shared" si="405"/>
        <v>0</v>
      </c>
      <c r="K431" s="107">
        <f t="shared" si="405"/>
        <v>2.4197083675497444</v>
      </c>
      <c r="L431" s="107">
        <f t="shared" si="405"/>
        <v>3.7078317699385774</v>
      </c>
      <c r="M431" s="107">
        <f t="shared" si="405"/>
        <v>1.5252102149033262</v>
      </c>
      <c r="N431" s="107">
        <f t="shared" si="405"/>
        <v>1.6695421102721626</v>
      </c>
      <c r="O431" s="107">
        <f t="shared" si="405"/>
        <v>0</v>
      </c>
      <c r="P431" s="107">
        <f t="shared" si="405"/>
        <v>0</v>
      </c>
      <c r="Q431" s="107">
        <f t="shared" si="405"/>
        <v>0</v>
      </c>
      <c r="R431" s="107">
        <f t="shared" si="405"/>
        <v>0</v>
      </c>
      <c r="S431" s="107">
        <f t="shared" si="405"/>
        <v>0</v>
      </c>
      <c r="T431" s="107">
        <f t="shared" si="405"/>
        <v>0</v>
      </c>
      <c r="U431" s="107">
        <f t="shared" si="405"/>
        <v>0</v>
      </c>
      <c r="V431" s="107">
        <f t="shared" si="405"/>
        <v>0</v>
      </c>
      <c r="W431" s="107">
        <f t="shared" si="405"/>
        <v>0</v>
      </c>
      <c r="X431" s="107">
        <f t="shared" si="405"/>
        <v>0</v>
      </c>
      <c r="Y431" s="107">
        <f t="shared" si="405"/>
        <v>0</v>
      </c>
      <c r="Z431" s="107">
        <f t="shared" si="405"/>
        <v>0</v>
      </c>
      <c r="AA431" s="107">
        <f t="shared" si="405"/>
        <v>0</v>
      </c>
      <c r="AB431" s="107">
        <f t="shared" si="405"/>
        <v>0</v>
      </c>
      <c r="AC431" s="107">
        <f t="shared" si="405"/>
        <v>0</v>
      </c>
      <c r="AD431" s="107">
        <f t="shared" si="405"/>
        <v>0</v>
      </c>
      <c r="AE431" s="107">
        <f t="shared" si="405"/>
        <v>0</v>
      </c>
      <c r="AF431" s="107">
        <f t="shared" si="405"/>
        <v>0</v>
      </c>
      <c r="AG431" s="107">
        <f t="shared" si="405"/>
        <v>0</v>
      </c>
      <c r="AH431" s="107">
        <f t="shared" si="405"/>
        <v>0</v>
      </c>
      <c r="AI431" s="107">
        <f t="shared" si="405"/>
        <v>0</v>
      </c>
      <c r="AJ431" s="107">
        <f t="shared" si="405"/>
        <v>0</v>
      </c>
      <c r="AK431" s="107">
        <f t="shared" si="405"/>
        <v>0</v>
      </c>
      <c r="AL431" s="4"/>
      <c r="AM431" s="43">
        <v>415</v>
      </c>
      <c r="AN431">
        <v>75.246126251819874</v>
      </c>
      <c r="AO431">
        <v>16.324567624184773</v>
      </c>
      <c r="AP431">
        <v>60.464819761967384</v>
      </c>
      <c r="AQ431">
        <v>83.465657787846183</v>
      </c>
      <c r="AR431">
        <v>15.198245288363688</v>
      </c>
      <c r="AS431">
        <v>102.80212478796818</v>
      </c>
      <c r="AT431">
        <v>7.4796155079938815</v>
      </c>
      <c r="AU431">
        <v>-9.1295699688627913E-2</v>
      </c>
      <c r="AV431"/>
      <c r="AW431"/>
      <c r="FY431" s="214">
        <v>426</v>
      </c>
      <c r="FZ431">
        <v>0.81739356432001786</v>
      </c>
      <c r="GA431">
        <v>3.4865623221638788</v>
      </c>
      <c r="GB431">
        <v>3.0243865113668944</v>
      </c>
      <c r="GC431">
        <v>1.6541150394790169</v>
      </c>
      <c r="GD431">
        <v>5.899429364784865</v>
      </c>
      <c r="GE431">
        <v>15.310637638464767</v>
      </c>
      <c r="GF431">
        <v>22.309339133207683</v>
      </c>
      <c r="GG431">
        <v>17.759511834046315</v>
      </c>
      <c r="GH431">
        <v>5.9169126775630962</v>
      </c>
      <c r="GI431">
        <v>10.120511363777478</v>
      </c>
      <c r="GJ431"/>
      <c r="GK431"/>
      <c r="GL431"/>
      <c r="GM431"/>
    </row>
    <row r="432" spans="1:195" s="7" customFormat="1">
      <c r="A432" s="4"/>
      <c r="B432" s="48" t="s">
        <v>122</v>
      </c>
      <c r="C432" s="107">
        <f t="shared" si="404"/>
        <v>8.7236745152287067</v>
      </c>
      <c r="D432" s="191">
        <f>A$414</f>
        <v>10.51</v>
      </c>
      <c r="E432" s="8"/>
      <c r="F432" s="124"/>
      <c r="G432" s="107">
        <f t="shared" si="406"/>
        <v>0</v>
      </c>
      <c r="H432" s="107">
        <f t="shared" ref="H432:AK432" si="407">(($A$453+$A$455*(H$422)+($A$457*$D432))*($E30*H46))</f>
        <v>3.2735631115626274E-2</v>
      </c>
      <c r="I432" s="107">
        <f t="shared" si="407"/>
        <v>0.79733586618997132</v>
      </c>
      <c r="J432" s="107">
        <f t="shared" si="407"/>
        <v>0.32781917860173881</v>
      </c>
      <c r="K432" s="107">
        <f t="shared" si="407"/>
        <v>1.1413230841217021</v>
      </c>
      <c r="L432" s="107">
        <f t="shared" si="407"/>
        <v>1.1942447193369041</v>
      </c>
      <c r="M432" s="107">
        <f t="shared" si="407"/>
        <v>3.5031088331819347</v>
      </c>
      <c r="N432" s="107">
        <f t="shared" si="407"/>
        <v>0.91921683727512993</v>
      </c>
      <c r="O432" s="107">
        <f t="shared" si="407"/>
        <v>0</v>
      </c>
      <c r="P432" s="107">
        <f t="shared" si="407"/>
        <v>0.8078903654056987</v>
      </c>
      <c r="Q432" s="107">
        <f t="shared" si="407"/>
        <v>0</v>
      </c>
      <c r="R432" s="107">
        <f t="shared" si="407"/>
        <v>0</v>
      </c>
      <c r="S432" s="107">
        <f t="shared" si="407"/>
        <v>0</v>
      </c>
      <c r="T432" s="107">
        <f t="shared" si="407"/>
        <v>0</v>
      </c>
      <c r="U432" s="107">
        <f t="shared" si="407"/>
        <v>0</v>
      </c>
      <c r="V432" s="107">
        <f t="shared" si="407"/>
        <v>0</v>
      </c>
      <c r="W432" s="107">
        <f t="shared" si="407"/>
        <v>0</v>
      </c>
      <c r="X432" s="107">
        <f t="shared" si="407"/>
        <v>0</v>
      </c>
      <c r="Y432" s="107">
        <f t="shared" si="407"/>
        <v>0</v>
      </c>
      <c r="Z432" s="107">
        <f t="shared" si="407"/>
        <v>0</v>
      </c>
      <c r="AA432" s="107">
        <f t="shared" si="407"/>
        <v>0</v>
      </c>
      <c r="AB432" s="107">
        <f t="shared" si="407"/>
        <v>0</v>
      </c>
      <c r="AC432" s="107">
        <f t="shared" si="407"/>
        <v>0</v>
      </c>
      <c r="AD432" s="107">
        <f t="shared" si="407"/>
        <v>0</v>
      </c>
      <c r="AE432" s="107">
        <f t="shared" si="407"/>
        <v>0</v>
      </c>
      <c r="AF432" s="107">
        <f t="shared" si="407"/>
        <v>0</v>
      </c>
      <c r="AG432" s="107">
        <f t="shared" si="407"/>
        <v>0</v>
      </c>
      <c r="AH432" s="107">
        <f t="shared" si="407"/>
        <v>0</v>
      </c>
      <c r="AI432" s="107">
        <f t="shared" si="407"/>
        <v>0</v>
      </c>
      <c r="AJ432" s="107">
        <f t="shared" si="407"/>
        <v>0</v>
      </c>
      <c r="AK432" s="107">
        <f t="shared" si="407"/>
        <v>0</v>
      </c>
      <c r="AL432" s="4"/>
      <c r="AM432" s="43">
        <v>416</v>
      </c>
      <c r="AN432">
        <v>111.46255534618972</v>
      </c>
      <c r="AO432">
        <v>24.243171969435551</v>
      </c>
      <c r="AP432">
        <v>111.02559837773677</v>
      </c>
      <c r="AQ432">
        <v>119.89548359128536</v>
      </c>
      <c r="AR432">
        <v>22.051456541979299</v>
      </c>
      <c r="AS432">
        <v>120.5722479628993</v>
      </c>
      <c r="AT432" t="e">
        <v>#DIV/0!</v>
      </c>
      <c r="AU432" t="e">
        <v>#DIV/0!</v>
      </c>
      <c r="AV432"/>
      <c r="AW432"/>
      <c r="FY432" s="214">
        <v>427</v>
      </c>
      <c r="FZ432">
        <v>0.34485044827692601</v>
      </c>
      <c r="GA432">
        <v>9.0209878023253935</v>
      </c>
      <c r="GB432">
        <v>8.0249913262244483</v>
      </c>
      <c r="GC432">
        <v>2.7864156741753261</v>
      </c>
      <c r="GD432">
        <v>2.9879301854267282</v>
      </c>
      <c r="GE432">
        <v>9.9821884299988159</v>
      </c>
      <c r="GF432">
        <v>23.696809714993943</v>
      </c>
      <c r="GG432">
        <v>15.235562426495466</v>
      </c>
      <c r="GH432">
        <v>2.3440362398958201</v>
      </c>
      <c r="GI432">
        <v>9.1463028477553241</v>
      </c>
      <c r="GJ432"/>
      <c r="GK432"/>
      <c r="GL432"/>
      <c r="GM432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60.028034229762852</v>
      </c>
      <c r="AO433">
        <v>13.756729851187689</v>
      </c>
      <c r="AP433">
        <v>67.358729328786694</v>
      </c>
      <c r="AQ433">
        <v>86.032270948664035</v>
      </c>
      <c r="AR433">
        <v>12.518649398496397</v>
      </c>
      <c r="AS433">
        <v>60.221608636770128</v>
      </c>
      <c r="AT433" t="e">
        <v>#DIV/0!</v>
      </c>
      <c r="AU433" t="e">
        <v>#DIV/0!</v>
      </c>
      <c r="AV433"/>
      <c r="AW433"/>
      <c r="FY433" s="214">
        <v>428</v>
      </c>
      <c r="FZ433">
        <v>0.54596319066584609</v>
      </c>
      <c r="GA433">
        <v>17.002391438883521</v>
      </c>
      <c r="GB433">
        <v>15.580088517145775</v>
      </c>
      <c r="GC433">
        <v>4.7732980909042144</v>
      </c>
      <c r="GD433">
        <v>8.2416986481733758</v>
      </c>
      <c r="GE433">
        <v>17.384452060864731</v>
      </c>
      <c r="GF433">
        <v>9.1634731920370633</v>
      </c>
      <c r="GG433">
        <v>7.8252393039101209</v>
      </c>
      <c r="GH433">
        <v>7.1479208439441422</v>
      </c>
      <c r="GI433">
        <v>11.904142206197651</v>
      </c>
      <c r="GJ433"/>
      <c r="GK433"/>
      <c r="GL433"/>
      <c r="GM433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56.959163315463158</v>
      </c>
      <c r="AO434">
        <v>12.681093481518776</v>
      </c>
      <c r="AP434">
        <v>66.299363267755723</v>
      </c>
      <c r="AQ434">
        <v>66.371960374060762</v>
      </c>
      <c r="AR434">
        <v>11.706809379645227</v>
      </c>
      <c r="AS434">
        <v>60.027396452917039</v>
      </c>
      <c r="AT434" t="e">
        <v>#DIV/0!</v>
      </c>
      <c r="AU434" t="e">
        <v>#DIV/0!</v>
      </c>
      <c r="AV434"/>
      <c r="AW434"/>
      <c r="FY434" s="214">
        <v>429</v>
      </c>
      <c r="FZ434">
        <v>0.67365585843201192</v>
      </c>
      <c r="GA434">
        <v>12.122735291901815</v>
      </c>
      <c r="GB434">
        <v>9.3188897516812741</v>
      </c>
      <c r="GC434">
        <v>2.9385875123997347</v>
      </c>
      <c r="GD434">
        <v>7.4471734925578259</v>
      </c>
      <c r="GE434">
        <v>15.869152380534121</v>
      </c>
      <c r="GF434">
        <v>15.645509197098949</v>
      </c>
      <c r="GG434">
        <v>10.94912126532612</v>
      </c>
      <c r="GH434">
        <v>6.0028289724559674</v>
      </c>
      <c r="GI434">
        <v>10.874030777605704</v>
      </c>
      <c r="GJ434"/>
      <c r="GK434"/>
      <c r="GL434"/>
      <c r="GM434"/>
    </row>
    <row r="435" spans="1:195" s="7" customFormat="1">
      <c r="A435" s="4"/>
      <c r="B435" s="52" t="s">
        <v>53</v>
      </c>
      <c r="C435" s="53">
        <f>SUM(C423:C434)</f>
        <v>72.005962691590923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75.334834716625622</v>
      </c>
      <c r="AO435">
        <v>14.653639562079908</v>
      </c>
      <c r="AP435">
        <v>81.066323864213132</v>
      </c>
      <c r="AQ435">
        <v>78.609850779161391</v>
      </c>
      <c r="AR435">
        <v>13.524451683322042</v>
      </c>
      <c r="AS435">
        <v>74.189335491783638</v>
      </c>
      <c r="AT435">
        <v>7.4876347080391206</v>
      </c>
      <c r="AU435">
        <v>11.447995072589405</v>
      </c>
      <c r="AV435"/>
      <c r="AW435"/>
      <c r="FY435" s="214">
        <v>430</v>
      </c>
      <c r="FZ435">
        <v>0.34840913196149681</v>
      </c>
      <c r="GA435">
        <v>11.348185541087629</v>
      </c>
      <c r="GB435">
        <v>9.8087965928508254</v>
      </c>
      <c r="GC435">
        <v>3.3716407368518153</v>
      </c>
      <c r="GD435">
        <v>1.3732468402181892</v>
      </c>
      <c r="GE435">
        <v>6.5506923398682586</v>
      </c>
      <c r="GF435">
        <v>16.975801183908786</v>
      </c>
      <c r="GG435">
        <v>7.7540056403057944</v>
      </c>
      <c r="GH435">
        <v>7.87409950187768</v>
      </c>
      <c r="GI435">
        <v>7.7282492554479516</v>
      </c>
      <c r="GJ435"/>
      <c r="GK435"/>
      <c r="GL435"/>
      <c r="GM43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81.258875578424323</v>
      </c>
      <c r="AO436">
        <v>16.38719580277947</v>
      </c>
      <c r="AP436">
        <v>68.373210353512476</v>
      </c>
      <c r="AQ436">
        <v>93.849141787996288</v>
      </c>
      <c r="AR436">
        <v>14.909982081761653</v>
      </c>
      <c r="AS436">
        <v>82.189470561652556</v>
      </c>
      <c r="AT436" t="e">
        <v>#DIV/0!</v>
      </c>
      <c r="AU436" t="e">
        <v>#DIV/0!</v>
      </c>
      <c r="AV436"/>
      <c r="AW436"/>
      <c r="FY436" s="214">
        <v>431</v>
      </c>
      <c r="FZ436">
        <v>1.0952064318006371</v>
      </c>
      <c r="GA436">
        <v>4.5382953787553726</v>
      </c>
      <c r="GB436">
        <v>5.0761998522673188</v>
      </c>
      <c r="GC436">
        <v>2.5331078624155223</v>
      </c>
      <c r="GD436">
        <v>0.7359677118587189</v>
      </c>
      <c r="GE436">
        <v>5.5432114121200922</v>
      </c>
      <c r="GF436">
        <v>28.101184243812263</v>
      </c>
      <c r="GG436">
        <v>19.624821927266382</v>
      </c>
      <c r="GH436">
        <v>1.1130280735147748</v>
      </c>
      <c r="GI436">
        <v>7.7743413462571045</v>
      </c>
      <c r="GJ436"/>
      <c r="GK436"/>
      <c r="GL436"/>
      <c r="GM436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78.811130897095197</v>
      </c>
      <c r="AO437">
        <v>17.373736796392922</v>
      </c>
      <c r="AP437">
        <v>75.424581673129751</v>
      </c>
      <c r="AQ437">
        <v>97.876085531344742</v>
      </c>
      <c r="AR437">
        <v>15.997911460727815</v>
      </c>
      <c r="AS437">
        <v>80.527339621391761</v>
      </c>
      <c r="AT437">
        <v>8.7444001985221593</v>
      </c>
      <c r="AU437">
        <v>26.969069990134336</v>
      </c>
      <c r="AV437"/>
      <c r="AW437"/>
      <c r="FY437" s="214">
        <v>432</v>
      </c>
      <c r="FZ437">
        <v>0.61628082193109768</v>
      </c>
      <c r="GA437">
        <v>17.431538158481139</v>
      </c>
      <c r="GB437">
        <v>15.758300185910883</v>
      </c>
      <c r="GC437">
        <v>4.3625286097675922</v>
      </c>
      <c r="GD437">
        <v>4.8662792199694778</v>
      </c>
      <c r="GE437">
        <v>10.115564885829032</v>
      </c>
      <c r="GF437">
        <v>8.0714751035248185</v>
      </c>
      <c r="GG437">
        <v>9.2833879842723892</v>
      </c>
      <c r="GH437">
        <v>4.1293904744246639</v>
      </c>
      <c r="GI437">
        <v>9.3301795525304172</v>
      </c>
      <c r="GJ437"/>
      <c r="GK437"/>
      <c r="GL437"/>
      <c r="GM437"/>
    </row>
    <row r="438" spans="1:195" s="7" customFormat="1">
      <c r="A438" s="1">
        <f>SUM(E4:E15)</f>
        <v>100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64.783576187427443</v>
      </c>
      <c r="AO438">
        <v>14.510444194833212</v>
      </c>
      <c r="AP438">
        <v>159.34437197440059</v>
      </c>
      <c r="AQ438">
        <v>66.749955053931046</v>
      </c>
      <c r="AR438">
        <v>13.203522201431721</v>
      </c>
      <c r="AS438">
        <v>65.991480300234841</v>
      </c>
      <c r="AT438" t="e">
        <v>#DIV/0!</v>
      </c>
      <c r="AU438" t="e">
        <v>#DIV/0!</v>
      </c>
      <c r="AV438"/>
      <c r="AW438"/>
      <c r="FY438" s="214">
        <v>433</v>
      </c>
      <c r="FZ438">
        <v>0.7374133887593739</v>
      </c>
      <c r="GA438">
        <v>3.4566660510283147</v>
      </c>
      <c r="GB438">
        <v>6.9823208214946018</v>
      </c>
      <c r="GC438">
        <v>3.563229428721594</v>
      </c>
      <c r="GD438">
        <v>4.6587060639833293</v>
      </c>
      <c r="GE438">
        <v>13.850050497797877</v>
      </c>
      <c r="GF438">
        <v>16.574746317747859</v>
      </c>
      <c r="GG438">
        <v>12.927202787521852</v>
      </c>
      <c r="GH438">
        <v>7.5347702595253789</v>
      </c>
      <c r="GI438">
        <v>9.0141297161109417</v>
      </c>
      <c r="GJ438"/>
      <c r="GK438"/>
      <c r="GL438"/>
      <c r="GM438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97.721763705112465</v>
      </c>
      <c r="AO439">
        <v>19.236545398130094</v>
      </c>
      <c r="AP439">
        <v>88.757275390936357</v>
      </c>
      <c r="AQ439">
        <v>115.62951182300128</v>
      </c>
      <c r="AR439">
        <v>17.500944005565252</v>
      </c>
      <c r="AS439">
        <v>87.947121898444678</v>
      </c>
      <c r="AT439" t="e">
        <v>#DIV/0!</v>
      </c>
      <c r="AU439" t="e">
        <v>#DIV/0!</v>
      </c>
      <c r="AV439"/>
      <c r="AW439"/>
      <c r="FY439" s="214">
        <v>434</v>
      </c>
      <c r="FZ439">
        <v>0.53985933005502451</v>
      </c>
      <c r="GA439">
        <v>24.486487540024459</v>
      </c>
      <c r="GB439">
        <v>14.008685491300986</v>
      </c>
      <c r="GC439">
        <v>1.5992710731844992</v>
      </c>
      <c r="GD439">
        <v>4.1769823860242221</v>
      </c>
      <c r="GE439">
        <v>14.142762466821916</v>
      </c>
      <c r="GF439">
        <v>18.632868843872096</v>
      </c>
      <c r="GG439">
        <v>10.468123775570636</v>
      </c>
      <c r="GH439">
        <v>7.064172517660861</v>
      </c>
      <c r="GI439">
        <v>11.068002682487776</v>
      </c>
      <c r="GJ439"/>
      <c r="GK439"/>
      <c r="GL439"/>
      <c r="GM439"/>
    </row>
    <row r="440" spans="1:195" s="7" customFormat="1">
      <c r="A440" s="1">
        <v>9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59.093961592459699</v>
      </c>
      <c r="AO440">
        <v>10.390769936579503</v>
      </c>
      <c r="AP440">
        <v>37.00371076953801</v>
      </c>
      <c r="AQ440">
        <v>65.663399476048937</v>
      </c>
      <c r="AR440">
        <v>9.8276582384043767</v>
      </c>
      <c r="AS440">
        <v>56.110772951121007</v>
      </c>
      <c r="AT440">
        <v>6.0460405290068531</v>
      </c>
      <c r="AU440">
        <v>14.517556430726005</v>
      </c>
      <c r="AV440"/>
      <c r="AW440"/>
      <c r="FY440" s="214">
        <v>435</v>
      </c>
      <c r="FZ440">
        <v>0.40906421893135592</v>
      </c>
      <c r="GA440">
        <v>10.574787913213061</v>
      </c>
      <c r="GB440">
        <v>14.645361630684505</v>
      </c>
      <c r="GC440">
        <v>5.6316806856049721</v>
      </c>
      <c r="GD440">
        <v>4.9515080128645099</v>
      </c>
      <c r="GE440">
        <v>10.024853477971979</v>
      </c>
      <c r="GF440">
        <v>14.680290426565753</v>
      </c>
      <c r="GG440">
        <v>20.060157092326747</v>
      </c>
      <c r="GH440">
        <v>10.467384334151987</v>
      </c>
      <c r="GI440">
        <v>11.311337828816137</v>
      </c>
      <c r="GJ440"/>
      <c r="GK440"/>
      <c r="GL440"/>
      <c r="GM440"/>
    </row>
    <row r="441" spans="1:195" s="7" customFormat="1">
      <c r="A441" s="21" t="s">
        <v>97</v>
      </c>
      <c r="B441" s="48" t="s">
        <v>38</v>
      </c>
      <c r="C441" s="107">
        <f t="shared" ref="C441:C450" si="408">SUM(G441:AK441)</f>
        <v>1.2331189102934474</v>
      </c>
      <c r="D441" s="191">
        <f>$A$405</f>
        <v>13.69</v>
      </c>
      <c r="E441" s="8"/>
      <c r="F441" s="124"/>
      <c r="G441" s="107" t="str">
        <f t="shared" ref="G441:G450" si="409">IF(G423&lt;=0, "0.000", G423)</f>
        <v>0.000</v>
      </c>
      <c r="H441" s="107">
        <f t="shared" ref="H441:AK441" si="410">IF(H423&lt;=0, "0.000", H423)</f>
        <v>7.1173673691416611E-3</v>
      </c>
      <c r="I441" s="107" t="str">
        <f t="shared" si="410"/>
        <v>0.000</v>
      </c>
      <c r="J441" s="107">
        <f t="shared" si="410"/>
        <v>0.93852613114829408</v>
      </c>
      <c r="K441" s="107">
        <f t="shared" si="410"/>
        <v>0.28747541177601171</v>
      </c>
      <c r="L441" s="107" t="str">
        <f t="shared" si="410"/>
        <v>0.000</v>
      </c>
      <c r="M441" s="107" t="str">
        <f t="shared" si="410"/>
        <v>0.000</v>
      </c>
      <c r="N441" s="107" t="str">
        <f t="shared" si="410"/>
        <v>0.000</v>
      </c>
      <c r="O441" s="107" t="str">
        <f t="shared" si="410"/>
        <v>0.000</v>
      </c>
      <c r="P441" s="107" t="str">
        <f t="shared" si="410"/>
        <v>0.000</v>
      </c>
      <c r="Q441" s="107" t="str">
        <f t="shared" si="410"/>
        <v>0.000</v>
      </c>
      <c r="R441" s="107" t="str">
        <f t="shared" si="410"/>
        <v>0.000</v>
      </c>
      <c r="S441" s="107" t="str">
        <f t="shared" si="410"/>
        <v>0.000</v>
      </c>
      <c r="T441" s="107" t="str">
        <f t="shared" si="410"/>
        <v>0.000</v>
      </c>
      <c r="U441" s="107" t="str">
        <f t="shared" si="410"/>
        <v>0.000</v>
      </c>
      <c r="V441" s="107" t="str">
        <f t="shared" si="410"/>
        <v>0.000</v>
      </c>
      <c r="W441" s="107" t="str">
        <f t="shared" si="410"/>
        <v>0.000</v>
      </c>
      <c r="X441" s="107" t="str">
        <f t="shared" si="410"/>
        <v>0.000</v>
      </c>
      <c r="Y441" s="107" t="str">
        <f t="shared" si="410"/>
        <v>0.000</v>
      </c>
      <c r="Z441" s="107" t="str">
        <f t="shared" si="410"/>
        <v>0.000</v>
      </c>
      <c r="AA441" s="107" t="str">
        <f t="shared" si="410"/>
        <v>0.000</v>
      </c>
      <c r="AB441" s="107" t="str">
        <f t="shared" si="410"/>
        <v>0.000</v>
      </c>
      <c r="AC441" s="107" t="str">
        <f t="shared" si="410"/>
        <v>0.000</v>
      </c>
      <c r="AD441" s="107" t="str">
        <f t="shared" si="410"/>
        <v>0.000</v>
      </c>
      <c r="AE441" s="107" t="str">
        <f t="shared" si="410"/>
        <v>0.000</v>
      </c>
      <c r="AF441" s="107" t="str">
        <f t="shared" si="410"/>
        <v>0.000</v>
      </c>
      <c r="AG441" s="107" t="str">
        <f t="shared" si="410"/>
        <v>0.000</v>
      </c>
      <c r="AH441" s="107" t="str">
        <f t="shared" si="410"/>
        <v>0.000</v>
      </c>
      <c r="AI441" s="107" t="str">
        <f t="shared" si="410"/>
        <v>0.000</v>
      </c>
      <c r="AJ441" s="107" t="str">
        <f t="shared" si="410"/>
        <v>0.000</v>
      </c>
      <c r="AK441" s="107" t="str">
        <f t="shared" si="410"/>
        <v>0.000</v>
      </c>
      <c r="AL441" s="4"/>
      <c r="AM441" s="43">
        <v>425</v>
      </c>
      <c r="AN441">
        <v>46.51573847284395</v>
      </c>
      <c r="AO441">
        <v>9.4245404336893461</v>
      </c>
      <c r="AP441">
        <v>36.57838032090887</v>
      </c>
      <c r="AQ441">
        <v>58.222309136038504</v>
      </c>
      <c r="AR441">
        <v>8.57997332766457</v>
      </c>
      <c r="AS441">
        <v>44.9624125798411</v>
      </c>
      <c r="AT441" t="e">
        <v>#DIV/0!</v>
      </c>
      <c r="AU441" t="e">
        <v>#DIV/0!</v>
      </c>
      <c r="AV441"/>
      <c r="AW441"/>
      <c r="FY441" s="214">
        <v>436</v>
      </c>
      <c r="FZ441">
        <v>0.87222342389468144</v>
      </c>
      <c r="GA441">
        <v>17.916347321070237</v>
      </c>
      <c r="GB441">
        <v>14.17310357849313</v>
      </c>
      <c r="GC441">
        <v>3.5674201744756395</v>
      </c>
      <c r="GD441">
        <v>12.495653140938701</v>
      </c>
      <c r="GE441">
        <v>27.644601491708496</v>
      </c>
      <c r="GF441">
        <v>10.22051390937046</v>
      </c>
      <c r="GG441">
        <v>5.1734358658991599</v>
      </c>
      <c r="GH441">
        <v>2.038767181988276</v>
      </c>
      <c r="GI441">
        <v>13.796071427145367</v>
      </c>
      <c r="GJ441"/>
      <c r="GK441"/>
      <c r="GL441"/>
      <c r="GM441"/>
    </row>
    <row r="442" spans="1:195" s="7" customFormat="1">
      <c r="A442" s="1">
        <v>425</v>
      </c>
      <c r="B442" s="48" t="s">
        <v>39</v>
      </c>
      <c r="C442" s="107">
        <f t="shared" si="408"/>
        <v>6.7712166478382478</v>
      </c>
      <c r="D442" s="191">
        <f>$A$406</f>
        <v>9.4499999999999993</v>
      </c>
      <c r="E442" s="8"/>
      <c r="F442" s="124"/>
      <c r="G442" s="173" t="str">
        <f t="shared" si="409"/>
        <v>0.000</v>
      </c>
      <c r="H442" s="173" t="str">
        <f t="shared" ref="H442:V442" si="411">IF(H424&lt;=0, "0.000", H424)</f>
        <v>0.000</v>
      </c>
      <c r="I442" s="173">
        <f t="shared" si="411"/>
        <v>0.16134407217899921</v>
      </c>
      <c r="J442" s="173">
        <f t="shared" si="411"/>
        <v>1.7424802094049465</v>
      </c>
      <c r="K442" s="173">
        <f t="shared" si="411"/>
        <v>2.2028515837451952</v>
      </c>
      <c r="L442" s="173">
        <f t="shared" si="411"/>
        <v>1.213431477027104</v>
      </c>
      <c r="M442" s="173">
        <f t="shared" si="411"/>
        <v>1.4511093054820035</v>
      </c>
      <c r="N442" s="173" t="str">
        <f t="shared" si="411"/>
        <v>0.000</v>
      </c>
      <c r="O442" s="173" t="str">
        <f t="shared" si="411"/>
        <v>0.000</v>
      </c>
      <c r="P442" s="173" t="str">
        <f t="shared" si="411"/>
        <v>0.000</v>
      </c>
      <c r="Q442" s="173" t="str">
        <f t="shared" si="411"/>
        <v>0.000</v>
      </c>
      <c r="R442" s="173" t="str">
        <f t="shared" si="411"/>
        <v>0.000</v>
      </c>
      <c r="S442" s="173" t="str">
        <f t="shared" si="411"/>
        <v>0.000</v>
      </c>
      <c r="T442" s="173" t="str">
        <f t="shared" si="411"/>
        <v>0.000</v>
      </c>
      <c r="U442" s="173" t="str">
        <f t="shared" si="411"/>
        <v>0.000</v>
      </c>
      <c r="V442" s="173" t="str">
        <f t="shared" si="411"/>
        <v>0.000</v>
      </c>
      <c r="W442" s="173" t="str">
        <f t="shared" ref="W442:AK442" si="412">IF(W424&lt;=0, "0.000", W424)</f>
        <v>0.000</v>
      </c>
      <c r="X442" s="173" t="str">
        <f t="shared" si="412"/>
        <v>0.000</v>
      </c>
      <c r="Y442" s="173" t="str">
        <f t="shared" si="412"/>
        <v>0.000</v>
      </c>
      <c r="Z442" s="173" t="str">
        <f t="shared" si="412"/>
        <v>0.000</v>
      </c>
      <c r="AA442" s="173" t="str">
        <f t="shared" si="412"/>
        <v>0.000</v>
      </c>
      <c r="AB442" s="173" t="str">
        <f t="shared" si="412"/>
        <v>0.000</v>
      </c>
      <c r="AC442" s="173" t="str">
        <f t="shared" si="412"/>
        <v>0.000</v>
      </c>
      <c r="AD442" s="173" t="str">
        <f t="shared" si="412"/>
        <v>0.000</v>
      </c>
      <c r="AE442" s="173" t="str">
        <f t="shared" si="412"/>
        <v>0.000</v>
      </c>
      <c r="AF442" s="173" t="str">
        <f t="shared" si="412"/>
        <v>0.000</v>
      </c>
      <c r="AG442" s="173" t="str">
        <f t="shared" si="412"/>
        <v>0.000</v>
      </c>
      <c r="AH442" s="173" t="str">
        <f t="shared" si="412"/>
        <v>0.000</v>
      </c>
      <c r="AI442" s="173" t="str">
        <f t="shared" si="412"/>
        <v>0.000</v>
      </c>
      <c r="AJ442" s="173" t="str">
        <f t="shared" si="412"/>
        <v>0.000</v>
      </c>
      <c r="AK442" s="173" t="str">
        <f t="shared" si="412"/>
        <v>0.000</v>
      </c>
      <c r="AL442" s="4"/>
      <c r="AM442" s="43">
        <v>426</v>
      </c>
      <c r="AN442">
        <v>61.336374946169812</v>
      </c>
      <c r="AO442">
        <v>15.79961734624322</v>
      </c>
      <c r="AP442">
        <v>99.475942055693622</v>
      </c>
      <c r="AQ442">
        <v>86.298799449174012</v>
      </c>
      <c r="AR442">
        <v>14.542153129773508</v>
      </c>
      <c r="AS442">
        <v>65.348430584055535</v>
      </c>
      <c r="AT442">
        <v>7.6453958233744617</v>
      </c>
      <c r="AU442">
        <v>33.844228567316684</v>
      </c>
      <c r="AV442"/>
      <c r="AW442"/>
      <c r="FY442" s="214">
        <v>437</v>
      </c>
      <c r="FZ442">
        <v>1.4742695110874957</v>
      </c>
      <c r="GA442">
        <v>7.0624256262707954</v>
      </c>
      <c r="GB442">
        <v>6.1764457560920665</v>
      </c>
      <c r="GC442">
        <v>2.710856470758876</v>
      </c>
      <c r="GD442">
        <v>7.2777934126128958</v>
      </c>
      <c r="GE442">
        <v>19.654688102431621</v>
      </c>
      <c r="GF442">
        <v>16.139679417530086</v>
      </c>
      <c r="GG442">
        <v>6.6583498210197964</v>
      </c>
      <c r="GH442">
        <v>4.7718208060749214</v>
      </c>
      <c r="GI442">
        <v>10.208445213778811</v>
      </c>
      <c r="GJ442"/>
      <c r="GK442"/>
      <c r="GL442"/>
      <c r="GM442"/>
    </row>
    <row r="443" spans="1:195" s="7" customFormat="1">
      <c r="A443" s="103" t="s">
        <v>98</v>
      </c>
      <c r="B443" s="48" t="s">
        <v>40</v>
      </c>
      <c r="C443" s="107">
        <f t="shared" si="408"/>
        <v>3.4938284579326182</v>
      </c>
      <c r="D443" s="191">
        <f>A$407</f>
        <v>4.03</v>
      </c>
      <c r="E443" s="8"/>
      <c r="F443" s="124"/>
      <c r="G443" s="173" t="str">
        <f t="shared" si="409"/>
        <v>0.000</v>
      </c>
      <c r="H443" s="173">
        <f t="shared" ref="H443:V443" si="413">IF(H425&lt;=0, "0.000", H425)</f>
        <v>5.4093003778006306E-2</v>
      </c>
      <c r="I443" s="173">
        <f t="shared" si="413"/>
        <v>0.75384543371960799</v>
      </c>
      <c r="J443" s="173">
        <f t="shared" si="413"/>
        <v>0.40502659443160388</v>
      </c>
      <c r="K443" s="173">
        <f t="shared" si="413"/>
        <v>0.94774576907031505</v>
      </c>
      <c r="L443" s="173">
        <f t="shared" si="413"/>
        <v>0.61146442242196453</v>
      </c>
      <c r="M443" s="173">
        <f t="shared" si="413"/>
        <v>0.72165323451112018</v>
      </c>
      <c r="N443" s="173" t="str">
        <f t="shared" si="413"/>
        <v>0.000</v>
      </c>
      <c r="O443" s="173" t="str">
        <f t="shared" si="413"/>
        <v>0.000</v>
      </c>
      <c r="P443" s="173" t="str">
        <f t="shared" si="413"/>
        <v>0.000</v>
      </c>
      <c r="Q443" s="173" t="str">
        <f t="shared" si="413"/>
        <v>0.000</v>
      </c>
      <c r="R443" s="173" t="str">
        <f t="shared" si="413"/>
        <v>0.000</v>
      </c>
      <c r="S443" s="173" t="str">
        <f t="shared" si="413"/>
        <v>0.000</v>
      </c>
      <c r="T443" s="173" t="str">
        <f t="shared" si="413"/>
        <v>0.000</v>
      </c>
      <c r="U443" s="173" t="str">
        <f t="shared" si="413"/>
        <v>0.000</v>
      </c>
      <c r="V443" s="173" t="str">
        <f t="shared" si="413"/>
        <v>0.000</v>
      </c>
      <c r="W443" s="173" t="str">
        <f t="shared" ref="W443:AK443" si="414">IF(W425&lt;=0, "0.000", W425)</f>
        <v>0.000</v>
      </c>
      <c r="X443" s="173" t="str">
        <f t="shared" si="414"/>
        <v>0.000</v>
      </c>
      <c r="Y443" s="173" t="str">
        <f t="shared" si="414"/>
        <v>0.000</v>
      </c>
      <c r="Z443" s="173" t="str">
        <f t="shared" si="414"/>
        <v>0.000</v>
      </c>
      <c r="AA443" s="173" t="str">
        <f t="shared" si="414"/>
        <v>0.000</v>
      </c>
      <c r="AB443" s="173" t="str">
        <f t="shared" si="414"/>
        <v>0.000</v>
      </c>
      <c r="AC443" s="173" t="str">
        <f t="shared" si="414"/>
        <v>0.000</v>
      </c>
      <c r="AD443" s="173" t="str">
        <f t="shared" si="414"/>
        <v>0.000</v>
      </c>
      <c r="AE443" s="173" t="str">
        <f t="shared" si="414"/>
        <v>0.000</v>
      </c>
      <c r="AF443" s="173" t="str">
        <f t="shared" si="414"/>
        <v>0.000</v>
      </c>
      <c r="AG443" s="173" t="str">
        <f t="shared" si="414"/>
        <v>0.000</v>
      </c>
      <c r="AH443" s="173" t="str">
        <f t="shared" si="414"/>
        <v>0.000</v>
      </c>
      <c r="AI443" s="173" t="str">
        <f t="shared" si="414"/>
        <v>0.000</v>
      </c>
      <c r="AJ443" s="173" t="str">
        <f t="shared" si="414"/>
        <v>0.000</v>
      </c>
      <c r="AK443" s="173" t="str">
        <f t="shared" si="414"/>
        <v>0.000</v>
      </c>
      <c r="AL443" s="4"/>
      <c r="AM443" s="43">
        <v>427</v>
      </c>
      <c r="AN443">
        <v>71.072439521369802</v>
      </c>
      <c r="AO443">
        <v>14.205428927588002</v>
      </c>
      <c r="AP443">
        <v>104.43854777435108</v>
      </c>
      <c r="AQ443">
        <v>83.570075095568185</v>
      </c>
      <c r="AR443">
        <v>13.10477817310969</v>
      </c>
      <c r="AS443">
        <v>63.915768803771392</v>
      </c>
      <c r="AT443">
        <v>7.0533007264735703</v>
      </c>
      <c r="AU443">
        <v>70.865702300715427</v>
      </c>
      <c r="AV443"/>
      <c r="AW443"/>
      <c r="FY443" s="214">
        <v>438</v>
      </c>
      <c r="FZ443">
        <v>1.014947623024367</v>
      </c>
      <c r="GA443">
        <v>5.7441308548990806</v>
      </c>
      <c r="GB443">
        <v>6.5140539851384034</v>
      </c>
      <c r="GC443">
        <v>3.0895221454155184</v>
      </c>
      <c r="GD443">
        <v>10.232399764216213</v>
      </c>
      <c r="GE443">
        <v>23.179232999849276</v>
      </c>
      <c r="GF443">
        <v>19.759088160879067</v>
      </c>
      <c r="GG443">
        <v>15.334590173420006</v>
      </c>
      <c r="GH443">
        <v>5.4441469670889902</v>
      </c>
      <c r="GI443">
        <v>12.824719442467647</v>
      </c>
      <c r="GJ443"/>
      <c r="GK443"/>
      <c r="GL443"/>
      <c r="GM443"/>
    </row>
    <row r="444" spans="1:195" s="7" customFormat="1">
      <c r="A444" s="1">
        <v>385</v>
      </c>
      <c r="B444" s="48" t="s">
        <v>41</v>
      </c>
      <c r="C444" s="107">
        <f t="shared" si="408"/>
        <v>0.59666793218222358</v>
      </c>
      <c r="D444" s="191">
        <f>A$408</f>
        <v>0.78</v>
      </c>
      <c r="E444" s="8"/>
      <c r="F444" s="124"/>
      <c r="G444" s="173" t="str">
        <f t="shared" si="409"/>
        <v>0.000</v>
      </c>
      <c r="H444" s="173">
        <f t="shared" ref="H444:V444" si="415">IF(H426&lt;=0, "0.000", H426)</f>
        <v>3.2721924278064522E-2</v>
      </c>
      <c r="I444" s="173">
        <f t="shared" si="415"/>
        <v>0.5188689476936903</v>
      </c>
      <c r="J444" s="173">
        <f t="shared" si="415"/>
        <v>4.5077060210468763E-2</v>
      </c>
      <c r="K444" s="173" t="str">
        <f t="shared" si="415"/>
        <v>0.000</v>
      </c>
      <c r="L444" s="173" t="str">
        <f t="shared" si="415"/>
        <v>0.000</v>
      </c>
      <c r="M444" s="173" t="str">
        <f t="shared" si="415"/>
        <v>0.000</v>
      </c>
      <c r="N444" s="173" t="str">
        <f t="shared" si="415"/>
        <v>0.000</v>
      </c>
      <c r="O444" s="173" t="str">
        <f t="shared" si="415"/>
        <v>0.000</v>
      </c>
      <c r="P444" s="173" t="str">
        <f t="shared" si="415"/>
        <v>0.000</v>
      </c>
      <c r="Q444" s="173" t="str">
        <f t="shared" si="415"/>
        <v>0.000</v>
      </c>
      <c r="R444" s="173" t="str">
        <f t="shared" si="415"/>
        <v>0.000</v>
      </c>
      <c r="S444" s="173" t="str">
        <f t="shared" si="415"/>
        <v>0.000</v>
      </c>
      <c r="T444" s="173" t="str">
        <f t="shared" si="415"/>
        <v>0.000</v>
      </c>
      <c r="U444" s="173" t="str">
        <f t="shared" si="415"/>
        <v>0.000</v>
      </c>
      <c r="V444" s="173" t="str">
        <f t="shared" si="415"/>
        <v>0.000</v>
      </c>
      <c r="W444" s="173" t="str">
        <f t="shared" ref="W444:AK444" si="416">IF(W426&lt;=0, "0.000", W426)</f>
        <v>0.000</v>
      </c>
      <c r="X444" s="173" t="str">
        <f t="shared" si="416"/>
        <v>0.000</v>
      </c>
      <c r="Y444" s="173" t="str">
        <f t="shared" si="416"/>
        <v>0.000</v>
      </c>
      <c r="Z444" s="173" t="str">
        <f t="shared" si="416"/>
        <v>0.000</v>
      </c>
      <c r="AA444" s="173" t="str">
        <f t="shared" si="416"/>
        <v>0.000</v>
      </c>
      <c r="AB444" s="173" t="str">
        <f t="shared" si="416"/>
        <v>0.000</v>
      </c>
      <c r="AC444" s="173" t="str">
        <f t="shared" si="416"/>
        <v>0.000</v>
      </c>
      <c r="AD444" s="173" t="str">
        <f t="shared" si="416"/>
        <v>0.000</v>
      </c>
      <c r="AE444" s="173" t="str">
        <f t="shared" si="416"/>
        <v>0.000</v>
      </c>
      <c r="AF444" s="173" t="str">
        <f t="shared" si="416"/>
        <v>0.000</v>
      </c>
      <c r="AG444" s="173" t="str">
        <f t="shared" si="416"/>
        <v>0.000</v>
      </c>
      <c r="AH444" s="173" t="str">
        <f t="shared" si="416"/>
        <v>0.000</v>
      </c>
      <c r="AI444" s="173" t="str">
        <f t="shared" si="416"/>
        <v>0.000</v>
      </c>
      <c r="AJ444" s="173" t="str">
        <f t="shared" si="416"/>
        <v>0.000</v>
      </c>
      <c r="AK444" s="173" t="str">
        <f t="shared" si="416"/>
        <v>0.000</v>
      </c>
      <c r="AL444" s="4"/>
      <c r="AM444" s="43">
        <v>428</v>
      </c>
      <c r="AN444">
        <v>92.823803526317235</v>
      </c>
      <c r="AO444">
        <v>17.817307164737468</v>
      </c>
      <c r="AP444">
        <v>75.682507972646022</v>
      </c>
      <c r="AQ444">
        <v>99.568667492726448</v>
      </c>
      <c r="AR444">
        <v>16.566846421510089</v>
      </c>
      <c r="AS444">
        <v>86.562874057368902</v>
      </c>
      <c r="AT444">
        <v>8.7644267255200123</v>
      </c>
      <c r="AU444">
        <v>3.0417542115659248</v>
      </c>
      <c r="AV444"/>
      <c r="AW444"/>
      <c r="FY444" s="214">
        <v>439</v>
      </c>
      <c r="FZ444">
        <v>0.83089342551560708</v>
      </c>
      <c r="GA444">
        <v>10.757694749311012</v>
      </c>
      <c r="GB444">
        <v>7.1606882239067371</v>
      </c>
      <c r="GC444">
        <v>1.7222911167769546</v>
      </c>
      <c r="GD444">
        <v>3.0712065831042517</v>
      </c>
      <c r="GE444">
        <v>10.149426978081157</v>
      </c>
      <c r="GF444">
        <v>10.241214937634167</v>
      </c>
      <c r="GG444">
        <v>10.180048027696694</v>
      </c>
      <c r="GH444">
        <v>10.634880986718549</v>
      </c>
      <c r="GI444">
        <v>7.3678312178911405</v>
      </c>
      <c r="GJ444"/>
      <c r="GK444"/>
      <c r="GL444"/>
      <c r="GM444"/>
    </row>
    <row r="445" spans="1:195" s="7" customFormat="1">
      <c r="A445" s="4"/>
      <c r="B445" s="48" t="s">
        <v>42</v>
      </c>
      <c r="C445" s="107">
        <f t="shared" si="408"/>
        <v>7.6221981722117764</v>
      </c>
      <c r="D445" s="191">
        <f>A$409</f>
        <v>0.14000000000000001</v>
      </c>
      <c r="E445" s="8"/>
      <c r="F445" s="124"/>
      <c r="G445" s="173" t="str">
        <f t="shared" si="409"/>
        <v>0.000</v>
      </c>
      <c r="H445" s="173">
        <f t="shared" ref="H445:V445" si="417">IF(H427&lt;=0, "0.000", H427)</f>
        <v>9.3347217572268323E-3</v>
      </c>
      <c r="I445" s="173">
        <f t="shared" si="417"/>
        <v>0.90785281155688213</v>
      </c>
      <c r="J445" s="173">
        <f t="shared" si="417"/>
        <v>5.1967155701598496E-2</v>
      </c>
      <c r="K445" s="173" t="str">
        <f t="shared" si="417"/>
        <v>0.000</v>
      </c>
      <c r="L445" s="173">
        <f t="shared" si="417"/>
        <v>0.75512417898736928</v>
      </c>
      <c r="M445" s="173">
        <f t="shared" si="417"/>
        <v>4.919024298406157</v>
      </c>
      <c r="N445" s="173">
        <f t="shared" si="417"/>
        <v>0.97889500580254285</v>
      </c>
      <c r="O445" s="173" t="str">
        <f t="shared" si="417"/>
        <v>0.000</v>
      </c>
      <c r="P445" s="173" t="str">
        <f t="shared" si="417"/>
        <v>0.000</v>
      </c>
      <c r="Q445" s="173" t="str">
        <f t="shared" si="417"/>
        <v>0.000</v>
      </c>
      <c r="R445" s="173" t="str">
        <f t="shared" si="417"/>
        <v>0.000</v>
      </c>
      <c r="S445" s="173" t="str">
        <f t="shared" si="417"/>
        <v>0.000</v>
      </c>
      <c r="T445" s="173" t="str">
        <f t="shared" si="417"/>
        <v>0.000</v>
      </c>
      <c r="U445" s="173" t="str">
        <f t="shared" si="417"/>
        <v>0.000</v>
      </c>
      <c r="V445" s="173" t="str">
        <f t="shared" si="417"/>
        <v>0.000</v>
      </c>
      <c r="W445" s="173" t="str">
        <f t="shared" ref="W445:AK445" si="418">IF(W427&lt;=0, "0.000", W427)</f>
        <v>0.000</v>
      </c>
      <c r="X445" s="173" t="str">
        <f t="shared" si="418"/>
        <v>0.000</v>
      </c>
      <c r="Y445" s="173" t="str">
        <f t="shared" si="418"/>
        <v>0.000</v>
      </c>
      <c r="Z445" s="173" t="str">
        <f t="shared" si="418"/>
        <v>0.000</v>
      </c>
      <c r="AA445" s="173" t="str">
        <f t="shared" si="418"/>
        <v>0.000</v>
      </c>
      <c r="AB445" s="173" t="str">
        <f t="shared" si="418"/>
        <v>0.000</v>
      </c>
      <c r="AC445" s="173" t="str">
        <f t="shared" si="418"/>
        <v>0.000</v>
      </c>
      <c r="AD445" s="173" t="str">
        <f t="shared" si="418"/>
        <v>0.000</v>
      </c>
      <c r="AE445" s="173" t="str">
        <f t="shared" si="418"/>
        <v>0.000</v>
      </c>
      <c r="AF445" s="173" t="str">
        <f t="shared" si="418"/>
        <v>0.000</v>
      </c>
      <c r="AG445" s="173" t="str">
        <f t="shared" si="418"/>
        <v>0.000</v>
      </c>
      <c r="AH445" s="173" t="str">
        <f t="shared" si="418"/>
        <v>0.000</v>
      </c>
      <c r="AI445" s="173" t="str">
        <f t="shared" si="418"/>
        <v>0.000</v>
      </c>
      <c r="AJ445" s="173" t="str">
        <f t="shared" si="418"/>
        <v>0.000</v>
      </c>
      <c r="AK445" s="173" t="str">
        <f t="shared" si="418"/>
        <v>0.000</v>
      </c>
      <c r="AL445" s="4"/>
      <c r="AM445" s="43">
        <v>429</v>
      </c>
      <c r="AN445">
        <v>77.975225646163082</v>
      </c>
      <c r="AO445">
        <v>15.998784069816185</v>
      </c>
      <c r="AP445">
        <v>63.204442845944719</v>
      </c>
      <c r="AQ445">
        <v>91.841684499993505</v>
      </c>
      <c r="AR445">
        <v>15.092508241134048</v>
      </c>
      <c r="AS445">
        <v>81.028726928342792</v>
      </c>
      <c r="AT445">
        <v>8.7184780556711488</v>
      </c>
      <c r="AU445">
        <v>-1.9152159350703089</v>
      </c>
      <c r="AV445"/>
      <c r="AW445"/>
      <c r="FY445" s="214">
        <v>440</v>
      </c>
      <c r="FZ445">
        <v>0.81767219753564369</v>
      </c>
      <c r="GA445">
        <v>19.778534832317941</v>
      </c>
      <c r="GB445">
        <v>10.267645091524727</v>
      </c>
      <c r="GC445">
        <v>1.2115544734521533</v>
      </c>
      <c r="GD445">
        <v>8.0867439524990026</v>
      </c>
      <c r="GE445">
        <v>24.788382974541857</v>
      </c>
      <c r="GF445">
        <v>28.301336799740216</v>
      </c>
      <c r="GG445">
        <v>17.762761407687517</v>
      </c>
      <c r="GH445">
        <v>9.3222924626638104</v>
      </c>
      <c r="GI445">
        <v>14.779266079000946</v>
      </c>
      <c r="GJ445"/>
      <c r="GK445"/>
      <c r="GL445"/>
      <c r="GM445"/>
    </row>
    <row r="446" spans="1:195" s="7" customFormat="1">
      <c r="A446" s="4"/>
      <c r="B446" s="48" t="s">
        <v>118</v>
      </c>
      <c r="C446" s="107">
        <f t="shared" si="408"/>
        <v>15.510685950452922</v>
      </c>
      <c r="D446" s="191">
        <f>A$410</f>
        <v>0.21</v>
      </c>
      <c r="E446" s="8"/>
      <c r="F446" s="124"/>
      <c r="G446" s="173" t="str">
        <f t="shared" si="409"/>
        <v>0.000</v>
      </c>
      <c r="H446" s="173">
        <f t="shared" ref="H446:V446" si="419">IF(H428&lt;=0, "0.000", H428)</f>
        <v>6.2369435642922105E-2</v>
      </c>
      <c r="I446" s="173">
        <f t="shared" si="419"/>
        <v>1.9147438651466977</v>
      </c>
      <c r="J446" s="173">
        <f t="shared" si="419"/>
        <v>3.5081473092555548E-2</v>
      </c>
      <c r="K446" s="173" t="str">
        <f t="shared" si="419"/>
        <v>0.000</v>
      </c>
      <c r="L446" s="173">
        <f t="shared" si="419"/>
        <v>1.5306380017180901</v>
      </c>
      <c r="M446" s="173">
        <f t="shared" si="419"/>
        <v>9.9793499726316774</v>
      </c>
      <c r="N446" s="173">
        <f t="shared" si="419"/>
        <v>1.9885032022209796</v>
      </c>
      <c r="O446" s="173" t="str">
        <f t="shared" si="419"/>
        <v>0.000</v>
      </c>
      <c r="P446" s="173" t="str">
        <f t="shared" si="419"/>
        <v>0.000</v>
      </c>
      <c r="Q446" s="173" t="str">
        <f t="shared" si="419"/>
        <v>0.000</v>
      </c>
      <c r="R446" s="173" t="str">
        <f t="shared" si="419"/>
        <v>0.000</v>
      </c>
      <c r="S446" s="173" t="str">
        <f t="shared" si="419"/>
        <v>0.000</v>
      </c>
      <c r="T446" s="173" t="str">
        <f t="shared" si="419"/>
        <v>0.000</v>
      </c>
      <c r="U446" s="173" t="str">
        <f t="shared" si="419"/>
        <v>0.000</v>
      </c>
      <c r="V446" s="173" t="str">
        <f t="shared" si="419"/>
        <v>0.000</v>
      </c>
      <c r="W446" s="173" t="str">
        <f t="shared" ref="W446:AK446" si="420">IF(W428&lt;=0, "0.000", W428)</f>
        <v>0.000</v>
      </c>
      <c r="X446" s="173" t="str">
        <f t="shared" si="420"/>
        <v>0.000</v>
      </c>
      <c r="Y446" s="173" t="str">
        <f t="shared" si="420"/>
        <v>0.000</v>
      </c>
      <c r="Z446" s="173" t="str">
        <f t="shared" si="420"/>
        <v>0.000</v>
      </c>
      <c r="AA446" s="173" t="str">
        <f t="shared" si="420"/>
        <v>0.000</v>
      </c>
      <c r="AB446" s="173" t="str">
        <f t="shared" si="420"/>
        <v>0.000</v>
      </c>
      <c r="AC446" s="173" t="str">
        <f t="shared" si="420"/>
        <v>0.000</v>
      </c>
      <c r="AD446" s="173" t="str">
        <f t="shared" si="420"/>
        <v>0.000</v>
      </c>
      <c r="AE446" s="173" t="str">
        <f t="shared" si="420"/>
        <v>0.000</v>
      </c>
      <c r="AF446" s="173" t="str">
        <f t="shared" si="420"/>
        <v>0.000</v>
      </c>
      <c r="AG446" s="173" t="str">
        <f t="shared" si="420"/>
        <v>0.000</v>
      </c>
      <c r="AH446" s="173" t="str">
        <f t="shared" si="420"/>
        <v>0.000</v>
      </c>
      <c r="AI446" s="173" t="str">
        <f t="shared" si="420"/>
        <v>0.000</v>
      </c>
      <c r="AJ446" s="173" t="str">
        <f t="shared" si="420"/>
        <v>0.000</v>
      </c>
      <c r="AK446" s="173" t="str">
        <f t="shared" si="420"/>
        <v>0.000</v>
      </c>
      <c r="AL446" s="4"/>
      <c r="AM446" s="43">
        <v>430</v>
      </c>
      <c r="AN446">
        <v>65.096500133646714</v>
      </c>
      <c r="AO446">
        <v>10.93896424502131</v>
      </c>
      <c r="AP446">
        <v>28.084462119564023</v>
      </c>
      <c r="AQ446">
        <v>73.133126764378417</v>
      </c>
      <c r="AR446">
        <v>10.671214615039597</v>
      </c>
      <c r="AS446">
        <v>59.435306765915435</v>
      </c>
      <c r="AT446">
        <v>6.5899229309181306</v>
      </c>
      <c r="AU446">
        <v>3.8463609685460094</v>
      </c>
      <c r="AV446"/>
      <c r="AW446"/>
      <c r="FY446" s="214">
        <v>441</v>
      </c>
      <c r="FZ446">
        <v>0.97929886309611625</v>
      </c>
      <c r="GA446">
        <v>10.897307509621685</v>
      </c>
      <c r="GB446">
        <v>10.75474724787385</v>
      </c>
      <c r="GC446">
        <v>3.9957212823180788</v>
      </c>
      <c r="GD446">
        <v>4.9902814372843434</v>
      </c>
      <c r="GE446">
        <v>15.607626788474148</v>
      </c>
      <c r="GF446">
        <v>14.141093842957838</v>
      </c>
      <c r="GG446">
        <v>5.4996041503588273</v>
      </c>
      <c r="GH446">
        <v>3.4891281113839954</v>
      </c>
      <c r="GI446">
        <v>9.0635026856152905</v>
      </c>
      <c r="GJ446"/>
      <c r="GK446"/>
      <c r="GL446"/>
      <c r="GM446"/>
    </row>
    <row r="447" spans="1:195" s="7" customFormat="1">
      <c r="A447" s="4"/>
      <c r="B447" s="48" t="s">
        <v>119</v>
      </c>
      <c r="C447" s="107">
        <f t="shared" si="408"/>
        <v>6.9369357337398592</v>
      </c>
      <c r="D447" s="191">
        <f>A$411</f>
        <v>1.28</v>
      </c>
      <c r="E447" s="8"/>
      <c r="F447" s="124"/>
      <c r="G447" s="173" t="str">
        <f t="shared" si="409"/>
        <v>0.000</v>
      </c>
      <c r="H447" s="173">
        <f t="shared" ref="H447:V447" si="421">IF(H429&lt;=0, "0.000", H429)</f>
        <v>7.3570334991410483E-2</v>
      </c>
      <c r="I447" s="173">
        <f t="shared" si="421"/>
        <v>0.46834894454840864</v>
      </c>
      <c r="J447" s="173">
        <f t="shared" si="421"/>
        <v>0.32883467906697061</v>
      </c>
      <c r="K447" s="173">
        <f t="shared" si="421"/>
        <v>2.6255308189268232</v>
      </c>
      <c r="L447" s="173" t="str">
        <f t="shared" si="421"/>
        <v>0.000</v>
      </c>
      <c r="M447" s="173" t="str">
        <f t="shared" si="421"/>
        <v>0.000</v>
      </c>
      <c r="N447" s="173" t="str">
        <f t="shared" si="421"/>
        <v>0.000</v>
      </c>
      <c r="O447" s="173" t="str">
        <f t="shared" si="421"/>
        <v>0.000</v>
      </c>
      <c r="P447" s="173">
        <f t="shared" si="421"/>
        <v>3.4406509562062464</v>
      </c>
      <c r="Q447" s="173" t="str">
        <f t="shared" si="421"/>
        <v>0.000</v>
      </c>
      <c r="R447" s="173" t="str">
        <f t="shared" si="421"/>
        <v>0.000</v>
      </c>
      <c r="S447" s="173" t="str">
        <f t="shared" si="421"/>
        <v>0.000</v>
      </c>
      <c r="T447" s="173" t="str">
        <f t="shared" si="421"/>
        <v>0.000</v>
      </c>
      <c r="U447" s="173" t="str">
        <f t="shared" si="421"/>
        <v>0.000</v>
      </c>
      <c r="V447" s="173" t="str">
        <f t="shared" si="421"/>
        <v>0.000</v>
      </c>
      <c r="W447" s="173" t="str">
        <f t="shared" ref="W447:AK447" si="422">IF(W429&lt;=0, "0.000", W429)</f>
        <v>0.000</v>
      </c>
      <c r="X447" s="173" t="str">
        <f t="shared" si="422"/>
        <v>0.000</v>
      </c>
      <c r="Y447" s="173" t="str">
        <f t="shared" si="422"/>
        <v>0.000</v>
      </c>
      <c r="Z447" s="173" t="str">
        <f t="shared" si="422"/>
        <v>0.000</v>
      </c>
      <c r="AA447" s="173" t="str">
        <f t="shared" si="422"/>
        <v>0.000</v>
      </c>
      <c r="AB447" s="173" t="str">
        <f t="shared" si="422"/>
        <v>0.000</v>
      </c>
      <c r="AC447" s="173" t="str">
        <f t="shared" si="422"/>
        <v>0.000</v>
      </c>
      <c r="AD447" s="173" t="str">
        <f t="shared" si="422"/>
        <v>0.000</v>
      </c>
      <c r="AE447" s="173" t="str">
        <f t="shared" si="422"/>
        <v>0.000</v>
      </c>
      <c r="AF447" s="173" t="str">
        <f t="shared" si="422"/>
        <v>0.000</v>
      </c>
      <c r="AG447" s="173" t="str">
        <f t="shared" si="422"/>
        <v>0.000</v>
      </c>
      <c r="AH447" s="173" t="str">
        <f t="shared" si="422"/>
        <v>0.000</v>
      </c>
      <c r="AI447" s="173" t="str">
        <f t="shared" si="422"/>
        <v>0.000</v>
      </c>
      <c r="AJ447" s="173" t="str">
        <f t="shared" si="422"/>
        <v>0.000</v>
      </c>
      <c r="AK447" s="173" t="str">
        <f t="shared" si="422"/>
        <v>0.000</v>
      </c>
      <c r="AL447" s="4"/>
      <c r="AM447" s="43">
        <v>431</v>
      </c>
      <c r="AN447">
        <v>54.222846274766198</v>
      </c>
      <c r="AO447">
        <v>12.309669466200663</v>
      </c>
      <c r="AP447">
        <v>88.553040203128674</v>
      </c>
      <c r="AQ447">
        <v>76.135364240068171</v>
      </c>
      <c r="AR447">
        <v>11.203139957599102</v>
      </c>
      <c r="AS447">
        <v>51.895695545527218</v>
      </c>
      <c r="AT447" t="e">
        <v>#DIV/0!</v>
      </c>
      <c r="AU447" t="e">
        <v>#DIV/0!</v>
      </c>
      <c r="AV447"/>
      <c r="AW447"/>
      <c r="FY447" s="214">
        <v>442</v>
      </c>
      <c r="FZ447">
        <v>0.14729638957257668</v>
      </c>
      <c r="GA447">
        <v>15.783769863992864</v>
      </c>
      <c r="GB447">
        <v>9.9565041160564007</v>
      </c>
      <c r="GC447">
        <v>1.8266042882276261</v>
      </c>
      <c r="GD447">
        <v>2.7722827726720656</v>
      </c>
      <c r="GE447">
        <v>7.6153753220812419</v>
      </c>
      <c r="GF447">
        <v>7.0357629083495636</v>
      </c>
      <c r="GG447">
        <v>9.7600923535375657</v>
      </c>
      <c r="GH447">
        <v>10.551132660435268</v>
      </c>
      <c r="GI447">
        <v>7.1508990125400125</v>
      </c>
      <c r="GJ447"/>
      <c r="GK447"/>
      <c r="GL447"/>
      <c r="GM447"/>
    </row>
    <row r="448" spans="1:195" s="7" customFormat="1">
      <c r="A448" s="4"/>
      <c r="B448" s="48" t="s">
        <v>120</v>
      </c>
      <c r="C448" s="107">
        <f t="shared" si="408"/>
        <v>11.711595582764032</v>
      </c>
      <c r="D448" s="191">
        <f>A$412</f>
        <v>4</v>
      </c>
      <c r="E448" s="8"/>
      <c r="F448" s="124"/>
      <c r="G448" s="173" t="str">
        <f t="shared" si="409"/>
        <v>0.000</v>
      </c>
      <c r="H448" s="173" t="str">
        <f t="shared" ref="H448:V448" si="423">IF(H430&lt;=0, "0.000", H430)</f>
        <v>0.000</v>
      </c>
      <c r="I448" s="173">
        <f t="shared" si="423"/>
        <v>6.3637674001684241E-2</v>
      </c>
      <c r="J448" s="173">
        <f t="shared" si="423"/>
        <v>0.28628827949606678</v>
      </c>
      <c r="K448" s="173">
        <f t="shared" si="423"/>
        <v>4.1274780893863179</v>
      </c>
      <c r="L448" s="173">
        <f t="shared" si="423"/>
        <v>1.440501684950299</v>
      </c>
      <c r="M448" s="173">
        <f t="shared" si="423"/>
        <v>1.1332578534011197</v>
      </c>
      <c r="N448" s="173">
        <f t="shared" si="423"/>
        <v>1.2237905682699182</v>
      </c>
      <c r="O448" s="173" t="str">
        <f t="shared" si="423"/>
        <v>0.000</v>
      </c>
      <c r="P448" s="173">
        <f t="shared" si="423"/>
        <v>3.4366414332586257</v>
      </c>
      <c r="Q448" s="173" t="str">
        <f t="shared" si="423"/>
        <v>0.000</v>
      </c>
      <c r="R448" s="173" t="str">
        <f t="shared" si="423"/>
        <v>0.000</v>
      </c>
      <c r="S448" s="173" t="str">
        <f t="shared" si="423"/>
        <v>0.000</v>
      </c>
      <c r="T448" s="173" t="str">
        <f t="shared" si="423"/>
        <v>0.000</v>
      </c>
      <c r="U448" s="173" t="str">
        <f t="shared" si="423"/>
        <v>0.000</v>
      </c>
      <c r="V448" s="173" t="str">
        <f t="shared" si="423"/>
        <v>0.000</v>
      </c>
      <c r="W448" s="173" t="str">
        <f t="shared" ref="W448:AK448" si="424">IF(W430&lt;=0, "0.000", W430)</f>
        <v>0.000</v>
      </c>
      <c r="X448" s="173" t="str">
        <f t="shared" si="424"/>
        <v>0.000</v>
      </c>
      <c r="Y448" s="173" t="str">
        <f t="shared" si="424"/>
        <v>0.000</v>
      </c>
      <c r="Z448" s="173" t="str">
        <f t="shared" si="424"/>
        <v>0.000</v>
      </c>
      <c r="AA448" s="173" t="str">
        <f t="shared" si="424"/>
        <v>0.000</v>
      </c>
      <c r="AB448" s="173" t="str">
        <f t="shared" si="424"/>
        <v>0.000</v>
      </c>
      <c r="AC448" s="173" t="str">
        <f t="shared" si="424"/>
        <v>0.000</v>
      </c>
      <c r="AD448" s="173" t="str">
        <f t="shared" si="424"/>
        <v>0.000</v>
      </c>
      <c r="AE448" s="173" t="str">
        <f t="shared" si="424"/>
        <v>0.000</v>
      </c>
      <c r="AF448" s="173" t="str">
        <f t="shared" si="424"/>
        <v>0.000</v>
      </c>
      <c r="AG448" s="173" t="str">
        <f t="shared" si="424"/>
        <v>0.000</v>
      </c>
      <c r="AH448" s="173" t="str">
        <f t="shared" si="424"/>
        <v>0.000</v>
      </c>
      <c r="AI448" s="173" t="str">
        <f t="shared" si="424"/>
        <v>0.000</v>
      </c>
      <c r="AJ448" s="173" t="str">
        <f t="shared" si="424"/>
        <v>0.000</v>
      </c>
      <c r="AK448" s="173" t="str">
        <f t="shared" si="424"/>
        <v>0.000</v>
      </c>
      <c r="AL448" s="4"/>
      <c r="AM448" s="43">
        <v>432</v>
      </c>
      <c r="AN448">
        <v>73.906559921920447</v>
      </c>
      <c r="AO448">
        <v>14.415089494399638</v>
      </c>
      <c r="AP448">
        <v>76.15469624872469</v>
      </c>
      <c r="AQ448">
        <v>83.964924996641514</v>
      </c>
      <c r="AR448">
        <v>13.104948868014825</v>
      </c>
      <c r="AS448">
        <v>67.41371581569156</v>
      </c>
      <c r="AT448" t="e">
        <v>#DIV/0!</v>
      </c>
      <c r="AU448" t="e">
        <v>#DIV/0!</v>
      </c>
      <c r="AV448"/>
      <c r="AW448"/>
      <c r="FY448" s="214">
        <v>443</v>
      </c>
      <c r="FZ448">
        <v>0.47610179972766264</v>
      </c>
      <c r="GA448">
        <v>6.0147225634141499</v>
      </c>
      <c r="GB448">
        <v>3.3881616771890539</v>
      </c>
      <c r="GC448">
        <v>1.1880459613617802</v>
      </c>
      <c r="GD448">
        <v>4.1790481233907721</v>
      </c>
      <c r="GE448">
        <v>11.596518322903995</v>
      </c>
      <c r="GF448">
        <v>16.541828690387625</v>
      </c>
      <c r="GG448">
        <v>11.377462306318249</v>
      </c>
      <c r="GH448">
        <v>5.833164351279815</v>
      </c>
      <c r="GI448">
        <v>7.4883568943557588</v>
      </c>
      <c r="GJ448"/>
      <c r="GK448"/>
      <c r="GL448"/>
      <c r="GM448"/>
    </row>
    <row r="449" spans="1:195" s="7" customFormat="1">
      <c r="A449" s="4"/>
      <c r="B449" s="48" t="s">
        <v>121</v>
      </c>
      <c r="C449" s="107">
        <f t="shared" si="408"/>
        <v>9.4060407889470916</v>
      </c>
      <c r="D449" s="191">
        <f>A$413</f>
        <v>7.33</v>
      </c>
      <c r="E449" s="8"/>
      <c r="F449" s="124"/>
      <c r="G449" s="173" t="str">
        <f t="shared" si="409"/>
        <v>0.000</v>
      </c>
      <c r="H449" s="173" t="str">
        <f t="shared" ref="H449:V449" si="425">IF(H431&lt;=0, "0.000", H431)</f>
        <v>0.000</v>
      </c>
      <c r="I449" s="173">
        <f t="shared" si="425"/>
        <v>8.3748326283281188E-2</v>
      </c>
      <c r="J449" s="173" t="str">
        <f t="shared" si="425"/>
        <v>0.000</v>
      </c>
      <c r="K449" s="173">
        <f t="shared" si="425"/>
        <v>2.4197083675497444</v>
      </c>
      <c r="L449" s="173">
        <f t="shared" si="425"/>
        <v>3.7078317699385774</v>
      </c>
      <c r="M449" s="173">
        <f t="shared" si="425"/>
        <v>1.5252102149033262</v>
      </c>
      <c r="N449" s="173">
        <f t="shared" si="425"/>
        <v>1.6695421102721626</v>
      </c>
      <c r="O449" s="173" t="str">
        <f t="shared" si="425"/>
        <v>0.000</v>
      </c>
      <c r="P449" s="173" t="str">
        <f t="shared" si="425"/>
        <v>0.000</v>
      </c>
      <c r="Q449" s="173" t="str">
        <f t="shared" si="425"/>
        <v>0.000</v>
      </c>
      <c r="R449" s="173" t="str">
        <f t="shared" si="425"/>
        <v>0.000</v>
      </c>
      <c r="S449" s="173" t="str">
        <f t="shared" si="425"/>
        <v>0.000</v>
      </c>
      <c r="T449" s="173" t="str">
        <f t="shared" si="425"/>
        <v>0.000</v>
      </c>
      <c r="U449" s="173" t="str">
        <f t="shared" si="425"/>
        <v>0.000</v>
      </c>
      <c r="V449" s="173" t="str">
        <f t="shared" si="425"/>
        <v>0.000</v>
      </c>
      <c r="W449" s="173" t="str">
        <f t="shared" ref="W449:AK449" si="426">IF(W431&lt;=0, "0.000", W431)</f>
        <v>0.000</v>
      </c>
      <c r="X449" s="173" t="str">
        <f t="shared" si="426"/>
        <v>0.000</v>
      </c>
      <c r="Y449" s="173" t="str">
        <f t="shared" si="426"/>
        <v>0.000</v>
      </c>
      <c r="Z449" s="173" t="str">
        <f t="shared" si="426"/>
        <v>0.000</v>
      </c>
      <c r="AA449" s="173" t="str">
        <f t="shared" si="426"/>
        <v>0.000</v>
      </c>
      <c r="AB449" s="173" t="str">
        <f t="shared" si="426"/>
        <v>0.000</v>
      </c>
      <c r="AC449" s="173" t="str">
        <f t="shared" si="426"/>
        <v>0.000</v>
      </c>
      <c r="AD449" s="173" t="str">
        <f t="shared" si="426"/>
        <v>0.000</v>
      </c>
      <c r="AE449" s="173" t="str">
        <f t="shared" si="426"/>
        <v>0.000</v>
      </c>
      <c r="AF449" s="173" t="str">
        <f t="shared" si="426"/>
        <v>0.000</v>
      </c>
      <c r="AG449" s="173" t="str">
        <f t="shared" si="426"/>
        <v>0.000</v>
      </c>
      <c r="AH449" s="173" t="str">
        <f t="shared" si="426"/>
        <v>0.000</v>
      </c>
      <c r="AI449" s="173" t="str">
        <f t="shared" si="426"/>
        <v>0.000</v>
      </c>
      <c r="AJ449" s="173" t="str">
        <f t="shared" si="426"/>
        <v>0.000</v>
      </c>
      <c r="AK449" s="173" t="str">
        <f t="shared" si="426"/>
        <v>0.000</v>
      </c>
      <c r="AL449" s="4"/>
      <c r="AM449" s="43">
        <v>433</v>
      </c>
      <c r="AN449">
        <v>74.295073929293309</v>
      </c>
      <c r="AO449">
        <v>13.766793617392443</v>
      </c>
      <c r="AP449">
        <v>63.017695853474081</v>
      </c>
      <c r="AQ449">
        <v>79.299235332691126</v>
      </c>
      <c r="AR449">
        <v>12.527476221940113</v>
      </c>
      <c r="AS449">
        <v>67.990325577726281</v>
      </c>
      <c r="AT449" t="e">
        <v>#DIV/0!</v>
      </c>
      <c r="AU449" t="e">
        <v>#DIV/0!</v>
      </c>
      <c r="AV449"/>
      <c r="AW449"/>
      <c r="FY449" s="214">
        <v>444</v>
      </c>
      <c r="FZ449">
        <v>1.310928083393079</v>
      </c>
      <c r="GA449">
        <v>3.4813722243003267</v>
      </c>
      <c r="GB449">
        <v>11.256578530379166</v>
      </c>
      <c r="GC449">
        <v>6.3468866577395735</v>
      </c>
      <c r="GD449">
        <v>4.1795379947443978</v>
      </c>
      <c r="GE449">
        <v>10.59911004606324</v>
      </c>
      <c r="GF449">
        <v>21.142166966246116</v>
      </c>
      <c r="GG449">
        <v>15.005512239142011</v>
      </c>
      <c r="GH449">
        <v>3.6587927325601464</v>
      </c>
      <c r="GI449">
        <v>10.622367590492594</v>
      </c>
      <c r="GJ449"/>
      <c r="GK449"/>
      <c r="GL449"/>
      <c r="GM449"/>
    </row>
    <row r="450" spans="1:195" s="7" customFormat="1">
      <c r="A450" s="13" t="s">
        <v>12</v>
      </c>
      <c r="B450" s="48" t="s">
        <v>122</v>
      </c>
      <c r="C450" s="107">
        <f t="shared" si="408"/>
        <v>8.7236745152287067</v>
      </c>
      <c r="D450" s="191">
        <f>A$414</f>
        <v>10.51</v>
      </c>
      <c r="E450" s="8"/>
      <c r="F450" s="124"/>
      <c r="G450" s="173" t="str">
        <f t="shared" si="409"/>
        <v>0.000</v>
      </c>
      <c r="H450" s="173">
        <f t="shared" ref="H450:V450" si="427">IF(H432&lt;=0, "0.000", H432)</f>
        <v>3.2735631115626274E-2</v>
      </c>
      <c r="I450" s="173">
        <f t="shared" si="427"/>
        <v>0.79733586618997132</v>
      </c>
      <c r="J450" s="173">
        <f t="shared" si="427"/>
        <v>0.32781917860173881</v>
      </c>
      <c r="K450" s="173">
        <f t="shared" si="427"/>
        <v>1.1413230841217021</v>
      </c>
      <c r="L450" s="173">
        <f t="shared" si="427"/>
        <v>1.1942447193369041</v>
      </c>
      <c r="M450" s="173">
        <f t="shared" si="427"/>
        <v>3.5031088331819347</v>
      </c>
      <c r="N450" s="173">
        <f t="shared" si="427"/>
        <v>0.91921683727512993</v>
      </c>
      <c r="O450" s="173" t="str">
        <f t="shared" si="427"/>
        <v>0.000</v>
      </c>
      <c r="P450" s="173">
        <f t="shared" si="427"/>
        <v>0.8078903654056987</v>
      </c>
      <c r="Q450" s="173" t="str">
        <f t="shared" si="427"/>
        <v>0.000</v>
      </c>
      <c r="R450" s="173" t="str">
        <f t="shared" si="427"/>
        <v>0.000</v>
      </c>
      <c r="S450" s="173" t="str">
        <f t="shared" si="427"/>
        <v>0.000</v>
      </c>
      <c r="T450" s="173" t="str">
        <f t="shared" si="427"/>
        <v>0.000</v>
      </c>
      <c r="U450" s="173" t="str">
        <f t="shared" si="427"/>
        <v>0.000</v>
      </c>
      <c r="V450" s="173" t="str">
        <f t="shared" si="427"/>
        <v>0.000</v>
      </c>
      <c r="W450" s="173" t="str">
        <f t="shared" ref="W450:AK450" si="428">IF(W432&lt;=0, "0.000", W432)</f>
        <v>0.000</v>
      </c>
      <c r="X450" s="173" t="str">
        <f t="shared" si="428"/>
        <v>0.000</v>
      </c>
      <c r="Y450" s="173" t="str">
        <f t="shared" si="428"/>
        <v>0.000</v>
      </c>
      <c r="Z450" s="173" t="str">
        <f t="shared" si="428"/>
        <v>0.000</v>
      </c>
      <c r="AA450" s="173" t="str">
        <f t="shared" si="428"/>
        <v>0.000</v>
      </c>
      <c r="AB450" s="173" t="str">
        <f t="shared" si="428"/>
        <v>0.000</v>
      </c>
      <c r="AC450" s="173" t="str">
        <f t="shared" si="428"/>
        <v>0.000</v>
      </c>
      <c r="AD450" s="173" t="str">
        <f t="shared" si="428"/>
        <v>0.000</v>
      </c>
      <c r="AE450" s="173" t="str">
        <f t="shared" si="428"/>
        <v>0.000</v>
      </c>
      <c r="AF450" s="173" t="str">
        <f t="shared" si="428"/>
        <v>0.000</v>
      </c>
      <c r="AG450" s="173" t="str">
        <f t="shared" si="428"/>
        <v>0.000</v>
      </c>
      <c r="AH450" s="173" t="str">
        <f t="shared" si="428"/>
        <v>0.000</v>
      </c>
      <c r="AI450" s="173" t="str">
        <f t="shared" si="428"/>
        <v>0.000</v>
      </c>
      <c r="AJ450" s="173" t="str">
        <f t="shared" si="428"/>
        <v>0.000</v>
      </c>
      <c r="AK450" s="173" t="str">
        <f t="shared" si="428"/>
        <v>0.000</v>
      </c>
      <c r="AL450" s="4"/>
      <c r="AM450" s="43">
        <v>434</v>
      </c>
      <c r="AN450">
        <v>81.620354423339194</v>
      </c>
      <c r="AO450">
        <v>16.768460573577208</v>
      </c>
      <c r="AP450">
        <v>86.529376273619434</v>
      </c>
      <c r="AQ450">
        <v>106.18721610700247</v>
      </c>
      <c r="AR450">
        <v>15.625880872417444</v>
      </c>
      <c r="AS450">
        <v>79.54257088762941</v>
      </c>
      <c r="AT450">
        <v>8.9832580825597113</v>
      </c>
      <c r="AU450">
        <v>44.851338615098967</v>
      </c>
      <c r="AV450"/>
      <c r="AW450"/>
      <c r="FY450" s="214">
        <v>445</v>
      </c>
      <c r="FZ450">
        <v>0.67365585843201192</v>
      </c>
      <c r="GA450">
        <v>4.357527548389327</v>
      </c>
      <c r="GB450">
        <v>6.1570656819800345</v>
      </c>
      <c r="GC450">
        <v>2.7700159241513331</v>
      </c>
      <c r="GD450">
        <v>3.6895710377971827</v>
      </c>
      <c r="GE450">
        <v>14.224840083950928</v>
      </c>
      <c r="GF450">
        <v>21.908421969417176</v>
      </c>
      <c r="GG450">
        <v>17.284929244713776</v>
      </c>
      <c r="GH450">
        <v>10.551132660435268</v>
      </c>
      <c r="GI450">
        <v>9.8581374087775533</v>
      </c>
      <c r="GJ450"/>
      <c r="GK450"/>
      <c r="GL450"/>
      <c r="GM450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74.28499889047923</v>
      </c>
      <c r="AO451">
        <v>17.450097704584049</v>
      </c>
      <c r="AP451">
        <v>91.676099372860477</v>
      </c>
      <c r="AQ451">
        <v>102.75642562113102</v>
      </c>
      <c r="AR451">
        <v>15.864369295833987</v>
      </c>
      <c r="AS451">
        <v>76.541542391481968</v>
      </c>
      <c r="AT451" t="e">
        <v>#DIV/0!</v>
      </c>
      <c r="AU451" t="e">
        <v>#DIV/0!</v>
      </c>
      <c r="AV451"/>
      <c r="AW451"/>
      <c r="FY451" s="214">
        <v>446</v>
      </c>
      <c r="FZ451">
        <v>0.92220245981082782</v>
      </c>
      <c r="GA451">
        <v>2.082257697520649</v>
      </c>
      <c r="GB451">
        <v>1.3051435659700288</v>
      </c>
      <c r="GC451">
        <v>0.92441049616072812</v>
      </c>
      <c r="GD451">
        <v>4.659096399209484</v>
      </c>
      <c r="GE451">
        <v>11.169236815225991</v>
      </c>
      <c r="GF451">
        <v>14.353841507785276</v>
      </c>
      <c r="GG451">
        <v>12.106250485000105</v>
      </c>
      <c r="GH451">
        <v>5.2766503145224277</v>
      </c>
      <c r="GI451">
        <v>7.0086414432688331</v>
      </c>
      <c r="GJ451"/>
      <c r="GK451"/>
      <c r="GL451"/>
      <c r="GM451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93.261466337518613</v>
      </c>
      <c r="AO452">
        <v>21.124815713293096</v>
      </c>
      <c r="AP452">
        <v>131.30336983585491</v>
      </c>
      <c r="AQ452">
        <v>107.89813751498414</v>
      </c>
      <c r="AR452">
        <v>19.383886664212788</v>
      </c>
      <c r="AS452">
        <v>93.649473222966947</v>
      </c>
      <c r="AT452">
        <v>9.8218982769220791</v>
      </c>
      <c r="AU452">
        <v>18.539120135191006</v>
      </c>
      <c r="AV452"/>
      <c r="AW452"/>
      <c r="FY452" s="214">
        <v>447</v>
      </c>
      <c r="FZ452">
        <v>0.93186500410622031</v>
      </c>
      <c r="GA452">
        <v>2.0875955147026639</v>
      </c>
      <c r="GB452">
        <v>4.0553215094016535</v>
      </c>
      <c r="GC452">
        <v>2.7956910467308846</v>
      </c>
      <c r="GD452">
        <v>0.68220941665214885</v>
      </c>
      <c r="GE452">
        <v>0.7907244160882283</v>
      </c>
      <c r="GF452">
        <v>2.2121557652225121</v>
      </c>
      <c r="GG452">
        <v>3.5255175780089232</v>
      </c>
      <c r="GH452">
        <v>5.3603986408057089</v>
      </c>
      <c r="GI452">
        <v>2.7980210463346542</v>
      </c>
      <c r="GJ452"/>
      <c r="GK452"/>
      <c r="GL452"/>
      <c r="GM452"/>
    </row>
    <row r="453" spans="1:195" s="7" customFormat="1">
      <c r="A453" s="1">
        <v>1.0721E-2</v>
      </c>
      <c r="B453" s="52" t="s">
        <v>53</v>
      </c>
      <c r="C453" s="53">
        <f>SUM(C441:C452)</f>
        <v>72.005962691590923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70.918751056236232</v>
      </c>
      <c r="AO453">
        <v>15.409453795755372</v>
      </c>
      <c r="AP453">
        <v>82.625354549142287</v>
      </c>
      <c r="AQ453">
        <v>82.134774137657374</v>
      </c>
      <c r="AR453">
        <v>14.390098110382437</v>
      </c>
      <c r="AS453">
        <v>70.181649730955996</v>
      </c>
      <c r="AT453">
        <v>7.5625646084383726</v>
      </c>
      <c r="AU453">
        <v>21.681570324541141</v>
      </c>
      <c r="AV453"/>
      <c r="AW453"/>
      <c r="FY453" s="214">
        <v>448</v>
      </c>
      <c r="FZ453">
        <v>0.46926306557414704</v>
      </c>
      <c r="GA453">
        <v>16.650034480959018</v>
      </c>
      <c r="GB453">
        <v>12.590472789696841</v>
      </c>
      <c r="GC453">
        <v>3.1635051011494344</v>
      </c>
      <c r="GD453">
        <v>7.2641888011225335</v>
      </c>
      <c r="GE453">
        <v>13.936265245330647</v>
      </c>
      <c r="GF453">
        <v>13.003733128529726</v>
      </c>
      <c r="GG453">
        <v>13.304791972417586</v>
      </c>
      <c r="GH453">
        <v>3.5728764376672766</v>
      </c>
      <c r="GI453">
        <v>10.661857731171459</v>
      </c>
      <c r="GJ453"/>
      <c r="GK453"/>
      <c r="GL453"/>
      <c r="GM453"/>
    </row>
    <row r="454" spans="1:195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82.924532343048867</v>
      </c>
      <c r="AO454">
        <v>19.615683399116641</v>
      </c>
      <c r="AP454">
        <v>122.14210914047044</v>
      </c>
      <c r="AQ454">
        <v>103.13683211639858</v>
      </c>
      <c r="AR454">
        <v>18.023191329044813</v>
      </c>
      <c r="AS454">
        <v>88.903262310829845</v>
      </c>
      <c r="AT454">
        <v>9.9324110733093729</v>
      </c>
      <c r="AU454">
        <v>22.773162095988873</v>
      </c>
      <c r="AV454"/>
      <c r="AW454"/>
      <c r="FY454" s="214">
        <v>449</v>
      </c>
      <c r="FZ454">
        <v>0.94152754840161279</v>
      </c>
      <c r="GA454">
        <v>4.4242199740014456</v>
      </c>
      <c r="GB454">
        <v>4.5591193401666352</v>
      </c>
      <c r="GC454">
        <v>2.0979702824484026</v>
      </c>
      <c r="GD454">
        <v>4.8735762280375861</v>
      </c>
      <c r="GE454">
        <v>13.736216933342492</v>
      </c>
      <c r="GF454">
        <v>14.012783658095019</v>
      </c>
      <c r="GG454">
        <v>7.0592784668564867</v>
      </c>
      <c r="GH454">
        <v>1.7532904365554438</v>
      </c>
      <c r="GI454">
        <v>7.1823641711762045</v>
      </c>
      <c r="GJ454"/>
      <c r="GK454"/>
      <c r="GL454"/>
      <c r="GM454"/>
    </row>
    <row r="455" spans="1:195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19"/>
      <c r="P455" s="219"/>
      <c r="Q455" s="219"/>
      <c r="R455" s="219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63.187836010425677</v>
      </c>
      <c r="AO455">
        <v>11.187415853274295</v>
      </c>
      <c r="AP455">
        <v>28.880204490164836</v>
      </c>
      <c r="AQ455">
        <v>72.116176246636272</v>
      </c>
      <c r="AR455">
        <v>10.195440752355447</v>
      </c>
      <c r="AS455">
        <v>55.633579901011096</v>
      </c>
      <c r="AT455" t="e">
        <v>#DIV/0!</v>
      </c>
      <c r="AU455" t="e">
        <v>#DIV/0!</v>
      </c>
      <c r="AV455"/>
      <c r="AW455"/>
      <c r="FY455" s="214">
        <v>450</v>
      </c>
      <c r="FZ455">
        <v>0.29103409546058256</v>
      </c>
      <c r="GA455">
        <v>10.48599698003418</v>
      </c>
      <c r="GB455">
        <v>7.9038383161555812</v>
      </c>
      <c r="GC455">
        <v>2.0104182285512264</v>
      </c>
      <c r="GD455">
        <v>7.945667443506486</v>
      </c>
      <c r="GE455">
        <v>20.42961068517824</v>
      </c>
      <c r="GF455">
        <v>15.244273425884447</v>
      </c>
      <c r="GG455">
        <v>9.2721973143711232</v>
      </c>
      <c r="GH455">
        <v>5.2766503145224277</v>
      </c>
      <c r="GI455">
        <v>10.784446846086816</v>
      </c>
      <c r="GJ455"/>
      <c r="GK455"/>
      <c r="GL455"/>
      <c r="GM455"/>
    </row>
    <row r="456" spans="1:195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108.82346845812522</v>
      </c>
      <c r="AO456">
        <v>22.712967863403424</v>
      </c>
      <c r="AP456">
        <v>119.49256490864583</v>
      </c>
      <c r="AQ456">
        <v>135.11619027096381</v>
      </c>
      <c r="AR456">
        <v>20.83922653332068</v>
      </c>
      <c r="AS456">
        <v>106.21361185147551</v>
      </c>
      <c r="AT456">
        <v>11.602908676098325</v>
      </c>
      <c r="AU456">
        <v>44.614107996683472</v>
      </c>
      <c r="AV456"/>
      <c r="AW456"/>
      <c r="FY456" s="214">
        <v>451</v>
      </c>
      <c r="FZ456">
        <v>0.80445096955568063</v>
      </c>
      <c r="GA456">
        <v>8.4820705501857212</v>
      </c>
      <c r="GB456">
        <v>7.945657282067276</v>
      </c>
      <c r="GC456">
        <v>2.888536238912887</v>
      </c>
      <c r="GD456">
        <v>0.79763585138234916</v>
      </c>
      <c r="GE456">
        <v>7.4650566259301234</v>
      </c>
      <c r="GF456">
        <v>17.082569536411484</v>
      </c>
      <c r="GG456">
        <v>7.6164131368055621</v>
      </c>
      <c r="GH456">
        <v>5.9685972058729773</v>
      </c>
      <c r="GI456">
        <v>6.8941430760730542</v>
      </c>
      <c r="GJ456"/>
      <c r="GK456"/>
      <c r="GL456"/>
      <c r="GM456"/>
    </row>
    <row r="457" spans="1:195" s="7" customFormat="1">
      <c r="A457" s="1">
        <v>1.9354999999999999E-3</v>
      </c>
      <c r="B457" s="4"/>
      <c r="C457" s="100">
        <v>0.5</v>
      </c>
      <c r="D457" s="101">
        <f>SUM($E$228:$E$347)/$A$438</f>
        <v>0</v>
      </c>
      <c r="E457" s="97">
        <f>+G36</f>
        <v>1.0628342212155094E-3</v>
      </c>
      <c r="F457" s="102">
        <f>+D457-D459</f>
        <v>-6.4583333333333339</v>
      </c>
      <c r="G457" s="101">
        <f>+D457*E457</f>
        <v>0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89.050063658392077</v>
      </c>
      <c r="AO457">
        <v>13.798706946718591</v>
      </c>
      <c r="AP457">
        <v>61.565039005930366</v>
      </c>
      <c r="AQ457">
        <v>79.418311918984173</v>
      </c>
      <c r="AR457">
        <v>12.556810394433578</v>
      </c>
      <c r="AS457">
        <v>70.554023108230751</v>
      </c>
      <c r="AT457" t="e">
        <v>#DIV/0!</v>
      </c>
      <c r="AU457" t="e">
        <v>#DIV/0!</v>
      </c>
      <c r="AV457"/>
      <c r="AW457"/>
      <c r="FY457" s="214">
        <v>452</v>
      </c>
      <c r="FZ457">
        <v>0.59695573334031282</v>
      </c>
      <c r="GA457">
        <v>12.971454291242038</v>
      </c>
      <c r="GB457">
        <v>7.0400037237416306</v>
      </c>
      <c r="GC457">
        <v>1.009665531740614</v>
      </c>
      <c r="GD457">
        <v>3.8603049648455419</v>
      </c>
      <c r="GE457">
        <v>8.5274323996044874</v>
      </c>
      <c r="GF457">
        <v>17.247370017671997</v>
      </c>
      <c r="GG457">
        <v>17.23108265380769</v>
      </c>
      <c r="GH457">
        <v>4.6021561848987709</v>
      </c>
      <c r="GI457">
        <v>8.5002916208683228</v>
      </c>
      <c r="GJ457"/>
      <c r="GK457"/>
      <c r="GL457"/>
      <c r="GM457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2.6887145266583532E-3</v>
      </c>
      <c r="I458" s="101">
        <f>+H458*F457</f>
        <v>-1.7364614651335198E-2</v>
      </c>
      <c r="J458" s="101">
        <f>+I458*$A$440</f>
        <v>-0.15628153186201679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68.094970304834732</v>
      </c>
      <c r="AO458">
        <v>10.857429605486441</v>
      </c>
      <c r="AP458">
        <v>34.396594583149628</v>
      </c>
      <c r="AQ458">
        <v>72.599719687465182</v>
      </c>
      <c r="AR458">
        <v>9.8707126053664638</v>
      </c>
      <c r="AS458">
        <v>59.639123344829912</v>
      </c>
      <c r="AT458" t="e">
        <v>#DIV/0!</v>
      </c>
      <c r="AU458" t="e">
        <v>#DIV/0!</v>
      </c>
      <c r="AV458"/>
      <c r="AW458"/>
      <c r="FY458" s="214">
        <v>453</v>
      </c>
      <c r="FZ458">
        <v>0.98568135692256376</v>
      </c>
      <c r="GA458">
        <v>23.777161824614932</v>
      </c>
      <c r="GB458">
        <v>14.176104180000568</v>
      </c>
      <c r="GC458">
        <v>1.9834705683297282</v>
      </c>
      <c r="GD458">
        <v>1.5169662944369584</v>
      </c>
      <c r="GE458">
        <v>10.393731520847579</v>
      </c>
      <c r="GF458">
        <v>24.452302371123508</v>
      </c>
      <c r="GG458">
        <v>13.910534030817931</v>
      </c>
      <c r="GH458">
        <v>5.833164351279815</v>
      </c>
      <c r="GI458">
        <v>10.426920832731488</v>
      </c>
      <c r="GJ458"/>
      <c r="GK458"/>
      <c r="GL458"/>
      <c r="GM458"/>
    </row>
    <row r="459" spans="1:195" s="7" customFormat="1">
      <c r="A459" s="4"/>
      <c r="B459" s="4"/>
      <c r="C459" s="63">
        <v>1</v>
      </c>
      <c r="D459" s="101">
        <f>SUM($F$228:$F$347)/$A$438</f>
        <v>6.4583333333333339</v>
      </c>
      <c r="E459" s="97">
        <f>+H36</f>
        <v>6.8018000000000002E-3</v>
      </c>
      <c r="F459" s="102">
        <f>+D459-D461</f>
        <v>-18.176766865716985</v>
      </c>
      <c r="G459" s="101">
        <f>+D459*E459</f>
        <v>4.3928291666666675E-2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61.153148878810626</v>
      </c>
      <c r="AO459">
        <v>11.232803679670202</v>
      </c>
      <c r="AP459">
        <v>55.94040323597423</v>
      </c>
      <c r="AQ459">
        <v>68.083410690328861</v>
      </c>
      <c r="AR459">
        <v>10.390826396904098</v>
      </c>
      <c r="AS459">
        <v>58.473427839934999</v>
      </c>
      <c r="AT459">
        <v>6.5061646130709212</v>
      </c>
      <c r="AU459">
        <v>21.922138963261631</v>
      </c>
      <c r="AV459"/>
      <c r="AW459"/>
      <c r="FY459" s="214">
        <v>454</v>
      </c>
      <c r="FZ459">
        <v>2.0615627001324164</v>
      </c>
      <c r="GA459">
        <v>6.6773961835561053</v>
      </c>
      <c r="GB459">
        <v>5.7933601472066947</v>
      </c>
      <c r="GC459">
        <v>2.0109017304708656</v>
      </c>
      <c r="GD459">
        <v>6.6348526530732341</v>
      </c>
      <c r="GE459">
        <v>21.661584891318022</v>
      </c>
      <c r="GF459">
        <v>22.598319220803347</v>
      </c>
      <c r="GG459">
        <v>14.510761065492673</v>
      </c>
      <c r="GH459">
        <v>9.962554825704478</v>
      </c>
      <c r="GI459">
        <v>11.839181397030794</v>
      </c>
      <c r="GJ459"/>
      <c r="GK459"/>
      <c r="GL459"/>
      <c r="GM459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1.7206915342366017E-2</v>
      </c>
      <c r="I460" s="101">
        <f>+H460*F459</f>
        <v>-0.31276608865631583</v>
      </c>
      <c r="J460" s="101">
        <f>+I460*$A$440</f>
        <v>-2.8148947979068426</v>
      </c>
      <c r="K460" s="61">
        <f>IF(AND(J460&lt;0, J458&lt;0), 0, J460)</f>
        <v>0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60.170354194234186</v>
      </c>
      <c r="AO460">
        <v>16.3431226077887</v>
      </c>
      <c r="AP460">
        <v>97.514394472804781</v>
      </c>
      <c r="AQ460">
        <v>87.603253065060642</v>
      </c>
      <c r="AR460">
        <v>15.238887939503648</v>
      </c>
      <c r="AS460">
        <v>69.699782624185858</v>
      </c>
      <c r="AT460">
        <v>8.2520502510720295</v>
      </c>
      <c r="AU460">
        <v>11.66244423830608</v>
      </c>
      <c r="AV460"/>
      <c r="AW460"/>
      <c r="FY460" s="214">
        <v>455</v>
      </c>
      <c r="FZ460">
        <v>7.1173673691416611E-3</v>
      </c>
      <c r="GA460">
        <v>9.798622052872954</v>
      </c>
      <c r="GB460">
        <v>6.8685625547796629</v>
      </c>
      <c r="GC460">
        <v>1.834701122275372</v>
      </c>
      <c r="GD460">
        <v>7.245000625755635</v>
      </c>
      <c r="GE460">
        <v>15.462287387046786</v>
      </c>
      <c r="GF460">
        <v>15.919343674037409</v>
      </c>
      <c r="GG460">
        <v>14.271632849433404</v>
      </c>
      <c r="GH460">
        <v>8.9354430470825736</v>
      </c>
      <c r="GI460">
        <v>10.727576510134293</v>
      </c>
      <c r="GJ460"/>
      <c r="GK460"/>
      <c r="GL460"/>
      <c r="GM460"/>
    </row>
    <row r="461" spans="1:195" s="7" customFormat="1">
      <c r="A461" s="4"/>
      <c r="B461" s="4"/>
      <c r="C461" s="63">
        <v>2</v>
      </c>
      <c r="D461" s="101">
        <f>SUM($G$228:$G$347)/$A$438</f>
        <v>24.635100199050317</v>
      </c>
      <c r="E461" s="97">
        <f>+I36</f>
        <v>4.3529350407149732E-2</v>
      </c>
      <c r="F461" s="102">
        <f>+D461-D463</f>
        <v>21.197600199050317</v>
      </c>
      <c r="G461" s="101">
        <f>+D461*E461</f>
        <v>1.0723499088797053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71.184954319740285</v>
      </c>
      <c r="AO461">
        <v>15.241411907749821</v>
      </c>
      <c r="AP461">
        <v>66.994985088583164</v>
      </c>
      <c r="AQ461">
        <v>91.47529741804459</v>
      </c>
      <c r="AR461">
        <v>13.856151061969531</v>
      </c>
      <c r="AS461">
        <v>75.443906102169294</v>
      </c>
      <c r="AT461" t="e">
        <v>#DIV/0!</v>
      </c>
      <c r="AU461" t="e">
        <v>#DIV/0!</v>
      </c>
      <c r="AV461"/>
      <c r="AW461"/>
      <c r="FY461" s="214">
        <v>456</v>
      </c>
      <c r="FZ461">
        <v>0.8016271594138038</v>
      </c>
      <c r="GA461">
        <v>12.413434221570204</v>
      </c>
      <c r="GB461">
        <v>7.8906516359484318</v>
      </c>
      <c r="GC461">
        <v>1.6241336961566646</v>
      </c>
      <c r="GD461">
        <v>1.2263125235576451</v>
      </c>
      <c r="GE461">
        <v>2.7936374908354638</v>
      </c>
      <c r="GF461">
        <v>7.9526664459229126</v>
      </c>
      <c r="GG461">
        <v>8.50555144683719</v>
      </c>
      <c r="GH461">
        <v>4.1293904744246639</v>
      </c>
      <c r="GI461">
        <v>4.8998968581201829</v>
      </c>
      <c r="GJ461"/>
      <c r="GK461"/>
      <c r="GL461"/>
      <c r="GM461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7.4914930691464751E-2</v>
      </c>
      <c r="I462" s="101">
        <f>+H462*F461</f>
        <v>1.5880167497372339</v>
      </c>
      <c r="J462" s="101">
        <f>+I462*$A$440</f>
        <v>14.292150747635105</v>
      </c>
      <c r="K462" s="61">
        <f>IF(AND(J462&lt;0, J460&lt;0), 0, J462)</f>
        <v>14.292150747635105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55.263631376166288</v>
      </c>
      <c r="AO462">
        <v>10.670527382624579</v>
      </c>
      <c r="AP462">
        <v>72.913007524046009</v>
      </c>
      <c r="AQ462">
        <v>59.807731184474349</v>
      </c>
      <c r="AR462">
        <v>9.8915533689762736</v>
      </c>
      <c r="AS462">
        <v>48.808043061317349</v>
      </c>
      <c r="AT462">
        <v>5.632648749766215</v>
      </c>
      <c r="AU462">
        <v>13.634715631610973</v>
      </c>
      <c r="AV462"/>
      <c r="AW462"/>
      <c r="FY462" s="214">
        <v>457</v>
      </c>
      <c r="FZ462">
        <v>0.20467142607349098</v>
      </c>
      <c r="GA462">
        <v>22.095158979177494</v>
      </c>
      <c r="GB462">
        <v>13.176501639035418</v>
      </c>
      <c r="GC462">
        <v>1.5774032726237111</v>
      </c>
      <c r="GD462">
        <v>6.8311511085222723</v>
      </c>
      <c r="GE462">
        <v>17.078103541519202</v>
      </c>
      <c r="GF462">
        <v>17.85369962020355</v>
      </c>
      <c r="GG462">
        <v>17.893113144616947</v>
      </c>
      <c r="GH462">
        <v>9.20431236979754</v>
      </c>
      <c r="GI462">
        <v>12.675418688490165</v>
      </c>
      <c r="GJ462"/>
      <c r="GK462"/>
      <c r="GL462"/>
      <c r="GM462"/>
    </row>
    <row r="463" spans="1:195" s="7" customFormat="1">
      <c r="A463" s="4"/>
      <c r="B463" s="4"/>
      <c r="C463" s="63">
        <v>3</v>
      </c>
      <c r="D463" s="101">
        <f>SUM($H$228:$H$347)/$A$438</f>
        <v>3.4375000000000004</v>
      </c>
      <c r="E463" s="97">
        <f>+J36</f>
        <v>0.12893017672014584</v>
      </c>
      <c r="F463" s="102">
        <f>+D463-D465</f>
        <v>-2.1527777777777781</v>
      </c>
      <c r="G463" s="101">
        <f>+D463*E463</f>
        <v>0.44319748247550139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30.60156645274775</v>
      </c>
      <c r="AO463">
        <v>4.0199027961553586</v>
      </c>
      <c r="AP463">
        <v>27.543575891174722</v>
      </c>
      <c r="AQ463">
        <v>25.239499938053598</v>
      </c>
      <c r="AR463">
        <v>3.8455310176406203</v>
      </c>
      <c r="AS463">
        <v>21.035205089379811</v>
      </c>
      <c r="AT463" t="e">
        <v>#DIV/0!</v>
      </c>
      <c r="AU463" t="e">
        <v>#DIV/0!</v>
      </c>
      <c r="AV463"/>
      <c r="AW463"/>
      <c r="FY463" s="214">
        <v>458</v>
      </c>
      <c r="FZ463">
        <v>1.099043748700834</v>
      </c>
      <c r="GA463">
        <v>16.959675661399281</v>
      </c>
      <c r="GB463">
        <v>16.67023003509636</v>
      </c>
      <c r="GC463">
        <v>5.2631634198460748</v>
      </c>
      <c r="GD463">
        <v>0.77676277915594572</v>
      </c>
      <c r="GE463">
        <v>2.2815484989999208</v>
      </c>
      <c r="GF463">
        <v>11.715341761867913</v>
      </c>
      <c r="GG463">
        <v>13.959686736321334</v>
      </c>
      <c r="GH463">
        <v>11.193562992085525</v>
      </c>
      <c r="GI463">
        <v>8.8949501120023697</v>
      </c>
      <c r="GJ463"/>
      <c r="GK463"/>
      <c r="GL463"/>
      <c r="GM463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0.18951672649699369</v>
      </c>
      <c r="I464" s="101">
        <f>+H464*F463</f>
        <v>-0.40798739731991707</v>
      </c>
      <c r="J464" s="101">
        <f>+I464*$A$440</f>
        <v>-3.6718865758792534</v>
      </c>
      <c r="K464" s="61">
        <f>IF(AND(J464&lt;0, J462&lt;0), 0, J464)</f>
        <v>-3.6718865758792534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82.346797724475365</v>
      </c>
      <c r="AO464">
        <v>16.23049672819463</v>
      </c>
      <c r="AP464">
        <v>93.22183572895851</v>
      </c>
      <c r="AQ464">
        <v>94.616988753618671</v>
      </c>
      <c r="AR464">
        <v>14.791624916745157</v>
      </c>
      <c r="AS464">
        <v>77.566300395957512</v>
      </c>
      <c r="AT464" t="e">
        <v>#DIV/0!</v>
      </c>
      <c r="AU464" t="e">
        <v>#DIV/0!</v>
      </c>
      <c r="AV464"/>
      <c r="AW464"/>
      <c r="FY464" s="214">
        <v>459</v>
      </c>
      <c r="FZ464">
        <v>0.54313938052396937</v>
      </c>
      <c r="GA464">
        <v>11.015775237556156</v>
      </c>
      <c r="GB464">
        <v>13.124529227874039</v>
      </c>
      <c r="GC464">
        <v>4.5084494457677682</v>
      </c>
      <c r="GD464">
        <v>4.7326253004676646</v>
      </c>
      <c r="GE464">
        <v>14.167121478528939</v>
      </c>
      <c r="GF464">
        <v>21.551837092058811</v>
      </c>
      <c r="GG464">
        <v>18.842662955369939</v>
      </c>
      <c r="GH464">
        <v>11.750077028842911</v>
      </c>
      <c r="GI464">
        <v>12.491937676326039</v>
      </c>
      <c r="GJ464"/>
      <c r="GK464"/>
      <c r="GL464"/>
      <c r="GM464"/>
    </row>
    <row r="465" spans="1:195" s="7" customFormat="1">
      <c r="A465" s="4"/>
      <c r="B465" s="4"/>
      <c r="C465" s="63">
        <v>4</v>
      </c>
      <c r="D465" s="101">
        <f>SUM($I$228:$I$347)/$A$438</f>
        <v>5.5902777777777786</v>
      </c>
      <c r="E465" s="97">
        <f>+K36</f>
        <v>0.27857395790355882</v>
      </c>
      <c r="F465" s="102">
        <f>+D465-D467</f>
        <v>2.3262235695746352</v>
      </c>
      <c r="G465" s="101">
        <f>+D465*E465</f>
        <v>1.5573058063358673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55.493413720588592</v>
      </c>
      <c r="AO465">
        <v>11.008631756190784</v>
      </c>
      <c r="AP465">
        <v>52.776874900528334</v>
      </c>
      <c r="AQ465">
        <v>60.640347039081334</v>
      </c>
      <c r="AR465">
        <v>10.00816910600677</v>
      </c>
      <c r="AS465">
        <v>52.01475815377956</v>
      </c>
      <c r="AT465" t="e">
        <v>#DIV/0!</v>
      </c>
      <c r="AU465" t="e">
        <v>#DIV/0!</v>
      </c>
      <c r="AV465"/>
      <c r="AW465"/>
      <c r="FY465" s="214">
        <v>460</v>
      </c>
      <c r="FZ465">
        <v>0.33236409383965676</v>
      </c>
      <c r="GA465">
        <v>4.0400423493367077</v>
      </c>
      <c r="GB465">
        <v>4.4623892402376582</v>
      </c>
      <c r="GC465">
        <v>2.1474066912470198</v>
      </c>
      <c r="GD465">
        <v>7.0254179129076872</v>
      </c>
      <c r="GE465">
        <v>16.668765707039825</v>
      </c>
      <c r="GF465">
        <v>26.196833511618024</v>
      </c>
      <c r="GG465">
        <v>18.916202332901321</v>
      </c>
      <c r="GH465">
        <v>3.5750444062768651</v>
      </c>
      <c r="GI465">
        <v>11.284664183939897</v>
      </c>
      <c r="GJ465"/>
      <c r="GK465"/>
      <c r="GL465"/>
      <c r="GM46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0.37558048808332556</v>
      </c>
      <c r="I466" s="101">
        <f>+H466*F465</f>
        <v>0.87368418365177736</v>
      </c>
      <c r="J466" s="101">
        <f>+I466*$A$440</f>
        <v>7.8631576528659961</v>
      </c>
      <c r="K466" s="61">
        <f>IF(AND(J466&lt;0, J464&lt;0), 0, J466)</f>
        <v>7.8631576528659961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77.160566262653617</v>
      </c>
      <c r="AO466">
        <v>16.49602387468412</v>
      </c>
      <c r="AP466">
        <v>94.763458709637263</v>
      </c>
      <c r="AQ466">
        <v>89.644133649751126</v>
      </c>
      <c r="AR466">
        <v>15.175249973810692</v>
      </c>
      <c r="AS466">
        <v>73.255838489465248</v>
      </c>
      <c r="AT466">
        <v>8.0697335925910796</v>
      </c>
      <c r="AU466">
        <v>16.095513675403833</v>
      </c>
      <c r="AV466"/>
      <c r="AW466"/>
      <c r="FY466" s="214">
        <v>461</v>
      </c>
      <c r="FZ466">
        <v>1.7032123906599006</v>
      </c>
      <c r="GA466">
        <v>11.183917535935542</v>
      </c>
      <c r="GB466">
        <v>8.2326728720909408</v>
      </c>
      <c r="GC466">
        <v>2.5731705741180013</v>
      </c>
      <c r="GD466">
        <v>4.0035647093690363</v>
      </c>
      <c r="GE466">
        <v>10.213811763282974</v>
      </c>
      <c r="GF466">
        <v>12.704237099940093</v>
      </c>
      <c r="GG466">
        <v>9.9339855379283506</v>
      </c>
      <c r="GH466">
        <v>5.3603986408057089</v>
      </c>
      <c r="GI466">
        <v>8.135596363466826</v>
      </c>
      <c r="GJ466"/>
      <c r="GK466"/>
      <c r="GL466"/>
      <c r="GM466"/>
    </row>
    <row r="467" spans="1:195" s="7" customFormat="1">
      <c r="A467" s="4"/>
      <c r="B467" s="4"/>
      <c r="C467" s="63">
        <v>5</v>
      </c>
      <c r="D467" s="101">
        <f>SUM($J$228:$J$347)/$A$438</f>
        <v>3.2640542082031434</v>
      </c>
      <c r="E467" s="97">
        <f>L36</f>
        <v>0.50636715682427036</v>
      </c>
      <c r="F467" s="102">
        <f>+D467-D469</f>
        <v>-2.7317208500719152</v>
      </c>
      <c r="G467" s="101">
        <f>+D467*E467</f>
        <v>1.6528098491281207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62.199957307404603</v>
      </c>
      <c r="AO467">
        <v>10.289369418452619</v>
      </c>
      <c r="AP467">
        <v>48.460453140446816</v>
      </c>
      <c r="AQ467">
        <v>65.945130473197111</v>
      </c>
      <c r="AR467">
        <v>9.7110573551223354</v>
      </c>
      <c r="AS467">
        <v>53.253951890315456</v>
      </c>
      <c r="AT467" t="e">
        <v>#DIV/0!</v>
      </c>
      <c r="AU467" t="e">
        <v>#DIV/0!</v>
      </c>
      <c r="AV467"/>
      <c r="AW467"/>
      <c r="FY467" s="214">
        <v>462</v>
      </c>
      <c r="FZ467">
        <v>1.3241493113730423</v>
      </c>
      <c r="GA467">
        <v>10.300166210963146</v>
      </c>
      <c r="GB467">
        <v>6.7680159767335422</v>
      </c>
      <c r="GC467">
        <v>2.006403440974792</v>
      </c>
      <c r="GD467">
        <v>7.2468335910933224</v>
      </c>
      <c r="GE467">
        <v>18.396223310867722</v>
      </c>
      <c r="GF467">
        <v>10.427238111729865</v>
      </c>
      <c r="GG467">
        <v>13.388152885183455</v>
      </c>
      <c r="GH467">
        <v>16.857062722189191</v>
      </c>
      <c r="GI467">
        <v>10.951712837154213</v>
      </c>
      <c r="GJ467"/>
      <c r="GK467"/>
      <c r="GL467"/>
      <c r="GM467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0.64638194621915102</v>
      </c>
      <c r="I468" s="101">
        <f>+H468*F467</f>
        <v>-1.7657350395969182</v>
      </c>
      <c r="J468" s="101">
        <f>+I468*$A$440</f>
        <v>-15.891615356372265</v>
      </c>
      <c r="K468" s="61">
        <f>IF(AND(J468&lt;0, J466&lt;0), 0, J468)</f>
        <v>-15.891615356372265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53.780877949315595</v>
      </c>
      <c r="AO468">
        <v>13.311870517795418</v>
      </c>
      <c r="AP468">
        <v>48.870748137506908</v>
      </c>
      <c r="AQ468">
        <v>81.58671712176141</v>
      </c>
      <c r="AR468">
        <v>12.102022525647349</v>
      </c>
      <c r="AS468">
        <v>57.813043364491385</v>
      </c>
      <c r="AT468" t="e">
        <v>#DIV/0!</v>
      </c>
      <c r="AU468" t="e">
        <v>#DIV/0!</v>
      </c>
      <c r="AV468"/>
      <c r="AW468"/>
      <c r="FY468" s="214">
        <v>463</v>
      </c>
      <c r="FZ468">
        <v>1.238944137688643</v>
      </c>
      <c r="GA468">
        <v>18.481380227069689</v>
      </c>
      <c r="GB468">
        <v>11.569436339668982</v>
      </c>
      <c r="GC468">
        <v>1.9438184378085803</v>
      </c>
      <c r="GD468">
        <v>0.89743953669967036</v>
      </c>
      <c r="GE468">
        <v>9.0335944863931985</v>
      </c>
      <c r="GF468">
        <v>27.200042960448531</v>
      </c>
      <c r="GG468">
        <v>14.078162915659966</v>
      </c>
      <c r="GH468">
        <v>4.2990550956008153</v>
      </c>
      <c r="GI468">
        <v>9.6943750509069737</v>
      </c>
      <c r="GJ468"/>
      <c r="GK468"/>
      <c r="GL468"/>
      <c r="GM468"/>
    </row>
    <row r="469" spans="1:195" s="7" customFormat="1">
      <c r="A469" s="4"/>
      <c r="B469" s="4"/>
      <c r="C469" s="63">
        <v>6</v>
      </c>
      <c r="D469" s="101">
        <f>SUM($K$228:$K$347)/$A$438</f>
        <v>5.9957750582750586</v>
      </c>
      <c r="E469" s="97">
        <f>M36</f>
        <v>0.82511200572009868</v>
      </c>
      <c r="F469" s="102">
        <f>+D469-D471</f>
        <v>4.9256993006993008</v>
      </c>
      <c r="G469" s="101">
        <f>+D469*E469</f>
        <v>4.9471859841798755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89.515168289560194</v>
      </c>
      <c r="AO469">
        <v>15.994586640337769</v>
      </c>
      <c r="AP469">
        <v>75.702071729321517</v>
      </c>
      <c r="AQ469">
        <v>107.45603733110507</v>
      </c>
      <c r="AR469">
        <v>14.719075887662491</v>
      </c>
      <c r="AS469">
        <v>74.849099741094577</v>
      </c>
      <c r="AT469" t="e">
        <v>#DIV/0!</v>
      </c>
      <c r="AU469" t="e">
        <v>#DIV/0!</v>
      </c>
      <c r="AV469"/>
      <c r="AW469"/>
      <c r="FY469" s="214">
        <v>464</v>
      </c>
      <c r="FZ469">
        <v>0.72747221124835537</v>
      </c>
      <c r="GA469">
        <v>10.993689577431221</v>
      </c>
      <c r="GB469">
        <v>8.0934508930858904</v>
      </c>
      <c r="GC469">
        <v>2.1632193260509869</v>
      </c>
      <c r="GD469">
        <v>7.0906463265322088</v>
      </c>
      <c r="GE469">
        <v>21.430242394617331</v>
      </c>
      <c r="GF469">
        <v>15.253671210071673</v>
      </c>
      <c r="GG469">
        <v>3.1711037336946886</v>
      </c>
      <c r="GH469">
        <v>6.6430913354966359</v>
      </c>
      <c r="GI469">
        <v>10.461531254696345</v>
      </c>
      <c r="GJ469"/>
      <c r="GK469"/>
      <c r="GL469"/>
      <c r="GM469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1.0142725164283861</v>
      </c>
      <c r="I470" s="101">
        <f>+H470*F469</f>
        <v>4.9960014248898217</v>
      </c>
      <c r="J470" s="101">
        <f>+I470*$A$440</f>
        <v>44.964012824008392</v>
      </c>
      <c r="K470" s="61">
        <f>IF(AND(J470&lt;0, J468&lt;0), 0, J470)</f>
        <v>44.964012824008392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81.398863285476551</v>
      </c>
      <c r="AO470">
        <v>18.053543783304132</v>
      </c>
      <c r="AP470">
        <v>90.551696019747197</v>
      </c>
      <c r="AQ470">
        <v>103.75047481478863</v>
      </c>
      <c r="AR470">
        <v>16.640014351616816</v>
      </c>
      <c r="AS470">
        <v>85.578300853273504</v>
      </c>
      <c r="AT470">
        <v>9.0687332319738783</v>
      </c>
      <c r="AU470">
        <v>39.948442776290321</v>
      </c>
      <c r="AV470"/>
      <c r="AW470"/>
      <c r="FY470" s="214">
        <v>465</v>
      </c>
      <c r="FZ470">
        <v>1.1525814683015514</v>
      </c>
      <c r="GA470">
        <v>11.155329088247145</v>
      </c>
      <c r="GB470">
        <v>7.1059622133527593</v>
      </c>
      <c r="GC470">
        <v>1.6407427600932734</v>
      </c>
      <c r="GD470">
        <v>0.7777350181838889</v>
      </c>
      <c r="GE470">
        <v>7.0841711612765836</v>
      </c>
      <c r="GF470">
        <v>21.924918053137695</v>
      </c>
      <c r="GG470">
        <v>14.052202326276838</v>
      </c>
      <c r="GH470">
        <v>8.1772005911756356</v>
      </c>
      <c r="GI470">
        <v>7.7640239927211336</v>
      </c>
      <c r="GJ470"/>
      <c r="GK470"/>
      <c r="GL470"/>
      <c r="GM470"/>
    </row>
    <row r="471" spans="1:195" s="7" customFormat="1">
      <c r="A471" s="4"/>
      <c r="B471" s="4"/>
      <c r="C471" s="63">
        <v>7</v>
      </c>
      <c r="D471" s="101">
        <f>SUM($L$228:$L$347)/$A$438</f>
        <v>1.0700757575757576</v>
      </c>
      <c r="E471" s="97">
        <f>+N36</f>
        <v>1.2467988957258624</v>
      </c>
      <c r="F471" s="102">
        <f>+D471-D473</f>
        <v>1.0700757575757576</v>
      </c>
      <c r="G471" s="101">
        <f>+D471*E471</f>
        <v>1.3341692728884702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72.248495057391125</v>
      </c>
      <c r="AO471">
        <v>15.96975844404086</v>
      </c>
      <c r="AP471">
        <v>179.06289144708654</v>
      </c>
      <c r="AQ471">
        <v>91.070287190787241</v>
      </c>
      <c r="AR471">
        <v>15.054234066497379</v>
      </c>
      <c r="AS471">
        <v>75.032427608511554</v>
      </c>
      <c r="AT471" t="e">
        <v>#DIV/0!</v>
      </c>
      <c r="AU471" t="e">
        <v>#DIV/0!</v>
      </c>
      <c r="AV471"/>
      <c r="AW471"/>
      <c r="FY471" s="214">
        <v>466</v>
      </c>
      <c r="FZ471">
        <v>1.139081607105962</v>
      </c>
      <c r="GA471">
        <v>17.080126694558107</v>
      </c>
      <c r="GB471">
        <v>12.010872950122373</v>
      </c>
      <c r="GC471">
        <v>2.9646215099154434</v>
      </c>
      <c r="GD471">
        <v>7.4581546297774741</v>
      </c>
      <c r="GE471">
        <v>19.395042785041575</v>
      </c>
      <c r="GF471">
        <v>21.544397764587998</v>
      </c>
      <c r="GG471">
        <v>11.760377778539297</v>
      </c>
      <c r="GH471">
        <v>2.3440362398958201</v>
      </c>
      <c r="GI471">
        <v>12.121957255636971</v>
      </c>
      <c r="GJ471"/>
      <c r="GK471"/>
      <c r="GL471"/>
      <c r="GM471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1.4908969488703143</v>
      </c>
      <c r="I472" s="101">
        <f>+H472*F471</f>
        <v>1.5953726820297871</v>
      </c>
      <c r="J472" s="101">
        <f>+I472*$A$440</f>
        <v>14.358354138268083</v>
      </c>
      <c r="K472" s="61">
        <f>IF(AND(J472&lt;0, J470&lt;0), 0, J472)</f>
        <v>14.358354138268083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52.71244437906072</v>
      </c>
      <c r="AO472">
        <v>7.3720774351046146</v>
      </c>
      <c r="AP472">
        <v>33.927008596315076</v>
      </c>
      <c r="AQ472">
        <v>52.237301952787163</v>
      </c>
      <c r="AR472">
        <v>6.7147419842542106</v>
      </c>
      <c r="AS472">
        <v>40.83389228650686</v>
      </c>
      <c r="AT472" t="e">
        <v>#DIV/0!</v>
      </c>
      <c r="AU472" t="e">
        <v>#DIV/0!</v>
      </c>
      <c r="AV472"/>
      <c r="AW472"/>
      <c r="FY472" s="214">
        <v>467</v>
      </c>
      <c r="FZ472">
        <v>0.76029716103472955</v>
      </c>
      <c r="GA472">
        <v>9.3283756653170169</v>
      </c>
      <c r="GB472">
        <v>6.4380379827295995</v>
      </c>
      <c r="GC472">
        <v>1.9154643820092891</v>
      </c>
      <c r="GD472">
        <v>0.90776591223120717</v>
      </c>
      <c r="GE472">
        <v>6.4403052198897219</v>
      </c>
      <c r="GF472">
        <v>21.453756281711897</v>
      </c>
      <c r="GG472">
        <v>11.147682410126311</v>
      </c>
      <c r="GH472">
        <v>4.1315584430342529</v>
      </c>
      <c r="GI472">
        <v>6.9061371347231333</v>
      </c>
      <c r="GJ472"/>
      <c r="GK472"/>
      <c r="GL472"/>
      <c r="GM472"/>
    </row>
    <row r="473" spans="1:195" s="7" customFormat="1">
      <c r="A473" s="4"/>
      <c r="B473" s="16"/>
      <c r="C473" s="63">
        <v>8</v>
      </c>
      <c r="D473" s="101">
        <f>SUM($M$228:$M$347)/$A$438</f>
        <v>0</v>
      </c>
      <c r="E473" s="97">
        <f>O36</f>
        <v>1.7827844729175482</v>
      </c>
      <c r="F473" s="102">
        <f>+D473-D475</f>
        <v>-0.52083333333333337</v>
      </c>
      <c r="G473" s="101">
        <f>+D473*E473</f>
        <v>0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85.968811211343564</v>
      </c>
      <c r="AO473">
        <v>19.720363853536206</v>
      </c>
      <c r="AP473">
        <v>88.167081704255381</v>
      </c>
      <c r="AQ473">
        <v>118.58953379005979</v>
      </c>
      <c r="AR473">
        <v>17.927925558138977</v>
      </c>
      <c r="AS473">
        <v>91.835961129245717</v>
      </c>
      <c r="AT473" t="e">
        <v>#DIV/0!</v>
      </c>
      <c r="AU473" t="e">
        <v>#DIV/0!</v>
      </c>
      <c r="AV473"/>
      <c r="AW473"/>
      <c r="FY473" s="214">
        <v>468</v>
      </c>
      <c r="FZ473">
        <v>1.2706115917723249</v>
      </c>
      <c r="GA473">
        <v>13.883941783221294</v>
      </c>
      <c r="GB473">
        <v>8.2589088428374708</v>
      </c>
      <c r="GC473">
        <v>2.0472051420234672</v>
      </c>
      <c r="GD473">
        <v>2.9462916439395519</v>
      </c>
      <c r="GE473">
        <v>13.40945834530395</v>
      </c>
      <c r="GF473">
        <v>20.288630227588452</v>
      </c>
      <c r="GG473">
        <v>6.2380028079027667</v>
      </c>
      <c r="GH473">
        <v>4.6880724797916402</v>
      </c>
      <c r="GI473">
        <v>8.5976662445786989</v>
      </c>
      <c r="GJ473"/>
      <c r="GK473"/>
      <c r="GL473"/>
      <c r="GM473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2.0873345923719535</v>
      </c>
      <c r="I474" s="101">
        <f>+H474*F473</f>
        <v>-1.0871534335270592</v>
      </c>
      <c r="J474" s="101">
        <f>+I474*$A$440</f>
        <v>-9.7843809017435319</v>
      </c>
      <c r="K474" s="61">
        <f>IF(AND(J474&lt;0, J472&lt;0), 0, J474)</f>
        <v>-9.7843809017435319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64.419439051418948</v>
      </c>
      <c r="AO474">
        <v>13.271885050384199</v>
      </c>
      <c r="AP474">
        <v>40.598419494320439</v>
      </c>
      <c r="AQ474">
        <v>88.813965745475542</v>
      </c>
      <c r="AR474">
        <v>12.447497906257128</v>
      </c>
      <c r="AS474">
        <v>61.693888910409406</v>
      </c>
      <c r="AT474">
        <v>7.4836169238442771</v>
      </c>
      <c r="AU474">
        <v>6.6234371761669504</v>
      </c>
      <c r="AV474"/>
      <c r="AW474"/>
      <c r="FY474" s="214">
        <v>469</v>
      </c>
      <c r="FZ474">
        <v>0.76640102164555124</v>
      </c>
      <c r="GA474">
        <v>4.3711319819791861</v>
      </c>
      <c r="GB474">
        <v>7.2657873915617746</v>
      </c>
      <c r="GC474">
        <v>3.9010104813980782</v>
      </c>
      <c r="GD474">
        <v>7.1029559469718526</v>
      </c>
      <c r="GE474">
        <v>20.381568022589708</v>
      </c>
      <c r="GF474">
        <v>25.354265765267463</v>
      </c>
      <c r="GG474">
        <v>14.991577134494708</v>
      </c>
      <c r="GH474">
        <v>3.4891281113839954</v>
      </c>
      <c r="GI474">
        <v>11.817331258823453</v>
      </c>
      <c r="GJ474"/>
      <c r="GK474"/>
      <c r="GL474"/>
      <c r="GM474"/>
    </row>
    <row r="475" spans="1:195" s="7" customFormat="1">
      <c r="A475" s="4"/>
      <c r="B475" s="16"/>
      <c r="C475" s="63">
        <v>9</v>
      </c>
      <c r="D475" s="101">
        <f>SUM($N$228:$N$347)/$A$438</f>
        <v>0.52083333333333337</v>
      </c>
      <c r="E475" s="97">
        <f>P36</f>
        <v>2.4439105044382416</v>
      </c>
      <c r="F475" s="102">
        <f>+D475-D477</f>
        <v>0.52083333333333337</v>
      </c>
      <c r="G475" s="101">
        <f>+D475*E475</f>
        <v>1.2728700543949176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81.963276454329517</v>
      </c>
      <c r="AO475">
        <v>19.015947813794035</v>
      </c>
      <c r="AP475">
        <v>97.221910615222399</v>
      </c>
      <c r="AQ475">
        <v>112.72815482331623</v>
      </c>
      <c r="AR475">
        <v>17.657163848682732</v>
      </c>
      <c r="AS475">
        <v>87.15657481505535</v>
      </c>
      <c r="AT475">
        <v>9.7155090883453195</v>
      </c>
      <c r="AU475">
        <v>17.572349674652333</v>
      </c>
      <c r="AV475"/>
      <c r="AW475"/>
      <c r="FY475" s="214">
        <v>470</v>
      </c>
      <c r="FZ475">
        <v>0.6030595939511344</v>
      </c>
      <c r="GA475">
        <v>30.875974240329366</v>
      </c>
      <c r="GB475">
        <v>20.236817009671263</v>
      </c>
      <c r="GC475">
        <v>3.2947383002861024</v>
      </c>
      <c r="GD475">
        <v>1.4321492778881986</v>
      </c>
      <c r="GE475">
        <v>7.2695817781682184</v>
      </c>
      <c r="GF475">
        <v>19.474910813435969</v>
      </c>
      <c r="GG475">
        <v>10.742957080670092</v>
      </c>
      <c r="GH475">
        <v>7.7066028493111176</v>
      </c>
      <c r="GI475">
        <v>11.135633948890193</v>
      </c>
      <c r="GJ475"/>
      <c r="GK475"/>
      <c r="GL475"/>
      <c r="GM47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2.8141975326626656</v>
      </c>
      <c r="I476" s="101">
        <f>+H476*F475</f>
        <v>1.4657278815951384</v>
      </c>
      <c r="J476" s="101">
        <f>+I476*$A$440</f>
        <v>13.191550934356247</v>
      </c>
      <c r="K476" s="61">
        <f>IF(AND(J476&lt;0, J474&lt;0), 0, J476)</f>
        <v>13.191550934356247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65.464245350738565</v>
      </c>
      <c r="AO476">
        <v>17.200302952819872</v>
      </c>
      <c r="AP476">
        <v>151.87690371091338</v>
      </c>
      <c r="AQ476">
        <v>94.649130429344652</v>
      </c>
      <c r="AR476">
        <v>15.994368314395597</v>
      </c>
      <c r="AS476">
        <v>79.730931515808621</v>
      </c>
      <c r="AT476" t="e">
        <v>#DIV/0!</v>
      </c>
      <c r="AU476" t="e">
        <v>#DIV/0!</v>
      </c>
      <c r="AV476"/>
      <c r="AW476"/>
      <c r="FY476" s="214">
        <v>471</v>
      </c>
      <c r="FZ476">
        <v>0.54952187435041699</v>
      </c>
      <c r="GA476">
        <v>4.2570231696235314</v>
      </c>
      <c r="GB476">
        <v>2.7428748106337615</v>
      </c>
      <c r="GC476">
        <v>1.2796164752023089</v>
      </c>
      <c r="GD476">
        <v>5.2970247884433936</v>
      </c>
      <c r="GE476">
        <v>13.216236859195147</v>
      </c>
      <c r="GF476">
        <v>19.262560534268701</v>
      </c>
      <c r="GG476">
        <v>13.459654228867411</v>
      </c>
      <c r="GH476">
        <v>2.4277845661791013</v>
      </c>
      <c r="GI476">
        <v>8.4804080898462857</v>
      </c>
      <c r="GJ476"/>
      <c r="GK476"/>
      <c r="GL476"/>
      <c r="GM476"/>
    </row>
    <row r="477" spans="1:195" s="7" customFormat="1">
      <c r="A477" s="4"/>
      <c r="B477" s="16"/>
      <c r="C477" s="63">
        <v>10</v>
      </c>
      <c r="D477" s="101">
        <f>SUM($O$228:$O$347)/$A$438</f>
        <v>0</v>
      </c>
      <c r="E477" s="97">
        <f>Q36</f>
        <v>3.2405882860530784</v>
      </c>
      <c r="F477" s="102">
        <f>+D477-D479</f>
        <v>0</v>
      </c>
      <c r="G477" s="101">
        <f>+D477*E477</f>
        <v>0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64.417744975121167</v>
      </c>
      <c r="AO477">
        <v>12.348397970541447</v>
      </c>
      <c r="AP477">
        <v>63.889844760764234</v>
      </c>
      <c r="AQ477">
        <v>74.044567487597376</v>
      </c>
      <c r="AR477">
        <v>11.416568212158277</v>
      </c>
      <c r="AS477">
        <v>61.874498865914539</v>
      </c>
      <c r="AT477">
        <v>6.5132926976613881</v>
      </c>
      <c r="AU477">
        <v>13.480658582817894</v>
      </c>
      <c r="AV477"/>
      <c r="AW477"/>
      <c r="FY477" s="214">
        <v>472</v>
      </c>
      <c r="FZ477">
        <v>1.3340904888840606</v>
      </c>
      <c r="GA477">
        <v>16.921357073348325</v>
      </c>
      <c r="GB477">
        <v>14.361657637775858</v>
      </c>
      <c r="GC477">
        <v>4.0865562360115213</v>
      </c>
      <c r="GD477">
        <v>7.0334869235858051</v>
      </c>
      <c r="GE477">
        <v>18.878951714780971</v>
      </c>
      <c r="GF477">
        <v>23.752950619791797</v>
      </c>
      <c r="GG477">
        <v>16.775554175493774</v>
      </c>
      <c r="GH477">
        <v>9.5757054101232413</v>
      </c>
      <c r="GI477">
        <v>14.245833136829903</v>
      </c>
      <c r="GJ477"/>
      <c r="GK477"/>
      <c r="GL477"/>
      <c r="GM477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3.6817022525250818</v>
      </c>
      <c r="I478" s="101">
        <f>+H478*F477</f>
        <v>0</v>
      </c>
      <c r="J478" s="101">
        <f>+I478*$A$440</f>
        <v>0</v>
      </c>
      <c r="K478" s="61">
        <f>IF(AND(J478&lt;0, J476&lt;0), 0, J478)</f>
        <v>0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85.575288784785755</v>
      </c>
      <c r="AO478">
        <v>16.513545095146519</v>
      </c>
      <c r="AP478">
        <v>76.148969511114743</v>
      </c>
      <c r="AQ478">
        <v>97.665958398262291</v>
      </c>
      <c r="AR478">
        <v>15.227806247162915</v>
      </c>
      <c r="AS478">
        <v>80.161609575513026</v>
      </c>
      <c r="AT478">
        <v>8.7829691892411024</v>
      </c>
      <c r="AU478">
        <v>7.2828376835201549</v>
      </c>
      <c r="AV478"/>
      <c r="AW478"/>
      <c r="FY478" s="214">
        <v>473</v>
      </c>
      <c r="FZ478">
        <v>0.92220245981082793</v>
      </c>
      <c r="GA478">
        <v>3.4312210126929794</v>
      </c>
      <c r="GB478">
        <v>2.1093794501322924</v>
      </c>
      <c r="GC478">
        <v>0.99944735215883251</v>
      </c>
      <c r="GD478">
        <v>1.6233161244494347</v>
      </c>
      <c r="GE478">
        <v>5.447224341816904</v>
      </c>
      <c r="GF478">
        <v>9.6006004051709546</v>
      </c>
      <c r="GG478">
        <v>5.4042075337311966</v>
      </c>
      <c r="GH478">
        <v>4.7718208060749214</v>
      </c>
      <c r="GI478">
        <v>4.3555717755096293</v>
      </c>
      <c r="GJ478"/>
      <c r="GK478"/>
      <c r="GL478"/>
      <c r="GM478"/>
    </row>
    <row r="479" spans="1:195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4.1828613448324496</v>
      </c>
      <c r="F479" s="102">
        <f>+D479-D481</f>
        <v>0</v>
      </c>
      <c r="G479" s="101">
        <f>+D479*E479</f>
        <v>0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76.243152653595502</v>
      </c>
      <c r="AO479">
        <v>14.631832508966559</v>
      </c>
      <c r="AP479">
        <v>63.719538237147589</v>
      </c>
      <c r="AQ479">
        <v>98.436249187945066</v>
      </c>
      <c r="AR479">
        <v>13.695701019809285</v>
      </c>
      <c r="AS479">
        <v>71.727763427527705</v>
      </c>
      <c r="AT479">
        <v>8.0535445316595915</v>
      </c>
      <c r="AU479">
        <v>8.2300191073688644</v>
      </c>
      <c r="AV479"/>
      <c r="AW479"/>
      <c r="FY479" s="214">
        <v>474</v>
      </c>
      <c r="FZ479">
        <v>0.81739356432001786</v>
      </c>
      <c r="GA479">
        <v>3.5563392475093734</v>
      </c>
      <c r="GB479">
        <v>6.3366509642540105</v>
      </c>
      <c r="GC479">
        <v>3.6045470875948449</v>
      </c>
      <c r="GD479">
        <v>5.3071390301637953</v>
      </c>
      <c r="GE479">
        <v>11.550875619688119</v>
      </c>
      <c r="GF479">
        <v>7.0877319883945828</v>
      </c>
      <c r="GG479">
        <v>8.4651745096376452</v>
      </c>
      <c r="GH479">
        <v>7.062004549051272</v>
      </c>
      <c r="GI479">
        <v>7.4159122392260937</v>
      </c>
      <c r="GJ479"/>
      <c r="GK479"/>
      <c r="GL479"/>
      <c r="GM479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4.6997239756062497</v>
      </c>
      <c r="I480" s="101">
        <f>+H480*F479</f>
        <v>0</v>
      </c>
      <c r="J480" s="101">
        <f>+I480*$A$440</f>
        <v>0</v>
      </c>
      <c r="K480" s="61">
        <f>IF(AND(J480&lt;0, J478&lt;0), 0, J480)</f>
        <v>0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81.054656557080449</v>
      </c>
      <c r="AO480">
        <v>15.458946171968716</v>
      </c>
      <c r="AP480">
        <v>60.265460389173207</v>
      </c>
      <c r="AQ480">
        <v>86.028118262925332</v>
      </c>
      <c r="AR480">
        <v>14.601424460893927</v>
      </c>
      <c r="AS480">
        <v>77.306201736172724</v>
      </c>
      <c r="AT480">
        <v>7.8124716799121439</v>
      </c>
      <c r="AU480">
        <v>0.4513119717231534</v>
      </c>
      <c r="AV480"/>
      <c r="AW480"/>
      <c r="FY480" s="214">
        <v>475</v>
      </c>
      <c r="FZ480">
        <v>1.1686265064233914</v>
      </c>
      <c r="GA480">
        <v>19.138040548252441</v>
      </c>
      <c r="GB480">
        <v>16.095527205767304</v>
      </c>
      <c r="GC480">
        <v>4.4287275866274074</v>
      </c>
      <c r="GD480">
        <v>6.9249779166649486</v>
      </c>
      <c r="GE480">
        <v>21.283222688653748</v>
      </c>
      <c r="GF480">
        <v>22.409772051949805</v>
      </c>
      <c r="GG480">
        <v>18.82967358011274</v>
      </c>
      <c r="GH480">
        <v>14.040260771819263</v>
      </c>
      <c r="GI480">
        <v>14.894373135608376</v>
      </c>
      <c r="GJ480"/>
      <c r="GK480"/>
      <c r="GL480"/>
      <c r="GM480"/>
    </row>
    <row r="481" spans="1:195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5.2804536478779598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71.437677347372301</v>
      </c>
      <c r="AO481">
        <v>11.370852838076447</v>
      </c>
      <c r="AP481">
        <v>48.331339267328957</v>
      </c>
      <c r="AQ481">
        <v>80.834866672766509</v>
      </c>
      <c r="AR481">
        <v>10.694546155159147</v>
      </c>
      <c r="AS481">
        <v>63.647110584233495</v>
      </c>
      <c r="AT481">
        <v>7.2369013248195238</v>
      </c>
      <c r="AU481">
        <v>32.259951096552747</v>
      </c>
      <c r="AV481"/>
      <c r="AW481"/>
      <c r="FY481" s="214">
        <v>476</v>
      </c>
      <c r="FZ481">
        <v>0.66043463045204864</v>
      </c>
      <c r="GA481">
        <v>4.7615041081286344</v>
      </c>
      <c r="GB481">
        <v>7.2836465971885911</v>
      </c>
      <c r="GC481">
        <v>3.7495873658262093</v>
      </c>
      <c r="GD481">
        <v>5.2826342519498706</v>
      </c>
      <c r="GE481">
        <v>12.357923191848199</v>
      </c>
      <c r="GF481">
        <v>26.097403937389057</v>
      </c>
      <c r="GG481">
        <v>25.551179290776556</v>
      </c>
      <c r="GH481">
        <v>13.537599231981345</v>
      </c>
      <c r="GI481">
        <v>12.500640777629652</v>
      </c>
      <c r="GJ481"/>
      <c r="GK481"/>
      <c r="GL481"/>
      <c r="GM481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5.8778391199559969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98.896564828272304</v>
      </c>
      <c r="AO482">
        <v>18.28272482649886</v>
      </c>
      <c r="AP482">
        <v>122.91031407348913</v>
      </c>
      <c r="AQ482">
        <v>107.81866921518102</v>
      </c>
      <c r="AR482">
        <v>16.799201511445304</v>
      </c>
      <c r="AS482">
        <v>91.43021921821078</v>
      </c>
      <c r="AT482" t="e">
        <v>#DIV/0!</v>
      </c>
      <c r="AU482" t="e">
        <v>#DIV/0!</v>
      </c>
      <c r="AV482"/>
      <c r="AW482"/>
      <c r="FY482" s="214">
        <v>477</v>
      </c>
      <c r="FZ482">
        <v>0.95530604281282805</v>
      </c>
      <c r="GA482">
        <v>18.051710611266085</v>
      </c>
      <c r="GB482">
        <v>17.310126204135305</v>
      </c>
      <c r="GC482">
        <v>5.4271319472993351</v>
      </c>
      <c r="GD482">
        <v>1.0501135785725473</v>
      </c>
      <c r="GE482">
        <v>2.85123922244287</v>
      </c>
      <c r="GF482">
        <v>11.960465126078622</v>
      </c>
      <c r="GG482">
        <v>8.6823624989872208</v>
      </c>
      <c r="GH482">
        <v>2.5115328924623825</v>
      </c>
      <c r="GI482">
        <v>7.8697367806157175</v>
      </c>
      <c r="GJ482"/>
      <c r="GK482"/>
      <c r="GL482"/>
      <c r="GM482"/>
    </row>
    <row r="483" spans="1:195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6.5428076873601926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65.423083711065644</v>
      </c>
      <c r="AO483">
        <v>10.063670495987351</v>
      </c>
      <c r="AP483">
        <v>48.738279081632101</v>
      </c>
      <c r="AQ483">
        <v>69.429380592807163</v>
      </c>
      <c r="AR483">
        <v>9.5184078684796773</v>
      </c>
      <c r="AS483">
        <v>54.113326587513278</v>
      </c>
      <c r="AT483">
        <v>6.3200352581348325</v>
      </c>
      <c r="AU483">
        <v>56.982643438710582</v>
      </c>
      <c r="AV483"/>
      <c r="AW483"/>
      <c r="FY483" s="214">
        <v>478</v>
      </c>
      <c r="FZ483">
        <v>1.8797750463342808</v>
      </c>
      <c r="GA483">
        <v>5.7428230314519135</v>
      </c>
      <c r="GB483">
        <v>5.6026356707021421</v>
      </c>
      <c r="GC483">
        <v>2.8602225659453753</v>
      </c>
      <c r="GD483">
        <v>7.0479062109068176</v>
      </c>
      <c r="GE483">
        <v>23.110460808559822</v>
      </c>
      <c r="GF483">
        <v>26.439761142239583</v>
      </c>
      <c r="GG483">
        <v>10.882987526054627</v>
      </c>
      <c r="GH483">
        <v>4.2153067693175341</v>
      </c>
      <c r="GI483">
        <v>12.198705107430605</v>
      </c>
      <c r="GJ483"/>
      <c r="GK483"/>
      <c r="GL483"/>
      <c r="GM483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7.2253592652018277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82.262386606772992</v>
      </c>
      <c r="AO484">
        <v>12.719351977440098</v>
      </c>
      <c r="AP484">
        <v>48.03061952509784</v>
      </c>
      <c r="AQ484">
        <v>81.628789108959623</v>
      </c>
      <c r="AR484">
        <v>11.920776518595797</v>
      </c>
      <c r="AS484">
        <v>68.768399483130011</v>
      </c>
      <c r="AT484">
        <v>6.9020693060499374</v>
      </c>
      <c r="AU484">
        <v>33.692110122176643</v>
      </c>
      <c r="AV484"/>
      <c r="AW484"/>
      <c r="FY484" s="214">
        <v>479</v>
      </c>
      <c r="FZ484">
        <v>0.81383488063544696</v>
      </c>
      <c r="GA484">
        <v>8.9966359773099924</v>
      </c>
      <c r="GB484">
        <v>5.0520735209337237</v>
      </c>
      <c r="GC484">
        <v>1.0576801198911312</v>
      </c>
      <c r="GD484">
        <v>1.1808318974943639</v>
      </c>
      <c r="GE484">
        <v>4.1185611047160151</v>
      </c>
      <c r="GF484">
        <v>19.726390330558377</v>
      </c>
      <c r="GG484">
        <v>16.717661923119877</v>
      </c>
      <c r="GH484">
        <v>5.9169126775630962</v>
      </c>
      <c r="GI484">
        <v>6.6560992805337129</v>
      </c>
      <c r="GJ484"/>
      <c r="GK484"/>
      <c r="GL484"/>
      <c r="GM484"/>
    </row>
    <row r="485" spans="1:195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7.9791152370399594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80.850907308611255</v>
      </c>
      <c r="AO485">
        <v>18.293600677923905</v>
      </c>
      <c r="AP485">
        <v>102.00296035438271</v>
      </c>
      <c r="AQ485">
        <v>99.441157116115775</v>
      </c>
      <c r="AR485">
        <v>16.630546070839916</v>
      </c>
      <c r="AS485">
        <v>85.522464249299418</v>
      </c>
      <c r="AT485" t="e">
        <v>#DIV/0!</v>
      </c>
      <c r="AU485" t="e">
        <v>#DIV/0!</v>
      </c>
      <c r="AV485"/>
      <c r="AW485"/>
      <c r="FY485" s="214">
        <v>480</v>
      </c>
      <c r="FZ485">
        <v>0.82733474183103617</v>
      </c>
      <c r="GA485">
        <v>4.8517505840731445</v>
      </c>
      <c r="GB485">
        <v>7.0656945215134002</v>
      </c>
      <c r="GC485">
        <v>3.4635012916329986</v>
      </c>
      <c r="GD485">
        <v>9.1167704605679347</v>
      </c>
      <c r="GE485">
        <v>22.114252946018059</v>
      </c>
      <c r="GF485">
        <v>20.281391275106294</v>
      </c>
      <c r="GG485">
        <v>11.923338323840131</v>
      </c>
      <c r="GH485">
        <v>0.64026236304066864</v>
      </c>
      <c r="GI485">
        <v>11.583158129618903</v>
      </c>
      <c r="GJ485"/>
      <c r="GK485"/>
      <c r="GL485"/>
      <c r="GM48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8.7513588695113214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93.471657433004538</v>
      </c>
      <c r="AO486">
        <v>16.410804906892444</v>
      </c>
      <c r="AP486">
        <v>82.458358784452884</v>
      </c>
      <c r="AQ486">
        <v>112.77242489260166</v>
      </c>
      <c r="AR486">
        <v>15.645293161816383</v>
      </c>
      <c r="AS486">
        <v>85.570000051943168</v>
      </c>
      <c r="AT486">
        <v>9.2625902833111979</v>
      </c>
      <c r="AU486">
        <v>4.8813385870162866</v>
      </c>
      <c r="AV486"/>
      <c r="AW486"/>
      <c r="FY486" s="214">
        <v>481</v>
      </c>
      <c r="FZ486">
        <v>1.2260015429243059</v>
      </c>
      <c r="GA486">
        <v>8.8075140795674312</v>
      </c>
      <c r="GB486">
        <v>10.38489817653597</v>
      </c>
      <c r="GC486">
        <v>4.1022019231581854</v>
      </c>
      <c r="GD486">
        <v>14.284282981868387</v>
      </c>
      <c r="GE486">
        <v>30.995929929837054</v>
      </c>
      <c r="GF486">
        <v>15.538967380168705</v>
      </c>
      <c r="GG486">
        <v>10.713814814397541</v>
      </c>
      <c r="GH486">
        <v>6.4755946829300735</v>
      </c>
      <c r="GI486">
        <v>15.735768254524118</v>
      </c>
      <c r="GJ486"/>
      <c r="GK486"/>
      <c r="GL486"/>
      <c r="GM486"/>
    </row>
    <row r="487" spans="1:195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9.5983426467451238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57.675611632793299</v>
      </c>
      <c r="AO487">
        <v>13.241919450850954</v>
      </c>
      <c r="AP487">
        <v>106.82864674200196</v>
      </c>
      <c r="AQ487">
        <v>70.972705396610053</v>
      </c>
      <c r="AR487">
        <v>12.229182521909344</v>
      </c>
      <c r="AS487">
        <v>59.562699202501662</v>
      </c>
      <c r="AT487">
        <v>6.7717759284460142</v>
      </c>
      <c r="AU487">
        <v>33.762103464109387</v>
      </c>
      <c r="AV487"/>
      <c r="AW487"/>
      <c r="FY487" s="214">
        <v>482</v>
      </c>
      <c r="FZ487">
        <v>0.93214363732184624</v>
      </c>
      <c r="GA487">
        <v>2.844612495332747</v>
      </c>
      <c r="GB487">
        <v>2.9416084990973816</v>
      </c>
      <c r="GC487">
        <v>1.7244587211940265</v>
      </c>
      <c r="GD487">
        <v>2.8421177062979881</v>
      </c>
      <c r="GE487">
        <v>6.5106503313387023</v>
      </c>
      <c r="GF487">
        <v>9.1505042650465231</v>
      </c>
      <c r="GG487">
        <v>11.242989588124013</v>
      </c>
      <c r="GH487">
        <v>9.3222924626638104</v>
      </c>
      <c r="GI487">
        <v>5.7812577642821044</v>
      </c>
      <c r="GJ487"/>
      <c r="GK487"/>
      <c r="GL487"/>
      <c r="GM487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10.464698261885825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100.55487519855619</v>
      </c>
      <c r="AO488">
        <v>21.323578615710161</v>
      </c>
      <c r="AP488">
        <v>103.50415665533224</v>
      </c>
      <c r="AQ488">
        <v>126.96614341662527</v>
      </c>
      <c r="AR488">
        <v>19.933230555583116</v>
      </c>
      <c r="AS488">
        <v>101.38642456394857</v>
      </c>
      <c r="AT488">
        <v>11.405664865443143</v>
      </c>
      <c r="AU488">
        <v>21.181706588018979</v>
      </c>
      <c r="AV488"/>
      <c r="AW488"/>
      <c r="FY488" s="214">
        <v>483</v>
      </c>
      <c r="FZ488">
        <v>1.1625226458125699</v>
      </c>
      <c r="GA488">
        <v>16.927217786736328</v>
      </c>
      <c r="GB488">
        <v>14.51703817512845</v>
      </c>
      <c r="GC488">
        <v>4.5290097453586471</v>
      </c>
      <c r="GD488">
        <v>7.4045623461800192</v>
      </c>
      <c r="GE488">
        <v>20.701006219179096</v>
      </c>
      <c r="GF488">
        <v>19.027600011824205</v>
      </c>
      <c r="GG488">
        <v>10.001151645612314</v>
      </c>
      <c r="GH488">
        <v>7.7044348807015295</v>
      </c>
      <c r="GI488">
        <v>13.278712666715231</v>
      </c>
      <c r="GJ488"/>
      <c r="GK488"/>
      <c r="GL488"/>
      <c r="GM488"/>
    </row>
    <row r="489" spans="1:195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11.409251965958095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39.056772091509039</v>
      </c>
      <c r="AO489">
        <v>6.3684317005898281</v>
      </c>
      <c r="AP489">
        <v>40.130567277815636</v>
      </c>
      <c r="AQ489">
        <v>38.664991261547975</v>
      </c>
      <c r="AR489">
        <v>6.1835184667395335</v>
      </c>
      <c r="AS489">
        <v>34.17731688123618</v>
      </c>
      <c r="AT489">
        <v>3.5733116745978997</v>
      </c>
      <c r="AU489">
        <v>16.221309575404188</v>
      </c>
      <c r="AV489"/>
      <c r="AW489"/>
      <c r="FY489" s="214">
        <v>484</v>
      </c>
      <c r="FZ489">
        <v>1.3440316663950791</v>
      </c>
      <c r="GA489">
        <v>18.343877931141932</v>
      </c>
      <c r="GB489">
        <v>13.639517817125389</v>
      </c>
      <c r="GC489">
        <v>3.4160758691612827</v>
      </c>
      <c r="GD489">
        <v>3.8417256117061069</v>
      </c>
      <c r="GE489">
        <v>11.39872337256894</v>
      </c>
      <c r="GF489">
        <v>18.924811951526014</v>
      </c>
      <c r="GG489">
        <v>13.955144676497177</v>
      </c>
      <c r="GH489">
        <v>8.1772005911756356</v>
      </c>
      <c r="GI489">
        <v>10.95524627565446</v>
      </c>
      <c r="GJ489"/>
      <c r="GK489"/>
      <c r="GL489"/>
      <c r="GM489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12.37404298382901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53.056930519747539</v>
      </c>
      <c r="AO490">
        <v>11.371392910500973</v>
      </c>
      <c r="AP490">
        <v>40.173184011789026</v>
      </c>
      <c r="AQ490">
        <v>61.20376879983975</v>
      </c>
      <c r="AR490">
        <v>10.33795197356149</v>
      </c>
      <c r="AS490">
        <v>55.533681092537762</v>
      </c>
      <c r="AT490" t="e">
        <v>#DIV/0!</v>
      </c>
      <c r="AU490" t="e">
        <v>#DIV/0!</v>
      </c>
      <c r="AV490"/>
      <c r="AW490"/>
      <c r="FY490" s="214">
        <v>485</v>
      </c>
      <c r="FZ490">
        <v>0.94536486530180963</v>
      </c>
      <c r="GA490">
        <v>10.623787001880789</v>
      </c>
      <c r="GB490">
        <v>10.5680120037155</v>
      </c>
      <c r="GC490">
        <v>3.9784149631901</v>
      </c>
      <c r="GD490">
        <v>4.0426181081662236</v>
      </c>
      <c r="GE490">
        <v>9.9132295028847537</v>
      </c>
      <c r="GF490">
        <v>14.726024458656884</v>
      </c>
      <c r="GG490">
        <v>12.442774538752332</v>
      </c>
      <c r="GH490">
        <v>8.7337146279330238</v>
      </c>
      <c r="GI490">
        <v>9.3734707654240328</v>
      </c>
      <c r="GJ490"/>
      <c r="GK490"/>
      <c r="GL490"/>
      <c r="GM490"/>
    </row>
    <row r="491" spans="1:195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13.420418816457433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116.36144172236951</v>
      </c>
      <c r="AO491">
        <v>22.741438492089017</v>
      </c>
      <c r="AP491">
        <v>94.16448198935359</v>
      </c>
      <c r="AQ491">
        <v>139.21320199187943</v>
      </c>
      <c r="AR491">
        <v>20.686244289846091</v>
      </c>
      <c r="AS491">
        <v>111.99535304432609</v>
      </c>
      <c r="AT491" t="e">
        <v>#DIV/0!</v>
      </c>
      <c r="AU491" t="e">
        <v>#DIV/0!</v>
      </c>
      <c r="AV491"/>
      <c r="AW491"/>
      <c r="FY491" s="214">
        <v>486</v>
      </c>
      <c r="FZ491">
        <v>1.0891025711898155</v>
      </c>
      <c r="GA491">
        <v>11.617617145473991</v>
      </c>
      <c r="GB491">
        <v>7.2191847419123985</v>
      </c>
      <c r="GC491">
        <v>1.9997922625989024</v>
      </c>
      <c r="GD491">
        <v>6.4616165153030121</v>
      </c>
      <c r="GE491">
        <v>18.286230881677874</v>
      </c>
      <c r="GF491">
        <v>21.48554842941892</v>
      </c>
      <c r="GG491">
        <v>10.476388445545894</v>
      </c>
      <c r="GH491">
        <v>2.4277845661791013</v>
      </c>
      <c r="GI491">
        <v>10.447387178153344</v>
      </c>
      <c r="GJ491"/>
      <c r="GK491"/>
      <c r="GL491"/>
      <c r="GM491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14.487880256986225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72.841374373581374</v>
      </c>
      <c r="AO492">
        <v>18.830278105795436</v>
      </c>
      <c r="AP492">
        <v>91.868677051839626</v>
      </c>
      <c r="AQ492">
        <v>111.78255338317017</v>
      </c>
      <c r="AR492">
        <v>17.666271673463672</v>
      </c>
      <c r="AS492">
        <v>85.051131098235629</v>
      </c>
      <c r="AT492">
        <v>10.688019079407326</v>
      </c>
      <c r="AU492">
        <v>25.021858000636936</v>
      </c>
      <c r="AV492"/>
      <c r="AW492"/>
      <c r="FY492" s="214">
        <v>487</v>
      </c>
      <c r="FZ492">
        <v>0.93214363732184635</v>
      </c>
      <c r="GA492">
        <v>12.167342057389</v>
      </c>
      <c r="GB492">
        <v>8.7282643831217932</v>
      </c>
      <c r="GC492">
        <v>2.3397915474668194</v>
      </c>
      <c r="GD492">
        <v>2.8951152726815392</v>
      </c>
      <c r="GE492">
        <v>7.9038816802733471</v>
      </c>
      <c r="GF492">
        <v>9.7843001978796025</v>
      </c>
      <c r="GG492">
        <v>12.268376928114765</v>
      </c>
      <c r="GH492">
        <v>12.3386548635737</v>
      </c>
      <c r="GI492">
        <v>7.8215155334032023</v>
      </c>
      <c r="GJ492"/>
      <c r="GK492"/>
      <c r="GL492"/>
      <c r="GM492"/>
    </row>
    <row r="493" spans="1:195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15.640247686113412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62.99403779817478</v>
      </c>
      <c r="AO493">
        <v>11.903660807629336</v>
      </c>
      <c r="AP493">
        <v>34.534379064676955</v>
      </c>
      <c r="AQ493">
        <v>76.669724904672933</v>
      </c>
      <c r="AR493">
        <v>11.02511510730637</v>
      </c>
      <c r="AS493">
        <v>58.300162719956965</v>
      </c>
      <c r="AT493">
        <v>6.2797085004926112</v>
      </c>
      <c r="AU493">
        <v>0.34817859141272006</v>
      </c>
      <c r="AV493"/>
      <c r="AW493"/>
      <c r="FY493" s="214">
        <v>488</v>
      </c>
      <c r="FZ493">
        <v>1.7997948707736369</v>
      </c>
      <c r="GA493">
        <v>18.864377187445818</v>
      </c>
      <c r="GB493">
        <v>12.874141699267534</v>
      </c>
      <c r="GC493">
        <v>2.9882721712475879</v>
      </c>
      <c r="GD493">
        <v>14.465688322000213</v>
      </c>
      <c r="GE493">
        <v>34.81012967381983</v>
      </c>
      <c r="GF493">
        <v>34.887092190306078</v>
      </c>
      <c r="GG493">
        <v>28.639098627706225</v>
      </c>
      <c r="GH493">
        <v>11.193562992085525</v>
      </c>
      <c r="GI493">
        <v>21.246746002468047</v>
      </c>
      <c r="GJ493"/>
      <c r="GK493"/>
      <c r="GL493"/>
      <c r="GM493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16.814533151263674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79.19009952629041</v>
      </c>
      <c r="AO494">
        <v>18.816613762635086</v>
      </c>
      <c r="AP494">
        <v>157.82744144139886</v>
      </c>
      <c r="AQ494">
        <v>99.980583878942696</v>
      </c>
      <c r="AR494">
        <v>17.475629019977617</v>
      </c>
      <c r="AS494">
        <v>90.481229542263819</v>
      </c>
      <c r="AT494">
        <v>10.217868303717722</v>
      </c>
      <c r="AU494">
        <v>281.4278075832313</v>
      </c>
      <c r="AV494"/>
      <c r="AW494"/>
      <c r="FY494" s="214">
        <v>489</v>
      </c>
      <c r="FZ494">
        <v>1.0723226595252813</v>
      </c>
      <c r="GA494">
        <v>11.312120270485313</v>
      </c>
      <c r="GB494">
        <v>7.928856144108769</v>
      </c>
      <c r="GC494">
        <v>1.7185334416985221</v>
      </c>
      <c r="GD494">
        <v>1.6553982811879999</v>
      </c>
      <c r="GE494">
        <v>6.6291258404485127</v>
      </c>
      <c r="GF494">
        <v>17.774272576522179</v>
      </c>
      <c r="GG494">
        <v>11.526598804318091</v>
      </c>
      <c r="GH494">
        <v>0.72401068932394974</v>
      </c>
      <c r="GI494">
        <v>6.7066726781206452</v>
      </c>
      <c r="GJ494"/>
      <c r="GK494"/>
      <c r="GL494"/>
      <c r="GM494"/>
    </row>
    <row r="495" spans="1:195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18.076985145572394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59.565611284391025</v>
      </c>
      <c r="AO495">
        <v>9.8365274846633231</v>
      </c>
      <c r="AP495">
        <v>42.714331498576961</v>
      </c>
      <c r="AQ495">
        <v>70.23668171275574</v>
      </c>
      <c r="AR495">
        <v>9.1452588856705965</v>
      </c>
      <c r="AS495">
        <v>53.315534932496369</v>
      </c>
      <c r="AT495">
        <v>6.6179261454300304</v>
      </c>
      <c r="AU495">
        <v>12.33347792724844</v>
      </c>
      <c r="AV495"/>
      <c r="AW495"/>
      <c r="FY495" s="214">
        <v>490</v>
      </c>
      <c r="FZ495">
        <v>1.1332563797107666</v>
      </c>
      <c r="GA495">
        <v>5.0458608169938506</v>
      </c>
      <c r="GB495">
        <v>3.850183845305434</v>
      </c>
      <c r="GC495">
        <v>1.6521168652594693</v>
      </c>
      <c r="GD495">
        <v>8.0444818687621407</v>
      </c>
      <c r="GE495">
        <v>21.555284683960647</v>
      </c>
      <c r="GF495">
        <v>22.635035191993211</v>
      </c>
      <c r="GG495">
        <v>14.669379904154821</v>
      </c>
      <c r="GH495">
        <v>9.4919570838399601</v>
      </c>
      <c r="GI495">
        <v>12.029965607913653</v>
      </c>
      <c r="GJ495"/>
      <c r="GK495"/>
      <c r="GL495"/>
      <c r="GM49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19.362172886947711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75.023755464898983</v>
      </c>
      <c r="AO496">
        <v>17.911018509506828</v>
      </c>
      <c r="AP496">
        <v>89.129797918766684</v>
      </c>
      <c r="AQ496">
        <v>91.86745463724256</v>
      </c>
      <c r="AR496">
        <v>16.307484748551691</v>
      </c>
      <c r="AS496">
        <v>80.124727473191911</v>
      </c>
      <c r="AT496" t="e">
        <v>#DIV/0!</v>
      </c>
      <c r="AU496" t="e">
        <v>#DIV/0!</v>
      </c>
      <c r="AV496"/>
      <c r="AW496"/>
      <c r="FY496" s="214">
        <v>491</v>
      </c>
      <c r="FZ496">
        <v>1.2573903637923616</v>
      </c>
      <c r="GA496">
        <v>15.916209221215631</v>
      </c>
      <c r="GB496">
        <v>9.5673764620220432</v>
      </c>
      <c r="GC496">
        <v>1.6226014768963544</v>
      </c>
      <c r="GD496">
        <v>9.1598511782327137</v>
      </c>
      <c r="GE496">
        <v>21.479521912314553</v>
      </c>
      <c r="GF496">
        <v>14.430171409152246</v>
      </c>
      <c r="GG496">
        <v>7.9441662358530216</v>
      </c>
      <c r="GH496">
        <v>1.7875222031384326</v>
      </c>
      <c r="GI496">
        <v>11.34981530042448</v>
      </c>
      <c r="GJ496"/>
      <c r="GK496"/>
      <c r="GL496"/>
      <c r="GM496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20.738731369477062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103.68129519991449</v>
      </c>
      <c r="AO497">
        <v>23.717780871376338</v>
      </c>
      <c r="AP497">
        <v>189.41383921798402</v>
      </c>
      <c r="AQ497">
        <v>118.26497376591178</v>
      </c>
      <c r="AR497">
        <v>22.133874599885733</v>
      </c>
      <c r="AS497">
        <v>134.68588229224767</v>
      </c>
      <c r="AT497">
        <v>11.696622457229553</v>
      </c>
      <c r="AU497">
        <v>39.751864415849759</v>
      </c>
      <c r="AV497"/>
      <c r="AW497"/>
      <c r="FY497" s="214">
        <v>492</v>
      </c>
      <c r="FZ497">
        <v>1.1528601015171778</v>
      </c>
      <c r="GA497">
        <v>10.762522517728868</v>
      </c>
      <c r="GB497">
        <v>10.514821437049594</v>
      </c>
      <c r="GC497">
        <v>3.7113829363468724</v>
      </c>
      <c r="GD497">
        <v>4.8426599189090567</v>
      </c>
      <c r="GE497">
        <v>11.802577967299227</v>
      </c>
      <c r="GF497">
        <v>13.891304453393484</v>
      </c>
      <c r="GG497">
        <v>8.3208853052770948</v>
      </c>
      <c r="GH497">
        <v>0.25124497884984359</v>
      </c>
      <c r="GI497">
        <v>8.4036318547295714</v>
      </c>
      <c r="GJ497"/>
      <c r="GK497"/>
      <c r="GL497"/>
      <c r="GM497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22.138829603685107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49.091038956295968</v>
      </c>
      <c r="AO498">
        <v>8.6051991935764924</v>
      </c>
      <c r="AP498">
        <v>39.203799115927744</v>
      </c>
      <c r="AQ498">
        <v>53.292635470699139</v>
      </c>
      <c r="AR498">
        <v>8.0139822880234703</v>
      </c>
      <c r="AS498">
        <v>41.904948222230956</v>
      </c>
      <c r="AT498">
        <v>4.9305289106149699</v>
      </c>
      <c r="AU498">
        <v>15.036009156618897</v>
      </c>
      <c r="AV498"/>
      <c r="AW498"/>
      <c r="FY498" s="214">
        <v>493</v>
      </c>
      <c r="FZ498">
        <v>1.0126810793137426</v>
      </c>
      <c r="GA498">
        <v>4.6736715163930516</v>
      </c>
      <c r="GB498">
        <v>7.2777425193802383</v>
      </c>
      <c r="GC498">
        <v>3.4710733991560412</v>
      </c>
      <c r="GD498">
        <v>7.8843601287393943</v>
      </c>
      <c r="GE498">
        <v>16.929507963979169</v>
      </c>
      <c r="GF498">
        <v>14.692663750028252</v>
      </c>
      <c r="GG498">
        <v>11.365880080175863</v>
      </c>
      <c r="GH498">
        <v>8.3748326283281188E-2</v>
      </c>
      <c r="GI498">
        <v>9.9404442068850702</v>
      </c>
      <c r="GJ498"/>
      <c r="GK498"/>
      <c r="GL498"/>
      <c r="GM498"/>
    </row>
    <row r="499" spans="1:195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23.633450257346329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99.037696944104624</v>
      </c>
      <c r="AO499">
        <v>20.022675743674796</v>
      </c>
      <c r="AP499">
        <v>87.294439072829675</v>
      </c>
      <c r="AQ499">
        <v>115.25325612324839</v>
      </c>
      <c r="AR499">
        <v>18.584258299778885</v>
      </c>
      <c r="AS499">
        <v>95.214124469586494</v>
      </c>
      <c r="AT499">
        <v>10.010727731961834</v>
      </c>
      <c r="AU499">
        <v>28.802974995918294</v>
      </c>
      <c r="AV499"/>
      <c r="AW499"/>
      <c r="FY499" s="214">
        <v>494</v>
      </c>
      <c r="FZ499">
        <v>0.73103089493292628</v>
      </c>
      <c r="GA499">
        <v>11.219312191013408</v>
      </c>
      <c r="GB499">
        <v>10.970263407239818</v>
      </c>
      <c r="GC499">
        <v>3.6496226738681266</v>
      </c>
      <c r="GD499">
        <v>6.965841019218229</v>
      </c>
      <c r="GE499">
        <v>18.075511818359953</v>
      </c>
      <c r="GF499">
        <v>14.373946932520941</v>
      </c>
      <c r="GG499">
        <v>7.2186426817232636</v>
      </c>
      <c r="GH499">
        <v>1.2805247260813373</v>
      </c>
      <c r="GI499">
        <v>10.214257458182169</v>
      </c>
      <c r="GJ499"/>
      <c r="GK499"/>
      <c r="GL499"/>
      <c r="GM499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25.152401855846684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78.940027943457252</v>
      </c>
      <c r="AO500">
        <v>16.433633956501662</v>
      </c>
      <c r="AP500">
        <v>49.527995607246133</v>
      </c>
      <c r="AQ500">
        <v>103.99635576295202</v>
      </c>
      <c r="AR500">
        <v>15.321493038712402</v>
      </c>
      <c r="AS500">
        <v>79.802250466583303</v>
      </c>
      <c r="AT500">
        <v>8.8533572119912591</v>
      </c>
      <c r="AU500">
        <v>16.90041504783558</v>
      </c>
      <c r="AV500"/>
      <c r="AW500"/>
      <c r="FY500" s="214">
        <v>495</v>
      </c>
      <c r="FZ500">
        <v>0.94536486530180963</v>
      </c>
      <c r="GA500">
        <v>11.839484643798357</v>
      </c>
      <c r="GB500">
        <v>7.4174797725826291</v>
      </c>
      <c r="GC500">
        <v>1.8562227843188537</v>
      </c>
      <c r="GD500">
        <v>8.5183885710436567</v>
      </c>
      <c r="GE500">
        <v>19.313727187330365</v>
      </c>
      <c r="GF500">
        <v>17.704252129430884</v>
      </c>
      <c r="GG500">
        <v>17.025632444337706</v>
      </c>
      <c r="GH500">
        <v>7.6185185858086601</v>
      </c>
      <c r="GI500">
        <v>11.930341203897667</v>
      </c>
      <c r="GJ500"/>
      <c r="GK500"/>
      <c r="GL500"/>
      <c r="GM500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26.768978385682214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70.557365200168121</v>
      </c>
      <c r="AO501">
        <v>13.880674176344835</v>
      </c>
      <c r="AP501">
        <v>51.137188233490022</v>
      </c>
      <c r="AQ501">
        <v>85.34741083590545</v>
      </c>
      <c r="AR501">
        <v>12.988733269183452</v>
      </c>
      <c r="AS501">
        <v>71.256661945690226</v>
      </c>
      <c r="AT501">
        <v>7.8290521454771529</v>
      </c>
      <c r="AU501">
        <v>18.475256381739872</v>
      </c>
      <c r="AV501"/>
      <c r="AW501"/>
      <c r="FY501" s="214">
        <v>496</v>
      </c>
      <c r="FZ501">
        <v>0.75419330042390809</v>
      </c>
      <c r="GA501">
        <v>4.9064546856213234</v>
      </c>
      <c r="GB501">
        <v>5.2242727996075686</v>
      </c>
      <c r="GC501">
        <v>2.4014052055544797</v>
      </c>
      <c r="GD501">
        <v>5.2534710499948911</v>
      </c>
      <c r="GE501">
        <v>10.361551192275428</v>
      </c>
      <c r="GF501">
        <v>8.9193664341254095</v>
      </c>
      <c r="GG501">
        <v>10.07087301492923</v>
      </c>
      <c r="GH501">
        <v>6.3896783880372032</v>
      </c>
      <c r="GI501">
        <v>7.3113591545308001</v>
      </c>
      <c r="GJ501"/>
      <c r="GK501"/>
      <c r="GL501"/>
      <c r="GM501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28.410665039395738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90.583085118566572</v>
      </c>
      <c r="AO502">
        <v>15.862443349694596</v>
      </c>
      <c r="AP502">
        <v>94.577386749290568</v>
      </c>
      <c r="AQ502">
        <v>91.510652737453256</v>
      </c>
      <c r="AR502">
        <v>14.611799030327806</v>
      </c>
      <c r="AS502">
        <v>78.549799067637508</v>
      </c>
      <c r="AT502">
        <v>8.2834829092028919</v>
      </c>
      <c r="AU502">
        <v>26.390113875270227</v>
      </c>
      <c r="AV502"/>
      <c r="AW502"/>
      <c r="FY502" s="214">
        <v>497</v>
      </c>
      <c r="FZ502">
        <v>1.2375080087703245</v>
      </c>
      <c r="GA502">
        <v>3.7602305492232388</v>
      </c>
      <c r="GB502">
        <v>7.6550548741035405</v>
      </c>
      <c r="GC502">
        <v>4.1122277146468527</v>
      </c>
      <c r="GD502">
        <v>12.230660479504147</v>
      </c>
      <c r="GE502">
        <v>31.172190209083524</v>
      </c>
      <c r="GF502">
        <v>17.283355374370448</v>
      </c>
      <c r="GG502">
        <v>10.298966827472828</v>
      </c>
      <c r="GH502">
        <v>7.1457528753345532</v>
      </c>
      <c r="GI502">
        <v>14.06901523139668</v>
      </c>
      <c r="GJ502"/>
      <c r="GK502"/>
      <c r="GL502"/>
      <c r="GM502"/>
    </row>
    <row r="503" spans="1:195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30.153032975381233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68.97819739756919</v>
      </c>
      <c r="AO503">
        <v>11.677889953385151</v>
      </c>
      <c r="AP503">
        <v>45.210791098432132</v>
      </c>
      <c r="AQ503">
        <v>77.179386101225603</v>
      </c>
      <c r="AR503">
        <v>10.795128227175262</v>
      </c>
      <c r="AS503">
        <v>59.095388356077173</v>
      </c>
      <c r="AT503">
        <v>6.5280730929298825</v>
      </c>
      <c r="AU503">
        <v>17.002596019613215</v>
      </c>
      <c r="AV503"/>
      <c r="AW503"/>
      <c r="FY503" s="214">
        <v>498</v>
      </c>
      <c r="FZ503">
        <v>1.0185063067089379</v>
      </c>
      <c r="GA503">
        <v>10.328695749031857</v>
      </c>
      <c r="GB503">
        <v>9.0316238804875191</v>
      </c>
      <c r="GC503">
        <v>2.7016809953779544</v>
      </c>
      <c r="GD503">
        <v>2.6844083560130811</v>
      </c>
      <c r="GE503">
        <v>9.5812873675306971</v>
      </c>
      <c r="GF503">
        <v>16.558177527992225</v>
      </c>
      <c r="GG503">
        <v>13.671970586729769</v>
      </c>
      <c r="GH503">
        <v>12.42457115846657</v>
      </c>
      <c r="GI503">
        <v>9.30191256021401</v>
      </c>
      <c r="GJ503"/>
      <c r="GK503"/>
      <c r="GL503"/>
      <c r="GM503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31.921278914377908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125.25430537270643</v>
      </c>
      <c r="AO504">
        <v>32.663663134361315</v>
      </c>
      <c r="AP504">
        <v>199.86534849074187</v>
      </c>
      <c r="AQ504">
        <v>181.76890373712052</v>
      </c>
      <c r="AR504">
        <v>30.051324369584783</v>
      </c>
      <c r="AS504">
        <v>139.25641386750317</v>
      </c>
      <c r="AT504" t="e">
        <v>#DIV/0!</v>
      </c>
      <c r="AU504" t="e">
        <v>#DIV/0!</v>
      </c>
      <c r="AV504"/>
      <c r="AW504"/>
      <c r="FY504" s="214">
        <v>499</v>
      </c>
      <c r="FZ504">
        <v>0.62367682251586543</v>
      </c>
      <c r="GA504">
        <v>4.7193112268503778</v>
      </c>
      <c r="GB504">
        <v>8.429125715415152</v>
      </c>
      <c r="GC504">
        <v>4.1289519119913765</v>
      </c>
      <c r="GD504">
        <v>6.9093716914634999</v>
      </c>
      <c r="GE504">
        <v>13.797591319787262</v>
      </c>
      <c r="GF504">
        <v>11.037911249882253</v>
      </c>
      <c r="GG504">
        <v>10.606740182475324</v>
      </c>
      <c r="GH504">
        <v>4.0973266764512637</v>
      </c>
      <c r="GI504">
        <v>9.3568069607796094</v>
      </c>
      <c r="GJ504"/>
      <c r="GK504"/>
      <c r="GL504"/>
      <c r="GM504"/>
    </row>
    <row r="505" spans="1:195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33.793219022492863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61.450908091601207</v>
      </c>
      <c r="AO505">
        <v>10.324244085392539</v>
      </c>
      <c r="AP505">
        <v>52.39069998976619</v>
      </c>
      <c r="AQ505">
        <v>67.047911385739255</v>
      </c>
      <c r="AR505">
        <v>9.3978857383038346</v>
      </c>
      <c r="AS505">
        <v>51.67693674232553</v>
      </c>
      <c r="AT505" t="e">
        <v>#DIV/0!</v>
      </c>
      <c r="AU505" t="e">
        <v>#DIV/0!</v>
      </c>
      <c r="AV505"/>
      <c r="AW505"/>
      <c r="FY505" s="214">
        <v>500</v>
      </c>
      <c r="FZ505">
        <v>1.2673315413033803</v>
      </c>
      <c r="GA505">
        <v>6.8014212050525646</v>
      </c>
      <c r="GB505">
        <v>10.666706127729981</v>
      </c>
      <c r="GC505">
        <v>5.1964806185289838</v>
      </c>
      <c r="GD505">
        <v>8.2964737240814497</v>
      </c>
      <c r="GE505">
        <v>21.088264684868971</v>
      </c>
      <c r="GF505">
        <v>29.035971849378434</v>
      </c>
      <c r="GG505">
        <v>19.119825955896644</v>
      </c>
      <c r="GH505">
        <v>0.64026236304066864</v>
      </c>
      <c r="GI505">
        <v>14.029179049789615</v>
      </c>
      <c r="GJ505"/>
      <c r="GK505"/>
      <c r="GL505"/>
      <c r="GM5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35.691794355793881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77.711378477636643</v>
      </c>
      <c r="AO506">
        <v>17.996195865519535</v>
      </c>
      <c r="AP506">
        <v>94.18384837461619</v>
      </c>
      <c r="AQ506">
        <v>100.10752224789395</v>
      </c>
      <c r="AR506">
        <v>16.920546443356805</v>
      </c>
      <c r="AS506">
        <v>83.77023235591038</v>
      </c>
      <c r="AT506">
        <v>9.4880158294209007</v>
      </c>
      <c r="AU506">
        <v>29.213466285780406</v>
      </c>
      <c r="AV506"/>
      <c r="AW506"/>
      <c r="FY506" s="214">
        <v>501</v>
      </c>
      <c r="FZ506">
        <v>1.4582244729656555</v>
      </c>
      <c r="GA506">
        <v>11.630757592477552</v>
      </c>
      <c r="GB506">
        <v>7.2603271921141239</v>
      </c>
      <c r="GC506">
        <v>2.1027185346542061</v>
      </c>
      <c r="GD506">
        <v>1.8015924286837244</v>
      </c>
      <c r="GE506">
        <v>6.9873141654529158</v>
      </c>
      <c r="GF506">
        <v>15.328350703399707</v>
      </c>
      <c r="GG506">
        <v>7.3257173136454803</v>
      </c>
      <c r="GH506">
        <v>3.6587927325601464</v>
      </c>
      <c r="GI506">
        <v>6.7164865080754392</v>
      </c>
      <c r="GJ506"/>
      <c r="GK506"/>
      <c r="GL506"/>
      <c r="GM506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37.697035712648905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89.47829226991982</v>
      </c>
      <c r="AO507">
        <v>17.270823906816414</v>
      </c>
      <c r="AP507">
        <v>136.76861519507301</v>
      </c>
      <c r="AQ507">
        <v>94.514625763041835</v>
      </c>
      <c r="AR507">
        <v>15.916241530499182</v>
      </c>
      <c r="AS507">
        <v>83.219591477008876</v>
      </c>
      <c r="AT507" t="e">
        <v>#DIV/0!</v>
      </c>
      <c r="AU507" t="e">
        <v>#DIV/0!</v>
      </c>
      <c r="AV507"/>
      <c r="AW507"/>
      <c r="FY507" s="214">
        <v>502</v>
      </c>
      <c r="FZ507">
        <v>0.98896140739150873</v>
      </c>
      <c r="GA507">
        <v>10.021307886040232</v>
      </c>
      <c r="GB507">
        <v>9.5788729530186814</v>
      </c>
      <c r="GC507">
        <v>3.4495821527581954</v>
      </c>
      <c r="GD507">
        <v>10.346009826484378</v>
      </c>
      <c r="GE507">
        <v>25.848888175315828</v>
      </c>
      <c r="GF507">
        <v>20.878435230619019</v>
      </c>
      <c r="GG507">
        <v>14.348147276984697</v>
      </c>
      <c r="GH507">
        <v>5.2424185479394385</v>
      </c>
      <c r="GI507">
        <v>13.83810294657323</v>
      </c>
      <c r="GJ507"/>
      <c r="GK507"/>
      <c r="GL507"/>
      <c r="GM507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39.729659441328067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74.041041500995533</v>
      </c>
      <c r="AO508">
        <v>12.805080634751643</v>
      </c>
      <c r="AP508">
        <v>63.14758183816889</v>
      </c>
      <c r="AQ508">
        <v>73.653891471100792</v>
      </c>
      <c r="AR508">
        <v>11.653513747190901</v>
      </c>
      <c r="AS508">
        <v>65.304282659272943</v>
      </c>
      <c r="AT508" t="e">
        <v>#DIV/0!</v>
      </c>
      <c r="AU508" t="e">
        <v>#DIV/0!</v>
      </c>
      <c r="AV508"/>
      <c r="AW508"/>
      <c r="FY508" s="214">
        <v>503</v>
      </c>
      <c r="FZ508">
        <v>0.74679729983914023</v>
      </c>
      <c r="GA508">
        <v>17.004007548409444</v>
      </c>
      <c r="GB508">
        <v>11.026721875991157</v>
      </c>
      <c r="GC508">
        <v>2.3270246343312682</v>
      </c>
      <c r="GD508">
        <v>7.0707712575410104</v>
      </c>
      <c r="GE508">
        <v>17.711279129331444</v>
      </c>
      <c r="GF508">
        <v>25.896077202395109</v>
      </c>
      <c r="GG508">
        <v>17.471839685480479</v>
      </c>
      <c r="GH508">
        <v>2.3440362398958201</v>
      </c>
      <c r="GI508">
        <v>12.75919085624464</v>
      </c>
      <c r="GJ508"/>
      <c r="GK508"/>
      <c r="GL508"/>
      <c r="GM508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41.871882217897436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61.250444216937623</v>
      </c>
      <c r="AO509">
        <v>15.571064209704485</v>
      </c>
      <c r="AP509">
        <v>108.12806113415586</v>
      </c>
      <c r="AQ509">
        <v>77.331772970334114</v>
      </c>
      <c r="AR509">
        <v>14.168366324799546</v>
      </c>
      <c r="AS509">
        <v>66.360339402006929</v>
      </c>
      <c r="AT509" t="e">
        <v>#DIV/0!</v>
      </c>
      <c r="AU509" t="e">
        <v>#DIV/0!</v>
      </c>
      <c r="AV509"/>
      <c r="AW509"/>
      <c r="FY509" s="214">
        <v>504</v>
      </c>
      <c r="FZ509">
        <v>1.2767154523831463</v>
      </c>
      <c r="GA509">
        <v>13.294611095573382</v>
      </c>
      <c r="GB509">
        <v>10.439088825904825</v>
      </c>
      <c r="GC509">
        <v>3.3828536214664737</v>
      </c>
      <c r="GD509">
        <v>10.579635055382973</v>
      </c>
      <c r="GE509">
        <v>27.884562620582468</v>
      </c>
      <c r="GF509">
        <v>18.792118308114407</v>
      </c>
      <c r="GG509">
        <v>11.919496915264787</v>
      </c>
      <c r="GH509">
        <v>8.7315466593234348</v>
      </c>
      <c r="GI509">
        <v>14.252190623990785</v>
      </c>
      <c r="GJ509"/>
      <c r="GK509"/>
      <c r="GL509"/>
      <c r="GM509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44.042224965367254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80.016353763106579</v>
      </c>
      <c r="AO510">
        <v>15.80191302875085</v>
      </c>
      <c r="AP510">
        <v>100.72191780944772</v>
      </c>
      <c r="AQ510">
        <v>84.698953803140185</v>
      </c>
      <c r="AR510">
        <v>14.377906832644721</v>
      </c>
      <c r="AS510">
        <v>75.760622420687753</v>
      </c>
      <c r="AT510" t="e">
        <v>#DIV/0!</v>
      </c>
      <c r="AU510" t="e">
        <v>#DIV/0!</v>
      </c>
      <c r="AV510"/>
      <c r="AW510"/>
      <c r="FY510" s="214">
        <v>505</v>
      </c>
      <c r="FZ510">
        <v>1.6657197091810236</v>
      </c>
      <c r="GA510">
        <v>10.634467502497559</v>
      </c>
      <c r="GB510">
        <v>6.7385883010639738</v>
      </c>
      <c r="GC510">
        <v>2.0553249910062723</v>
      </c>
      <c r="GD510">
        <v>7.3581813293408933</v>
      </c>
      <c r="GE510">
        <v>17.759241647017781</v>
      </c>
      <c r="GF510">
        <v>12.858630176392944</v>
      </c>
      <c r="GG510">
        <v>5.8743531226380261</v>
      </c>
      <c r="GH510">
        <v>4.2153067693175341</v>
      </c>
      <c r="GI510">
        <v>9.5457933022035526</v>
      </c>
      <c r="GJ510"/>
      <c r="GK510"/>
      <c r="GL510"/>
      <c r="GM510"/>
    </row>
    <row r="511" spans="1:195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46.32506295766467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79.798837295448863</v>
      </c>
      <c r="AO511">
        <v>18.418063846969197</v>
      </c>
      <c r="AP511">
        <v>74.056273334711804</v>
      </c>
      <c r="AQ511">
        <v>104.16941218785058</v>
      </c>
      <c r="AR511">
        <v>16.756547813222017</v>
      </c>
      <c r="AS511">
        <v>81.264852223393319</v>
      </c>
      <c r="AT511" t="e">
        <v>#DIV/0!</v>
      </c>
      <c r="AU511" t="e">
        <v>#DIV/0!</v>
      </c>
      <c r="AV511"/>
      <c r="AW511"/>
      <c r="FY511" s="214">
        <v>506</v>
      </c>
      <c r="FZ511">
        <v>0.21433397036888341</v>
      </c>
      <c r="GA511">
        <v>9.8136948766702705</v>
      </c>
      <c r="GB511">
        <v>5.2837305540130517</v>
      </c>
      <c r="GC511">
        <v>0.91197846303017305</v>
      </c>
      <c r="GD511">
        <v>4.8862729832299809</v>
      </c>
      <c r="GE511">
        <v>12.321924323654864</v>
      </c>
      <c r="GF511">
        <v>12.07305705156873</v>
      </c>
      <c r="GG511">
        <v>11.496472984346362</v>
      </c>
      <c r="GH511">
        <v>8.8495267521897034</v>
      </c>
      <c r="GI511">
        <v>8.1626223867883052</v>
      </c>
      <c r="GJ511"/>
      <c r="GK511"/>
      <c r="GL511"/>
      <c r="GM511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48.636749453660194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49.576003879407516</v>
      </c>
      <c r="AO512">
        <v>10.962573931415125</v>
      </c>
      <c r="AP512">
        <v>47.749082811882303</v>
      </c>
      <c r="AQ512">
        <v>61.592625225100235</v>
      </c>
      <c r="AR512">
        <v>10.169581583475269</v>
      </c>
      <c r="AS512">
        <v>53.775534258893771</v>
      </c>
      <c r="AT512">
        <v>6.1233243270832096</v>
      </c>
      <c r="AU512">
        <v>18.900376532448817</v>
      </c>
      <c r="AV512"/>
      <c r="AW512"/>
      <c r="FY512" s="214">
        <v>507</v>
      </c>
      <c r="FZ512">
        <v>0.27781286748061929</v>
      </c>
      <c r="GA512">
        <v>4.0186273047362198</v>
      </c>
      <c r="GB512">
        <v>7.9325216405476642</v>
      </c>
      <c r="GC512">
        <v>3.7258800180696685</v>
      </c>
      <c r="GD512">
        <v>5.7273927695716864</v>
      </c>
      <c r="GE512">
        <v>14.382875175729309</v>
      </c>
      <c r="GF512">
        <v>16.835838236262088</v>
      </c>
      <c r="GG512">
        <v>10.47676308345747</v>
      </c>
      <c r="GH512">
        <v>2.4277845661791013</v>
      </c>
      <c r="GI512">
        <v>9.0757487589064372</v>
      </c>
      <c r="GJ512"/>
      <c r="GK512"/>
      <c r="GL512"/>
      <c r="GM512"/>
    </row>
    <row r="513" spans="1:195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51.063792392034465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97.682700879878567</v>
      </c>
      <c r="AO513">
        <v>21.632433298335862</v>
      </c>
      <c r="AP513">
        <v>109.23899186011441</v>
      </c>
      <c r="AQ513">
        <v>108.96496214390612</v>
      </c>
      <c r="AR513">
        <v>19.67837980499473</v>
      </c>
      <c r="AS513">
        <v>105.29156892046173</v>
      </c>
      <c r="AT513" t="e">
        <v>#DIV/0!</v>
      </c>
      <c r="AU513" t="e">
        <v>#DIV/0!</v>
      </c>
      <c r="AV513"/>
      <c r="AW513"/>
      <c r="FY513" s="214">
        <v>508</v>
      </c>
      <c r="FZ513">
        <v>0.6262219994421161</v>
      </c>
      <c r="GA513">
        <v>3.5126779760236611</v>
      </c>
      <c r="GB513">
        <v>5.7333438668556962</v>
      </c>
      <c r="GC513">
        <v>2.8593294884634282</v>
      </c>
      <c r="GD513">
        <v>3.0500783088566101</v>
      </c>
      <c r="GE513">
        <v>9.1444678698741306</v>
      </c>
      <c r="GF513">
        <v>17.186658156877201</v>
      </c>
      <c r="GG513">
        <v>13.306989297185293</v>
      </c>
      <c r="GH513">
        <v>7.064172517660861</v>
      </c>
      <c r="GI513">
        <v>8.0504325881216552</v>
      </c>
      <c r="GJ513"/>
      <c r="GK513"/>
      <c r="GL513"/>
      <c r="GM513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53.520403740901827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60.077184901840461</v>
      </c>
      <c r="AO514">
        <v>13.770995918424527</v>
      </c>
      <c r="AP514">
        <v>40.314583263402433</v>
      </c>
      <c r="AQ514">
        <v>87.30283448855262</v>
      </c>
      <c r="AR514">
        <v>13.067246285323453</v>
      </c>
      <c r="AS514">
        <v>61.180499666264303</v>
      </c>
      <c r="AT514">
        <v>7.562165042307865</v>
      </c>
      <c r="AU514">
        <v>10.176115883760847</v>
      </c>
      <c r="AV514"/>
      <c r="AW514"/>
      <c r="FY514" s="214">
        <v>509</v>
      </c>
      <c r="FZ514">
        <v>0.47254311604309179</v>
      </c>
      <c r="GA514">
        <v>4.3054439599882244</v>
      </c>
      <c r="GB514">
        <v>9.6812744743502037</v>
      </c>
      <c r="GC514">
        <v>5.1192910312039945</v>
      </c>
      <c r="GD514">
        <v>7.5230655363466674</v>
      </c>
      <c r="GE514">
        <v>17.329972980727486</v>
      </c>
      <c r="GF514">
        <v>16.052507205722726</v>
      </c>
      <c r="GG514">
        <v>10.208818843027807</v>
      </c>
      <c r="GH514">
        <v>2.4277845661791013</v>
      </c>
      <c r="GI514">
        <v>10.681757365605382</v>
      </c>
      <c r="GJ514"/>
      <c r="GK514"/>
      <c r="GL514"/>
      <c r="GM514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56.095199404656171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54.060088203133262</v>
      </c>
      <c r="AO515">
        <v>14.332229902272493</v>
      </c>
      <c r="AP515">
        <v>63.843745376258028</v>
      </c>
      <c r="AQ515">
        <v>73.706813757611982</v>
      </c>
      <c r="AR515">
        <v>13.221017951231955</v>
      </c>
      <c r="AS515">
        <v>61.325806362060511</v>
      </c>
      <c r="AT515">
        <v>7.0688222024887315</v>
      </c>
      <c r="AU515">
        <v>16.662521788007812</v>
      </c>
      <c r="AV515"/>
      <c r="AW515"/>
      <c r="FY515" s="214">
        <v>510</v>
      </c>
      <c r="FZ515">
        <v>0.95174735912825714</v>
      </c>
      <c r="GA515">
        <v>11.493933893263325</v>
      </c>
      <c r="GB515">
        <v>11.127208857570327</v>
      </c>
      <c r="GC515">
        <v>3.720876426252298</v>
      </c>
      <c r="GD515">
        <v>7.1157517700952067</v>
      </c>
      <c r="GE515">
        <v>21.453345584674231</v>
      </c>
      <c r="GF515">
        <v>16.564295072730125</v>
      </c>
      <c r="GG515">
        <v>4.3412420775778289</v>
      </c>
      <c r="GH515">
        <v>2.9842986029364886</v>
      </c>
      <c r="GI515">
        <v>10.868200320316568</v>
      </c>
      <c r="GJ515"/>
      <c r="GK515"/>
      <c r="GL515"/>
      <c r="GM51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58.700275163781626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83.799122927497052</v>
      </c>
      <c r="AO516">
        <v>21.972883426434795</v>
      </c>
      <c r="AP516">
        <v>112.31137997507574</v>
      </c>
      <c r="AQ516">
        <v>116.14191711967068</v>
      </c>
      <c r="AR516">
        <v>20.012298515524094</v>
      </c>
      <c r="AS516">
        <v>94.049658678784027</v>
      </c>
      <c r="AT516" t="e">
        <v>#DIV/0!</v>
      </c>
      <c r="AU516" t="e">
        <v>#DIV/0!</v>
      </c>
      <c r="AV516"/>
      <c r="AW516"/>
      <c r="FY516" s="214">
        <v>511</v>
      </c>
      <c r="FZ516">
        <v>1.0761599764254783</v>
      </c>
      <c r="GA516">
        <v>10.52249769587381</v>
      </c>
      <c r="GB516">
        <v>6.8904538921636274</v>
      </c>
      <c r="GC516">
        <v>1.905567372786785</v>
      </c>
      <c r="GD516">
        <v>4.4080736577838708</v>
      </c>
      <c r="GE516">
        <v>15.058449027351262</v>
      </c>
      <c r="GF516">
        <v>25.113311339469455</v>
      </c>
      <c r="GG516">
        <v>12.343608871325824</v>
      </c>
      <c r="GH516">
        <v>4.1315584430342529</v>
      </c>
      <c r="GI516">
        <v>10.116280651934558</v>
      </c>
      <c r="GJ516"/>
      <c r="GK516"/>
      <c r="GL516"/>
      <c r="GM516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61.426331323775749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62.017334014717143</v>
      </c>
      <c r="AO517">
        <v>9.9596955184211886</v>
      </c>
      <c r="AP517">
        <v>59.093290314424308</v>
      </c>
      <c r="AQ517">
        <v>64.270281644028941</v>
      </c>
      <c r="AR517">
        <v>9.4238851616013495</v>
      </c>
      <c r="AS517">
        <v>53.734124994783606</v>
      </c>
      <c r="AT517">
        <v>5.4242181948947765</v>
      </c>
      <c r="AU517">
        <v>23.649405422707638</v>
      </c>
      <c r="AV517"/>
      <c r="AW517"/>
      <c r="FY517" s="214">
        <v>512</v>
      </c>
      <c r="FZ517">
        <v>0.48248429355411027</v>
      </c>
      <c r="GA517">
        <v>16.483145962659854</v>
      </c>
      <c r="GB517">
        <v>14.544854466471463</v>
      </c>
      <c r="GC517">
        <v>4.1025789146381646</v>
      </c>
      <c r="GD517">
        <v>3.8123902785571651</v>
      </c>
      <c r="GE517">
        <v>9.1247746834843895</v>
      </c>
      <c r="GF517">
        <v>14.769695737714095</v>
      </c>
      <c r="GG517">
        <v>15.445713428830558</v>
      </c>
      <c r="GH517">
        <v>9.4897891152303728</v>
      </c>
      <c r="GI517">
        <v>10.287786485978989</v>
      </c>
      <c r="GJ517"/>
      <c r="GK517"/>
      <c r="GL517"/>
      <c r="GM517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61.426331323775749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99.292393764960849</v>
      </c>
      <c r="AO518">
        <v>21.392046628099113</v>
      </c>
      <c r="AP518">
        <v>116.24269078967181</v>
      </c>
      <c r="AQ518">
        <v>114.54072640312519</v>
      </c>
      <c r="AR518">
        <v>19.447637171377984</v>
      </c>
      <c r="AS518">
        <v>101.4071896143313</v>
      </c>
      <c r="AT518" t="e">
        <v>#DIV/0!</v>
      </c>
      <c r="AU518" t="e">
        <v>#DIV/0!</v>
      </c>
      <c r="AV518"/>
      <c r="AW518"/>
      <c r="FY518" s="214">
        <v>513</v>
      </c>
      <c r="FZ518">
        <v>1.0952064318006371</v>
      </c>
      <c r="GA518">
        <v>4.3466324376453223</v>
      </c>
      <c r="GB518">
        <v>4.3096268524705987</v>
      </c>
      <c r="GC518">
        <v>2.2725347202264246</v>
      </c>
      <c r="GD518">
        <v>5.2830497801278806</v>
      </c>
      <c r="GE518">
        <v>18.543299883326178</v>
      </c>
      <c r="GF518">
        <v>20.45408179548895</v>
      </c>
      <c r="GG518">
        <v>5.7365797666062051</v>
      </c>
      <c r="GH518">
        <v>0.64026236304066864</v>
      </c>
      <c r="GI518">
        <v>8.4262953024162055</v>
      </c>
      <c r="GJ518"/>
      <c r="GK518"/>
      <c r="GL518"/>
      <c r="GM518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88.650318848094884</v>
      </c>
      <c r="AO519">
        <v>19.609081242471984</v>
      </c>
      <c r="AP519">
        <v>126.23326788183587</v>
      </c>
      <c r="AQ519">
        <v>114.35774572945951</v>
      </c>
      <c r="AR519">
        <v>18.017189368458769</v>
      </c>
      <c r="AS519">
        <v>87.865441481190956</v>
      </c>
      <c r="AT519">
        <v>10.167070266183741</v>
      </c>
      <c r="AU519">
        <v>56.98624186659741</v>
      </c>
      <c r="AV519"/>
      <c r="AW519"/>
      <c r="FY519" s="214">
        <v>514</v>
      </c>
      <c r="FZ519">
        <v>0.80417233634005447</v>
      </c>
      <c r="GA519">
        <v>16.369707765828647</v>
      </c>
      <c r="GB519">
        <v>12.166752727666333</v>
      </c>
      <c r="GC519">
        <v>3.1069890225034609</v>
      </c>
      <c r="GD519">
        <v>4.1149606418162454</v>
      </c>
      <c r="GE519">
        <v>12.077883820889646</v>
      </c>
      <c r="GF519">
        <v>14.7453352450715</v>
      </c>
      <c r="GG519">
        <v>6.2147789306899242</v>
      </c>
      <c r="GH519">
        <v>2.038767181988276</v>
      </c>
      <c r="GI519">
        <v>8.7497687625503335</v>
      </c>
      <c r="GJ519"/>
      <c r="GK519"/>
      <c r="GL519"/>
      <c r="GM519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12.323816649949126</v>
      </c>
      <c r="H520" s="63" t="s">
        <v>30</v>
      </c>
      <c r="I520" s="101">
        <f>SUM(K458:K518)</f>
        <v>65.321343463138774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107.72228887496132</v>
      </c>
      <c r="AO520">
        <v>21.851140382527539</v>
      </c>
      <c r="AP520">
        <v>102.11912315130918</v>
      </c>
      <c r="AQ520">
        <v>120.55281917798668</v>
      </c>
      <c r="AR520">
        <v>19.877204426987166</v>
      </c>
      <c r="AS520">
        <v>104.53991426571137</v>
      </c>
      <c r="AT520" t="e">
        <v>#DIV/0!</v>
      </c>
      <c r="AU520" t="e">
        <v>#DIV/0!</v>
      </c>
      <c r="AV520"/>
      <c r="AW520"/>
      <c r="FY520" s="214">
        <v>515</v>
      </c>
      <c r="FZ520">
        <v>1.0185063067089379</v>
      </c>
      <c r="GA520">
        <v>11.704470835606376</v>
      </c>
      <c r="GB520">
        <v>8.2203667716302373</v>
      </c>
      <c r="GC520">
        <v>2.2322368758550786</v>
      </c>
      <c r="GD520">
        <v>13.336881566866802</v>
      </c>
      <c r="GE520">
        <v>32.903375093971739</v>
      </c>
      <c r="GF520">
        <v>21.890952445271989</v>
      </c>
      <c r="GG520">
        <v>12.083380149668825</v>
      </c>
      <c r="GH520">
        <v>3.6566247639505578</v>
      </c>
      <c r="GI520">
        <v>15.157325814721423</v>
      </c>
      <c r="GJ520"/>
      <c r="GK520"/>
      <c r="GL520"/>
      <c r="GM520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79.566818254375491</v>
      </c>
      <c r="AO521">
        <v>14.174244156959819</v>
      </c>
      <c r="AP521">
        <v>69.273560432272504</v>
      </c>
      <c r="AQ521">
        <v>78.705606850659549</v>
      </c>
      <c r="AR521">
        <v>13.279389553969827</v>
      </c>
      <c r="AS521">
        <v>74.848516803505959</v>
      </c>
      <c r="AT521">
        <v>7.4206567380040482</v>
      </c>
      <c r="AU521">
        <v>6.2837164233209242</v>
      </c>
      <c r="AV521"/>
      <c r="AW521"/>
      <c r="FY521" s="214">
        <v>516</v>
      </c>
      <c r="FZ521">
        <v>1.0659401656988337</v>
      </c>
      <c r="GA521">
        <v>4.6349174831047826</v>
      </c>
      <c r="GB521">
        <v>7.3318389070158139</v>
      </c>
      <c r="GC521">
        <v>3.9036207826262244</v>
      </c>
      <c r="GD521">
        <v>3.3236597158274792</v>
      </c>
      <c r="GE521">
        <v>7.4686132955092717</v>
      </c>
      <c r="GF521">
        <v>12.809952356707063</v>
      </c>
      <c r="GG521">
        <v>19.101612998953151</v>
      </c>
      <c r="GH521">
        <v>15.744034648674415</v>
      </c>
      <c r="GI521">
        <v>9.0678721396857398</v>
      </c>
      <c r="GJ521"/>
      <c r="GK521"/>
      <c r="GL521"/>
      <c r="GM521"/>
    </row>
    <row r="522" spans="1:195" s="7" customFormat="1">
      <c r="A522" s="4"/>
      <c r="B522" s="4"/>
      <c r="C522" s="63"/>
      <c r="D522" s="63"/>
      <c r="E522" s="63" t="s">
        <v>100</v>
      </c>
      <c r="F522" s="101">
        <f>+I520/G520</f>
        <v>5.3004150677143045</v>
      </c>
      <c r="G522" s="63"/>
      <c r="H522" s="63" t="s">
        <v>101</v>
      </c>
      <c r="I522">
        <v>394.82888793945312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69.514295639445123</v>
      </c>
      <c r="AO522">
        <v>12.424220844533478</v>
      </c>
      <c r="AP522">
        <v>68.480784216393801</v>
      </c>
      <c r="AQ522">
        <v>74.013614345860319</v>
      </c>
      <c r="AR522">
        <v>11.473610855491925</v>
      </c>
      <c r="AS522">
        <v>62.016301798653252</v>
      </c>
      <c r="AT522">
        <v>6.458762205681686</v>
      </c>
      <c r="AU522">
        <v>17.590356670576785</v>
      </c>
      <c r="AV522"/>
      <c r="AW522"/>
      <c r="FY522" s="214">
        <v>517</v>
      </c>
      <c r="FZ522">
        <v>1.6461159873746127</v>
      </c>
      <c r="GA522">
        <v>24.801833733345177</v>
      </c>
      <c r="GB522">
        <v>14.495108051861884</v>
      </c>
      <c r="GC522">
        <v>2.1304017328000944</v>
      </c>
      <c r="GD522">
        <v>4.1633987955513136</v>
      </c>
      <c r="GE522">
        <v>9.133126324239548</v>
      </c>
      <c r="GF522">
        <v>20.537029886536832</v>
      </c>
      <c r="GG522">
        <v>19.063844036082614</v>
      </c>
      <c r="GH522">
        <v>5.2766503145224277</v>
      </c>
      <c r="GI522">
        <v>11.386481598212585</v>
      </c>
      <c r="GJ522"/>
      <c r="GK522"/>
      <c r="GL522"/>
      <c r="GM522"/>
    </row>
    <row r="523" spans="1:195" s="7" customFormat="1">
      <c r="A523" s="4"/>
      <c r="B523" s="4"/>
      <c r="C523" s="63"/>
      <c r="D523" s="63"/>
      <c r="E523" s="63" t="s">
        <v>102</v>
      </c>
      <c r="F523" s="101">
        <f>+I523/G520</f>
        <v>4.8999745429275663</v>
      </c>
      <c r="G523" s="63"/>
      <c r="H523" s="63" t="s">
        <v>103</v>
      </c>
      <c r="I523" s="123">
        <f>+I520*(365/I522)</f>
        <v>60.386387856457603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68.201226676417861</v>
      </c>
      <c r="AO523">
        <v>13.690095457831424</v>
      </c>
      <c r="AP523">
        <v>65.834767369960375</v>
      </c>
      <c r="AQ523">
        <v>74.881244420940263</v>
      </c>
      <c r="AR523">
        <v>12.624083903565817</v>
      </c>
      <c r="AS523">
        <v>64.885366536413528</v>
      </c>
      <c r="AT523" t="e">
        <v>#DIV/0!</v>
      </c>
      <c r="AU523" t="e">
        <v>#DIV/0!</v>
      </c>
      <c r="AV523"/>
      <c r="AW523"/>
      <c r="FY523" s="214">
        <v>518</v>
      </c>
      <c r="FZ523">
        <v>1.0819852038206739</v>
      </c>
      <c r="GA523">
        <v>9.5400186684218262</v>
      </c>
      <c r="GB523">
        <v>6.8296131654649574</v>
      </c>
      <c r="GC523">
        <v>2.018594069416602</v>
      </c>
      <c r="GD523">
        <v>6.0458100876410832</v>
      </c>
      <c r="GE523">
        <v>13.061645896180107</v>
      </c>
      <c r="GF523">
        <v>13.532590065140992</v>
      </c>
      <c r="GG523">
        <v>10.777452488399225</v>
      </c>
      <c r="GH523">
        <v>2.9842986029364886</v>
      </c>
      <c r="GI523">
        <v>8.7481644563850285</v>
      </c>
      <c r="GJ523"/>
      <c r="GK523"/>
      <c r="GL523"/>
      <c r="GM523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52.593574806026119</v>
      </c>
      <c r="AO524">
        <v>12.234803344641055</v>
      </c>
      <c r="AP524">
        <v>64.513565737290037</v>
      </c>
      <c r="AQ524">
        <v>70.534372069360657</v>
      </c>
      <c r="AR524">
        <v>11.479955706581517</v>
      </c>
      <c r="AS524">
        <v>54.263704101494156</v>
      </c>
      <c r="AT524">
        <v>6.4051702066598244</v>
      </c>
      <c r="AU524">
        <v>19.21807215216182</v>
      </c>
      <c r="AV524"/>
      <c r="AW524"/>
      <c r="FY524" s="214">
        <v>519</v>
      </c>
      <c r="FZ524">
        <v>0.594131923198436</v>
      </c>
      <c r="GA524">
        <v>17.958902531794184</v>
      </c>
      <c r="GB524">
        <v>10.769112323362213</v>
      </c>
      <c r="GC524">
        <v>1.9589266216963064</v>
      </c>
      <c r="GD524">
        <v>4.2982043323498074</v>
      </c>
      <c r="GE524">
        <v>9.4568307412361019</v>
      </c>
      <c r="GF524">
        <v>17.845620739940131</v>
      </c>
      <c r="GG524">
        <v>16.229790865453634</v>
      </c>
      <c r="GH524">
        <v>5.2766503145224277</v>
      </c>
      <c r="GI524">
        <v>9.8890445592991814</v>
      </c>
      <c r="GJ524"/>
      <c r="GK524"/>
      <c r="GL524"/>
      <c r="GM524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74.204682779934799</v>
      </c>
      <c r="AO525">
        <v>16.34398777045363</v>
      </c>
      <c r="AP525">
        <v>81.612543504729928</v>
      </c>
      <c r="AQ525">
        <v>83.802459079194676</v>
      </c>
      <c r="AR525">
        <v>15.037035333601159</v>
      </c>
      <c r="AS525">
        <v>73.999925733535534</v>
      </c>
      <c r="AT525">
        <v>7.779081358298491</v>
      </c>
      <c r="AU525">
        <v>2.7223555891620168</v>
      </c>
      <c r="AV525"/>
      <c r="AW525"/>
      <c r="FY525" s="214">
        <v>520</v>
      </c>
      <c r="FZ525">
        <v>0.25820914567420838</v>
      </c>
      <c r="GA525">
        <v>10.215257552200651</v>
      </c>
      <c r="GB525">
        <v>11.23552294477561</v>
      </c>
      <c r="GC525">
        <v>3.7155429204247779</v>
      </c>
      <c r="GD525">
        <v>0.5254850005876972</v>
      </c>
      <c r="GE525">
        <v>6.059749374789364</v>
      </c>
      <c r="GF525">
        <v>19.090335355708188</v>
      </c>
      <c r="GG525">
        <v>9.1710086069030083</v>
      </c>
      <c r="GH525">
        <v>1.8712705294217138</v>
      </c>
      <c r="GI525">
        <v>7.0166457853254993</v>
      </c>
      <c r="GJ525"/>
      <c r="GK525"/>
      <c r="GL525"/>
      <c r="GM52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90.818683142856202</v>
      </c>
      <c r="AO526">
        <v>16.396548680834279</v>
      </c>
      <c r="AP526">
        <v>66.059003790708317</v>
      </c>
      <c r="AQ526">
        <v>90.620899964544662</v>
      </c>
      <c r="AR526">
        <v>15.10923657347753</v>
      </c>
      <c r="AS526">
        <v>83.126366842080998</v>
      </c>
      <c r="AT526">
        <v>7.8727996562932256</v>
      </c>
      <c r="AU526">
        <v>11.260026451458168</v>
      </c>
      <c r="AV526"/>
      <c r="AW526"/>
      <c r="FY526" s="214">
        <v>521</v>
      </c>
      <c r="FZ526">
        <v>0.34485044827692601</v>
      </c>
      <c r="GA526">
        <v>9.5950850994157015</v>
      </c>
      <c r="GB526">
        <v>8.7535751161783928</v>
      </c>
      <c r="GC526">
        <v>2.7072011418792394</v>
      </c>
      <c r="GD526">
        <v>5.0746084872669979</v>
      </c>
      <c r="GE526">
        <v>11.906166086751282</v>
      </c>
      <c r="GF526">
        <v>12.992232543385182</v>
      </c>
      <c r="GG526">
        <v>8.4739499253670996</v>
      </c>
      <c r="GH526">
        <v>4.2153067693175341</v>
      </c>
      <c r="GI526">
        <v>8.433169502035204</v>
      </c>
      <c r="GJ526"/>
      <c r="GK526"/>
      <c r="GL526"/>
      <c r="GM526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74.925718407409676</v>
      </c>
      <c r="AO527">
        <v>15.150523086143201</v>
      </c>
      <c r="AP527">
        <v>82.077866651390934</v>
      </c>
      <c r="AQ527">
        <v>91.565960928148925</v>
      </c>
      <c r="AR527">
        <v>14.191656502227477</v>
      </c>
      <c r="AS527">
        <v>72.9713713669356</v>
      </c>
      <c r="AT527">
        <v>8.2094024601053501</v>
      </c>
      <c r="AU527">
        <v>58.758020327751638</v>
      </c>
      <c r="AV527"/>
      <c r="AW527"/>
      <c r="FY527" s="214">
        <v>522</v>
      </c>
      <c r="FZ527">
        <v>0.21077528668431256</v>
      </c>
      <c r="GA527">
        <v>30.538690106202182</v>
      </c>
      <c r="GB527">
        <v>19.686380800914314</v>
      </c>
      <c r="GC527">
        <v>3.0104771643542851</v>
      </c>
      <c r="GD527">
        <v>2.9391896144063807</v>
      </c>
      <c r="GE527">
        <v>9.9155165738408755</v>
      </c>
      <c r="GF527">
        <v>17.028290442597395</v>
      </c>
      <c r="GG527">
        <v>16.592667645969424</v>
      </c>
      <c r="GH527">
        <v>12.254906537290418</v>
      </c>
      <c r="GI527">
        <v>12.140172417809961</v>
      </c>
      <c r="GJ527"/>
      <c r="GK527"/>
      <c r="GL527"/>
      <c r="GM527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77.679922107299944</v>
      </c>
      <c r="AO528">
        <v>15.473965097161075</v>
      </c>
      <c r="AP528">
        <v>59.024515938932083</v>
      </c>
      <c r="AQ528">
        <v>98.543213367119165</v>
      </c>
      <c r="AR528">
        <v>14.246105630607925</v>
      </c>
      <c r="AS528">
        <v>77.06105614278583</v>
      </c>
      <c r="AT528">
        <v>8.4461383863673891</v>
      </c>
      <c r="AU528">
        <v>16.504211750870883</v>
      </c>
      <c r="AV528"/>
      <c r="AW528"/>
      <c r="FY528" s="214">
        <v>523</v>
      </c>
      <c r="FZ528">
        <v>1.1967352768225026</v>
      </c>
      <c r="GA528">
        <v>5.6754599903153471</v>
      </c>
      <c r="GB528">
        <v>4.1701549497772126</v>
      </c>
      <c r="GC528">
        <v>1.6592155028596347</v>
      </c>
      <c r="GD528">
        <v>0.75051283720685968</v>
      </c>
      <c r="GE528">
        <v>13.647246325619463</v>
      </c>
      <c r="GF528">
        <v>33.370174273174996</v>
      </c>
      <c r="GG528">
        <v>15.682485587081171</v>
      </c>
      <c r="GH528">
        <v>12.39250736049317</v>
      </c>
      <c r="GI528">
        <v>10.251397971324932</v>
      </c>
      <c r="GJ528"/>
      <c r="GK528"/>
      <c r="GL528"/>
      <c r="GM528"/>
    </row>
    <row r="529" spans="1:195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76.777009491396541</v>
      </c>
      <c r="AO529">
        <v>12.887292517850806</v>
      </c>
      <c r="AP529">
        <v>58.177741475952701</v>
      </c>
      <c r="AQ529">
        <v>71.107569333149073</v>
      </c>
      <c r="AR529">
        <v>11.728251822735595</v>
      </c>
      <c r="AS529">
        <v>66.485946211804674</v>
      </c>
      <c r="AT529" t="e">
        <v>#DIV/0!</v>
      </c>
      <c r="AU529" t="e">
        <v>#DIV/0!</v>
      </c>
      <c r="AV529"/>
      <c r="AW529"/>
      <c r="FY529" s="214">
        <v>524</v>
      </c>
      <c r="FZ529">
        <v>0.55918441864580948</v>
      </c>
      <c r="GA529">
        <v>23.225660236413717</v>
      </c>
      <c r="GB529">
        <v>14.790263645866375</v>
      </c>
      <c r="GC529">
        <v>2.608305172916269</v>
      </c>
      <c r="GD529">
        <v>7.2505799587865347</v>
      </c>
      <c r="GE529">
        <v>15.331047707157779</v>
      </c>
      <c r="GF529">
        <v>9.7957200967711096</v>
      </c>
      <c r="GG529">
        <v>8.9518424340651723</v>
      </c>
      <c r="GH529">
        <v>5.4441469670889902</v>
      </c>
      <c r="GI529">
        <v>11.086883584323781</v>
      </c>
      <c r="GJ529"/>
      <c r="GK529"/>
      <c r="GL529"/>
      <c r="GM529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77.925863092344727</v>
      </c>
      <c r="AO530">
        <v>13.111491110627085</v>
      </c>
      <c r="AP530">
        <v>47.854558650974418</v>
      </c>
      <c r="AQ530">
        <v>80.38911643534442</v>
      </c>
      <c r="AR530">
        <v>12.110289248599766</v>
      </c>
      <c r="AS530">
        <v>69.166046213191152</v>
      </c>
      <c r="AT530">
        <v>6.7507295599643555</v>
      </c>
      <c r="AU530">
        <v>3.215207056730875</v>
      </c>
      <c r="AV530"/>
      <c r="AW530"/>
      <c r="FY530" s="214">
        <v>525</v>
      </c>
      <c r="FZ530">
        <v>0.68461054270135036</v>
      </c>
      <c r="GA530">
        <v>10.645362613241565</v>
      </c>
      <c r="GB530">
        <v>11.54042198883405</v>
      </c>
      <c r="GC530">
        <v>4.3185535572295031</v>
      </c>
      <c r="GD530">
        <v>1.8373333140173314</v>
      </c>
      <c r="GE530">
        <v>7.2969509005295974</v>
      </c>
      <c r="GF530">
        <v>14.582021307178495</v>
      </c>
      <c r="GG530">
        <v>6.175869210247571</v>
      </c>
      <c r="GH530">
        <v>1.955018855704995</v>
      </c>
      <c r="GI530">
        <v>7.1144779813897774</v>
      </c>
      <c r="GJ530"/>
      <c r="GK530"/>
      <c r="GL530"/>
      <c r="GM530"/>
    </row>
    <row r="531" spans="1:195" s="7" customFormat="1">
      <c r="A531" s="4"/>
      <c r="B531" s="4"/>
      <c r="C531" s="116">
        <f>C4</f>
        <v>39646</v>
      </c>
      <c r="D531" s="101">
        <f>D70</f>
        <v>4.1666666666666661</v>
      </c>
      <c r="E531" s="108">
        <f>E405</f>
        <v>4.3529350407149732E-2</v>
      </c>
      <c r="F531" s="102"/>
      <c r="G531" s="101">
        <f>D531*E531</f>
        <v>0.18137229336312385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111.43863386885809</v>
      </c>
      <c r="AO531">
        <v>23.230286656751069</v>
      </c>
      <c r="AP531">
        <v>127.95783806040214</v>
      </c>
      <c r="AQ531">
        <v>122.20412062425197</v>
      </c>
      <c r="AR531">
        <v>21.155392361266166</v>
      </c>
      <c r="AS531">
        <v>109.85487330240056</v>
      </c>
      <c r="AT531" t="e">
        <v>#DIV/0!</v>
      </c>
      <c r="AU531" t="e">
        <v>#DIV/0!</v>
      </c>
      <c r="AV531"/>
      <c r="AW531"/>
      <c r="FY531" s="214">
        <v>526</v>
      </c>
      <c r="FZ531">
        <v>0.39228430726682184</v>
      </c>
      <c r="GA531">
        <v>10.599287457546925</v>
      </c>
      <c r="GB531">
        <v>11.672112860907767</v>
      </c>
      <c r="GC531">
        <v>4.4904438719276065</v>
      </c>
      <c r="GD531">
        <v>4.9983755848342346</v>
      </c>
      <c r="GE531">
        <v>17.469151432418851</v>
      </c>
      <c r="GF531">
        <v>19.623770535244837</v>
      </c>
      <c r="GG531">
        <v>8.0579212185278699</v>
      </c>
      <c r="GH531">
        <v>5.9169126775630962</v>
      </c>
      <c r="GI531">
        <v>10.6448599681465</v>
      </c>
      <c r="GJ531"/>
      <c r="GK531"/>
      <c r="GL531"/>
      <c r="GM531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>
        <f>E533-E531</f>
        <v>0.10250641992270079</v>
      </c>
      <c r="I532" s="101">
        <f>AVERAGE(D531:D533)</f>
        <v>9.375</v>
      </c>
      <c r="J532" s="101">
        <f>I532*H532</f>
        <v>0.96099768677531994</v>
      </c>
      <c r="K532" s="61">
        <f>J532/(C533-C531)</f>
        <v>3.559250691760444E-2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58.481077427457272</v>
      </c>
      <c r="AO532">
        <v>13.793824191323774</v>
      </c>
      <c r="AP532">
        <v>40.803172988138293</v>
      </c>
      <c r="AQ532">
        <v>84.452062493802771</v>
      </c>
      <c r="AR532">
        <v>12.743123401195248</v>
      </c>
      <c r="AS532">
        <v>64.19903923974752</v>
      </c>
      <c r="AT532">
        <v>7.2741693072557103</v>
      </c>
      <c r="AU532">
        <v>15.012479255335908</v>
      </c>
      <c r="AV532"/>
      <c r="AW532"/>
      <c r="FY532" s="214">
        <v>527</v>
      </c>
      <c r="FZ532">
        <v>0.53602201315482767</v>
      </c>
      <c r="GA532">
        <v>16.59627587341231</v>
      </c>
      <c r="GB532">
        <v>12.340787916937055</v>
      </c>
      <c r="GC532">
        <v>2.8942330954078908</v>
      </c>
      <c r="GD532">
        <v>10.4517682443021</v>
      </c>
      <c r="GE532">
        <v>27.401215132420166</v>
      </c>
      <c r="GF532">
        <v>17.695362642197153</v>
      </c>
      <c r="GG532">
        <v>6.8883918762064864</v>
      </c>
      <c r="GH532">
        <v>7.1158570459707429</v>
      </c>
      <c r="GI532">
        <v>14.077288270455167</v>
      </c>
      <c r="GJ532"/>
      <c r="GK532"/>
      <c r="GL532"/>
      <c r="GM532"/>
    </row>
    <row r="533" spans="1:195" s="7" customFormat="1">
      <c r="A533" s="4"/>
      <c r="B533" s="4"/>
      <c r="C533" s="117">
        <f>C5</f>
        <v>39673</v>
      </c>
      <c r="D533" s="101">
        <f>D71</f>
        <v>14.583333333333332</v>
      </c>
      <c r="E533" s="108">
        <f>E406</f>
        <v>0.14603577032985052</v>
      </c>
      <c r="F533" s="102"/>
      <c r="G533" s="101">
        <f>D533*E533</f>
        <v>2.12968831731032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79.864908215438874</v>
      </c>
      <c r="AO533">
        <v>17.423144485087775</v>
      </c>
      <c r="AP533">
        <v>67.632848681219258</v>
      </c>
      <c r="AQ533">
        <v>112.63399046052709</v>
      </c>
      <c r="AR533">
        <v>16.04218343151101</v>
      </c>
      <c r="AS533">
        <v>85.361914391730124</v>
      </c>
      <c r="AT533">
        <v>9.3778100582166264</v>
      </c>
      <c r="AU533">
        <v>6.9817133737485104</v>
      </c>
      <c r="AV533"/>
      <c r="AW533"/>
      <c r="FY533" s="214">
        <v>528</v>
      </c>
      <c r="FZ533">
        <v>0.59339704965574191</v>
      </c>
      <c r="GA533">
        <v>4.558127721431668</v>
      </c>
      <c r="GB533">
        <v>6.1152912930915875</v>
      </c>
      <c r="GC533">
        <v>2.9834412486655655</v>
      </c>
      <c r="GD533">
        <v>7.2292473680748115</v>
      </c>
      <c r="GE533">
        <v>15.102467516145005</v>
      </c>
      <c r="GF533">
        <v>13.539336828489448</v>
      </c>
      <c r="GG533">
        <v>12.778221843259223</v>
      </c>
      <c r="GH533">
        <v>3.5728764376672766</v>
      </c>
      <c r="GI533">
        <v>9.3386691392571723</v>
      </c>
      <c r="GJ533"/>
      <c r="GK533"/>
      <c r="GL533"/>
      <c r="GM533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7.1487934171700712E-2</v>
      </c>
      <c r="I534" s="101">
        <f>AVERAGE(D533:D535)</f>
        <v>25</v>
      </c>
      <c r="J534" s="101">
        <f>I534*H534</f>
        <v>1.7871983542925178</v>
      </c>
      <c r="K534" s="61">
        <f>J534/(C535-C533)</f>
        <v>4.3590203763232145E-2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64.957275445227822</v>
      </c>
      <c r="AO534">
        <v>13.354723671628799</v>
      </c>
      <c r="AP534">
        <v>82.649308989532543</v>
      </c>
      <c r="AQ534">
        <v>74.620172703806986</v>
      </c>
      <c r="AR534">
        <v>12.319200461563428</v>
      </c>
      <c r="AS534">
        <v>60.025427214247543</v>
      </c>
      <c r="AT534" t="e">
        <v>#DIV/0!</v>
      </c>
      <c r="AU534" t="e">
        <v>#DIV/0!</v>
      </c>
      <c r="AV534"/>
      <c r="AW534"/>
      <c r="FY534" s="214">
        <v>529</v>
      </c>
      <c r="FZ534">
        <v>0.72820708479104934</v>
      </c>
      <c r="GA534">
        <v>4.0845219556653296</v>
      </c>
      <c r="GB534">
        <v>6.0004051279968538</v>
      </c>
      <c r="GC534">
        <v>3.1698812193326003</v>
      </c>
      <c r="GD534">
        <v>4.1167306476614618</v>
      </c>
      <c r="GE534">
        <v>12.609306079451398</v>
      </c>
      <c r="GF534">
        <v>20.752258920154777</v>
      </c>
      <c r="GG534">
        <v>16.183217030091942</v>
      </c>
      <c r="GH534">
        <v>7.6185185858086601</v>
      </c>
      <c r="GI534">
        <v>9.2142471141179367</v>
      </c>
      <c r="GJ534"/>
      <c r="GK534"/>
      <c r="GL534"/>
      <c r="GM534"/>
    </row>
    <row r="535" spans="1:195" s="7" customFormat="1">
      <c r="A535" s="4"/>
      <c r="B535" s="4"/>
      <c r="C535" s="117">
        <f>C6</f>
        <v>39714</v>
      </c>
      <c r="D535" s="101">
        <f>D72</f>
        <v>35.416666666666664</v>
      </c>
      <c r="E535" s="108">
        <f>E407</f>
        <v>0.21752370450155123</v>
      </c>
      <c r="F535" s="102"/>
      <c r="G535" s="101">
        <f>D535*E535</f>
        <v>7.7039645344299386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73.002570581267946</v>
      </c>
      <c r="AO535">
        <v>15.187890379244077</v>
      </c>
      <c r="AP535">
        <v>79.141634857119783</v>
      </c>
      <c r="AQ535">
        <v>94.277214952852418</v>
      </c>
      <c r="AR535">
        <v>13.986681815077318</v>
      </c>
      <c r="AS535">
        <v>69.698004496575606</v>
      </c>
      <c r="AT535">
        <v>7.9685756201164821</v>
      </c>
      <c r="AU535">
        <v>-1.788135167898725</v>
      </c>
      <c r="AV535"/>
      <c r="AW535"/>
      <c r="FY535" s="214">
        <v>530</v>
      </c>
      <c r="FZ535">
        <v>0.34840913196149681</v>
      </c>
      <c r="GA535">
        <v>1.9536877672724411</v>
      </c>
      <c r="GB535">
        <v>2.7115858964338861</v>
      </c>
      <c r="GC535">
        <v>1.8294046251344385</v>
      </c>
      <c r="GD535">
        <v>6.1192111046171451</v>
      </c>
      <c r="GE535">
        <v>14.457259094515733</v>
      </c>
      <c r="GF535">
        <v>16.678390826003195</v>
      </c>
      <c r="GG535">
        <v>11.933197884826825</v>
      </c>
      <c r="GH535">
        <v>4.2990550956008153</v>
      </c>
      <c r="GI535">
        <v>8.7831324258259968</v>
      </c>
      <c r="GJ535"/>
      <c r="GK535"/>
      <c r="GL535"/>
      <c r="GM53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>
        <f>E537-E535</f>
        <v>-0.19107230471939898</v>
      </c>
      <c r="I536" s="101">
        <f>AVERAGE(D535:D537)</f>
        <v>56.065349157955865</v>
      </c>
      <c r="J536" s="101">
        <f>I536*H536</f>
        <v>-10.712535478508443</v>
      </c>
      <c r="K536" s="61">
        <f>J536/(C537-C535)</f>
        <v>-0.32462228722752856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57.561287533905556</v>
      </c>
      <c r="AO536">
        <v>10.453673253694124</v>
      </c>
      <c r="AP536">
        <v>33.422334454524695</v>
      </c>
      <c r="AQ536">
        <v>69.15902721581071</v>
      </c>
      <c r="AR536">
        <v>9.6818818998046332</v>
      </c>
      <c r="AS536">
        <v>50.931146277249795</v>
      </c>
      <c r="AT536" t="e">
        <v>#DIV/0!</v>
      </c>
      <c r="AU536" t="e">
        <v>#DIV/0!</v>
      </c>
      <c r="AV536"/>
      <c r="AW536"/>
      <c r="FY536" s="214">
        <v>531</v>
      </c>
      <c r="FZ536">
        <v>0.50180938214489512</v>
      </c>
      <c r="GA536">
        <v>1.7952804755083551</v>
      </c>
      <c r="GB536">
        <v>4.7550259903672307</v>
      </c>
      <c r="GC536">
        <v>2.7678615501253505</v>
      </c>
      <c r="GD536">
        <v>1.5224212492303324</v>
      </c>
      <c r="GE536">
        <v>12.503299034085252</v>
      </c>
      <c r="GF536">
        <v>26.085540108828184</v>
      </c>
      <c r="GG536">
        <v>15.571094794381747</v>
      </c>
      <c r="GH536">
        <v>9.8788064994211968</v>
      </c>
      <c r="GI536">
        <v>8.9843742429240656</v>
      </c>
      <c r="GJ536"/>
      <c r="GK536"/>
      <c r="GL536"/>
      <c r="GM536"/>
    </row>
    <row r="537" spans="1:195" s="7" customFormat="1">
      <c r="A537" s="4"/>
      <c r="B537" s="4"/>
      <c r="C537" s="117">
        <f>C7</f>
        <v>39747</v>
      </c>
      <c r="D537" s="101">
        <f>D73</f>
        <v>76.714031649245072</v>
      </c>
      <c r="E537" s="108">
        <f>E408</f>
        <v>2.6451399782152236E-2</v>
      </c>
      <c r="F537" s="102"/>
      <c r="G537" s="101">
        <f>D537*E537</f>
        <v>2.0291935200548608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59.313671764632673</v>
      </c>
      <c r="AO537">
        <v>12.459544204332259</v>
      </c>
      <c r="AP537">
        <v>41.218813375001716</v>
      </c>
      <c r="AQ537">
        <v>72.496145119873546</v>
      </c>
      <c r="AR537">
        <v>11.696152821141716</v>
      </c>
      <c r="AS537">
        <v>62.42963331296</v>
      </c>
      <c r="AT537">
        <v>6.8084333240025643</v>
      </c>
      <c r="AU537">
        <v>1.8287072864971918</v>
      </c>
      <c r="AV537"/>
      <c r="AW537"/>
      <c r="FY537" s="214">
        <v>532</v>
      </c>
      <c r="FZ537">
        <v>0.42510925705319597</v>
      </c>
      <c r="GA537">
        <v>12.291877127649615</v>
      </c>
      <c r="GB537">
        <v>8.7908695190619621</v>
      </c>
      <c r="GC537">
        <v>2.6242528846684685</v>
      </c>
      <c r="GD537">
        <v>2.1308161470942442</v>
      </c>
      <c r="GE537">
        <v>8.9261966861313979</v>
      </c>
      <c r="GF537">
        <v>21.199412786932619</v>
      </c>
      <c r="GG537">
        <v>11.106651262325727</v>
      </c>
      <c r="GH537">
        <v>2.3440362398958201</v>
      </c>
      <c r="GI537">
        <v>8.1893086655141012</v>
      </c>
      <c r="GJ537"/>
      <c r="GK537"/>
      <c r="GL537"/>
      <c r="GM537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>
        <f>E539-E537</f>
        <v>1.7077950624997517E-2</v>
      </c>
      <c r="I538" s="101">
        <f>AVERAGE(D537:D539)</f>
        <v>50.146788551895263</v>
      </c>
      <c r="J538" s="101">
        <f>I538*H538</f>
        <v>0.85640437889145804</v>
      </c>
      <c r="K538" s="61">
        <f>J538/(C539-C537)</f>
        <v>3.058587067469493E-2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99.90376193979769</v>
      </c>
      <c r="AO538">
        <v>18.564184630534292</v>
      </c>
      <c r="AP538">
        <v>76.662058418737416</v>
      </c>
      <c r="AQ538">
        <v>124.31706659006957</v>
      </c>
      <c r="AR538">
        <v>17.055074060568423</v>
      </c>
      <c r="AS538">
        <v>86.40247293884272</v>
      </c>
      <c r="AT538" t="e">
        <v>#DIV/0!</v>
      </c>
      <c r="AU538" t="e">
        <v>#DIV/0!</v>
      </c>
      <c r="AV538"/>
      <c r="AW538"/>
      <c r="FY538" s="214">
        <v>533</v>
      </c>
      <c r="FZ538">
        <v>0.95174735912825714</v>
      </c>
      <c r="GA538">
        <v>10.524911580082739</v>
      </c>
      <c r="GB538">
        <v>5.6450025606867236</v>
      </c>
      <c r="GC538">
        <v>1.3375927922535018</v>
      </c>
      <c r="GD538">
        <v>4.1825343835056721</v>
      </c>
      <c r="GE538">
        <v>7.180729041175578</v>
      </c>
      <c r="GF538">
        <v>12.361335417940309</v>
      </c>
      <c r="GG538">
        <v>18.43406410367141</v>
      </c>
      <c r="GH538">
        <v>11.715845262259922</v>
      </c>
      <c r="GI538">
        <v>8.4187127891269338</v>
      </c>
      <c r="GJ538"/>
      <c r="GK538"/>
      <c r="GL538"/>
      <c r="GM538"/>
    </row>
    <row r="539" spans="1:195" s="7" customFormat="1">
      <c r="A539" s="4"/>
      <c r="B539" s="4"/>
      <c r="C539" s="117">
        <f>C8</f>
        <v>39775</v>
      </c>
      <c r="D539" s="101">
        <f>D74</f>
        <v>23.57954545454545</v>
      </c>
      <c r="E539" s="108">
        <f>E409</f>
        <v>4.3529350407149753E-2</v>
      </c>
      <c r="F539" s="102"/>
      <c r="G539" s="101">
        <f>D539*E539</f>
        <v>1.0264022965322241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75.366987722857473</v>
      </c>
      <c r="AO539">
        <v>15.175043614630582</v>
      </c>
      <c r="AP539">
        <v>79.69467163300969</v>
      </c>
      <c r="AQ539">
        <v>98.795890074675285</v>
      </c>
      <c r="AR539">
        <v>14.546292399290472</v>
      </c>
      <c r="AS539">
        <v>73.257407278829916</v>
      </c>
      <c r="AT539">
        <v>8.5886898663660833</v>
      </c>
      <c r="AU539">
        <v>59.324445823328141</v>
      </c>
      <c r="AV539"/>
      <c r="AW539"/>
      <c r="FY539" s="214">
        <v>534</v>
      </c>
      <c r="FZ539">
        <v>1.3305318051994899</v>
      </c>
      <c r="GA539">
        <v>17.59659595712715</v>
      </c>
      <c r="GB539">
        <v>10.883309587009144</v>
      </c>
      <c r="GC539">
        <v>1.8248465304599395</v>
      </c>
      <c r="GD539">
        <v>7.1197634618642569</v>
      </c>
      <c r="GE539">
        <v>21.311883759322104</v>
      </c>
      <c r="GF539">
        <v>22.767112683647092</v>
      </c>
      <c r="GG539">
        <v>16.34808181701014</v>
      </c>
      <c r="GH539">
        <v>10.519068862461866</v>
      </c>
      <c r="GI539">
        <v>13.42738026666461</v>
      </c>
      <c r="GJ539"/>
      <c r="GK539"/>
      <c r="GL539"/>
      <c r="GM539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>
        <f>E541-E539</f>
        <v>0.11683624814595603</v>
      </c>
      <c r="I540" s="101">
        <f>AVERAGE(D539:D541)</f>
        <v>122.73755656108597</v>
      </c>
      <c r="J540" s="101">
        <f>I540*H540</f>
        <v>14.340195615199354</v>
      </c>
      <c r="K540" s="61">
        <f>J540/(C541-C539)</f>
        <v>0.59750815063330642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81.336924177555431</v>
      </c>
      <c r="AO540">
        <v>16.854034536561684</v>
      </c>
      <c r="AP540">
        <v>60.116710976075872</v>
      </c>
      <c r="AQ540">
        <v>99.04363422203555</v>
      </c>
      <c r="AR540">
        <v>15.525132805956986</v>
      </c>
      <c r="AS540">
        <v>75.650093728682521</v>
      </c>
      <c r="AT540">
        <v>8.4161101724492067</v>
      </c>
      <c r="AU540">
        <v>-13.366991550523458</v>
      </c>
      <c r="AV540"/>
      <c r="AW540"/>
      <c r="FY540" s="214">
        <v>535</v>
      </c>
      <c r="FZ540">
        <v>0.75673847735015876</v>
      </c>
      <c r="GA540">
        <v>9.1891301007047801</v>
      </c>
      <c r="GB540">
        <v>7.2532796507872508</v>
      </c>
      <c r="GC540">
        <v>1.9626293574760114</v>
      </c>
      <c r="GD540">
        <v>7.9023696722986481</v>
      </c>
      <c r="GE540">
        <v>22.836786500866779</v>
      </c>
      <c r="GF540">
        <v>18.195361907452241</v>
      </c>
      <c r="GG540">
        <v>7.0681223604770382</v>
      </c>
      <c r="GH540">
        <v>1.2805247260813373</v>
      </c>
      <c r="GI540">
        <v>10.594804901887581</v>
      </c>
      <c r="GJ540"/>
      <c r="GK540"/>
      <c r="GL540"/>
      <c r="GM540"/>
    </row>
    <row r="541" spans="1:195" s="7" customFormat="1">
      <c r="A541" s="4"/>
      <c r="B541" s="4"/>
      <c r="C541" s="117">
        <f>C9</f>
        <v>39799</v>
      </c>
      <c r="D541" s="101">
        <f>D75</f>
        <v>221.89556766762649</v>
      </c>
      <c r="E541" s="108">
        <f>E410</f>
        <v>0.16036559855310578</v>
      </c>
      <c r="F541" s="102"/>
      <c r="G541" s="101">
        <f>D541*E541</f>
        <v>35.584415525300109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71.194405808012448</v>
      </c>
      <c r="AO541">
        <v>10.602464274101873</v>
      </c>
      <c r="AP541">
        <v>30.211121973761095</v>
      </c>
      <c r="AQ541">
        <v>66.150620271074231</v>
      </c>
      <c r="AR541">
        <v>9.8306439805465367</v>
      </c>
      <c r="AS541">
        <v>58.176283331705015</v>
      </c>
      <c r="AT541">
        <v>5.5407800136409096</v>
      </c>
      <c r="AU541">
        <v>4.6613697215724397</v>
      </c>
      <c r="AV541"/>
      <c r="AW541"/>
      <c r="FY541" s="214">
        <v>536</v>
      </c>
      <c r="FZ541">
        <v>1.4011280696803672</v>
      </c>
      <c r="GA541">
        <v>18.289321548912216</v>
      </c>
      <c r="GB541">
        <v>10.721815388721859</v>
      </c>
      <c r="GC541">
        <v>1.5852383892438235</v>
      </c>
      <c r="GD541">
        <v>1.7837344191410467</v>
      </c>
      <c r="GE541">
        <v>6.8405521388809465</v>
      </c>
      <c r="GF541">
        <v>18.412021567525873</v>
      </c>
      <c r="GG541">
        <v>17.71769058508529</v>
      </c>
      <c r="GH541">
        <v>11.66632870255963</v>
      </c>
      <c r="GI541">
        <v>9.5751920016372214</v>
      </c>
      <c r="GJ541"/>
      <c r="GK541"/>
      <c r="GL541"/>
      <c r="GM541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>
        <f>E543-E541</f>
        <v>-0.14021925435516785</v>
      </c>
      <c r="I542" s="101">
        <f>AVERAGE(D541:D543)</f>
        <v>136.9894505004799</v>
      </c>
      <c r="J542" s="101">
        <f>I542*H542</f>
        <v>-19.208558603701469</v>
      </c>
      <c r="K542" s="61">
        <f>J542/(C543-C541)</f>
        <v>-0.40017830424378059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96.943349023279978</v>
      </c>
      <c r="AO542">
        <v>16.056023636491052</v>
      </c>
      <c r="AP542">
        <v>67.841481073610368</v>
      </c>
      <c r="AQ542">
        <v>93.865119914384508</v>
      </c>
      <c r="AR542">
        <v>14.774927702347298</v>
      </c>
      <c r="AS542">
        <v>82.824680191264534</v>
      </c>
      <c r="AT542" t="e">
        <v>#DIV/0!</v>
      </c>
      <c r="AU542" t="e">
        <v>#DIV/0!</v>
      </c>
      <c r="AV542"/>
      <c r="AW542"/>
      <c r="FY542" s="214">
        <v>537</v>
      </c>
      <c r="FZ542">
        <v>0.67009717474744113</v>
      </c>
      <c r="GA542">
        <v>9.9881793958528284</v>
      </c>
      <c r="GB542">
        <v>9.0012893938575242</v>
      </c>
      <c r="GC542">
        <v>3.1937180570345882</v>
      </c>
      <c r="GD542">
        <v>7.4586008282208125</v>
      </c>
      <c r="GE542">
        <v>14.601080194757374</v>
      </c>
      <c r="GF542">
        <v>13.470005884170389</v>
      </c>
      <c r="GG542">
        <v>19.964647768217375</v>
      </c>
      <c r="GH542">
        <v>15.879467503267575</v>
      </c>
      <c r="GI542">
        <v>11.957921430972352</v>
      </c>
      <c r="GJ542"/>
      <c r="GK542"/>
      <c r="GL542"/>
      <c r="GM542"/>
    </row>
    <row r="543" spans="1:195" s="7" customFormat="1">
      <c r="A543" s="4"/>
      <c r="B543" s="4"/>
      <c r="C543" s="117">
        <f>C10</f>
        <v>39847</v>
      </c>
      <c r="D543" s="101">
        <f>D76</f>
        <v>52.083333333333336</v>
      </c>
      <c r="E543" s="108">
        <f>E411</f>
        <v>2.0146344197937927E-2</v>
      </c>
      <c r="F543" s="102"/>
      <c r="G543" s="101">
        <f>D543*E543</f>
        <v>1.0492887603092671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100.51476575977287</v>
      </c>
      <c r="AO543">
        <v>20.988025330486778</v>
      </c>
      <c r="AP543">
        <v>96.689625769677818</v>
      </c>
      <c r="AQ543">
        <v>115.9972021104639</v>
      </c>
      <c r="AR543">
        <v>19.615650762508817</v>
      </c>
      <c r="AS543">
        <v>100.03078420108139</v>
      </c>
      <c r="AT543" t="e">
        <v>#DIV/0!</v>
      </c>
      <c r="AU543" t="e">
        <v>#DIV/0!</v>
      </c>
      <c r="AV543"/>
      <c r="AW543"/>
      <c r="FY543" s="214">
        <v>538</v>
      </c>
      <c r="FZ543">
        <v>0.93824749793266793</v>
      </c>
      <c r="GA543">
        <v>5.0458608169938506</v>
      </c>
      <c r="GB543">
        <v>7.6484681173916549</v>
      </c>
      <c r="GC543">
        <v>3.985035441358785</v>
      </c>
      <c r="GD543">
        <v>2.9338408399630911</v>
      </c>
      <c r="GE543">
        <v>11.345497094472458</v>
      </c>
      <c r="GF543">
        <v>13.442436525921787</v>
      </c>
      <c r="GG543">
        <v>5.2441664205508864</v>
      </c>
      <c r="GH543">
        <v>5.833164351279815</v>
      </c>
      <c r="GI543">
        <v>7.2905340796508735</v>
      </c>
      <c r="GJ543"/>
      <c r="GK543"/>
      <c r="GL543"/>
      <c r="GM543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>
        <f>E545-E543</f>
        <v>0.3765354756797466</v>
      </c>
      <c r="I544" s="101">
        <f>AVERAGE(D543:D545)</f>
        <v>43.576388888888886</v>
      </c>
      <c r="J544" s="101">
        <f>I544*H544</f>
        <v>16.4080563186834</v>
      </c>
      <c r="K544" s="61">
        <f>J544/(C545-C543)</f>
        <v>0.26044533839180001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60.340092967666102</v>
      </c>
      <c r="AO544">
        <v>14.48111512975091</v>
      </c>
      <c r="AP544">
        <v>78.402098458345407</v>
      </c>
      <c r="AQ544">
        <v>75.811076445737498</v>
      </c>
      <c r="AR544">
        <v>13.164650117955372</v>
      </c>
      <c r="AS544">
        <v>66.567810073605827</v>
      </c>
      <c r="AT544" t="e">
        <v>#DIV/0!</v>
      </c>
      <c r="AU544" t="e">
        <v>#DIV/0!</v>
      </c>
      <c r="AV544"/>
      <c r="AW544"/>
      <c r="FY544" s="214">
        <v>539</v>
      </c>
      <c r="FZ544">
        <v>0.82377605814646548</v>
      </c>
      <c r="GA544">
        <v>18.132222080595298</v>
      </c>
      <c r="GB544">
        <v>11.772236157960284</v>
      </c>
      <c r="GC544">
        <v>2.3102810133248113</v>
      </c>
      <c r="GD544">
        <v>5.0770495751363907</v>
      </c>
      <c r="GE544">
        <v>9.7437813654342538</v>
      </c>
      <c r="GF544">
        <v>15.336906141328162</v>
      </c>
      <c r="GG544">
        <v>19.115351650033499</v>
      </c>
      <c r="GH544">
        <v>8.0912842962827654</v>
      </c>
      <c r="GI544">
        <v>10.461485037035075</v>
      </c>
      <c r="GJ544"/>
      <c r="GK544"/>
      <c r="GL544"/>
      <c r="GM544"/>
    </row>
    <row r="545" spans="1:195" s="7" customFormat="1">
      <c r="A545" s="4"/>
      <c r="B545" s="4"/>
      <c r="C545" s="117">
        <f>C11</f>
        <v>39910</v>
      </c>
      <c r="D545" s="101">
        <f>D77</f>
        <v>35.069444444444443</v>
      </c>
      <c r="E545" s="108">
        <f>E412</f>
        <v>0.39668181987768453</v>
      </c>
      <c r="F545" s="102"/>
      <c r="G545" s="101">
        <f>D545*E545</f>
        <v>13.911411044321575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67.433483902806842</v>
      </c>
      <c r="AO545">
        <v>14.05541809410578</v>
      </c>
      <c r="AP545">
        <v>55.771178319951687</v>
      </c>
      <c r="AQ545">
        <v>84.477293765072005</v>
      </c>
      <c r="AR545">
        <v>12.790828274634059</v>
      </c>
      <c r="AS545">
        <v>72.645550858061</v>
      </c>
      <c r="AT545" t="e">
        <v>#DIV/0!</v>
      </c>
      <c r="AU545" t="e">
        <v>#DIV/0!</v>
      </c>
      <c r="AV545"/>
      <c r="AW545"/>
      <c r="FY545" s="214">
        <v>540</v>
      </c>
      <c r="FZ545">
        <v>0.75136949028203115</v>
      </c>
      <c r="GA545">
        <v>12.60738388773062</v>
      </c>
      <c r="GB545">
        <v>7.7967860331133441</v>
      </c>
      <c r="GC545">
        <v>1.7533124691577127</v>
      </c>
      <c r="GD545">
        <v>11.253930921866175</v>
      </c>
      <c r="GE545">
        <v>28.597676733869005</v>
      </c>
      <c r="GF545">
        <v>17.384536213371899</v>
      </c>
      <c r="GG545">
        <v>6.0871289447749799</v>
      </c>
      <c r="GH545">
        <v>8.3748326283281188E-2</v>
      </c>
      <c r="GI545">
        <v>12.427287917340319</v>
      </c>
      <c r="GJ545"/>
      <c r="GK545"/>
      <c r="GL545"/>
      <c r="GM54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>
        <f>E547-E545</f>
        <v>-2.2686524383939255E-2</v>
      </c>
      <c r="I546" s="101">
        <f>AVERAGE(D545:D547)</f>
        <v>36.761629852744306</v>
      </c>
      <c r="J546" s="101">
        <f>I546*H546</f>
        <v>-0.833993612047633</v>
      </c>
      <c r="K546" s="61">
        <f>J546/(C547-C545)</f>
        <v>-2.1384451590964949E-2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51.479877196989662</v>
      </c>
      <c r="AO546">
        <v>13.551917026442078</v>
      </c>
      <c r="AP546">
        <v>107.00583052815138</v>
      </c>
      <c r="AQ546">
        <v>69.113333852191971</v>
      </c>
      <c r="AR546">
        <v>12.677331780946083</v>
      </c>
      <c r="AS546">
        <v>54.141429210037089</v>
      </c>
      <c r="AT546">
        <v>6.7621217782053256</v>
      </c>
      <c r="AU546">
        <v>38.031101255651102</v>
      </c>
      <c r="AV546"/>
      <c r="AW546"/>
      <c r="FY546" s="214">
        <v>541</v>
      </c>
      <c r="FZ546">
        <v>0.94818867544368646</v>
      </c>
      <c r="GA546">
        <v>9.7203639009923855</v>
      </c>
      <c r="GB546">
        <v>9.6560924113982409</v>
      </c>
      <c r="GC546">
        <v>3.5081498721113591</v>
      </c>
      <c r="GD546">
        <v>3.8604675886296671</v>
      </c>
      <c r="GE546">
        <v>11.46539522872688</v>
      </c>
      <c r="GF546">
        <v>12.883148424343494</v>
      </c>
      <c r="GG546">
        <v>6.5996461541722251</v>
      </c>
      <c r="GH546">
        <v>4.5700923869253698</v>
      </c>
      <c r="GI546">
        <v>8.0771527837336556</v>
      </c>
      <c r="GJ546"/>
      <c r="GK546"/>
      <c r="GL546"/>
      <c r="GM546"/>
    </row>
    <row r="547" spans="1:195" s="7" customFormat="1">
      <c r="A547" s="4"/>
      <c r="B547" s="4"/>
      <c r="C547" s="117">
        <f>C12</f>
        <v>39949</v>
      </c>
      <c r="D547" s="101">
        <f>D78</f>
        <v>38.453815261044177</v>
      </c>
      <c r="E547" s="108">
        <f>E413</f>
        <v>0.37399529549374527</v>
      </c>
      <c r="F547" s="102"/>
      <c r="G547" s="101">
        <f>D547*E547</f>
        <v>14.381546001416108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76.033610860969731</v>
      </c>
      <c r="AO547">
        <v>13.871869857428464</v>
      </c>
      <c r="AP547">
        <v>79.768728494348949</v>
      </c>
      <c r="AQ547">
        <v>84.365513327016615</v>
      </c>
      <c r="AR547">
        <v>12.789655412669184</v>
      </c>
      <c r="AS547">
        <v>63.740275241671739</v>
      </c>
      <c r="AT547">
        <v>6.9356134885143028</v>
      </c>
      <c r="AU547">
        <v>56.348430170826347</v>
      </c>
      <c r="AV547"/>
      <c r="AW547"/>
      <c r="FY547" s="214">
        <v>542</v>
      </c>
      <c r="FZ547">
        <v>1.075881343209852</v>
      </c>
      <c r="GA547">
        <v>5.1700335578087726</v>
      </c>
      <c r="GB547">
        <v>7.7470096914349238</v>
      </c>
      <c r="GC547">
        <v>4.1766613034458882</v>
      </c>
      <c r="GD547">
        <v>6.1766188143349412</v>
      </c>
      <c r="GE547">
        <v>14.077763511492469</v>
      </c>
      <c r="GF547">
        <v>13.189824936751595</v>
      </c>
      <c r="GG547">
        <v>10.527347136859103</v>
      </c>
      <c r="GH547">
        <v>5.9169126775630962</v>
      </c>
      <c r="GI547">
        <v>9.4558249029737667</v>
      </c>
      <c r="GJ547"/>
      <c r="GK547"/>
      <c r="GL547"/>
      <c r="GM547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>
        <f>E549-E547</f>
        <v>0.13237186133052509</v>
      </c>
      <c r="I548" s="101">
        <f>AVERAGE(D547:D549)</f>
        <v>23.105453729812869</v>
      </c>
      <c r="J548" s="101">
        <f>I548*H548</f>
        <v>3.0585119171016526</v>
      </c>
      <c r="K548" s="61">
        <f>J548/(C549-C547)</f>
        <v>8.0487155713201378E-2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71.273640410178118</v>
      </c>
      <c r="AO548">
        <v>12.59121541867763</v>
      </c>
      <c r="AP548">
        <v>87.531182729995251</v>
      </c>
      <c r="AQ548">
        <v>78.028530576327157</v>
      </c>
      <c r="AR548">
        <v>11.625424104713879</v>
      </c>
      <c r="AS548">
        <v>62.565899505269513</v>
      </c>
      <c r="AT548">
        <v>6.5883401707290377</v>
      </c>
      <c r="AU548">
        <v>76.301655315124833</v>
      </c>
      <c r="AV548"/>
      <c r="AW548"/>
      <c r="FY548" s="214">
        <v>543</v>
      </c>
      <c r="FZ548">
        <v>0.71753103373733695</v>
      </c>
      <c r="GA548">
        <v>3.0236370570143118</v>
      </c>
      <c r="GB548">
        <v>1.5187406410295914</v>
      </c>
      <c r="GC548">
        <v>1.0464705159386867</v>
      </c>
      <c r="GD548">
        <v>11.828282348058361</v>
      </c>
      <c r="GE548">
        <v>27.320096553425739</v>
      </c>
      <c r="GF548">
        <v>19.638718621808312</v>
      </c>
      <c r="GG548">
        <v>13.90647095565541</v>
      </c>
      <c r="GH548">
        <v>9.4082087575566788</v>
      </c>
      <c r="GI548">
        <v>12.968954832763304</v>
      </c>
      <c r="GJ548"/>
      <c r="GK548"/>
      <c r="GL548"/>
      <c r="GM548"/>
    </row>
    <row r="549" spans="1:195" s="7" customFormat="1">
      <c r="A549" s="4"/>
      <c r="B549" s="4"/>
      <c r="C549" s="117">
        <f>C13</f>
        <v>39987</v>
      </c>
      <c r="D549" s="101">
        <f>D79</f>
        <v>7.7570921985815602</v>
      </c>
      <c r="E549" s="108">
        <f>E414</f>
        <v>0.50636715682427036</v>
      </c>
      <c r="F549" s="102"/>
      <c r="G549" s="101">
        <f>D549*E549</f>
        <v>3.927936721819473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64.963161113971168</v>
      </c>
      <c r="AO549">
        <v>12.784565849954072</v>
      </c>
      <c r="AP549">
        <v>89.649240687677178</v>
      </c>
      <c r="AQ549">
        <v>80.75247528983104</v>
      </c>
      <c r="AR549">
        <v>11.825615818131888</v>
      </c>
      <c r="AS549">
        <v>63.933635520674102</v>
      </c>
      <c r="AT549">
        <v>7.3691046174089827</v>
      </c>
      <c r="AU549">
        <v>14.602833635487595</v>
      </c>
      <c r="AV549"/>
      <c r="AW549"/>
      <c r="FY549" s="214">
        <v>544</v>
      </c>
      <c r="FZ549">
        <v>0.95146872591263121</v>
      </c>
      <c r="GA549">
        <v>11.706247511892585</v>
      </c>
      <c r="GB549">
        <v>9.8799543947350958</v>
      </c>
      <c r="GC549">
        <v>2.8044846470935578</v>
      </c>
      <c r="GD549">
        <v>6.9291486677300558</v>
      </c>
      <c r="GE549">
        <v>15.438247835347674</v>
      </c>
      <c r="GF549">
        <v>17.138725217243412</v>
      </c>
      <c r="GG549">
        <v>19.527321514258446</v>
      </c>
      <c r="GH549">
        <v>9.8788064994211968</v>
      </c>
      <c r="GI549">
        <v>12.165593883372896</v>
      </c>
      <c r="GJ549"/>
      <c r="GK549"/>
      <c r="GL549"/>
      <c r="GM549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>
        <f>E551-E549</f>
        <v>-0.50636715682427036</v>
      </c>
      <c r="I550" s="101">
        <f>AVERAGE(D549:D551)</f>
        <v>3.8785460992907801</v>
      </c>
      <c r="J550" s="101">
        <f>I550*H550</f>
        <v>-1.9639683609097365</v>
      </c>
      <c r="K550" s="61">
        <f>J550/(C551-C549)</f>
        <v>4.9115171453465791E-5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93.415394785647237</v>
      </c>
      <c r="AO550">
        <v>20.505375986449764</v>
      </c>
      <c r="AP550">
        <v>96.534190042175723</v>
      </c>
      <c r="AQ550">
        <v>123.12857473076581</v>
      </c>
      <c r="AR550">
        <v>18.844212069112817</v>
      </c>
      <c r="AS550">
        <v>92.951838828519513</v>
      </c>
      <c r="AT550">
        <v>10.580556643769436</v>
      </c>
      <c r="AU550">
        <v>21.51438715085223</v>
      </c>
      <c r="AV550"/>
      <c r="AW550"/>
      <c r="FY550" s="214">
        <v>545</v>
      </c>
      <c r="FZ550">
        <v>1.0527189377188706</v>
      </c>
      <c r="GA550">
        <v>2.9866262924105245</v>
      </c>
      <c r="GB550">
        <v>5.2327364513856907</v>
      </c>
      <c r="GC550">
        <v>3.082481700324057</v>
      </c>
      <c r="GD550">
        <v>3.7404522596319736</v>
      </c>
      <c r="GE550">
        <v>10.208481550055469</v>
      </c>
      <c r="GF550">
        <v>9.9709896191698348</v>
      </c>
      <c r="GG550">
        <v>4.1766800464267595</v>
      </c>
      <c r="GH550">
        <v>7.4013337914035739</v>
      </c>
      <c r="GI550">
        <v>6.9669436619213814</v>
      </c>
      <c r="GJ550"/>
      <c r="GK550"/>
      <c r="GL550"/>
      <c r="GM550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79.840463804195153</v>
      </c>
      <c r="AO551">
        <v>16.402214660014096</v>
      </c>
      <c r="AP551">
        <v>79.740790176277471</v>
      </c>
      <c r="AQ551">
        <v>87.039747655381831</v>
      </c>
      <c r="AR551">
        <v>14.923313533414344</v>
      </c>
      <c r="AS551">
        <v>78.808631669610136</v>
      </c>
      <c r="AT551" t="e">
        <v>#DIV/0!</v>
      </c>
      <c r="AU551" t="e">
        <v>#DIV/0!</v>
      </c>
      <c r="AV551"/>
      <c r="AW551"/>
      <c r="FY551" s="214">
        <v>546</v>
      </c>
      <c r="FZ551">
        <v>1.0919263813316922</v>
      </c>
      <c r="GA551">
        <v>15.966676700090817</v>
      </c>
      <c r="GB551">
        <v>10.323219758532714</v>
      </c>
      <c r="GC551">
        <v>2.2380021836414201</v>
      </c>
      <c r="GD551">
        <v>2.9956841035162105</v>
      </c>
      <c r="GE551">
        <v>10.684461245380747</v>
      </c>
      <c r="GF551">
        <v>26.048020999665553</v>
      </c>
      <c r="GG551">
        <v>23.396753232594339</v>
      </c>
      <c r="GH551">
        <v>11.191395023475936</v>
      </c>
      <c r="GI551">
        <v>11.327111698994432</v>
      </c>
      <c r="GJ551"/>
      <c r="GK551"/>
      <c r="GL551"/>
      <c r="GM551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72.52271488637588</v>
      </c>
      <c r="AO552">
        <v>14.492506298152028</v>
      </c>
      <c r="AP552">
        <v>67.881983231920586</v>
      </c>
      <c r="AQ552">
        <v>97.993022811388272</v>
      </c>
      <c r="AR552">
        <v>13.544622234083935</v>
      </c>
      <c r="AS552">
        <v>68.007128139951263</v>
      </c>
      <c r="AT552">
        <v>8.0262267910314637</v>
      </c>
      <c r="AU552">
        <v>21.752440914472867</v>
      </c>
      <c r="AV552"/>
      <c r="AW552"/>
      <c r="FY552" s="214">
        <v>547</v>
      </c>
      <c r="FZ552">
        <v>0.75645984413453271</v>
      </c>
      <c r="GA552">
        <v>10.227768772470572</v>
      </c>
      <c r="GB552">
        <v>10.167814603702787</v>
      </c>
      <c r="GC552">
        <v>3.7525118537204438</v>
      </c>
      <c r="GD552">
        <v>3.8609062833936973</v>
      </c>
      <c r="GE552">
        <v>13.948297375251821</v>
      </c>
      <c r="GF552">
        <v>15.019814390032819</v>
      </c>
      <c r="GG552">
        <v>5.9565592981745965</v>
      </c>
      <c r="GH552">
        <v>7.6206865544182483</v>
      </c>
      <c r="GI552">
        <v>9.0570123806000691</v>
      </c>
      <c r="GJ552"/>
      <c r="GK552"/>
      <c r="GL552"/>
      <c r="GM552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84.748723320858801</v>
      </c>
      <c r="AO553">
        <v>17.893468230667722</v>
      </c>
      <c r="AP553">
        <v>115.54896866065296</v>
      </c>
      <c r="AQ553">
        <v>106.18500763109826</v>
      </c>
      <c r="AR553">
        <v>16.623874457136065</v>
      </c>
      <c r="AS553">
        <v>87.005232843013445</v>
      </c>
      <c r="AT553" t="e">
        <v>#DIV/0!</v>
      </c>
      <c r="AU553" t="e">
        <v>#DIV/0!</v>
      </c>
      <c r="AV553"/>
      <c r="AW553"/>
      <c r="FY553" s="214">
        <v>548</v>
      </c>
      <c r="FZ553">
        <v>0.39584299095139264</v>
      </c>
      <c r="GA553">
        <v>10.198876904956169</v>
      </c>
      <c r="GB553">
        <v>6.9875095495945576</v>
      </c>
      <c r="GC553">
        <v>1.9110183470755957</v>
      </c>
      <c r="GD553">
        <v>2.9701844509385205</v>
      </c>
      <c r="GE553">
        <v>12.244061216877254</v>
      </c>
      <c r="GF553">
        <v>21.500533881734221</v>
      </c>
      <c r="GG553">
        <v>12.033505108247688</v>
      </c>
      <c r="GH553">
        <v>9.4919570838399601</v>
      </c>
      <c r="GI553">
        <v>9.2796031745264447</v>
      </c>
      <c r="GJ553"/>
      <c r="GK553"/>
      <c r="GL553"/>
      <c r="GM553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61.603276557063211</v>
      </c>
      <c r="AO554">
        <v>10.931572279673938</v>
      </c>
      <c r="AP554">
        <v>22.996241837572175</v>
      </c>
      <c r="AQ554">
        <v>63.707251185515872</v>
      </c>
      <c r="AR554">
        <v>10.128544856824178</v>
      </c>
      <c r="AS554">
        <v>56.751258560358409</v>
      </c>
      <c r="AT554">
        <v>5.3871149629480541</v>
      </c>
      <c r="AU554">
        <v>7.7849013338255793</v>
      </c>
      <c r="AV554"/>
      <c r="AW554"/>
      <c r="FY554" s="214">
        <v>549</v>
      </c>
      <c r="FZ554">
        <v>0.76640102164555124</v>
      </c>
      <c r="GA554">
        <v>16.912292682257473</v>
      </c>
      <c r="GB554">
        <v>10.199336480464297</v>
      </c>
      <c r="GC554">
        <v>2.0198454661122582</v>
      </c>
      <c r="GD554">
        <v>4.2339366375331782</v>
      </c>
      <c r="GE554">
        <v>12.063538321995669</v>
      </c>
      <c r="GF554">
        <v>17.381066466449443</v>
      </c>
      <c r="GG554">
        <v>11.957120469031599</v>
      </c>
      <c r="GH554">
        <v>4.0456421481413827</v>
      </c>
      <c r="GI554">
        <v>9.2943858605889762</v>
      </c>
      <c r="GJ554"/>
      <c r="GK554"/>
      <c r="GL554"/>
      <c r="GM554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73.382787826144337</v>
      </c>
      <c r="AO555">
        <v>16.082649094531593</v>
      </c>
      <c r="AP555">
        <v>79.736325866825098</v>
      </c>
      <c r="AQ555">
        <v>100.86437337527701</v>
      </c>
      <c r="AR555">
        <v>14.645008680013595</v>
      </c>
      <c r="AS555">
        <v>75.780179505483176</v>
      </c>
      <c r="AT555" t="e">
        <v>#DIV/0!</v>
      </c>
      <c r="AU555" t="e">
        <v>#DIV/0!</v>
      </c>
      <c r="AV555"/>
      <c r="AW555"/>
      <c r="FY555" s="214">
        <v>550</v>
      </c>
      <c r="FZ555">
        <v>0.93796886471704188</v>
      </c>
      <c r="GA555">
        <v>11.465552074513079</v>
      </c>
      <c r="GB555">
        <v>6.9629682316235115</v>
      </c>
      <c r="GC555">
        <v>1.9498034501322792</v>
      </c>
      <c r="GD555">
        <v>3.1551472165227645</v>
      </c>
      <c r="GE555">
        <v>7.7726420003843408</v>
      </c>
      <c r="GF555">
        <v>9.7950229586763395</v>
      </c>
      <c r="GG555">
        <v>10.925230070858227</v>
      </c>
      <c r="GH555">
        <v>8.1750326225660466</v>
      </c>
      <c r="GI555">
        <v>7.0618192799779651</v>
      </c>
      <c r="GJ555"/>
      <c r="GK555"/>
      <c r="GL555"/>
      <c r="GM55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>
        <f>AVERAGE(G531:G553)</f>
        <v>6.8271015845714169</v>
      </c>
      <c r="H556" s="63" t="s">
        <v>103</v>
      </c>
      <c r="I556" s="123">
        <f>SUM(J532:J552)+G531</f>
        <v>4.8736805091395441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95.789714180155983</v>
      </c>
      <c r="AO556">
        <v>19.207465766351266</v>
      </c>
      <c r="AP556">
        <v>106.84676533042018</v>
      </c>
      <c r="AQ556">
        <v>98.743160937789369</v>
      </c>
      <c r="AR556">
        <v>17.46262073456176</v>
      </c>
      <c r="AS556">
        <v>92.710306746111485</v>
      </c>
      <c r="AT556" t="e">
        <v>#DIV/0!</v>
      </c>
      <c r="AU556" t="e">
        <v>#DIV/0!</v>
      </c>
      <c r="AV556"/>
      <c r="AW556"/>
      <c r="FY556" s="214">
        <v>551</v>
      </c>
      <c r="FZ556">
        <v>0.82095224800458855</v>
      </c>
      <c r="GA556">
        <v>3.1358214737652945</v>
      </c>
      <c r="GB556">
        <v>3.3903257792215111</v>
      </c>
      <c r="GC556">
        <v>1.7478163744655595</v>
      </c>
      <c r="GD556">
        <v>7.0610890248206939</v>
      </c>
      <c r="GE556">
        <v>20.356894753098885</v>
      </c>
      <c r="GF556">
        <v>15.362508558455694</v>
      </c>
      <c r="GG556">
        <v>6.5663525623876229</v>
      </c>
      <c r="GH556">
        <v>3.6566247639505578</v>
      </c>
      <c r="GI556">
        <v>8.7949902933921038</v>
      </c>
      <c r="GJ556"/>
      <c r="GK556"/>
      <c r="GL556"/>
      <c r="GM556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65.937662426974057</v>
      </c>
      <c r="AO557">
        <v>12.138532270741754</v>
      </c>
      <c r="AP557">
        <v>45.820272069506771</v>
      </c>
      <c r="AQ557">
        <v>71.288697426476958</v>
      </c>
      <c r="AR557">
        <v>11.250199806416155</v>
      </c>
      <c r="AS557">
        <v>61.974022613366365</v>
      </c>
      <c r="AT557">
        <v>6.2875454503433623</v>
      </c>
      <c r="AU557">
        <v>29.388697297836604</v>
      </c>
      <c r="AV557"/>
      <c r="AW557"/>
      <c r="FY557" s="214">
        <v>552</v>
      </c>
      <c r="FZ557">
        <v>0.73458957861749707</v>
      </c>
      <c r="GA557">
        <v>4.4599229151580664</v>
      </c>
      <c r="GB557">
        <v>4.1366962115421213</v>
      </c>
      <c r="GC557">
        <v>1.8803888869020464</v>
      </c>
      <c r="GD557">
        <v>6.2304887135260056</v>
      </c>
      <c r="GE557">
        <v>15.708092256456039</v>
      </c>
      <c r="GF557">
        <v>21.691278143798257</v>
      </c>
      <c r="GG557">
        <v>16.946372869391993</v>
      </c>
      <c r="GH557">
        <v>5.9169126775630962</v>
      </c>
      <c r="GI557">
        <v>10.102523389887885</v>
      </c>
      <c r="GJ557"/>
      <c r="GK557"/>
      <c r="GL557"/>
      <c r="GM557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67.07209906512432</v>
      </c>
      <c r="AO558">
        <v>14.410381230910421</v>
      </c>
      <c r="AP558">
        <v>61.859910926745734</v>
      </c>
      <c r="AQ558">
        <v>77.513877875874414</v>
      </c>
      <c r="AR558">
        <v>13.303629800819477</v>
      </c>
      <c r="AS558">
        <v>68.769653962476994</v>
      </c>
      <c r="AT558">
        <v>6.8935972795232052</v>
      </c>
      <c r="AU558">
        <v>13.439627340673598</v>
      </c>
      <c r="AV558"/>
      <c r="AW558"/>
      <c r="FY558" s="214">
        <v>553</v>
      </c>
      <c r="FZ558">
        <v>1.2135151884870365</v>
      </c>
      <c r="GA558">
        <v>11.029540237906303</v>
      </c>
      <c r="GB558">
        <v>11.822518427343525</v>
      </c>
      <c r="GC558">
        <v>4.2457538677096718</v>
      </c>
      <c r="GD558">
        <v>9.9670281558820939</v>
      </c>
      <c r="GE558">
        <v>25.234205940716969</v>
      </c>
      <c r="GF558">
        <v>23.949043751816632</v>
      </c>
      <c r="GG558">
        <v>16.939914536165183</v>
      </c>
      <c r="GH558">
        <v>3.740373090233839</v>
      </c>
      <c r="GI558">
        <v>14.871973700011626</v>
      </c>
      <c r="GJ558"/>
      <c r="GK558"/>
      <c r="GL558"/>
      <c r="GM558"/>
    </row>
    <row r="559" spans="1:195" s="7" customFormat="1">
      <c r="A559" s="4"/>
      <c r="B559" s="4"/>
      <c r="C559" s="63"/>
      <c r="D559" s="63"/>
      <c r="E559" s="63" t="s">
        <v>102</v>
      </c>
      <c r="F559" s="101">
        <f>I556/G556</f>
        <v>0.71387256345409977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86.144293975604612</v>
      </c>
      <c r="AO559">
        <v>19.320287294925038</v>
      </c>
      <c r="AP559">
        <v>123.15490340628014</v>
      </c>
      <c r="AQ559">
        <v>101.37711131698772</v>
      </c>
      <c r="AR559">
        <v>18.099525275634512</v>
      </c>
      <c r="AS559">
        <v>95.766673060895286</v>
      </c>
      <c r="AT559" t="e">
        <v>#DIV/0!</v>
      </c>
      <c r="AU559" t="e">
        <v>#DIV/0!</v>
      </c>
      <c r="AV559"/>
      <c r="AW559"/>
      <c r="FY559" s="214">
        <v>554</v>
      </c>
      <c r="FZ559">
        <v>1.2096778715868397</v>
      </c>
      <c r="GA559">
        <v>12.054722195400702</v>
      </c>
      <c r="GB559">
        <v>9.716989447848281</v>
      </c>
      <c r="GC559">
        <v>2.9688684433424184</v>
      </c>
      <c r="GD559">
        <v>4.1477526492792318</v>
      </c>
      <c r="GE559">
        <v>11.911446082196193</v>
      </c>
      <c r="GF559">
        <v>20.666540266628303</v>
      </c>
      <c r="GG559">
        <v>15.724969178809999</v>
      </c>
      <c r="GH559">
        <v>7.7044348807015295</v>
      </c>
      <c r="GI559">
        <v>10.559326533988703</v>
      </c>
      <c r="GJ559"/>
      <c r="GK559"/>
      <c r="GL559"/>
      <c r="GM559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64.836152151688935</v>
      </c>
      <c r="AO560">
        <v>18.928335746106235</v>
      </c>
      <c r="AP560">
        <v>94.22776044192409</v>
      </c>
      <c r="AQ560">
        <v>106.41999889700755</v>
      </c>
      <c r="AR560">
        <v>17.398651881232325</v>
      </c>
      <c r="AS560">
        <v>80.639533566856258</v>
      </c>
      <c r="AT560">
        <v>9.935089758125736</v>
      </c>
      <c r="AU560">
        <v>12.652429639481312</v>
      </c>
      <c r="AV560"/>
      <c r="AW560"/>
      <c r="FY560" s="214">
        <v>555</v>
      </c>
      <c r="FZ560">
        <v>0.39584299095139264</v>
      </c>
      <c r="GA560">
        <v>16.09655445378619</v>
      </c>
      <c r="GB560">
        <v>9.9510975217746065</v>
      </c>
      <c r="GC560">
        <v>1.8211355225122381</v>
      </c>
      <c r="GD560">
        <v>11.349916986114755</v>
      </c>
      <c r="GE560">
        <v>26.244477787883245</v>
      </c>
      <c r="GF560">
        <v>13.582436319611439</v>
      </c>
      <c r="GG560">
        <v>9.3470256582740738</v>
      </c>
      <c r="GH560">
        <v>6.0006610038463775</v>
      </c>
      <c r="GI560">
        <v>13.220504579591477</v>
      </c>
      <c r="GJ560"/>
      <c r="GK560"/>
      <c r="GL560"/>
      <c r="GM560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53.874638146011272</v>
      </c>
      <c r="AO561">
        <v>10.027835738457432</v>
      </c>
      <c r="AP561">
        <v>94.917703830140482</v>
      </c>
      <c r="AQ561">
        <v>54.819444310448134</v>
      </c>
      <c r="AR561">
        <v>9.8303846207466599</v>
      </c>
      <c r="AS561">
        <v>49.647018406167717</v>
      </c>
      <c r="AT561" t="e">
        <v>#DIV/0!</v>
      </c>
      <c r="AU561" t="e">
        <v>#DIV/0!</v>
      </c>
      <c r="AV561"/>
      <c r="AW561"/>
      <c r="FY561" s="214">
        <v>556</v>
      </c>
      <c r="FZ561">
        <v>0.93824749793266793</v>
      </c>
      <c r="GA561">
        <v>10.724566259123609</v>
      </c>
      <c r="GB561">
        <v>9.0762429881764568</v>
      </c>
      <c r="GC561">
        <v>3.0134132237720404</v>
      </c>
      <c r="GD561">
        <v>4.3621132706289627</v>
      </c>
      <c r="GE561">
        <v>9.8766890320303293</v>
      </c>
      <c r="GF561">
        <v>22.675523402663373</v>
      </c>
      <c r="GG561">
        <v>21.270348713920086</v>
      </c>
      <c r="GH561">
        <v>6.0006610038463775</v>
      </c>
      <c r="GI561">
        <v>10.745056822210767</v>
      </c>
      <c r="GJ561"/>
      <c r="GK561"/>
      <c r="GL561"/>
      <c r="GM561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92.798848212720671</v>
      </c>
      <c r="AO562">
        <v>17.325508970320431</v>
      </c>
      <c r="AP562">
        <v>68.989579700231857</v>
      </c>
      <c r="AQ562">
        <v>115.26325132722386</v>
      </c>
      <c r="AR562">
        <v>15.799299888442871</v>
      </c>
      <c r="AS562">
        <v>84.454808368370266</v>
      </c>
      <c r="AT562" t="e">
        <v>#DIV/0!</v>
      </c>
      <c r="AU562" t="e">
        <v>#DIV/0!</v>
      </c>
      <c r="AV562"/>
      <c r="AW562"/>
      <c r="FY562" s="214">
        <v>557</v>
      </c>
      <c r="FZ562">
        <v>0.66399331413661944</v>
      </c>
      <c r="GA562">
        <v>12.738877750951914</v>
      </c>
      <c r="GB562">
        <v>8.291798683768155</v>
      </c>
      <c r="GC562">
        <v>1.9829584363147652</v>
      </c>
      <c r="GD562">
        <v>1.9519526966970489</v>
      </c>
      <c r="GE562">
        <v>7.130513161836145</v>
      </c>
      <c r="GF562">
        <v>23.548059845622227</v>
      </c>
      <c r="GG562">
        <v>18.800863031003843</v>
      </c>
      <c r="GH562">
        <v>4.0456421481413827</v>
      </c>
      <c r="GI562">
        <v>8.8684983255639196</v>
      </c>
      <c r="GJ562"/>
      <c r="GK562"/>
      <c r="GL562"/>
      <c r="GM562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71.570115313861464</v>
      </c>
      <c r="AO563">
        <v>13.447673142091649</v>
      </c>
      <c r="AP563">
        <v>56.437345890563279</v>
      </c>
      <c r="AQ563">
        <v>80.367831355899582</v>
      </c>
      <c r="AR563">
        <v>12.582242558430538</v>
      </c>
      <c r="AS563">
        <v>67.869191628117406</v>
      </c>
      <c r="AT563" t="e">
        <v>#DIV/0!</v>
      </c>
      <c r="AU563" t="e">
        <v>#DIV/0!</v>
      </c>
      <c r="AV563"/>
      <c r="AW563"/>
      <c r="FY563" s="214">
        <v>558</v>
      </c>
      <c r="FZ563">
        <v>0.68003835225845954</v>
      </c>
      <c r="GA563">
        <v>10.47752860094093</v>
      </c>
      <c r="GB563">
        <v>7.804153058964256</v>
      </c>
      <c r="GC563">
        <v>2.042592404776757</v>
      </c>
      <c r="GD563">
        <v>2.7640140468816359</v>
      </c>
      <c r="GE563">
        <v>8.5919310390115253</v>
      </c>
      <c r="GF563">
        <v>16.333823643630375</v>
      </c>
      <c r="GG563">
        <v>12.67098105877767</v>
      </c>
      <c r="GH563">
        <v>5.3603986408057089</v>
      </c>
      <c r="GI563">
        <v>7.9340707946440183</v>
      </c>
      <c r="GJ563"/>
      <c r="GK563"/>
      <c r="GL563"/>
      <c r="GM563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85.282850823683987</v>
      </c>
      <c r="AO564">
        <v>13.696149424955047</v>
      </c>
      <c r="AP564">
        <v>72.270963671086534</v>
      </c>
      <c r="AQ564">
        <v>87.013092708741809</v>
      </c>
      <c r="AR564">
        <v>12.986994721495121</v>
      </c>
      <c r="AS564">
        <v>73.31101632117047</v>
      </c>
      <c r="AT564">
        <v>7.5888869374218615</v>
      </c>
      <c r="AU564">
        <v>37.116136850960281</v>
      </c>
      <c r="AV564"/>
      <c r="AW564"/>
      <c r="FY564" s="214">
        <v>559</v>
      </c>
      <c r="FZ564">
        <v>1.2571117305767356</v>
      </c>
      <c r="GA564">
        <v>24.344305194997304</v>
      </c>
      <c r="GB564">
        <v>14.095469750976436</v>
      </c>
      <c r="GC564">
        <v>2.0660803443552216</v>
      </c>
      <c r="GD564">
        <v>8.0183890379576734</v>
      </c>
      <c r="GE564">
        <v>21.217361143319113</v>
      </c>
      <c r="GF564">
        <v>20.754658924374411</v>
      </c>
      <c r="GG564">
        <v>10.233591292978033</v>
      </c>
      <c r="GH564">
        <v>0.16749665256656238</v>
      </c>
      <c r="GI564">
        <v>12.725195114993374</v>
      </c>
      <c r="GJ564"/>
      <c r="GK564"/>
      <c r="GL564"/>
      <c r="GM564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79.261478597278526</v>
      </c>
      <c r="AO565">
        <v>14.319362102827103</v>
      </c>
      <c r="AP565">
        <v>67.476016179502309</v>
      </c>
      <c r="AQ565">
        <v>88.873565554219809</v>
      </c>
      <c r="AR565">
        <v>13.017601911661004</v>
      </c>
      <c r="AS565">
        <v>71.046240826553174</v>
      </c>
      <c r="AT565" t="e">
        <v>#DIV/0!</v>
      </c>
      <c r="AU565" t="e">
        <v>#DIV/0!</v>
      </c>
      <c r="AV565"/>
      <c r="AW565"/>
      <c r="FY565" s="214">
        <v>560</v>
      </c>
      <c r="FZ565">
        <v>0.68359703594303034</v>
      </c>
      <c r="GA565">
        <v>18.3451857545891</v>
      </c>
      <c r="GB565">
        <v>16.885239222905529</v>
      </c>
      <c r="GC565">
        <v>5.4582104527467354</v>
      </c>
      <c r="GD565">
        <v>5.0089296129044829</v>
      </c>
      <c r="GE565">
        <v>14.19660811727014</v>
      </c>
      <c r="GF565">
        <v>12.878282347836027</v>
      </c>
      <c r="GG565">
        <v>6.1521738423839283</v>
      </c>
      <c r="GH565">
        <v>7.6206865544182483</v>
      </c>
      <c r="GI565">
        <v>10.954999616144715</v>
      </c>
      <c r="GJ565"/>
      <c r="GK565"/>
      <c r="GL565"/>
      <c r="GM56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61.163167156028052</v>
      </c>
      <c r="AO566">
        <v>10.906216311968976</v>
      </c>
      <c r="AP566">
        <v>50.651371480425851</v>
      </c>
      <c r="AQ566">
        <v>68.201186769971599</v>
      </c>
      <c r="AR566">
        <v>9.926951398827871</v>
      </c>
      <c r="AS566">
        <v>50.850405588298592</v>
      </c>
      <c r="AT566" t="e">
        <v>#DIV/0!</v>
      </c>
      <c r="AU566" t="e">
        <v>#DIV/0!</v>
      </c>
      <c r="AV566"/>
      <c r="AW566"/>
      <c r="FY566" s="214">
        <v>561</v>
      </c>
      <c r="FZ566">
        <v>0.27882637423893936</v>
      </c>
      <c r="GA566">
        <v>16.448911411710689</v>
      </c>
      <c r="GB566">
        <v>12.225504956310568</v>
      </c>
      <c r="GC566">
        <v>3.1343781994403024</v>
      </c>
      <c r="GD566">
        <v>6.4540261105149792</v>
      </c>
      <c r="GE566">
        <v>16.904963182236227</v>
      </c>
      <c r="GF566">
        <v>16.999477751447763</v>
      </c>
      <c r="GG566">
        <v>10.983294749475492</v>
      </c>
      <c r="GH566">
        <v>4.0456421481413827</v>
      </c>
      <c r="GI566">
        <v>11.012100840212922</v>
      </c>
      <c r="GJ566"/>
      <c r="GK566"/>
      <c r="GL566"/>
      <c r="GM566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75.64026438326762</v>
      </c>
      <c r="AO567">
        <v>13.457903248459672</v>
      </c>
      <c r="AP567">
        <v>71.222968993376753</v>
      </c>
      <c r="AQ567">
        <v>70.893375831562508</v>
      </c>
      <c r="AR567">
        <v>12.259520202523971</v>
      </c>
      <c r="AS567">
        <v>66.567184573283043</v>
      </c>
      <c r="AT567" t="e">
        <v>#DIV/0!</v>
      </c>
      <c r="AU567" t="e">
        <v>#DIV/0!</v>
      </c>
      <c r="AV567"/>
      <c r="AW567"/>
      <c r="FY567" s="214">
        <v>562</v>
      </c>
      <c r="FZ567">
        <v>7.0596264480877552E-2</v>
      </c>
      <c r="GA567">
        <v>9.2823005096223774</v>
      </c>
      <c r="GB567">
        <v>11.520599215373039</v>
      </c>
      <c r="GC567">
        <v>4.1907542168051792</v>
      </c>
      <c r="GD567">
        <v>3.5751695355373347</v>
      </c>
      <c r="GE567">
        <v>8.5275489853163808</v>
      </c>
      <c r="GF567">
        <v>8.2612645534695908</v>
      </c>
      <c r="GG567">
        <v>5.68670472518507</v>
      </c>
      <c r="GH567">
        <v>2.9005502766532074</v>
      </c>
      <c r="GI567">
        <v>7.2652143032303798</v>
      </c>
      <c r="GJ567"/>
      <c r="GK567"/>
      <c r="GL567"/>
      <c r="GM567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77.463356158227057</v>
      </c>
      <c r="AO568">
        <v>15.374521959578644</v>
      </c>
      <c r="AP568">
        <v>99.675387597133295</v>
      </c>
      <c r="AQ568">
        <v>87.807265642843021</v>
      </c>
      <c r="AR568">
        <v>14.168234130222395</v>
      </c>
      <c r="AS568">
        <v>76.198614144447106</v>
      </c>
      <c r="AT568">
        <v>8.1157001371561766</v>
      </c>
      <c r="AU568">
        <v>32.168437846549267</v>
      </c>
      <c r="AV568"/>
      <c r="AW568"/>
      <c r="FY568" s="214">
        <v>563</v>
      </c>
      <c r="FZ568">
        <v>1.3440316663950791</v>
      </c>
      <c r="GA568">
        <v>11.186331420144471</v>
      </c>
      <c r="GB568">
        <v>10.483244488684541</v>
      </c>
      <c r="GC568">
        <v>3.51473959257702</v>
      </c>
      <c r="GD568">
        <v>3.7233839240489557</v>
      </c>
      <c r="GE568">
        <v>7.5681961395155355</v>
      </c>
      <c r="GF568">
        <v>9.8904405293265363</v>
      </c>
      <c r="GG568">
        <v>13.495836432893272</v>
      </c>
      <c r="GH568">
        <v>11.66632870255963</v>
      </c>
      <c r="GI568">
        <v>8.7776773344688213</v>
      </c>
      <c r="GJ568"/>
      <c r="GK568"/>
      <c r="GL568"/>
      <c r="GM568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87.374645479986356</v>
      </c>
      <c r="AO569">
        <v>23.271697091344368</v>
      </c>
      <c r="AP569">
        <v>104.62313420685791</v>
      </c>
      <c r="AQ569">
        <v>123.01386689627289</v>
      </c>
      <c r="AR569">
        <v>21.168941671744889</v>
      </c>
      <c r="AS569">
        <v>97.826496802736472</v>
      </c>
      <c r="AT569" t="e">
        <v>#DIV/0!</v>
      </c>
      <c r="AU569" t="e">
        <v>#DIV/0!</v>
      </c>
      <c r="AV569"/>
      <c r="AW569"/>
      <c r="FY569" s="214">
        <v>564</v>
      </c>
      <c r="FZ569">
        <v>1.6593372153545758</v>
      </c>
      <c r="GA569">
        <v>8.4727435498732309</v>
      </c>
      <c r="GB569">
        <v>5.7000454729637404</v>
      </c>
      <c r="GC569">
        <v>1.9760945890360482</v>
      </c>
      <c r="GD569">
        <v>3.0459792934013001</v>
      </c>
      <c r="GE569">
        <v>10.841727923683848</v>
      </c>
      <c r="GF569">
        <v>17.713214651379083</v>
      </c>
      <c r="GG569">
        <v>13.904277863435944</v>
      </c>
      <c r="GH569">
        <v>9.4060407889470916</v>
      </c>
      <c r="GI569">
        <v>8.6337094417307156</v>
      </c>
      <c r="GJ569"/>
      <c r="GK569"/>
      <c r="GL569"/>
      <c r="GM569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71.90957947170655</v>
      </c>
      <c r="AO570">
        <v>16.037354456830201</v>
      </c>
      <c r="AP570">
        <v>77.651474605083763</v>
      </c>
      <c r="AQ570">
        <v>96.664727549782214</v>
      </c>
      <c r="AR570">
        <v>14.949029651064087</v>
      </c>
      <c r="AS570">
        <v>71.465432215563908</v>
      </c>
      <c r="AT570">
        <v>8.2981825179768549</v>
      </c>
      <c r="AU570">
        <v>18.210223190886076</v>
      </c>
      <c r="AV570"/>
      <c r="AW570"/>
      <c r="FY570" s="214">
        <v>565</v>
      </c>
      <c r="FZ570">
        <v>1.3205906276884714</v>
      </c>
      <c r="GA570">
        <v>12.516339637103099</v>
      </c>
      <c r="GB570">
        <v>12.185318707178027</v>
      </c>
      <c r="GC570">
        <v>4.1882990710587347</v>
      </c>
      <c r="GD570">
        <v>6.9385851257765525</v>
      </c>
      <c r="GE570">
        <v>13.498428953026979</v>
      </c>
      <c r="GF570">
        <v>14.114029193072703</v>
      </c>
      <c r="GG570">
        <v>13.106517819825239</v>
      </c>
      <c r="GH570">
        <v>2.4277845661791013</v>
      </c>
      <c r="GI570">
        <v>10.839359861278661</v>
      </c>
      <c r="GJ570"/>
      <c r="GK570"/>
      <c r="GL570"/>
      <c r="GM570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103.79872991220611</v>
      </c>
      <c r="AO571">
        <v>20.22473432954725</v>
      </c>
      <c r="AP571">
        <v>121.76934624632725</v>
      </c>
      <c r="AQ571">
        <v>108.00965282434581</v>
      </c>
      <c r="AR571">
        <v>18.577196047996882</v>
      </c>
      <c r="AS571">
        <v>95.350514362421521</v>
      </c>
      <c r="AT571">
        <v>9.477815487491533</v>
      </c>
      <c r="AU571">
        <v>-18.414350016506734</v>
      </c>
      <c r="AV571"/>
      <c r="AW571"/>
      <c r="FY571" s="214">
        <v>566</v>
      </c>
      <c r="FZ571">
        <v>1.014947623024367</v>
      </c>
      <c r="GA571">
        <v>2.3679222298330327</v>
      </c>
      <c r="GB571">
        <v>5.4289839537916542</v>
      </c>
      <c r="GC571">
        <v>3.4133847684983292</v>
      </c>
      <c r="GD571">
        <v>7.517086849405513</v>
      </c>
      <c r="GE571">
        <v>17.497845246601539</v>
      </c>
      <c r="GF571">
        <v>13.236829254494049</v>
      </c>
      <c r="GG571">
        <v>6.7103820858014309</v>
      </c>
      <c r="GH571">
        <v>3.6587927325601464</v>
      </c>
      <c r="GI571">
        <v>9.2349150260796353</v>
      </c>
      <c r="GJ571"/>
      <c r="GK571"/>
      <c r="GL571"/>
      <c r="GM571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62.796530013855339</v>
      </c>
      <c r="AO572">
        <v>16.689476123874336</v>
      </c>
      <c r="AP572">
        <v>100.01606581307165</v>
      </c>
      <c r="AQ572">
        <v>98.682862214304677</v>
      </c>
      <c r="AR572">
        <v>15.350793599968465</v>
      </c>
      <c r="AS572">
        <v>71.028714130068266</v>
      </c>
      <c r="AT572" t="e">
        <v>#DIV/0!</v>
      </c>
      <c r="AU572" t="e">
        <v>#DIV/0!</v>
      </c>
      <c r="AV572"/>
      <c r="AW572"/>
      <c r="FY572" s="214">
        <v>567</v>
      </c>
      <c r="FZ572">
        <v>0.955027409597202</v>
      </c>
      <c r="GA572">
        <v>3.9515597022365792</v>
      </c>
      <c r="GB572">
        <v>3.6346540123952904</v>
      </c>
      <c r="GC572">
        <v>1.5898945087117939</v>
      </c>
      <c r="GD572">
        <v>8.8825720800025412</v>
      </c>
      <c r="GE572">
        <v>20.209818180640426</v>
      </c>
      <c r="GF572">
        <v>14.943836739492642</v>
      </c>
      <c r="GG572">
        <v>13.486841437624284</v>
      </c>
      <c r="GH572">
        <v>6.4734267143204844</v>
      </c>
      <c r="GI572">
        <v>10.687606081643779</v>
      </c>
      <c r="GJ572"/>
      <c r="GK572"/>
      <c r="GL572"/>
      <c r="GM572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63.496824756515466</v>
      </c>
      <c r="AO573">
        <v>13.976912444274898</v>
      </c>
      <c r="AP573">
        <v>85.578437026679964</v>
      </c>
      <c r="AQ573">
        <v>88.023157394036019</v>
      </c>
      <c r="AR573">
        <v>12.718815392212042</v>
      </c>
      <c r="AS573">
        <v>60.75315259888346</v>
      </c>
      <c r="AT573" t="e">
        <v>#DIV/0!</v>
      </c>
      <c r="AU573" t="e">
        <v>#DIV/0!</v>
      </c>
      <c r="AV573"/>
      <c r="AW573"/>
      <c r="FY573" s="214">
        <v>568</v>
      </c>
      <c r="FZ573">
        <v>0.68970089655385203</v>
      </c>
      <c r="GA573">
        <v>23.640692473657321</v>
      </c>
      <c r="GB573">
        <v>16.613008373997147</v>
      </c>
      <c r="GC573">
        <v>3.2031486533592401</v>
      </c>
      <c r="GD573">
        <v>15.67641337954676</v>
      </c>
      <c r="GE573">
        <v>37.81851870075122</v>
      </c>
      <c r="GF573">
        <v>24.499864716174223</v>
      </c>
      <c r="GG573">
        <v>12.421835860575847</v>
      </c>
      <c r="GH573">
        <v>5.5300632619818613</v>
      </c>
      <c r="GI573">
        <v>19.605186781997705</v>
      </c>
      <c r="GJ573"/>
      <c r="GK573"/>
      <c r="GL573"/>
      <c r="GM573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60.769434279700477</v>
      </c>
      <c r="AO574">
        <v>12.200575727198316</v>
      </c>
      <c r="AP574">
        <v>77.137146394657734</v>
      </c>
      <c r="AQ574">
        <v>74.659531640691327</v>
      </c>
      <c r="AR574">
        <v>11.269975057535717</v>
      </c>
      <c r="AS574">
        <v>61.229709554479754</v>
      </c>
      <c r="AT574" t="e">
        <v>#DIV/0!</v>
      </c>
      <c r="AU574" t="e">
        <v>#DIV/0!</v>
      </c>
      <c r="AV574"/>
      <c r="AW574"/>
      <c r="FY574" s="214">
        <v>569</v>
      </c>
      <c r="FZ574">
        <v>0.86510605652553973</v>
      </c>
      <c r="GA574">
        <v>11.211353860684317</v>
      </c>
      <c r="GB574">
        <v>10.096448446025647</v>
      </c>
      <c r="GC574">
        <v>3.5529784040634089</v>
      </c>
      <c r="GD574">
        <v>2.2459762929000422</v>
      </c>
      <c r="GE574">
        <v>4.7076494352036509</v>
      </c>
      <c r="GF574">
        <v>9.1597942068215765</v>
      </c>
      <c r="GG574">
        <v>8.4714306770196313</v>
      </c>
      <c r="GH574">
        <v>5.2766503145224277</v>
      </c>
      <c r="GI574">
        <v>6.5365278102226165</v>
      </c>
      <c r="GJ574"/>
      <c r="GK574"/>
      <c r="GL574"/>
      <c r="GM574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98.707344501279493</v>
      </c>
      <c r="AO575">
        <v>19.607533566653721</v>
      </c>
      <c r="AP575">
        <v>90.89886658088578</v>
      </c>
      <c r="AQ575">
        <v>114.87965918709486</v>
      </c>
      <c r="AR575">
        <v>17.825352570063991</v>
      </c>
      <c r="AS575">
        <v>89.752657208592467</v>
      </c>
      <c r="AT575" t="e">
        <v>#DIV/0!</v>
      </c>
      <c r="AU575" t="e">
        <v>#DIV/0!</v>
      </c>
      <c r="AV575"/>
      <c r="AW575"/>
      <c r="FY575" s="214">
        <v>570</v>
      </c>
      <c r="FZ575">
        <v>0.80773102002462538</v>
      </c>
      <c r="GA575">
        <v>9.7766841120664836</v>
      </c>
      <c r="GB575">
        <v>10.197748508925226</v>
      </c>
      <c r="GC575">
        <v>4.0516413163592553</v>
      </c>
      <c r="GD575">
        <v>1.8854829870351191</v>
      </c>
      <c r="GE575">
        <v>10.948159350295771</v>
      </c>
      <c r="GF575">
        <v>26.368997378898833</v>
      </c>
      <c r="GG575">
        <v>11.969799451720077</v>
      </c>
      <c r="GH575">
        <v>2.4277845661791013</v>
      </c>
      <c r="GI575">
        <v>9.280120616218392</v>
      </c>
      <c r="GJ575"/>
      <c r="GK575"/>
      <c r="GL575"/>
      <c r="GM57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99.212688147503727</v>
      </c>
      <c r="AO576">
        <v>16.265535742562534</v>
      </c>
      <c r="AP576">
        <v>58.6394109283898</v>
      </c>
      <c r="AQ576">
        <v>98.183912557141937</v>
      </c>
      <c r="AR576">
        <v>15.156467183548028</v>
      </c>
      <c r="AS576">
        <v>87.546732095524405</v>
      </c>
      <c r="AT576">
        <v>8.7664232319595303</v>
      </c>
      <c r="AU576">
        <v>10.514263324264007</v>
      </c>
      <c r="AV576"/>
      <c r="AW576"/>
      <c r="FY576" s="214">
        <v>571</v>
      </c>
      <c r="FZ576">
        <v>0.92220245981082782</v>
      </c>
      <c r="GA576">
        <v>10.05942471140578</v>
      </c>
      <c r="GB576">
        <v>6.765761985993425</v>
      </c>
      <c r="GC576">
        <v>2.0358369721995899</v>
      </c>
      <c r="GD576">
        <v>11.446515154385921</v>
      </c>
      <c r="GE576">
        <v>28.192462252820487</v>
      </c>
      <c r="GF576">
        <v>16.337558167798925</v>
      </c>
      <c r="GG576">
        <v>10.827683217202516</v>
      </c>
      <c r="GH576">
        <v>6.9782562227679907</v>
      </c>
      <c r="GI576">
        <v>13.077666901796768</v>
      </c>
      <c r="GJ576"/>
      <c r="GK576"/>
      <c r="GL576"/>
      <c r="GM576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90.422369852708584</v>
      </c>
      <c r="AO577">
        <v>16.961259719772187</v>
      </c>
      <c r="AP577">
        <v>86.824107791659827</v>
      </c>
      <c r="AQ577">
        <v>98.48712572372925</v>
      </c>
      <c r="AR577">
        <v>15.420293182747443</v>
      </c>
      <c r="AS577">
        <v>81.803561918074877</v>
      </c>
      <c r="AT577" t="e">
        <v>#DIV/0!</v>
      </c>
      <c r="AU577" t="e">
        <v>#DIV/0!</v>
      </c>
      <c r="AV577"/>
      <c r="AW577"/>
      <c r="FY577" s="214">
        <v>572</v>
      </c>
      <c r="FZ577">
        <v>0.45932188806312851</v>
      </c>
      <c r="GA577">
        <v>4.6266508666969388</v>
      </c>
      <c r="GB577">
        <v>7.5775058276616551</v>
      </c>
      <c r="GC577">
        <v>3.5780659958118424</v>
      </c>
      <c r="GD577">
        <v>0.78803671212461346</v>
      </c>
      <c r="GE577">
        <v>9.1862396457270599</v>
      </c>
      <c r="GF577">
        <v>21.156142993358721</v>
      </c>
      <c r="GG577">
        <v>7.2388346664009386</v>
      </c>
      <c r="GH577">
        <v>1.955018855704995</v>
      </c>
      <c r="GI577">
        <v>6.8452504409845201</v>
      </c>
      <c r="GJ577"/>
      <c r="GK577"/>
      <c r="GL577"/>
      <c r="GM577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51.189802415361996</v>
      </c>
      <c r="AO578">
        <v>11.081260474587079</v>
      </c>
      <c r="AP578">
        <v>49.114807771772412</v>
      </c>
      <c r="AQ578">
        <v>61.280702585673438</v>
      </c>
      <c r="AR578">
        <v>10.252737791904289</v>
      </c>
      <c r="AS578">
        <v>48.774550476990932</v>
      </c>
      <c r="AT578">
        <v>5.2275099447117377</v>
      </c>
      <c r="AU578">
        <v>12.859873995520967</v>
      </c>
      <c r="AV578"/>
      <c r="AW578"/>
      <c r="FY578" s="214">
        <v>573</v>
      </c>
      <c r="FZ578">
        <v>0.80417233634005447</v>
      </c>
      <c r="GA578">
        <v>16.850634654001357</v>
      </c>
      <c r="GB578">
        <v>11.530680046528936</v>
      </c>
      <c r="GC578">
        <v>2.5222874366649988</v>
      </c>
      <c r="GD578">
        <v>6.0680966667973735</v>
      </c>
      <c r="GE578">
        <v>14.521549101272692</v>
      </c>
      <c r="GF578">
        <v>15.506087329028254</v>
      </c>
      <c r="GG578">
        <v>15.791013479451559</v>
      </c>
      <c r="GH578">
        <v>14.177861595022014</v>
      </c>
      <c r="GI578">
        <v>11.841267450809745</v>
      </c>
      <c r="GJ578"/>
      <c r="GK578"/>
      <c r="GL578"/>
      <c r="GM578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57.382264562958127</v>
      </c>
      <c r="AO579">
        <v>12.956076325402401</v>
      </c>
      <c r="AP579">
        <v>34.510844810057606</v>
      </c>
      <c r="AQ579">
        <v>81.650210230613851</v>
      </c>
      <c r="AR579">
        <v>12.160077010440343</v>
      </c>
      <c r="AS579">
        <v>62.535274445416078</v>
      </c>
      <c r="AT579">
        <v>7.5195129425282694</v>
      </c>
      <c r="AU579">
        <v>13.892115904464845</v>
      </c>
      <c r="AV579"/>
      <c r="AW579"/>
      <c r="FY579" s="214">
        <v>574</v>
      </c>
      <c r="FZ579">
        <v>1.266774274872128</v>
      </c>
      <c r="GA579">
        <v>4.1264065508648331</v>
      </c>
      <c r="GB579">
        <v>8.5681480928631153</v>
      </c>
      <c r="GC579">
        <v>4.7117457662459472</v>
      </c>
      <c r="GD579">
        <v>1.3203386559656249</v>
      </c>
      <c r="GE579">
        <v>4.011360976526122</v>
      </c>
      <c r="GF579">
        <v>23.134858857025122</v>
      </c>
      <c r="GG579">
        <v>22.752388445959486</v>
      </c>
      <c r="GH579">
        <v>7.6185185858086601</v>
      </c>
      <c r="GI579">
        <v>8.7954878145800564</v>
      </c>
      <c r="GJ579"/>
      <c r="GK579"/>
      <c r="GL579"/>
      <c r="GM579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73.270888968763572</v>
      </c>
      <c r="AO580">
        <v>13.247470938812361</v>
      </c>
      <c r="AP580">
        <v>81.458765329000968</v>
      </c>
      <c r="AQ580">
        <v>81.353170789805574</v>
      </c>
      <c r="AR580">
        <v>12.258647923222771</v>
      </c>
      <c r="AS580">
        <v>63.63596162857646</v>
      </c>
      <c r="AT580">
        <v>6.922085363552938</v>
      </c>
      <c r="AU580">
        <v>63.315379514423896</v>
      </c>
      <c r="AV580"/>
      <c r="AW580"/>
      <c r="FY580" s="214">
        <v>575</v>
      </c>
      <c r="FZ580">
        <v>1.4748267775187478</v>
      </c>
      <c r="GA580">
        <v>5.9740583406931433</v>
      </c>
      <c r="GB580">
        <v>4.1867440495672605</v>
      </c>
      <c r="GC580">
        <v>1.8286067569676294</v>
      </c>
      <c r="GD580">
        <v>2.9261920177259872</v>
      </c>
      <c r="GE580">
        <v>9.0175920295627545</v>
      </c>
      <c r="GF580">
        <v>12.403480790717172</v>
      </c>
      <c r="GG580">
        <v>13.361866823651638</v>
      </c>
      <c r="GH580">
        <v>10.634880986718549</v>
      </c>
      <c r="GI580">
        <v>7.2210378867618452</v>
      </c>
      <c r="GJ580"/>
      <c r="GK580"/>
      <c r="GL580"/>
      <c r="GM580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66.93969059914707</v>
      </c>
      <c r="AO581">
        <v>16.690055438150061</v>
      </c>
      <c r="AP581">
        <v>65.961893695808115</v>
      </c>
      <c r="AQ581">
        <v>91.135253562187572</v>
      </c>
      <c r="AR581">
        <v>15.363529546347923</v>
      </c>
      <c r="AS581">
        <v>72.201994377336831</v>
      </c>
      <c r="AT581">
        <v>8.019397621372951</v>
      </c>
      <c r="AU581">
        <v>6.7004054590558058</v>
      </c>
      <c r="AV581"/>
      <c r="AW581"/>
      <c r="FY581" s="214">
        <v>576</v>
      </c>
      <c r="FZ581">
        <v>0.1411925289617551</v>
      </c>
      <c r="GA581">
        <v>4.8079415932689695</v>
      </c>
      <c r="GB581">
        <v>5.1477976237604564</v>
      </c>
      <c r="GC581">
        <v>2.217366959380386</v>
      </c>
      <c r="GD581">
        <v>3.9747911823609376</v>
      </c>
      <c r="GE581">
        <v>12.017000030946049</v>
      </c>
      <c r="GF581">
        <v>16.045169787070336</v>
      </c>
      <c r="GG581">
        <v>11.033410408013227</v>
      </c>
      <c r="GH581">
        <v>5.4099152005060009</v>
      </c>
      <c r="GI581">
        <v>7.59112121313788</v>
      </c>
      <c r="GJ581"/>
      <c r="GK581"/>
      <c r="GL581"/>
      <c r="GM581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58.15882608403998</v>
      </c>
      <c r="AO582">
        <v>13.790493383285085</v>
      </c>
      <c r="AP582">
        <v>53.572300432808731</v>
      </c>
      <c r="AQ582">
        <v>70.08108977008969</v>
      </c>
      <c r="AR582">
        <v>12.906106620189739</v>
      </c>
      <c r="AS582">
        <v>65.425693781846334</v>
      </c>
      <c r="AT582">
        <v>6.9716212019637149</v>
      </c>
      <c r="AU582">
        <v>4.5980295961963673</v>
      </c>
      <c r="AV582"/>
      <c r="AW582"/>
      <c r="FY582" s="214">
        <v>577</v>
      </c>
      <c r="FZ582">
        <v>1.3473117168640238</v>
      </c>
      <c r="GA582">
        <v>4.8392393638032196</v>
      </c>
      <c r="GB582">
        <v>5.6456199269130893</v>
      </c>
      <c r="GC582">
        <v>2.5424289846151558</v>
      </c>
      <c r="GD582">
        <v>2.7157156559158615</v>
      </c>
      <c r="GE582">
        <v>5.0251564616545146</v>
      </c>
      <c r="GF582">
        <v>10.596841150601936</v>
      </c>
      <c r="GG582">
        <v>10.509568012554574</v>
      </c>
      <c r="GH582">
        <v>4.9393174586414839</v>
      </c>
      <c r="GI582">
        <v>6.172315148478849</v>
      </c>
      <c r="GJ582"/>
      <c r="GK582"/>
      <c r="GL582"/>
      <c r="GM582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71.909112770974531</v>
      </c>
      <c r="AO583">
        <v>16.520656238088769</v>
      </c>
      <c r="AP583">
        <v>121.80083255795815</v>
      </c>
      <c r="AQ583">
        <v>84.815236866665018</v>
      </c>
      <c r="AR583">
        <v>15.210174383413417</v>
      </c>
      <c r="AS583">
        <v>70.943483931916262</v>
      </c>
      <c r="AT583">
        <v>7.8156192235308772</v>
      </c>
      <c r="AU583">
        <v>23.886421354628471</v>
      </c>
      <c r="AV583"/>
      <c r="AW583"/>
      <c r="FY583" s="214">
        <v>578</v>
      </c>
      <c r="FZ583">
        <v>0.32880541015508591</v>
      </c>
      <c r="GA583">
        <v>4.8611773046096936</v>
      </c>
      <c r="GB583">
        <v>8.5356887067231213</v>
      </c>
      <c r="GC583">
        <v>4.0740086790216878</v>
      </c>
      <c r="GD583">
        <v>5.2498155826657431</v>
      </c>
      <c r="GE583">
        <v>13.054328524340312</v>
      </c>
      <c r="GF583">
        <v>12.709660063759349</v>
      </c>
      <c r="GG583">
        <v>11.713812570709541</v>
      </c>
      <c r="GH583">
        <v>8.9332750784729846</v>
      </c>
      <c r="GI583">
        <v>9.192162858963675</v>
      </c>
      <c r="GJ583"/>
      <c r="GK583"/>
      <c r="GL583"/>
      <c r="GM583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125.60139923153501</v>
      </c>
      <c r="AO584">
        <v>29.633445660510482</v>
      </c>
      <c r="AP584">
        <v>147.07117260087023</v>
      </c>
      <c r="AQ584">
        <v>159.69843309859516</v>
      </c>
      <c r="AR584">
        <v>27.487333086840987</v>
      </c>
      <c r="AS584">
        <v>135.14687306219102</v>
      </c>
      <c r="AT584">
        <v>14.634665963545316</v>
      </c>
      <c r="AU584">
        <v>12.906483400790554</v>
      </c>
      <c r="AV584"/>
      <c r="AW584"/>
      <c r="FY584" s="214">
        <v>579</v>
      </c>
      <c r="FZ584">
        <v>1.2099565048024656</v>
      </c>
      <c r="GA584">
        <v>10.048369033901487</v>
      </c>
      <c r="GB584">
        <v>4.9182782269550724</v>
      </c>
      <c r="GC584">
        <v>0.97261786231643188</v>
      </c>
      <c r="GD584">
        <v>4.0213980562269294</v>
      </c>
      <c r="GE584">
        <v>12.776900528351341</v>
      </c>
      <c r="GF584">
        <v>21.1169823164742</v>
      </c>
      <c r="GG584">
        <v>10.948164794323125</v>
      </c>
      <c r="GH584">
        <v>1.8712705294217138</v>
      </c>
      <c r="GI584">
        <v>8.3070663986454338</v>
      </c>
      <c r="GJ584"/>
      <c r="GK584"/>
      <c r="GL584"/>
      <c r="GM584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55.748162712604298</v>
      </c>
      <c r="AO585">
        <v>9.7461554636366223</v>
      </c>
      <c r="AP585">
        <v>25.174737231786217</v>
      </c>
      <c r="AQ585">
        <v>62.123915503988854</v>
      </c>
      <c r="AR585">
        <v>9.039005963767508</v>
      </c>
      <c r="AS585">
        <v>49.262413020372605</v>
      </c>
      <c r="AT585">
        <v>5.4117066197771431</v>
      </c>
      <c r="AU585">
        <v>7.8999791018139174</v>
      </c>
      <c r="AV585"/>
      <c r="AW585"/>
      <c r="FY585" s="214">
        <v>580</v>
      </c>
      <c r="FZ585">
        <v>1.3815243478739565</v>
      </c>
      <c r="GA585">
        <v>20.769280476177769</v>
      </c>
      <c r="GB585">
        <v>12.758143504862314</v>
      </c>
      <c r="GC585">
        <v>2.337334643311693</v>
      </c>
      <c r="GD585">
        <v>5.1244355615615369</v>
      </c>
      <c r="GE585">
        <v>13.729587830075774</v>
      </c>
      <c r="GF585">
        <v>14.178000197451334</v>
      </c>
      <c r="GG585">
        <v>6.7424943530257213</v>
      </c>
      <c r="GH585">
        <v>1.7875222031384326</v>
      </c>
      <c r="GI585">
        <v>9.6333242253984714</v>
      </c>
      <c r="GJ585"/>
      <c r="GK585"/>
      <c r="GL585"/>
      <c r="GM58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81.97000716140839</v>
      </c>
      <c r="AO586">
        <v>14.076407644867725</v>
      </c>
      <c r="AP586">
        <v>60.801374349981295</v>
      </c>
      <c r="AQ586">
        <v>87.714149307722877</v>
      </c>
      <c r="AR586">
        <v>12.987808152833681</v>
      </c>
      <c r="AS586">
        <v>68.269131375147239</v>
      </c>
      <c r="AT586">
        <v>7.4088544754291652</v>
      </c>
      <c r="AU586">
        <v>33.269115211974771</v>
      </c>
      <c r="AV586"/>
      <c r="AW586"/>
      <c r="FY586" s="214">
        <v>581</v>
      </c>
      <c r="FZ586">
        <v>0.41188802907323274</v>
      </c>
      <c r="GA586">
        <v>9.144000439011613</v>
      </c>
      <c r="GB586">
        <v>11.506363930186815</v>
      </c>
      <c r="GC586">
        <v>4.7159056296688959</v>
      </c>
      <c r="GD586">
        <v>7.6958244009830903</v>
      </c>
      <c r="GE586">
        <v>19.970419622529633</v>
      </c>
      <c r="GF586">
        <v>16.522658529007686</v>
      </c>
      <c r="GG586">
        <v>10.406518004523102</v>
      </c>
      <c r="GH586">
        <v>8.2609489174589168</v>
      </c>
      <c r="GI586">
        <v>12.226760309712038</v>
      </c>
      <c r="GJ586"/>
      <c r="GK586"/>
      <c r="GL586"/>
      <c r="GM586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95.956489376610932</v>
      </c>
      <c r="AO587">
        <v>20.061544484496785</v>
      </c>
      <c r="AP587">
        <v>105.76858001208001</v>
      </c>
      <c r="AQ587">
        <v>106.64336804618225</v>
      </c>
      <c r="AR587">
        <v>18.238089768103141</v>
      </c>
      <c r="AS587">
        <v>95.255843797041564</v>
      </c>
      <c r="AT587" t="e">
        <v>#DIV/0!</v>
      </c>
      <c r="AU587" t="e">
        <v>#DIV/0!</v>
      </c>
      <c r="AV587"/>
      <c r="AW587"/>
      <c r="FY587" s="214">
        <v>582</v>
      </c>
      <c r="FZ587">
        <v>1.0952064318006371</v>
      </c>
      <c r="GA587">
        <v>16.213862077591951</v>
      </c>
      <c r="GB587">
        <v>11.058396350649854</v>
      </c>
      <c r="GC587">
        <v>2.3395842426230375</v>
      </c>
      <c r="GD587">
        <v>7.1855942074004382</v>
      </c>
      <c r="GE587">
        <v>24.039840183649996</v>
      </c>
      <c r="GF587">
        <v>31.506963377438204</v>
      </c>
      <c r="GG587">
        <v>14.76896493444872</v>
      </c>
      <c r="GH587">
        <v>1.1967763997980561</v>
      </c>
      <c r="GI587">
        <v>13.561693105021634</v>
      </c>
      <c r="GJ587"/>
      <c r="GK587"/>
      <c r="GL587"/>
      <c r="GM587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72.324074292417691</v>
      </c>
      <c r="AO588">
        <v>10.36079186450841</v>
      </c>
      <c r="AP588">
        <v>54.956439957918178</v>
      </c>
      <c r="AQ588">
        <v>63.411067892534419</v>
      </c>
      <c r="AR588">
        <v>9.6096535703100585</v>
      </c>
      <c r="AS588">
        <v>57.905280323518276</v>
      </c>
      <c r="AT588">
        <v>5.2413567073962595</v>
      </c>
      <c r="AU588">
        <v>32.721075713536948</v>
      </c>
      <c r="AV588"/>
      <c r="AW588"/>
      <c r="FY588" s="214">
        <v>583</v>
      </c>
      <c r="FZ588">
        <v>1.4107906139757598</v>
      </c>
      <c r="GA588">
        <v>24.541031074812345</v>
      </c>
      <c r="GB588">
        <v>16.245086344842793</v>
      </c>
      <c r="GC588">
        <v>2.8050072633015875</v>
      </c>
      <c r="GD588">
        <v>4.8959551551578073</v>
      </c>
      <c r="GE588">
        <v>10.917534467614884</v>
      </c>
      <c r="GF588">
        <v>6.5653354582293399</v>
      </c>
      <c r="GG588">
        <v>3.8684028698232797</v>
      </c>
      <c r="GH588">
        <v>3.7425410588434276</v>
      </c>
      <c r="GI588">
        <v>9.2359055573565279</v>
      </c>
      <c r="GJ588"/>
      <c r="GK588"/>
      <c r="GL588"/>
      <c r="GM588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92.647532873225302</v>
      </c>
      <c r="AO589">
        <v>17.458818259990135</v>
      </c>
      <c r="AP589">
        <v>86.387079057795447</v>
      </c>
      <c r="AQ589">
        <v>109.613650095917</v>
      </c>
      <c r="AR589">
        <v>16.407280698420962</v>
      </c>
      <c r="AS589">
        <v>89.430982182270228</v>
      </c>
      <c r="AT589" t="e">
        <v>#DIV/0!</v>
      </c>
      <c r="AU589" t="e">
        <v>#DIV/0!</v>
      </c>
      <c r="AV589"/>
      <c r="AW589"/>
      <c r="FY589" s="214">
        <v>584</v>
      </c>
      <c r="FZ589">
        <v>1.3308104384151158</v>
      </c>
      <c r="GA589">
        <v>5.3394836796353262</v>
      </c>
      <c r="GB589">
        <v>4.7975617143393876</v>
      </c>
      <c r="GC589">
        <v>2.2162438091666559</v>
      </c>
      <c r="GD589">
        <v>9.4067043655709064</v>
      </c>
      <c r="GE589">
        <v>22.384166551450452</v>
      </c>
      <c r="GF589">
        <v>13.404560099890201</v>
      </c>
      <c r="GG589">
        <v>5.9061271161748694</v>
      </c>
      <c r="GH589">
        <v>0.16749665256656238</v>
      </c>
      <c r="GI589">
        <v>9.9022769026122237</v>
      </c>
      <c r="GJ589"/>
      <c r="GK589"/>
      <c r="GL589"/>
      <c r="GM589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58.079987659798199</v>
      </c>
      <c r="AO590">
        <v>13.555898180469523</v>
      </c>
      <c r="AP590">
        <v>52.88602193845459</v>
      </c>
      <c r="AQ590">
        <v>86.306028020711096</v>
      </c>
      <c r="AR590">
        <v>12.336075152388977</v>
      </c>
      <c r="AS590">
        <v>65.403539781123612</v>
      </c>
      <c r="AT590" t="e">
        <v>#DIV/0!</v>
      </c>
      <c r="AU590" t="e">
        <v>#DIV/0!</v>
      </c>
      <c r="AV590"/>
      <c r="AW590"/>
      <c r="FY590" s="214">
        <v>585</v>
      </c>
      <c r="FZ590">
        <v>0.94536486530180963</v>
      </c>
      <c r="GA590">
        <v>5.0893615217192734</v>
      </c>
      <c r="GB590">
        <v>4.795156941558524</v>
      </c>
      <c r="GC590">
        <v>2.5140896482397066</v>
      </c>
      <c r="GD590">
        <v>3.9630961055158571</v>
      </c>
      <c r="GE590">
        <v>12.003334337842231</v>
      </c>
      <c r="GF590">
        <v>13.846476657644496</v>
      </c>
      <c r="GG590">
        <v>7.5529333793249016</v>
      </c>
      <c r="GH590">
        <v>5.3603986408057089</v>
      </c>
      <c r="GI590">
        <v>7.3815835371319363</v>
      </c>
      <c r="GJ590"/>
      <c r="GK590"/>
      <c r="GL590"/>
      <c r="GM590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60.305725407714135</v>
      </c>
      <c r="AO591">
        <v>11.17625103525816</v>
      </c>
      <c r="AP591">
        <v>51.06961477422989</v>
      </c>
      <c r="AQ591">
        <v>69.029286459884716</v>
      </c>
      <c r="AR591">
        <v>10.172437510908948</v>
      </c>
      <c r="AS591">
        <v>53.106753794729407</v>
      </c>
      <c r="AT591" t="e">
        <v>#DIV/0!</v>
      </c>
      <c r="AU591" t="e">
        <v>#DIV/0!</v>
      </c>
      <c r="AV591"/>
      <c r="AW591"/>
      <c r="FY591" s="214">
        <v>586</v>
      </c>
      <c r="FZ591">
        <v>1.6215659006600722</v>
      </c>
      <c r="GA591">
        <v>10.193319611394179</v>
      </c>
      <c r="GB591">
        <v>7.9161402099644391</v>
      </c>
      <c r="GC591">
        <v>2.6350924438055952</v>
      </c>
      <c r="GD591">
        <v>4.296155632039854</v>
      </c>
      <c r="GE591">
        <v>8.7921623895289294</v>
      </c>
      <c r="GF591">
        <v>7.2504987652623081</v>
      </c>
      <c r="GG591">
        <v>9.9906896508693475</v>
      </c>
      <c r="GH591">
        <v>8.8495267521897034</v>
      </c>
      <c r="GI591">
        <v>7.5438124395871577</v>
      </c>
      <c r="GJ591"/>
      <c r="GK591"/>
      <c r="GL591"/>
      <c r="GM591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70.153925926940659</v>
      </c>
      <c r="AO592">
        <v>11.593062078837704</v>
      </c>
      <c r="AP592">
        <v>90.625229762101014</v>
      </c>
      <c r="AQ592">
        <v>68.385706527405986</v>
      </c>
      <c r="AR592">
        <v>10.552000751284291</v>
      </c>
      <c r="AS592">
        <v>57.660319414289503</v>
      </c>
      <c r="AT592" t="e">
        <v>#DIV/0!</v>
      </c>
      <c r="AU592" t="e">
        <v>#DIV/0!</v>
      </c>
      <c r="AV592"/>
      <c r="AW592"/>
      <c r="FY592" s="214">
        <v>587</v>
      </c>
      <c r="FZ592">
        <v>0.54669806420854017</v>
      </c>
      <c r="GA592">
        <v>5.1018727419891974</v>
      </c>
      <c r="GB592">
        <v>2.850923163661335</v>
      </c>
      <c r="GC592">
        <v>0.94739414275045719</v>
      </c>
      <c r="GD592">
        <v>0.91406542567900362</v>
      </c>
      <c r="GE592">
        <v>9.2390568538064155</v>
      </c>
      <c r="GF592">
        <v>21.994007174538545</v>
      </c>
      <c r="GG592">
        <v>8.2254073511714498</v>
      </c>
      <c r="GH592">
        <v>1.955018855704995</v>
      </c>
      <c r="GI592">
        <v>5.9403915936437475</v>
      </c>
      <c r="GJ592"/>
      <c r="GK592"/>
      <c r="GL592"/>
      <c r="GM592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39.809917847196104</v>
      </c>
      <c r="AO593">
        <v>9.1674892524439962</v>
      </c>
      <c r="AP593">
        <v>70.335310897220822</v>
      </c>
      <c r="AQ593">
        <v>54.333513880042709</v>
      </c>
      <c r="AR593">
        <v>8.7040197020008723</v>
      </c>
      <c r="AS593">
        <v>39.860992467101596</v>
      </c>
      <c r="AT593">
        <v>4.9685795669858175</v>
      </c>
      <c r="AU593">
        <v>-1.356845925397159</v>
      </c>
      <c r="AV593"/>
      <c r="AW593"/>
      <c r="FY593" s="214">
        <v>588</v>
      </c>
      <c r="FZ593">
        <v>0.67037580796306706</v>
      </c>
      <c r="GA593">
        <v>10.238301553768883</v>
      </c>
      <c r="GB593">
        <v>11.272945946990827</v>
      </c>
      <c r="GC593">
        <v>4.1978353288676509</v>
      </c>
      <c r="GD593">
        <v>2.1078064198068569</v>
      </c>
      <c r="GE593">
        <v>10.835961664736539</v>
      </c>
      <c r="GF593">
        <v>32.150027489848981</v>
      </c>
      <c r="GG593">
        <v>19.659317334995514</v>
      </c>
      <c r="GH593">
        <v>5.3283348428323087</v>
      </c>
      <c r="GI593">
        <v>11.359160640505383</v>
      </c>
      <c r="GJ593"/>
      <c r="GK593"/>
      <c r="GL593"/>
      <c r="GM593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69.033971426074999</v>
      </c>
      <c r="AO594">
        <v>13.862909744720472</v>
      </c>
      <c r="AP594">
        <v>54.607400618243489</v>
      </c>
      <c r="AQ594">
        <v>78.652734779421195</v>
      </c>
      <c r="AR594">
        <v>12.781509855661922</v>
      </c>
      <c r="AS594">
        <v>69.582427474662765</v>
      </c>
      <c r="AT594">
        <v>7.0835257084129717</v>
      </c>
      <c r="AU594">
        <v>9.475567985263222</v>
      </c>
      <c r="AV594"/>
      <c r="AW594"/>
      <c r="FY594" s="214">
        <v>589</v>
      </c>
      <c r="FZ594">
        <v>0.87476860082093211</v>
      </c>
      <c r="GA594">
        <v>11.670705137496252</v>
      </c>
      <c r="GB594">
        <v>7.5569987451303557</v>
      </c>
      <c r="GC594">
        <v>1.8917099530463712</v>
      </c>
      <c r="GD594">
        <v>8.4548019742759362</v>
      </c>
      <c r="GE594">
        <v>19.4500448575936</v>
      </c>
      <c r="GF594">
        <v>22.207026559326295</v>
      </c>
      <c r="GG594">
        <v>15.668631571613812</v>
      </c>
      <c r="GH594">
        <v>4.2990550956008153</v>
      </c>
      <c r="GI594">
        <v>12.192670331369623</v>
      </c>
      <c r="GJ594"/>
      <c r="GK594"/>
      <c r="GL594"/>
      <c r="GM594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61.959755793963893</v>
      </c>
      <c r="AO595">
        <v>12.630424302141417</v>
      </c>
      <c r="AP595">
        <v>68.023662855388878</v>
      </c>
      <c r="AQ595">
        <v>76.191004251418192</v>
      </c>
      <c r="AR595">
        <v>11.685487138302204</v>
      </c>
      <c r="AS595">
        <v>61.001815896952522</v>
      </c>
      <c r="AT595">
        <v>6.8048617722713018</v>
      </c>
      <c r="AU595">
        <v>14.279659788279893</v>
      </c>
      <c r="AV595"/>
      <c r="AW595"/>
      <c r="FY595" s="214">
        <v>590</v>
      </c>
      <c r="FZ595">
        <v>0.61983950561566847</v>
      </c>
      <c r="GA595">
        <v>18.221683629298621</v>
      </c>
      <c r="GB595">
        <v>13.938428364240398</v>
      </c>
      <c r="GC595">
        <v>3.6333227588229793</v>
      </c>
      <c r="GD595">
        <v>12.621024786717172</v>
      </c>
      <c r="GE595">
        <v>33.945135193150406</v>
      </c>
      <c r="GF595">
        <v>26.899133296505958</v>
      </c>
      <c r="GG595">
        <v>11.258128054574946</v>
      </c>
      <c r="GH595">
        <v>2.9005502766532074</v>
      </c>
      <c r="GI595">
        <v>16.993295290436276</v>
      </c>
      <c r="GJ595"/>
      <c r="GK595"/>
      <c r="GL595"/>
      <c r="GM59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81.734112193796108</v>
      </c>
      <c r="AO596">
        <v>14.665487463979284</v>
      </c>
      <c r="AP596">
        <v>90.792993921259693</v>
      </c>
      <c r="AQ596">
        <v>88.441647342877005</v>
      </c>
      <c r="AR596">
        <v>13.511125964079024</v>
      </c>
      <c r="AS596">
        <v>73.646763038299724</v>
      </c>
      <c r="AT596" t="e">
        <v>#DIV/0!</v>
      </c>
      <c r="AU596" t="e">
        <v>#DIV/0!</v>
      </c>
      <c r="AV596"/>
      <c r="AW596"/>
      <c r="FY596" s="214">
        <v>591</v>
      </c>
      <c r="FZ596">
        <v>1.1971915171495704</v>
      </c>
      <c r="GA596">
        <v>5.9421694244140326</v>
      </c>
      <c r="GB596">
        <v>6.5171270175516227</v>
      </c>
      <c r="GC596">
        <v>2.7942302474154181</v>
      </c>
      <c r="GD596">
        <v>0.53214342929877168</v>
      </c>
      <c r="GE596">
        <v>7.7159282370327418</v>
      </c>
      <c r="GF596">
        <v>24.970593965078145</v>
      </c>
      <c r="GG596">
        <v>15.685269139923985</v>
      </c>
      <c r="GH596">
        <v>8.2609489174589168</v>
      </c>
      <c r="GI596">
        <v>8.4575952574188484</v>
      </c>
      <c r="GJ596"/>
      <c r="GK596"/>
      <c r="GL596"/>
      <c r="GM596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86.412330625090846</v>
      </c>
      <c r="AO597">
        <v>18.45547529869318</v>
      </c>
      <c r="AP597">
        <v>81.749908481148083</v>
      </c>
      <c r="AQ597">
        <v>100.86128781215503</v>
      </c>
      <c r="AR597">
        <v>17.146999270560734</v>
      </c>
      <c r="AS597">
        <v>88.684019446417267</v>
      </c>
      <c r="AT597">
        <v>9.200361076915657</v>
      </c>
      <c r="AU597">
        <v>17.985987403436191</v>
      </c>
      <c r="AV597"/>
      <c r="AW597"/>
      <c r="FY597" s="214">
        <v>592</v>
      </c>
      <c r="FZ597">
        <v>1.0562776214034413</v>
      </c>
      <c r="GA597">
        <v>10.328548029713394</v>
      </c>
      <c r="GB597">
        <v>10.314089122481329</v>
      </c>
      <c r="GC597">
        <v>3.6447712396296224</v>
      </c>
      <c r="GD597">
        <v>2.8840062192378859</v>
      </c>
      <c r="GE597">
        <v>7.0367913552220447</v>
      </c>
      <c r="GF597">
        <v>14.739497582777776</v>
      </c>
      <c r="GG597">
        <v>13.081128236146487</v>
      </c>
      <c r="GH597">
        <v>3.6566247639505578</v>
      </c>
      <c r="GI597">
        <v>7.963258048273536</v>
      </c>
      <c r="GJ597"/>
      <c r="GK597"/>
      <c r="GL597"/>
      <c r="GM597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108.38738626638546</v>
      </c>
      <c r="AO598">
        <v>20.826591965697716</v>
      </c>
      <c r="AP598">
        <v>97.227828692535638</v>
      </c>
      <c r="AQ598">
        <v>122.96688131042254</v>
      </c>
      <c r="AR598">
        <v>18.945796775323696</v>
      </c>
      <c r="AS598">
        <v>100.32364471984874</v>
      </c>
      <c r="AT598" t="e">
        <v>#DIV/0!</v>
      </c>
      <c r="AU598" t="e">
        <v>#DIV/0!</v>
      </c>
      <c r="AV598"/>
      <c r="AW598"/>
      <c r="FY598" s="214">
        <v>593</v>
      </c>
      <c r="FZ598">
        <v>1.0320061679045274</v>
      </c>
      <c r="GA598">
        <v>13.175936738700765</v>
      </c>
      <c r="GB598">
        <v>9.6629547433020502</v>
      </c>
      <c r="GC598">
        <v>2.5235037142744052</v>
      </c>
      <c r="GD598">
        <v>6.8258405659517258</v>
      </c>
      <c r="GE598">
        <v>16.209296539314419</v>
      </c>
      <c r="GF598">
        <v>19.169444486224357</v>
      </c>
      <c r="GG598">
        <v>13.503257339347279</v>
      </c>
      <c r="GH598">
        <v>0.55651403675738742</v>
      </c>
      <c r="GI598">
        <v>10.761455054703724</v>
      </c>
      <c r="GJ598"/>
      <c r="GK598"/>
      <c r="GL598"/>
      <c r="GM598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75.497328764921932</v>
      </c>
      <c r="AO599">
        <v>13.777871151167068</v>
      </c>
      <c r="AP599">
        <v>76.379732525550921</v>
      </c>
      <c r="AQ599">
        <v>84.22758986395776</v>
      </c>
      <c r="AR599">
        <v>12.931581809756734</v>
      </c>
      <c r="AS599">
        <v>68.970314302524486</v>
      </c>
      <c r="AT599">
        <v>7.2302560174106434</v>
      </c>
      <c r="AU599">
        <v>-4.6492453589987504</v>
      </c>
      <c r="AV599"/>
      <c r="AW599"/>
      <c r="FY599" s="214">
        <v>594</v>
      </c>
      <c r="FZ599">
        <v>2.0580040164478453</v>
      </c>
      <c r="GA599">
        <v>10.641118009379486</v>
      </c>
      <c r="GB599">
        <v>9.5461351164825814</v>
      </c>
      <c r="GC599">
        <v>3.3843768311325539</v>
      </c>
      <c r="GD599">
        <v>0.76049564671408654</v>
      </c>
      <c r="GE599">
        <v>5.5125427571542627</v>
      </c>
      <c r="GF599">
        <v>20.806330983698139</v>
      </c>
      <c r="GG599">
        <v>14.55709190967225</v>
      </c>
      <c r="GH599">
        <v>5.833164351279815</v>
      </c>
      <c r="GI599">
        <v>7.9460029331128315</v>
      </c>
      <c r="GJ599"/>
      <c r="GK599"/>
      <c r="GL599"/>
      <c r="GM599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78.166779370692836</v>
      </c>
      <c r="AO600">
        <v>15.313444965031726</v>
      </c>
      <c r="AP600">
        <v>101.78642873735734</v>
      </c>
      <c r="AQ600">
        <v>74.855431329821698</v>
      </c>
      <c r="AR600">
        <v>13.970150792725866</v>
      </c>
      <c r="AS600">
        <v>72.897099566821197</v>
      </c>
      <c r="AT600" t="e">
        <v>#DIV/0!</v>
      </c>
      <c r="AU600" t="e">
        <v>#DIV/0!</v>
      </c>
      <c r="AV600"/>
      <c r="AW600"/>
      <c r="FY600" s="214">
        <v>595</v>
      </c>
      <c r="FZ600">
        <v>1.0858225207208707</v>
      </c>
      <c r="GA600">
        <v>3.5587531317183023</v>
      </c>
      <c r="GB600">
        <v>3.178218468415158</v>
      </c>
      <c r="GC600">
        <v>1.6748645897679135</v>
      </c>
      <c r="GD600">
        <v>0.75021158223654782</v>
      </c>
      <c r="GE600">
        <v>6.1817215461586201</v>
      </c>
      <c r="GF600">
        <v>18.732636047520614</v>
      </c>
      <c r="GG600">
        <v>12.278144610849484</v>
      </c>
      <c r="GH600">
        <v>5.9169126775630962</v>
      </c>
      <c r="GI600">
        <v>5.986846019229473</v>
      </c>
      <c r="GJ600"/>
      <c r="GK600"/>
      <c r="GL600"/>
      <c r="GM600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63.591615577164433</v>
      </c>
      <c r="AO601">
        <v>11.259327031570507</v>
      </c>
      <c r="AP601">
        <v>71.407582461872764</v>
      </c>
      <c r="AQ601">
        <v>63.451795635084444</v>
      </c>
      <c r="AR601">
        <v>10.414938534995287</v>
      </c>
      <c r="AS601">
        <v>55.87967990599617</v>
      </c>
      <c r="AT601">
        <v>5.6641656572297663</v>
      </c>
      <c r="AU601">
        <v>29.790404466543773</v>
      </c>
      <c r="AV601"/>
      <c r="AW601"/>
      <c r="FY601" s="214">
        <v>596</v>
      </c>
      <c r="FZ601">
        <v>0.98540272370693782</v>
      </c>
      <c r="GA601">
        <v>3.4407954525479898</v>
      </c>
      <c r="GB601">
        <v>1.7353362883122592</v>
      </c>
      <c r="GC601">
        <v>1.3267750160933387</v>
      </c>
      <c r="GD601">
        <v>5.3246137147214814</v>
      </c>
      <c r="GE601">
        <v>10.802783508058718</v>
      </c>
      <c r="GF601">
        <v>10.842504718073489</v>
      </c>
      <c r="GG601">
        <v>11.244177727556913</v>
      </c>
      <c r="GH601">
        <v>5.9169126775630962</v>
      </c>
      <c r="GI601">
        <v>7.1463581351056211</v>
      </c>
      <c r="GJ601"/>
      <c r="GK601"/>
      <c r="GL601"/>
      <c r="GM601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65.751094308040337</v>
      </c>
      <c r="AO602">
        <v>11.216606285787048</v>
      </c>
      <c r="AP602">
        <v>49.665054581128864</v>
      </c>
      <c r="AQ602">
        <v>69.088963795301595</v>
      </c>
      <c r="AR602">
        <v>10.412407329563395</v>
      </c>
      <c r="AS602">
        <v>54.961976459939137</v>
      </c>
      <c r="AT602">
        <v>6.0962322419742287</v>
      </c>
      <c r="AU602">
        <v>6.4762045350362101</v>
      </c>
      <c r="AV602"/>
      <c r="AW602"/>
      <c r="FY602" s="214">
        <v>597</v>
      </c>
      <c r="FZ602">
        <v>1.5961369514584658</v>
      </c>
      <c r="GA602">
        <v>9.7089587414842224</v>
      </c>
      <c r="GB602">
        <v>7.668040426043639</v>
      </c>
      <c r="GC602">
        <v>2.5837321406834697</v>
      </c>
      <c r="GD602">
        <v>5.5702126504081253</v>
      </c>
      <c r="GE602">
        <v>13.247871887810852</v>
      </c>
      <c r="GF602">
        <v>13.693779817838083</v>
      </c>
      <c r="GG602">
        <v>11.55820032578818</v>
      </c>
      <c r="GH602">
        <v>4.2131388007079451</v>
      </c>
      <c r="GI602">
        <v>8.9287856654603868</v>
      </c>
      <c r="GJ602"/>
      <c r="GK602"/>
      <c r="GL602"/>
      <c r="GM602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63.1401411779688</v>
      </c>
      <c r="AO603">
        <v>9.019959194066665</v>
      </c>
      <c r="AP603">
        <v>51.12440332602322</v>
      </c>
      <c r="AQ603">
        <v>57.714835367153682</v>
      </c>
      <c r="AR603">
        <v>8.3794716467342187</v>
      </c>
      <c r="AS603">
        <v>45.351876032229491</v>
      </c>
      <c r="AT603">
        <v>4.7847340026708425</v>
      </c>
      <c r="AU603">
        <v>11.793734506129775</v>
      </c>
      <c r="AV603"/>
      <c r="AW603"/>
      <c r="FY603" s="214">
        <v>598</v>
      </c>
      <c r="FZ603">
        <v>0.93852613114829408</v>
      </c>
      <c r="GA603">
        <v>9.6997466310749072</v>
      </c>
      <c r="GB603">
        <v>8.6583038852706267</v>
      </c>
      <c r="GC603">
        <v>3.0865445123012423</v>
      </c>
      <c r="GD603">
        <v>9.1061467288389437</v>
      </c>
      <c r="GE603">
        <v>18.01461724991993</v>
      </c>
      <c r="GF603">
        <v>8.4680142522827957</v>
      </c>
      <c r="GG603">
        <v>8.9782689984233013</v>
      </c>
      <c r="GH603">
        <v>5.2766503145224277</v>
      </c>
      <c r="GI603">
        <v>10.325509461107679</v>
      </c>
      <c r="GJ603"/>
      <c r="GK603"/>
      <c r="GL603"/>
      <c r="GM603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85.301421451554035</v>
      </c>
      <c r="AO604">
        <v>17.225896498854233</v>
      </c>
      <c r="AP604">
        <v>89.898865327600575</v>
      </c>
      <c r="AQ604">
        <v>107.820067030316</v>
      </c>
      <c r="AR604">
        <v>16.02920036161624</v>
      </c>
      <c r="AS604">
        <v>85.469301571917967</v>
      </c>
      <c r="AT604">
        <v>9.3648229529433706</v>
      </c>
      <c r="AU604">
        <v>54.118728750307341</v>
      </c>
      <c r="AV604"/>
      <c r="AW604"/>
      <c r="FY604" s="214">
        <v>599</v>
      </c>
      <c r="FZ604">
        <v>0.93186500410622031</v>
      </c>
      <c r="GA604">
        <v>3.4511676670860103</v>
      </c>
      <c r="GB604">
        <v>4.5612690054551237</v>
      </c>
      <c r="GC604">
        <v>2.7943208980809988</v>
      </c>
      <c r="GD604">
        <v>2.2015168883707936</v>
      </c>
      <c r="GE604">
        <v>13.149521230752264</v>
      </c>
      <c r="GF604">
        <v>23.071866752515646</v>
      </c>
      <c r="GG604">
        <v>6.460938364380727</v>
      </c>
      <c r="GH604">
        <v>1.7875222031384326</v>
      </c>
      <c r="GI604">
        <v>7.3645511014643503</v>
      </c>
      <c r="GJ604"/>
      <c r="GK604"/>
      <c r="GL604"/>
      <c r="GM604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86.531500398329086</v>
      </c>
      <c r="AO605">
        <v>18.370443190745362</v>
      </c>
      <c r="AP605">
        <v>102.67253682761176</v>
      </c>
      <c r="AQ605">
        <v>104.26641282627401</v>
      </c>
      <c r="AR605">
        <v>17.070019409168779</v>
      </c>
      <c r="AS605">
        <v>84.057314113170818</v>
      </c>
      <c r="AT605">
        <v>9.838144597601838</v>
      </c>
      <c r="AU605">
        <v>11.808425519330298</v>
      </c>
      <c r="AV605"/>
      <c r="AW605"/>
      <c r="FY605" s="214">
        <v>600</v>
      </c>
      <c r="FZ605">
        <v>0.99918121811815308</v>
      </c>
      <c r="GA605">
        <v>10.648447112974941</v>
      </c>
      <c r="GB605">
        <v>12.734095363402805</v>
      </c>
      <c r="GC605">
        <v>5.0442085448345182</v>
      </c>
      <c r="GD605">
        <v>11.427429184369696</v>
      </c>
      <c r="GE605">
        <v>26.114986239603507</v>
      </c>
      <c r="GF605">
        <v>18.622340201120089</v>
      </c>
      <c r="GG605">
        <v>14.606434892025952</v>
      </c>
      <c r="GH605">
        <v>13.791012179440779</v>
      </c>
      <c r="GI605">
        <v>16.214219262724395</v>
      </c>
      <c r="GJ605"/>
      <c r="GK605"/>
      <c r="GL605"/>
      <c r="GM6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138.92512843945164</v>
      </c>
      <c r="AO606">
        <v>25.980252934228211</v>
      </c>
      <c r="AP606">
        <v>175.01639388304156</v>
      </c>
      <c r="AQ606">
        <v>141.03054115601563</v>
      </c>
      <c r="AR606">
        <v>23.797598446502292</v>
      </c>
      <c r="AS606">
        <v>133.23006158825319</v>
      </c>
      <c r="AT606">
        <v>12.426366375596279</v>
      </c>
      <c r="AU606">
        <v>60.654175581772549</v>
      </c>
      <c r="AV606"/>
      <c r="AW606"/>
      <c r="FY606" s="214">
        <v>601</v>
      </c>
      <c r="FZ606">
        <v>1.8604499577434961</v>
      </c>
      <c r="GA606">
        <v>26.426570873707039</v>
      </c>
      <c r="GB606">
        <v>16.885103780056593</v>
      </c>
      <c r="GC606">
        <v>2.981125280965661</v>
      </c>
      <c r="GD606">
        <v>0.62293919445398616</v>
      </c>
      <c r="GE606">
        <v>0.43635134412584509</v>
      </c>
      <c r="GF606">
        <v>4.0023426421184425</v>
      </c>
      <c r="GG606">
        <v>6.774262027055145</v>
      </c>
      <c r="GH606">
        <v>4.6859045111820521</v>
      </c>
      <c r="GI606">
        <v>6.2950348164487027</v>
      </c>
      <c r="GJ606"/>
      <c r="GK606"/>
      <c r="GL606"/>
      <c r="GM606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55.827655958123287</v>
      </c>
      <c r="AO607">
        <v>12.835589147047155</v>
      </c>
      <c r="AP607">
        <v>74.85967388417879</v>
      </c>
      <c r="AQ607">
        <v>82.073197152742054</v>
      </c>
      <c r="AR607">
        <v>12.051187321784059</v>
      </c>
      <c r="AS607">
        <v>58.375480314974382</v>
      </c>
      <c r="AT607">
        <v>7.0415881674376841</v>
      </c>
      <c r="AU607">
        <v>39.110580854486336</v>
      </c>
      <c r="AV607"/>
      <c r="AW607"/>
      <c r="FY607" s="214">
        <v>602</v>
      </c>
      <c r="FZ607">
        <v>1.6121819895803062</v>
      </c>
      <c r="GA607">
        <v>32.257341386797712</v>
      </c>
      <c r="GB607">
        <v>16.036505591782145</v>
      </c>
      <c r="GC607">
        <v>1.1400020971070481</v>
      </c>
      <c r="GD607">
        <v>3.0613326231703137</v>
      </c>
      <c r="GE607">
        <v>10.770643249399182</v>
      </c>
      <c r="GF607">
        <v>27.079395093972675</v>
      </c>
      <c r="GG607">
        <v>21.639066922499083</v>
      </c>
      <c r="GH607">
        <v>10.637048955328137</v>
      </c>
      <c r="GI607">
        <v>13.116991868158904</v>
      </c>
      <c r="GJ607"/>
      <c r="GK607"/>
      <c r="GL607"/>
      <c r="GM607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60.177312493443239</v>
      </c>
      <c r="AO608">
        <v>12.25281898969366</v>
      </c>
      <c r="AP608">
        <v>47.898059149645476</v>
      </c>
      <c r="AQ608">
        <v>74.704992218836068</v>
      </c>
      <c r="AR608">
        <v>11.16366700326699</v>
      </c>
      <c r="AS608">
        <v>59.32825287148345</v>
      </c>
      <c r="AT608" t="e">
        <v>#DIV/0!</v>
      </c>
      <c r="AU608" t="e">
        <v>#DIV/0!</v>
      </c>
      <c r="AV608"/>
      <c r="AW608"/>
      <c r="FY608" s="214">
        <v>603</v>
      </c>
      <c r="FZ608">
        <v>0.7980684757292329</v>
      </c>
      <c r="GA608">
        <v>10.501082651273324</v>
      </c>
      <c r="GB608">
        <v>13.447221657323013</v>
      </c>
      <c r="GC608">
        <v>5.5026650188063346</v>
      </c>
      <c r="GD608">
        <v>2.9630657196166723</v>
      </c>
      <c r="GE608">
        <v>7.820081525655894</v>
      </c>
      <c r="GF608">
        <v>17.16443598801623</v>
      </c>
      <c r="GG608">
        <v>11.811667958451245</v>
      </c>
      <c r="GH608">
        <v>0.55651403675738742</v>
      </c>
      <c r="GI608">
        <v>8.8808444098419486</v>
      </c>
      <c r="GJ608"/>
      <c r="GK608"/>
      <c r="GL608"/>
      <c r="GM608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76.803826326197594</v>
      </c>
      <c r="AO609">
        <v>16.751577908066288</v>
      </c>
      <c r="AP609">
        <v>123.17192292177506</v>
      </c>
      <c r="AQ609">
        <v>93.42020938648065</v>
      </c>
      <c r="AR609">
        <v>15.241560596037544</v>
      </c>
      <c r="AS609">
        <v>74.291072657737644</v>
      </c>
      <c r="AT609" t="e">
        <v>#DIV/0!</v>
      </c>
      <c r="AU609" t="e">
        <v>#DIV/0!</v>
      </c>
      <c r="AV609"/>
      <c r="AW609"/>
      <c r="FY609" s="214">
        <v>604</v>
      </c>
      <c r="FZ609">
        <v>0.81128970370919617</v>
      </c>
      <c r="GA609">
        <v>24.870356878610441</v>
      </c>
      <c r="GB609">
        <v>16.449370853977399</v>
      </c>
      <c r="GC609">
        <v>2.7736252763968143</v>
      </c>
      <c r="GD609">
        <v>7.0021014443750653</v>
      </c>
      <c r="GE609">
        <v>16.281298608699863</v>
      </c>
      <c r="GF609">
        <v>19.938282408208956</v>
      </c>
      <c r="GG609">
        <v>14.462530107879177</v>
      </c>
      <c r="GH609">
        <v>6.0028289724559674</v>
      </c>
      <c r="GI609">
        <v>13.355929259122878</v>
      </c>
      <c r="GJ609"/>
      <c r="GK609"/>
      <c r="GL609"/>
      <c r="GM609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62.097347388963229</v>
      </c>
      <c r="AO610">
        <v>11.857311728235825</v>
      </c>
      <c r="AP610">
        <v>37.57773123655582</v>
      </c>
      <c r="AQ610">
        <v>81.045262555073862</v>
      </c>
      <c r="AR610">
        <v>10.982335470736512</v>
      </c>
      <c r="AS610">
        <v>62.283283168396288</v>
      </c>
      <c r="AT610">
        <v>7.0249206647164959</v>
      </c>
      <c r="AU610">
        <v>30.095229801266012</v>
      </c>
      <c r="AV610"/>
      <c r="AW610"/>
      <c r="FY610" s="214">
        <v>605</v>
      </c>
      <c r="FZ610">
        <v>0.53958069683939847</v>
      </c>
      <c r="GA610">
        <v>9.5145736300864918</v>
      </c>
      <c r="GB610">
        <v>8.5190735425607222</v>
      </c>
      <c r="GC610">
        <v>3.0128307509613999</v>
      </c>
      <c r="GD610">
        <v>2.1848605711919138</v>
      </c>
      <c r="GE610">
        <v>5.9696411042492912</v>
      </c>
      <c r="GF610">
        <v>17.392841994302557</v>
      </c>
      <c r="GG610">
        <v>15.694113033544536</v>
      </c>
      <c r="GH610">
        <v>6.0006610038463775</v>
      </c>
      <c r="GI610">
        <v>8.1937534915796846</v>
      </c>
      <c r="GJ610"/>
      <c r="GK610"/>
      <c r="GL610"/>
      <c r="GM610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55.51749372607717</v>
      </c>
      <c r="AO611">
        <v>9.0616047355797313</v>
      </c>
      <c r="AP611">
        <v>48.74306143768456</v>
      </c>
      <c r="AQ611">
        <v>59.344131194180086</v>
      </c>
      <c r="AR611">
        <v>8.4166871200794269</v>
      </c>
      <c r="AS611">
        <v>45.60054980071147</v>
      </c>
      <c r="AT611">
        <v>5.2095962358157033</v>
      </c>
      <c r="AU611">
        <v>35.452356618397978</v>
      </c>
      <c r="AV611"/>
      <c r="AW611"/>
      <c r="FY611" s="214">
        <v>606</v>
      </c>
      <c r="FZ611">
        <v>0.9004761832381647</v>
      </c>
      <c r="GA611">
        <v>3.5768087981083889</v>
      </c>
      <c r="GB611">
        <v>7.5480083709995665</v>
      </c>
      <c r="GC611">
        <v>4.1291336511983348</v>
      </c>
      <c r="GD611">
        <v>8.0221616935127837</v>
      </c>
      <c r="GE611">
        <v>21.664588844577413</v>
      </c>
      <c r="GF611">
        <v>21.933230974373799</v>
      </c>
      <c r="GG611">
        <v>13.237417379381384</v>
      </c>
      <c r="GH611">
        <v>9.5757054101232413</v>
      </c>
      <c r="GI611">
        <v>12.632900049943105</v>
      </c>
      <c r="GJ611"/>
      <c r="GK611"/>
      <c r="GL611"/>
      <c r="GM611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51.629371085239953</v>
      </c>
      <c r="AO612">
        <v>11.088653824781476</v>
      </c>
      <c r="AP612">
        <v>84.718254708807649</v>
      </c>
      <c r="AQ612">
        <v>58.765659961739843</v>
      </c>
      <c r="AR612">
        <v>10.2591369644295</v>
      </c>
      <c r="AS612">
        <v>48.836501834385359</v>
      </c>
      <c r="AT612" t="e">
        <v>#DIV/0!</v>
      </c>
      <c r="AU612" t="e">
        <v>#DIV/0!</v>
      </c>
      <c r="AV612"/>
      <c r="AW612"/>
      <c r="FY612" s="214">
        <v>607</v>
      </c>
      <c r="FZ612">
        <v>1.126873885884319</v>
      </c>
      <c r="GA612">
        <v>11.119786713850814</v>
      </c>
      <c r="GB612">
        <v>5.4645168144881398</v>
      </c>
      <c r="GC612">
        <v>1.0212600018242572</v>
      </c>
      <c r="GD612">
        <v>4.9552627352332683</v>
      </c>
      <c r="GE612">
        <v>13.514547995569314</v>
      </c>
      <c r="GF612">
        <v>17.799627556660191</v>
      </c>
      <c r="GG612">
        <v>16.095109661907156</v>
      </c>
      <c r="GH612">
        <v>9.962554825704478</v>
      </c>
      <c r="GI612">
        <v>9.8185161518597539</v>
      </c>
      <c r="GJ612"/>
      <c r="GK612"/>
      <c r="GL612"/>
      <c r="GM612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64.22363137902768</v>
      </c>
      <c r="AO613">
        <v>13.757285934390953</v>
      </c>
      <c r="AP613">
        <v>52.197666722279372</v>
      </c>
      <c r="AQ613">
        <v>78.76885740768337</v>
      </c>
      <c r="AR613">
        <v>12.519476983605426</v>
      </c>
      <c r="AS613">
        <v>63.868901003851228</v>
      </c>
      <c r="AT613" t="e">
        <v>#DIV/0!</v>
      </c>
      <c r="AU613" t="e">
        <v>#DIV/0!</v>
      </c>
      <c r="AV613"/>
      <c r="AW613"/>
      <c r="FY613" s="214">
        <v>608</v>
      </c>
      <c r="FZ613">
        <v>1.0954850650162631</v>
      </c>
      <c r="GA613">
        <v>5.3964410986321454</v>
      </c>
      <c r="GB613">
        <v>8.3598048503269027</v>
      </c>
      <c r="GC613">
        <v>3.8104193790883691</v>
      </c>
      <c r="GD613">
        <v>3.8493264460011845</v>
      </c>
      <c r="GE613">
        <v>14.237081550418033</v>
      </c>
      <c r="GF613">
        <v>24.174028908669165</v>
      </c>
      <c r="GG613">
        <v>12.187334996285042</v>
      </c>
      <c r="GH613">
        <v>4.2153067693175341</v>
      </c>
      <c r="GI613">
        <v>9.9960424710972031</v>
      </c>
      <c r="GJ613"/>
      <c r="GK613"/>
      <c r="GL613"/>
      <c r="GM613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72.208436036103251</v>
      </c>
      <c r="AO614">
        <v>15.597821362529015</v>
      </c>
      <c r="AP614">
        <v>78.265231778589779</v>
      </c>
      <c r="AQ614">
        <v>82.552328164890156</v>
      </c>
      <c r="AR614">
        <v>14.37058947760152</v>
      </c>
      <c r="AS614">
        <v>73.276899707504384</v>
      </c>
      <c r="AT614">
        <v>7.8292990384544199</v>
      </c>
      <c r="AU614">
        <v>9.5784656612499131</v>
      </c>
      <c r="AV614"/>
      <c r="AW614"/>
      <c r="FY614" s="214">
        <v>609</v>
      </c>
      <c r="FZ614">
        <v>0.73458957861749707</v>
      </c>
      <c r="GA614">
        <v>15.681012167778428</v>
      </c>
      <c r="GB614">
        <v>11.699266376950696</v>
      </c>
      <c r="GC614">
        <v>3.0569530968035141</v>
      </c>
      <c r="GD614">
        <v>8.0760334061996364</v>
      </c>
      <c r="GE614">
        <v>21.986023664886101</v>
      </c>
      <c r="GF614">
        <v>14.956102564757193</v>
      </c>
      <c r="GG614">
        <v>3.7312223096720549</v>
      </c>
      <c r="GH614">
        <v>2.038767181988276</v>
      </c>
      <c r="GI614">
        <v>11.159718763480093</v>
      </c>
      <c r="GJ614"/>
      <c r="GK614"/>
      <c r="GL614"/>
      <c r="GM614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74.479195348614539</v>
      </c>
      <c r="AO615">
        <v>11.164023523955855</v>
      </c>
      <c r="AP615">
        <v>83.925409786894363</v>
      </c>
      <c r="AQ615">
        <v>65.774539115350564</v>
      </c>
      <c r="AR615">
        <v>10.34018622473198</v>
      </c>
      <c r="AS615">
        <v>63.957215648653602</v>
      </c>
      <c r="AT615" t="e">
        <v>#DIV/0!</v>
      </c>
      <c r="AU615" t="e">
        <v>#DIV/0!</v>
      </c>
      <c r="AV615"/>
      <c r="AW615"/>
      <c r="FY615" s="214">
        <v>610</v>
      </c>
      <c r="FZ615">
        <v>1.6628958990391467</v>
      </c>
      <c r="GA615">
        <v>5.1429055191387478</v>
      </c>
      <c r="GB615">
        <v>4.5373536064864002</v>
      </c>
      <c r="GC615">
        <v>2.2587998025223368</v>
      </c>
      <c r="GD615">
        <v>4.3456305906873878</v>
      </c>
      <c r="GE615">
        <v>16.176603649223185</v>
      </c>
      <c r="GF615">
        <v>17.968059786112583</v>
      </c>
      <c r="GG615">
        <v>9.6397505665948842</v>
      </c>
      <c r="GH615">
        <v>8.7657784259064222</v>
      </c>
      <c r="GI615">
        <v>8.9759159390284591</v>
      </c>
      <c r="GJ615"/>
      <c r="GK615"/>
      <c r="GL615"/>
      <c r="GM61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104.1252873295753</v>
      </c>
      <c r="AO616">
        <v>24.001545927650053</v>
      </c>
      <c r="AP616">
        <v>135.36594932921503</v>
      </c>
      <c r="AQ616">
        <v>130.20235419861484</v>
      </c>
      <c r="AR616">
        <v>22.724831450239336</v>
      </c>
      <c r="AS616">
        <v>112.99159244364657</v>
      </c>
      <c r="AT616">
        <v>12.455121821866411</v>
      </c>
      <c r="AU616">
        <v>18.504504177749123</v>
      </c>
      <c r="AV616"/>
      <c r="AW616"/>
      <c r="FY616" s="214">
        <v>611</v>
      </c>
      <c r="FZ616">
        <v>0.40578416846241111</v>
      </c>
      <c r="GA616">
        <v>3.1383830772926857</v>
      </c>
      <c r="GB616">
        <v>4.2791935245904318</v>
      </c>
      <c r="GC616">
        <v>2.5275947729275074</v>
      </c>
      <c r="GD616">
        <v>1.0809746837612675</v>
      </c>
      <c r="GE616">
        <v>6.2648821226494</v>
      </c>
      <c r="GF616">
        <v>19.905735375431789</v>
      </c>
      <c r="GG616">
        <v>12.979632873292726</v>
      </c>
      <c r="GH616">
        <v>3.6566247639505578</v>
      </c>
      <c r="GI616">
        <v>6.229764396204672</v>
      </c>
      <c r="GJ616"/>
      <c r="GK616"/>
      <c r="GL616"/>
      <c r="GM616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64.38258464523571</v>
      </c>
      <c r="AO617">
        <v>9.4623265148172457</v>
      </c>
      <c r="AP617">
        <v>17.62808516339194</v>
      </c>
      <c r="AQ617">
        <v>70.970084427856975</v>
      </c>
      <c r="AR617">
        <v>8.6390649595081417</v>
      </c>
      <c r="AS617">
        <v>52.402934982752974</v>
      </c>
      <c r="AT617" t="e">
        <v>#DIV/0!</v>
      </c>
      <c r="AU617" t="e">
        <v>#DIV/0!</v>
      </c>
      <c r="AV617"/>
      <c r="AW617"/>
      <c r="FY617" s="214">
        <v>612</v>
      </c>
      <c r="FZ617">
        <v>1.0659401656988337</v>
      </c>
      <c r="GA617">
        <v>23.447836020816833</v>
      </c>
      <c r="GB617">
        <v>14.036567779804434</v>
      </c>
      <c r="GC617">
        <v>2.3964913114975204</v>
      </c>
      <c r="GD617">
        <v>4.1202587520141121</v>
      </c>
      <c r="GE617">
        <v>10.096917582287945</v>
      </c>
      <c r="GF617">
        <v>18.906965905975305</v>
      </c>
      <c r="GG617">
        <v>18.210383503830069</v>
      </c>
      <c r="GH617">
        <v>11.193562992085525</v>
      </c>
      <c r="GI617">
        <v>11.619618387631714</v>
      </c>
      <c r="GJ617"/>
      <c r="GK617"/>
      <c r="GL617"/>
      <c r="GM617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107.87318878261824</v>
      </c>
      <c r="AO618">
        <v>19.788809216717706</v>
      </c>
      <c r="AP618">
        <v>84.932284064169977</v>
      </c>
      <c r="AQ618">
        <v>137.35050977779551</v>
      </c>
      <c r="AR618">
        <v>18.371652366181532</v>
      </c>
      <c r="AS618">
        <v>99.38157175886036</v>
      </c>
      <c r="AT618">
        <v>11.177402440588844</v>
      </c>
      <c r="AU618">
        <v>23.47862863588918</v>
      </c>
      <c r="AV618"/>
      <c r="AW618"/>
      <c r="FY618" s="214">
        <v>613</v>
      </c>
      <c r="FZ618">
        <v>1.1403737470799085</v>
      </c>
      <c r="GA618">
        <v>11.641446074283408</v>
      </c>
      <c r="GB618">
        <v>10.139173229098819</v>
      </c>
      <c r="GC618">
        <v>3.3514065490777005</v>
      </c>
      <c r="GD618">
        <v>5.0493655427538879</v>
      </c>
      <c r="GE618">
        <v>10.695583379868824</v>
      </c>
      <c r="GF618">
        <v>12.89117720917011</v>
      </c>
      <c r="GG618">
        <v>14.901400188653152</v>
      </c>
      <c r="GH618">
        <v>9.4897891152303728</v>
      </c>
      <c r="GI618">
        <v>9.7167402501055982</v>
      </c>
      <c r="GJ618"/>
      <c r="GK618"/>
      <c r="GL618"/>
      <c r="GM618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65.106721523826565</v>
      </c>
      <c r="AO619">
        <v>13.850942245069813</v>
      </c>
      <c r="AP619">
        <v>79.962700627502926</v>
      </c>
      <c r="AQ619">
        <v>79.445647441471294</v>
      </c>
      <c r="AR619">
        <v>12.60429702929833</v>
      </c>
      <c r="AS619">
        <v>65.57668350372326</v>
      </c>
      <c r="AT619" t="e">
        <v>#DIV/0!</v>
      </c>
      <c r="AU619" t="e">
        <v>#DIV/0!</v>
      </c>
      <c r="AV619"/>
      <c r="AW619"/>
      <c r="FY619" s="214">
        <v>614</v>
      </c>
      <c r="FZ619">
        <v>1.2198976823134842</v>
      </c>
      <c r="GA619">
        <v>17.003336932884991</v>
      </c>
      <c r="GB619">
        <v>15.126920037443817</v>
      </c>
      <c r="GC619">
        <v>4.4255711957794972</v>
      </c>
      <c r="GD619">
        <v>4.7921522759677853</v>
      </c>
      <c r="GE619">
        <v>11.078525407368938</v>
      </c>
      <c r="GF619">
        <v>8.2748670996589873</v>
      </c>
      <c r="GG619">
        <v>7.879514752967923</v>
      </c>
      <c r="GH619">
        <v>4.6859045111820521</v>
      </c>
      <c r="GI619">
        <v>9.3586665713123658</v>
      </c>
      <c r="GJ619"/>
      <c r="GK619"/>
      <c r="GL619"/>
      <c r="GM619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96.063748951589076</v>
      </c>
      <c r="AO620">
        <v>19.914394381407199</v>
      </c>
      <c r="AP620">
        <v>100.04270278322221</v>
      </c>
      <c r="AQ620">
        <v>121.94761351343575</v>
      </c>
      <c r="AR620">
        <v>18.652476033868304</v>
      </c>
      <c r="AS620">
        <v>93.896764667175304</v>
      </c>
      <c r="AT620">
        <v>10.922913950043204</v>
      </c>
      <c r="AU620">
        <v>-1.1573471428255331</v>
      </c>
      <c r="AV620"/>
      <c r="AW620"/>
      <c r="FY620" s="214">
        <v>615</v>
      </c>
      <c r="FZ620">
        <v>0.60689691085133135</v>
      </c>
      <c r="GA620">
        <v>8.963507487122591</v>
      </c>
      <c r="GB620">
        <v>9.4690123047603478</v>
      </c>
      <c r="GC620">
        <v>3.5407713387075974</v>
      </c>
      <c r="GD620">
        <v>2.9808938430194747</v>
      </c>
      <c r="GE620">
        <v>14.374972140840789</v>
      </c>
      <c r="GF620">
        <v>23.138920472734519</v>
      </c>
      <c r="GG620">
        <v>15.680245911423164</v>
      </c>
      <c r="GH620">
        <v>16.386464980324671</v>
      </c>
      <c r="GI620">
        <v>11.372478677780956</v>
      </c>
      <c r="GJ620"/>
      <c r="GK620"/>
      <c r="GL620"/>
      <c r="GM620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59.136229878205256</v>
      </c>
      <c r="AO621">
        <v>12.765231213703274</v>
      </c>
      <c r="AP621">
        <v>84.073221315406514</v>
      </c>
      <c r="AQ621">
        <v>77.021929819162366</v>
      </c>
      <c r="AR621">
        <v>11.78362028200992</v>
      </c>
      <c r="AS621">
        <v>57.067208561147517</v>
      </c>
      <c r="AT621">
        <v>6.5491666270256808</v>
      </c>
      <c r="AU621">
        <v>30.40113894417464</v>
      </c>
      <c r="AV621"/>
      <c r="AW621"/>
      <c r="FY621" s="214">
        <v>616</v>
      </c>
      <c r="FZ621">
        <v>1.1294190628105696</v>
      </c>
      <c r="GA621">
        <v>16.153820158861759</v>
      </c>
      <c r="GB621">
        <v>8.4585030265634717</v>
      </c>
      <c r="GC621">
        <v>1.442756781382506</v>
      </c>
      <c r="GD621">
        <v>8.1867239197935024</v>
      </c>
      <c r="GE621">
        <v>17.439160267529672</v>
      </c>
      <c r="GF621">
        <v>15.645749493298363</v>
      </c>
      <c r="GG621">
        <v>11.512512598022351</v>
      </c>
      <c r="GH621">
        <v>7.4013337914035739</v>
      </c>
      <c r="GI621">
        <v>11.752611685399446</v>
      </c>
      <c r="GJ621"/>
      <c r="GK621"/>
      <c r="GL621"/>
      <c r="GM621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84.800979647511639</v>
      </c>
      <c r="AO622">
        <v>18.784879110239014</v>
      </c>
      <c r="AP622">
        <v>90.902439702808664</v>
      </c>
      <c r="AQ622">
        <v>103.22043135545617</v>
      </c>
      <c r="AR622">
        <v>17.624999859321473</v>
      </c>
      <c r="AS622">
        <v>88.154885121766014</v>
      </c>
      <c r="AT622">
        <v>9.7334064872413126</v>
      </c>
      <c r="AU622">
        <v>18.02644016987955</v>
      </c>
      <c r="AV622"/>
      <c r="AW622"/>
      <c r="FY622" s="214">
        <v>617</v>
      </c>
      <c r="FZ622">
        <v>0.56274310233038016</v>
      </c>
      <c r="GA622">
        <v>4.4953047227941081</v>
      </c>
      <c r="GB622">
        <v>6.0156855228228636</v>
      </c>
      <c r="GC622">
        <v>2.8950324611845306</v>
      </c>
      <c r="GD622">
        <v>7.1999950486899342</v>
      </c>
      <c r="GE622">
        <v>20.907075328681341</v>
      </c>
      <c r="GF622">
        <v>28.913396599627418</v>
      </c>
      <c r="GG622">
        <v>17.188975988281797</v>
      </c>
      <c r="GH622">
        <v>4.1315584430342529</v>
      </c>
      <c r="GI622">
        <v>12.767711086670953</v>
      </c>
      <c r="GJ622"/>
      <c r="GK622"/>
      <c r="GL622"/>
      <c r="GM622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64.55945847295591</v>
      </c>
      <c r="AO623">
        <v>15.146806965470237</v>
      </c>
      <c r="AP623">
        <v>76.398834240847577</v>
      </c>
      <c r="AQ623">
        <v>90.878056342981679</v>
      </c>
      <c r="AR623">
        <v>13.949011202176859</v>
      </c>
      <c r="AS623">
        <v>68.813363240955539</v>
      </c>
      <c r="AT623">
        <v>7.8005706695214307</v>
      </c>
      <c r="AU623">
        <v>23.642056619152665</v>
      </c>
      <c r="AV623"/>
      <c r="AW623"/>
      <c r="FY623" s="214">
        <v>618</v>
      </c>
      <c r="FZ623">
        <v>1.1625226458125699</v>
      </c>
      <c r="GA623">
        <v>19.384930487116655</v>
      </c>
      <c r="GB623">
        <v>15.066250978983263</v>
      </c>
      <c r="GC623">
        <v>4.2311026398000262</v>
      </c>
      <c r="GD623">
        <v>7.4248484112504025</v>
      </c>
      <c r="GE623">
        <v>19.591040625218263</v>
      </c>
      <c r="GF623">
        <v>20.744513058254647</v>
      </c>
      <c r="GG623">
        <v>10.126725146408058</v>
      </c>
      <c r="GH623">
        <v>1.955018855704995</v>
      </c>
      <c r="GI623">
        <v>12.849119464392263</v>
      </c>
      <c r="GJ623"/>
      <c r="GK623"/>
      <c r="GL623"/>
      <c r="GM623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68.023225412798411</v>
      </c>
      <c r="AO624">
        <v>15.054895720732901</v>
      </c>
      <c r="AP624">
        <v>58.205301493890047</v>
      </c>
      <c r="AQ624">
        <v>87.321271534851832</v>
      </c>
      <c r="AR624">
        <v>14.055885345521087</v>
      </c>
      <c r="AS624">
        <v>71.161671223947209</v>
      </c>
      <c r="AT624">
        <v>7.7621166645868316</v>
      </c>
      <c r="AU624">
        <v>5.0332885267150509</v>
      </c>
      <c r="AV624"/>
      <c r="AW624"/>
      <c r="FY624" s="214">
        <v>619</v>
      </c>
      <c r="FZ624">
        <v>0.47254311604309179</v>
      </c>
      <c r="GA624">
        <v>7.925231144802491</v>
      </c>
      <c r="GB624">
        <v>5.6725638342598774</v>
      </c>
      <c r="GC624">
        <v>1.8333670440707617</v>
      </c>
      <c r="GD624">
        <v>4.0404351807256891</v>
      </c>
      <c r="GE624">
        <v>14.034644943531243</v>
      </c>
      <c r="GF624">
        <v>25.600700353949215</v>
      </c>
      <c r="GG624">
        <v>13.959731461277148</v>
      </c>
      <c r="GH624">
        <v>1.8712705294217138</v>
      </c>
      <c r="GI624">
        <v>9.5457157754821207</v>
      </c>
      <c r="GJ624"/>
      <c r="GK624"/>
      <c r="GL624"/>
      <c r="GM624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96.754769113249125</v>
      </c>
      <c r="AO625">
        <v>16.880439749190106</v>
      </c>
      <c r="AP625">
        <v>77.239067051539294</v>
      </c>
      <c r="AQ625">
        <v>93.119689111133482</v>
      </c>
      <c r="AR625">
        <v>15.537250302596449</v>
      </c>
      <c r="AS625">
        <v>87.58716916085325</v>
      </c>
      <c r="AT625">
        <v>8.1412138014544357</v>
      </c>
      <c r="AU625">
        <v>-1.2218310346584236</v>
      </c>
      <c r="AV625"/>
      <c r="AW625"/>
      <c r="FY625" s="214">
        <v>620</v>
      </c>
      <c r="FZ625">
        <v>1.0819852038206739</v>
      </c>
      <c r="GA625">
        <v>3.4526360572934669</v>
      </c>
      <c r="GB625">
        <v>5.4933662975078867</v>
      </c>
      <c r="GC625">
        <v>2.8585125511135301</v>
      </c>
      <c r="GD625">
        <v>8.0119233438332458</v>
      </c>
      <c r="GE625">
        <v>19.291860784189719</v>
      </c>
      <c r="GF625">
        <v>14.453063897116694</v>
      </c>
      <c r="GG625">
        <v>7.7733475419547986</v>
      </c>
      <c r="GH625">
        <v>1.8712705294217138</v>
      </c>
      <c r="GI625">
        <v>9.6425460022149334</v>
      </c>
      <c r="GJ625"/>
      <c r="GK625"/>
      <c r="GL625"/>
      <c r="GM62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71.147768788975299</v>
      </c>
      <c r="AO626">
        <v>13.687723329104728</v>
      </c>
      <c r="AP626">
        <v>78.109742898828728</v>
      </c>
      <c r="AQ626">
        <v>79.473693784739552</v>
      </c>
      <c r="AR626">
        <v>12.634780829791559</v>
      </c>
      <c r="AS626">
        <v>69.481716208410901</v>
      </c>
      <c r="AT626">
        <v>7.1991038508449074</v>
      </c>
      <c r="AU626">
        <v>49.164116229727284</v>
      </c>
      <c r="AV626"/>
      <c r="AW626"/>
      <c r="FY626" s="214">
        <v>621</v>
      </c>
      <c r="FZ626">
        <v>0.67009717474744113</v>
      </c>
      <c r="GA626">
        <v>30.810535594797472</v>
      </c>
      <c r="GB626">
        <v>15.70311931678993</v>
      </c>
      <c r="GC626">
        <v>0.88181572211754267</v>
      </c>
      <c r="GD626">
        <v>4.7779736508839488</v>
      </c>
      <c r="GE626">
        <v>17.062788937468675</v>
      </c>
      <c r="GF626">
        <v>19.830459446115711</v>
      </c>
      <c r="GG626">
        <v>8.939095468850768</v>
      </c>
      <c r="GH626">
        <v>3.6566247639505578</v>
      </c>
      <c r="GI626">
        <v>11.345378189943286</v>
      </c>
      <c r="GJ626"/>
      <c r="GK626"/>
      <c r="GL626"/>
      <c r="GM626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57.305365331545545</v>
      </c>
      <c r="AO627">
        <v>9.6411029010655085</v>
      </c>
      <c r="AP627">
        <v>47.674178338994565</v>
      </c>
      <c r="AQ627">
        <v>60.468569758563447</v>
      </c>
      <c r="AR627">
        <v>8.7649610558928863</v>
      </c>
      <c r="AS627">
        <v>50.713105426628069</v>
      </c>
      <c r="AT627" t="e">
        <v>#DIV/0!</v>
      </c>
      <c r="AU627" t="e">
        <v>#DIV/0!</v>
      </c>
      <c r="AV627"/>
      <c r="AW627"/>
      <c r="FY627" s="214">
        <v>622</v>
      </c>
      <c r="FZ627">
        <v>0.81484838739376697</v>
      </c>
      <c r="GA627">
        <v>16.776768825301328</v>
      </c>
      <c r="GB627">
        <v>10.088350425530756</v>
      </c>
      <c r="GC627">
        <v>1.6943250293008256</v>
      </c>
      <c r="GD627">
        <v>5.2981018078079476</v>
      </c>
      <c r="GE627">
        <v>11.958658008276233</v>
      </c>
      <c r="GF627">
        <v>20.513321551782461</v>
      </c>
      <c r="GG627">
        <v>19.720061122738155</v>
      </c>
      <c r="GH627">
        <v>8.2609489174589168</v>
      </c>
      <c r="GI627">
        <v>11.49763424414602</v>
      </c>
      <c r="GJ627"/>
      <c r="GK627"/>
      <c r="GL627"/>
      <c r="GM627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86.959427861496934</v>
      </c>
      <c r="AO628">
        <v>17.423698384676953</v>
      </c>
      <c r="AP628">
        <v>59.530595683495036</v>
      </c>
      <c r="AQ628">
        <v>115.0945424016423</v>
      </c>
      <c r="AR628">
        <v>16.209342312742951</v>
      </c>
      <c r="AS628">
        <v>85.326355477909132</v>
      </c>
      <c r="AT628">
        <v>9.7249857869514162</v>
      </c>
      <c r="AU628">
        <v>2.0775519852299404</v>
      </c>
      <c r="AV628"/>
      <c r="AW628"/>
      <c r="FY628" s="214">
        <v>623</v>
      </c>
      <c r="FZ628">
        <v>0.5263594688594353</v>
      </c>
      <c r="GA628">
        <v>9.9992222259152967</v>
      </c>
      <c r="GB628">
        <v>8.8572464209248043</v>
      </c>
      <c r="GC628">
        <v>2.7431861986014772</v>
      </c>
      <c r="GD628">
        <v>0.61778890459022584</v>
      </c>
      <c r="GE628">
        <v>8.1663429300796828</v>
      </c>
      <c r="GF628">
        <v>23.763862741438679</v>
      </c>
      <c r="GG628">
        <v>14.794446396379445</v>
      </c>
      <c r="GH628">
        <v>4.6859045111820521</v>
      </c>
      <c r="GI628">
        <v>8.3615075716948617</v>
      </c>
      <c r="GJ628"/>
      <c r="GK628"/>
      <c r="GL628"/>
      <c r="GM628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64.749094798342355</v>
      </c>
      <c r="AO629">
        <v>14.653014968278033</v>
      </c>
      <c r="AP629">
        <v>56.074481708489046</v>
      </c>
      <c r="AQ629">
        <v>89.016455285321797</v>
      </c>
      <c r="AR629">
        <v>13.500431441471823</v>
      </c>
      <c r="AS629">
        <v>71.415178821480396</v>
      </c>
      <c r="AT629">
        <v>8.023397562645286</v>
      </c>
      <c r="AU629">
        <v>17.554926245941257</v>
      </c>
      <c r="AV629"/>
      <c r="AW629"/>
      <c r="FY629" s="214">
        <v>624</v>
      </c>
      <c r="FZ629">
        <v>0.86510605652553973</v>
      </c>
      <c r="GA629">
        <v>3.6000005189950857</v>
      </c>
      <c r="GB629">
        <v>6.8645071146794105</v>
      </c>
      <c r="GC629">
        <v>3.7915705504419845</v>
      </c>
      <c r="GD629">
        <v>7.370039157151151</v>
      </c>
      <c r="GE629">
        <v>16.9965745109258</v>
      </c>
      <c r="GF629">
        <v>11.191129964728097</v>
      </c>
      <c r="GG629">
        <v>6.1400803751221762</v>
      </c>
      <c r="GH629">
        <v>1.1130280735147748</v>
      </c>
      <c r="GI629">
        <v>8.6539222365459381</v>
      </c>
      <c r="GJ629"/>
      <c r="GK629"/>
      <c r="GL629"/>
      <c r="GM629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72.561275224284472</v>
      </c>
      <c r="AO630">
        <v>14.450092800052937</v>
      </c>
      <c r="AP630">
        <v>81.184421883736618</v>
      </c>
      <c r="AQ630">
        <v>83.845356466879849</v>
      </c>
      <c r="AR630">
        <v>13.161188649048151</v>
      </c>
      <c r="AS630">
        <v>68.452056413536567</v>
      </c>
      <c r="AT630" t="e">
        <v>#DIV/0!</v>
      </c>
      <c r="AU630" t="e">
        <v>#DIV/0!</v>
      </c>
      <c r="AV630"/>
      <c r="AW630"/>
      <c r="FY630" s="214">
        <v>625</v>
      </c>
      <c r="FZ630">
        <v>0.96496858710822053</v>
      </c>
      <c r="GA630">
        <v>11.006348517019608</v>
      </c>
      <c r="GB630">
        <v>13.710844040949631</v>
      </c>
      <c r="GC630">
        <v>5.3984297747458161</v>
      </c>
      <c r="GD630">
        <v>8.0802151095615322</v>
      </c>
      <c r="GE630">
        <v>18.881085471112819</v>
      </c>
      <c r="GF630">
        <v>14.88277761640142</v>
      </c>
      <c r="GG630">
        <v>8.436092236515023</v>
      </c>
      <c r="GH630">
        <v>2.5115328924623825</v>
      </c>
      <c r="GI630">
        <v>11.687373389278036</v>
      </c>
      <c r="GJ630"/>
      <c r="GK630"/>
      <c r="GL630"/>
      <c r="GM630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87.272800101920183</v>
      </c>
      <c r="AO631">
        <v>16.91408531948338</v>
      </c>
      <c r="AP631">
        <v>64.579769833747037</v>
      </c>
      <c r="AQ631">
        <v>106.51416406756545</v>
      </c>
      <c r="AR631">
        <v>15.93680958332394</v>
      </c>
      <c r="AS631">
        <v>84.033132014109114</v>
      </c>
      <c r="AT631">
        <v>9.3614179650204203</v>
      </c>
      <c r="AU631">
        <v>34.700271715848366</v>
      </c>
      <c r="AV631"/>
      <c r="AW631"/>
      <c r="FY631" s="214">
        <v>626</v>
      </c>
      <c r="FZ631">
        <v>0.92220245981082782</v>
      </c>
      <c r="GA631">
        <v>3.5281179955194144</v>
      </c>
      <c r="GB631">
        <v>9.036530218666698</v>
      </c>
      <c r="GC631">
        <v>4.7600901176890815</v>
      </c>
      <c r="GD631">
        <v>3.707086086516727</v>
      </c>
      <c r="GE631">
        <v>8.3541794995057064</v>
      </c>
      <c r="GF631">
        <v>14.04450413070891</v>
      </c>
      <c r="GG631">
        <v>15.689396460429359</v>
      </c>
      <c r="GH631">
        <v>10.720797281611418</v>
      </c>
      <c r="GI631">
        <v>9.150480571246252</v>
      </c>
      <c r="GJ631"/>
      <c r="GK631"/>
      <c r="GL631"/>
      <c r="GM631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83.704648927251554</v>
      </c>
      <c r="AO632">
        <v>17.494406502911882</v>
      </c>
      <c r="AP632">
        <v>116.71915415493288</v>
      </c>
      <c r="AQ632">
        <v>99.122590785065213</v>
      </c>
      <c r="AR632">
        <v>16.63038552183405</v>
      </c>
      <c r="AS632">
        <v>82.893973351119399</v>
      </c>
      <c r="AT632">
        <v>9.0477308013904718</v>
      </c>
      <c r="AU632">
        <v>-3.7053933561359664</v>
      </c>
      <c r="AV632"/>
      <c r="AW632"/>
      <c r="FY632" s="214">
        <v>627</v>
      </c>
      <c r="FZ632">
        <v>0.8516061953299503</v>
      </c>
      <c r="GA632">
        <v>4.3776347695426479</v>
      </c>
      <c r="GB632">
        <v>14.471605489859137</v>
      </c>
      <c r="GC632">
        <v>7.5378006266734285</v>
      </c>
      <c r="GD632">
        <v>3.3247711662584649</v>
      </c>
      <c r="GE632">
        <v>10.114228919276709</v>
      </c>
      <c r="GF632">
        <v>19.9955052896178</v>
      </c>
      <c r="GG632">
        <v>11.847328322535617</v>
      </c>
      <c r="GH632">
        <v>4.1315584430342529</v>
      </c>
      <c r="GI632">
        <v>10.155810816313094</v>
      </c>
      <c r="GJ632"/>
      <c r="GK632"/>
      <c r="GL632"/>
      <c r="GM632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76.563974406199847</v>
      </c>
      <c r="AO633">
        <v>19.834528702913921</v>
      </c>
      <c r="AP633">
        <v>147.71473271047432</v>
      </c>
      <c r="AQ633">
        <v>105.07747830411758</v>
      </c>
      <c r="AR633">
        <v>18.389118996299274</v>
      </c>
      <c r="AS633">
        <v>82.031700106108715</v>
      </c>
      <c r="AT633">
        <v>9.8721082983982047</v>
      </c>
      <c r="AU633">
        <v>84.444308579319895</v>
      </c>
      <c r="AV633"/>
      <c r="AW633"/>
      <c r="FY633" s="214">
        <v>628</v>
      </c>
      <c r="FZ633">
        <v>0.60051441702488362</v>
      </c>
      <c r="GA633">
        <v>9.053753963067102</v>
      </c>
      <c r="GB633">
        <v>4.7147585659180367</v>
      </c>
      <c r="GC633">
        <v>0.82052890216040408</v>
      </c>
      <c r="GD633">
        <v>0.60317897267204224</v>
      </c>
      <c r="GE633">
        <v>1.9270887684452491</v>
      </c>
      <c r="GF633">
        <v>7.7087682325301525</v>
      </c>
      <c r="GG633">
        <v>4.6828409741517305</v>
      </c>
      <c r="GH633">
        <v>1.8712705294217138</v>
      </c>
      <c r="GI633">
        <v>3.3186143353270636</v>
      </c>
      <c r="GJ633"/>
      <c r="GK633"/>
      <c r="GL633"/>
      <c r="GM633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99.311277684897846</v>
      </c>
      <c r="AO634">
        <v>19.548522357030599</v>
      </c>
      <c r="AP634">
        <v>91.024247397238767</v>
      </c>
      <c r="AQ634">
        <v>112.53607231294114</v>
      </c>
      <c r="AR634">
        <v>17.974667188201458</v>
      </c>
      <c r="AS634">
        <v>96.687957267950281</v>
      </c>
      <c r="AT634">
        <v>9.9169299384608198</v>
      </c>
      <c r="AU634">
        <v>19.703298761670478</v>
      </c>
      <c r="AV634"/>
      <c r="AW634"/>
      <c r="FY634" s="214">
        <v>629</v>
      </c>
      <c r="FZ634">
        <v>1.0060199522716688</v>
      </c>
      <c r="GA634">
        <v>3.6452779000067168</v>
      </c>
      <c r="GB634">
        <v>3.4552420689068146</v>
      </c>
      <c r="GC634">
        <v>1.7607871478648611</v>
      </c>
      <c r="GD634">
        <v>3.7158525376808993</v>
      </c>
      <c r="GE634">
        <v>12.043862609874184</v>
      </c>
      <c r="GF634">
        <v>16.95811664078645</v>
      </c>
      <c r="GG634">
        <v>10.473869197198423</v>
      </c>
      <c r="GH634">
        <v>5.2766503145224277</v>
      </c>
      <c r="GI634">
        <v>7.4664756744505834</v>
      </c>
      <c r="GJ634"/>
      <c r="GK634"/>
      <c r="GL634"/>
      <c r="GM634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67.963344656011813</v>
      </c>
      <c r="AO635">
        <v>14.867261580056857</v>
      </c>
      <c r="AP635">
        <v>104.89512063167116</v>
      </c>
      <c r="AQ635">
        <v>84.956203383563349</v>
      </c>
      <c r="AR635">
        <v>13.694556978694996</v>
      </c>
      <c r="AS635">
        <v>66.655712128475002</v>
      </c>
      <c r="AT635">
        <v>7.482061007964746</v>
      </c>
      <c r="AU635">
        <v>44.250773231241588</v>
      </c>
      <c r="AV635"/>
      <c r="AW635"/>
      <c r="FY635" s="214">
        <v>630</v>
      </c>
      <c r="FZ635">
        <v>0.34230527135067523</v>
      </c>
      <c r="GA635">
        <v>23.96854988724796</v>
      </c>
      <c r="GB635">
        <v>16.021549910998797</v>
      </c>
      <c r="GC635">
        <v>2.7962692400465703</v>
      </c>
      <c r="GD635">
        <v>4.9855032032127564</v>
      </c>
      <c r="GE635">
        <v>13.843417061532385</v>
      </c>
      <c r="GF635">
        <v>9.0622594087398998</v>
      </c>
      <c r="GG635">
        <v>10.074867964775063</v>
      </c>
      <c r="GH635">
        <v>15.155456813943626</v>
      </c>
      <c r="GI635">
        <v>11.205105309687347</v>
      </c>
      <c r="GJ635"/>
      <c r="GK635"/>
      <c r="GL635"/>
      <c r="GM63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73.246046755012173</v>
      </c>
      <c r="AO636">
        <v>14.72501437497327</v>
      </c>
      <c r="AP636">
        <v>100.52210492244043</v>
      </c>
      <c r="AQ636">
        <v>73.930512208466652</v>
      </c>
      <c r="AR636">
        <v>13.58933787686146</v>
      </c>
      <c r="AS636">
        <v>71.264264368758688</v>
      </c>
      <c r="AT636">
        <v>6.8968799066397599</v>
      </c>
      <c r="AU636">
        <v>14.859695299220123</v>
      </c>
      <c r="AV636"/>
      <c r="AW636"/>
      <c r="FY636" s="214">
        <v>631</v>
      </c>
      <c r="FZ636">
        <v>0.9354236877907911</v>
      </c>
      <c r="GA636">
        <v>4.1059370002658166</v>
      </c>
      <c r="GB636">
        <v>3.5066145752825051</v>
      </c>
      <c r="GC636">
        <v>1.9867317821236543</v>
      </c>
      <c r="GD636">
        <v>2.068008486343563</v>
      </c>
      <c r="GE636">
        <v>7.1545527135352565</v>
      </c>
      <c r="GF636">
        <v>17.509132437830726</v>
      </c>
      <c r="GG636">
        <v>10.461799130297553</v>
      </c>
      <c r="GH636">
        <v>4.6880724797916402</v>
      </c>
      <c r="GI636">
        <v>6.4402578658192695</v>
      </c>
      <c r="GJ636"/>
      <c r="GK636"/>
      <c r="GL636"/>
      <c r="GM636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116.48182379495279</v>
      </c>
      <c r="AO637">
        <v>17.384656442066234</v>
      </c>
      <c r="AP637">
        <v>83.685913962176528</v>
      </c>
      <c r="AQ637">
        <v>113.67788826566533</v>
      </c>
      <c r="AR637">
        <v>15.80423312915112</v>
      </c>
      <c r="AS637">
        <v>88.484870790824871</v>
      </c>
      <c r="AT637" t="e">
        <v>#DIV/0!</v>
      </c>
      <c r="AU637" t="e">
        <v>#DIV/0!</v>
      </c>
      <c r="AV637"/>
      <c r="AW637"/>
      <c r="FY637" s="214">
        <v>632</v>
      </c>
      <c r="FZ637">
        <v>1.0697774825990307</v>
      </c>
      <c r="GA637">
        <v>3.5207968731130426</v>
      </c>
      <c r="GB637">
        <v>4.7850653014154263</v>
      </c>
      <c r="GC637">
        <v>2.4044009606021426</v>
      </c>
      <c r="GD637">
        <v>1.680542039550545</v>
      </c>
      <c r="GE637">
        <v>6.9566411774883115</v>
      </c>
      <c r="GF637">
        <v>10.017553741984029</v>
      </c>
      <c r="GG637">
        <v>4.1049433596439862</v>
      </c>
      <c r="GH637">
        <v>3.4570643134105952</v>
      </c>
      <c r="GI637">
        <v>4.7934262837018302</v>
      </c>
      <c r="GJ637"/>
      <c r="GK637"/>
      <c r="GL637"/>
      <c r="GM637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76.196088136716384</v>
      </c>
      <c r="AO638">
        <v>17.612406609975544</v>
      </c>
      <c r="AP638">
        <v>98.369834065336676</v>
      </c>
      <c r="AQ638">
        <v>106.62301831973642</v>
      </c>
      <c r="AR638">
        <v>16.38153935468106</v>
      </c>
      <c r="AS638">
        <v>78.424977979256568</v>
      </c>
      <c r="AT638">
        <v>9.521207701242977</v>
      </c>
      <c r="AU638">
        <v>9.7694683712259103</v>
      </c>
      <c r="AV638"/>
      <c r="AW638"/>
      <c r="FY638" s="214">
        <v>633</v>
      </c>
      <c r="FZ638">
        <v>0.96140990342364963</v>
      </c>
      <c r="GA638">
        <v>9.5755610428181583</v>
      </c>
      <c r="GB638">
        <v>6.5309989834537605</v>
      </c>
      <c r="GC638">
        <v>1.7149573582060196</v>
      </c>
      <c r="GD638">
        <v>3.7492278778097528</v>
      </c>
      <c r="GE638">
        <v>16.265043933056191</v>
      </c>
      <c r="GF638">
        <v>27.362902459480125</v>
      </c>
      <c r="GG638">
        <v>14.576225325969011</v>
      </c>
      <c r="GH638">
        <v>8.1772005911756356</v>
      </c>
      <c r="GI638">
        <v>10.664082953352015</v>
      </c>
      <c r="GJ638"/>
      <c r="GK638"/>
      <c r="GL638"/>
      <c r="GM638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62.379635347953545</v>
      </c>
      <c r="AO639">
        <v>13.267944776142537</v>
      </c>
      <c r="AP639">
        <v>95.279597783974822</v>
      </c>
      <c r="AQ639">
        <v>82.515867369665955</v>
      </c>
      <c r="AR639">
        <v>12.061767978311394</v>
      </c>
      <c r="AS639">
        <v>58.587349481191453</v>
      </c>
      <c r="AT639" t="e">
        <v>#DIV/0!</v>
      </c>
      <c r="AU639" t="e">
        <v>#DIV/0!</v>
      </c>
      <c r="AV639"/>
      <c r="AW639"/>
      <c r="FY639" s="214">
        <v>634</v>
      </c>
      <c r="FZ639">
        <v>0.75063461673933718</v>
      </c>
      <c r="GA639">
        <v>10.183597452220704</v>
      </c>
      <c r="GB639">
        <v>11.089547111170862</v>
      </c>
      <c r="GC639">
        <v>3.9280529987215642</v>
      </c>
      <c r="GD639">
        <v>3.8371586953783159</v>
      </c>
      <c r="GE639">
        <v>7.4924698086791341</v>
      </c>
      <c r="GF639">
        <v>5.5075281690687952</v>
      </c>
      <c r="GG639">
        <v>4.4824374793176043</v>
      </c>
      <c r="GH639">
        <v>4.2153067693175341</v>
      </c>
      <c r="GI639">
        <v>6.9271604204954187</v>
      </c>
      <c r="GJ639"/>
      <c r="GK639"/>
      <c r="GL639"/>
      <c r="GM639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63.140051981431426</v>
      </c>
      <c r="AO640">
        <v>13.269374566286945</v>
      </c>
      <c r="AP640">
        <v>80.436886741999217</v>
      </c>
      <c r="AQ640">
        <v>66.585958558629954</v>
      </c>
      <c r="AR640">
        <v>12.063389842457827</v>
      </c>
      <c r="AS640">
        <v>59.678626574474073</v>
      </c>
      <c r="AT640" t="e">
        <v>#DIV/0!</v>
      </c>
      <c r="AU640" t="e">
        <v>#DIV/0!</v>
      </c>
      <c r="AV640"/>
      <c r="AW640"/>
      <c r="FY640" s="214">
        <v>635</v>
      </c>
      <c r="FZ640">
        <v>0.99890258490252704</v>
      </c>
      <c r="GA640">
        <v>5.450507992257605</v>
      </c>
      <c r="GB640">
        <v>6.3298035181759271</v>
      </c>
      <c r="GC640">
        <v>2.8900780253971576</v>
      </c>
      <c r="GD640">
        <v>3.915829759852735</v>
      </c>
      <c r="GE640">
        <v>10.082572083393968</v>
      </c>
      <c r="GF640">
        <v>15.08992385247382</v>
      </c>
      <c r="GG640">
        <v>12.090141238662756</v>
      </c>
      <c r="GH640">
        <v>7.7881832069848107</v>
      </c>
      <c r="GI640">
        <v>8.1796492807705921</v>
      </c>
      <c r="GJ640"/>
      <c r="GK640"/>
      <c r="GL640"/>
      <c r="GM640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93.294665189568917</v>
      </c>
      <c r="AO641">
        <v>17.634656662427016</v>
      </c>
      <c r="AP641">
        <v>90.892150772848709</v>
      </c>
      <c r="AQ641">
        <v>95.559667635154483</v>
      </c>
      <c r="AR641">
        <v>16.235111338940623</v>
      </c>
      <c r="AS641">
        <v>85.423521820437927</v>
      </c>
      <c r="AT641">
        <v>8.5659441959379716</v>
      </c>
      <c r="AU641">
        <v>7.7917448691775322</v>
      </c>
      <c r="AV641"/>
      <c r="AW641"/>
      <c r="FY641" s="214">
        <v>636</v>
      </c>
      <c r="FZ641">
        <v>1.2099565048024656</v>
      </c>
      <c r="GA641">
        <v>5.3505265096977936</v>
      </c>
      <c r="GB641">
        <v>4.6102215096273822</v>
      </c>
      <c r="GC641">
        <v>2.1117379198639132</v>
      </c>
      <c r="GD641">
        <v>4.0189188896332961</v>
      </c>
      <c r="GE641">
        <v>11.19501346976377</v>
      </c>
      <c r="GF641">
        <v>15.005339974794252</v>
      </c>
      <c r="GG641">
        <v>10.64343994712797</v>
      </c>
      <c r="GH641">
        <v>5.3603986408057089</v>
      </c>
      <c r="GI641">
        <v>7.7567924883934189</v>
      </c>
      <c r="GJ641"/>
      <c r="GK641"/>
      <c r="GL641"/>
      <c r="GM641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56.361723329523009</v>
      </c>
      <c r="AO642">
        <v>13.742693819986147</v>
      </c>
      <c r="AP642">
        <v>56.059217780318164</v>
      </c>
      <c r="AQ642">
        <v>79.913384821704398</v>
      </c>
      <c r="AR642">
        <v>12.862974526660404</v>
      </c>
      <c r="AS642">
        <v>67.385169253353823</v>
      </c>
      <c r="AT642">
        <v>7.1722968176158091</v>
      </c>
      <c r="AU642">
        <v>6.9520057867914122</v>
      </c>
      <c r="AV642"/>
      <c r="AW642"/>
      <c r="FY642" s="214">
        <v>637</v>
      </c>
      <c r="FZ642">
        <v>0.87222342389468144</v>
      </c>
      <c r="GA642">
        <v>17.903836100800312</v>
      </c>
      <c r="GB642">
        <v>12.754242153163032</v>
      </c>
      <c r="GC642">
        <v>2.8028566825495167</v>
      </c>
      <c r="GD642">
        <v>3.7246478253615547</v>
      </c>
      <c r="GE642">
        <v>8.7179096899970538</v>
      </c>
      <c r="GF642">
        <v>10.604920030865351</v>
      </c>
      <c r="GG642">
        <v>6.9897655828918097</v>
      </c>
      <c r="GH642">
        <v>8.3748326283281188E-2</v>
      </c>
      <c r="GI642">
        <v>7.7534457246358812</v>
      </c>
      <c r="GJ642"/>
      <c r="GK642"/>
      <c r="GL642"/>
      <c r="GM642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73.393244456093925</v>
      </c>
      <c r="AO643">
        <v>15.126702543599801</v>
      </c>
      <c r="AP643">
        <v>87.785238235762094</v>
      </c>
      <c r="AQ643">
        <v>86.807850038441089</v>
      </c>
      <c r="AR643">
        <v>14.108632923437952</v>
      </c>
      <c r="AS643">
        <v>74.22300873083401</v>
      </c>
      <c r="AT643" t="e">
        <v>#DIV/0!</v>
      </c>
      <c r="AU643" t="e">
        <v>#DIV/0!</v>
      </c>
      <c r="AV643"/>
      <c r="AW643"/>
      <c r="FY643" s="214">
        <v>638</v>
      </c>
      <c r="FZ643">
        <v>1.2670529080877539</v>
      </c>
      <c r="GA643">
        <v>11.534658384334127</v>
      </c>
      <c r="GB643">
        <v>10.891825225399302</v>
      </c>
      <c r="GC643">
        <v>4.0831442433079612</v>
      </c>
      <c r="GD643">
        <v>4.3309141746959519</v>
      </c>
      <c r="GE643">
        <v>13.963443683534685</v>
      </c>
      <c r="GF643">
        <v>21.268248508197381</v>
      </c>
      <c r="GG643">
        <v>15.059712371929653</v>
      </c>
      <c r="GH643">
        <v>12.42457115846657</v>
      </c>
      <c r="GI643">
        <v>11.684324387253382</v>
      </c>
      <c r="GJ643"/>
      <c r="GK643"/>
      <c r="GL643"/>
      <c r="GM643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48.201957058928762</v>
      </c>
      <c r="AO644">
        <v>4.7893669294497236</v>
      </c>
      <c r="AP644">
        <v>27.222721227571228</v>
      </c>
      <c r="AQ644">
        <v>35.301317660718382</v>
      </c>
      <c r="AR644">
        <v>4.5331566239763905</v>
      </c>
      <c r="AS644">
        <v>28.587534008032531</v>
      </c>
      <c r="AT644">
        <v>3.0570395261268515</v>
      </c>
      <c r="AU644">
        <v>3.9317268212219947</v>
      </c>
      <c r="AV644"/>
      <c r="AW644"/>
      <c r="FY644" s="214">
        <v>639</v>
      </c>
      <c r="FZ644">
        <v>0.99562253443358228</v>
      </c>
      <c r="GA644">
        <v>12.447508205759078</v>
      </c>
      <c r="GB644">
        <v>8.8179887244589636</v>
      </c>
      <c r="GC644">
        <v>2.3999744626193786</v>
      </c>
      <c r="GD644">
        <v>0.93098998195198535</v>
      </c>
      <c r="GE644">
        <v>2.3647090754907016</v>
      </c>
      <c r="GF644">
        <v>5.6520724001231804</v>
      </c>
      <c r="GG644">
        <v>3.8835200116792805</v>
      </c>
      <c r="GH644">
        <v>3.6245609659771576</v>
      </c>
      <c r="GI644">
        <v>4.5146568791002295</v>
      </c>
      <c r="GJ644"/>
      <c r="GK644"/>
      <c r="GL644"/>
      <c r="GM644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61.402938688547749</v>
      </c>
      <c r="AO645">
        <v>11.367724691127053</v>
      </c>
      <c r="AP645">
        <v>69.720272363551487</v>
      </c>
      <c r="AQ645">
        <v>65.802154043563021</v>
      </c>
      <c r="AR645">
        <v>10.513803916789117</v>
      </c>
      <c r="AS645">
        <v>56.565651855344434</v>
      </c>
      <c r="AT645">
        <v>6.1455130018708841</v>
      </c>
      <c r="AU645">
        <v>35.138387668922611</v>
      </c>
      <c r="AV645"/>
      <c r="AW645"/>
      <c r="FY645" s="214">
        <v>640</v>
      </c>
      <c r="FZ645">
        <v>0.92858495363727556</v>
      </c>
      <c r="GA645">
        <v>17.611521061606002</v>
      </c>
      <c r="GB645">
        <v>11.242363763818606</v>
      </c>
      <c r="GC645">
        <v>2.0556018751465803</v>
      </c>
      <c r="GD645">
        <v>7.1995583209833693</v>
      </c>
      <c r="GE645">
        <v>20.035440966248764</v>
      </c>
      <c r="GF645">
        <v>20.96569507768028</v>
      </c>
      <c r="GG645">
        <v>16.348967696041079</v>
      </c>
      <c r="GH645">
        <v>7.7022669120919414</v>
      </c>
      <c r="GI645">
        <v>12.818382226380736</v>
      </c>
      <c r="GJ645"/>
      <c r="GK645"/>
      <c r="GL645"/>
      <c r="GM64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87.901239851873356</v>
      </c>
      <c r="AO646">
        <v>16.701761567651381</v>
      </c>
      <c r="AP646">
        <v>52.767153963309326</v>
      </c>
      <c r="AQ646">
        <v>107.45528407153509</v>
      </c>
      <c r="AR646">
        <v>15.541148873333329</v>
      </c>
      <c r="AS646">
        <v>84.284798259806621</v>
      </c>
      <c r="AT646">
        <v>9.0323187766548703</v>
      </c>
      <c r="AU646">
        <v>3.533913588998836</v>
      </c>
      <c r="AV646"/>
      <c r="AW646"/>
      <c r="FY646" s="214">
        <v>641</v>
      </c>
      <c r="FZ646">
        <v>1.142918924006159</v>
      </c>
      <c r="GA646">
        <v>27.049519540146605</v>
      </c>
      <c r="GB646">
        <v>15.853178100282546</v>
      </c>
      <c r="GC646">
        <v>2.0346907177843327</v>
      </c>
      <c r="GD646">
        <v>4.4272461891500843</v>
      </c>
      <c r="GE646">
        <v>10.703412316311892</v>
      </c>
      <c r="GF646">
        <v>11.993840078640396</v>
      </c>
      <c r="GG646">
        <v>10.396709507732789</v>
      </c>
      <c r="GH646">
        <v>4.6859045111820521</v>
      </c>
      <c r="GI646">
        <v>9.7893256762657916</v>
      </c>
      <c r="GJ646"/>
      <c r="GK646"/>
      <c r="GL646"/>
      <c r="GM646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48.805200433202515</v>
      </c>
      <c r="AO647">
        <v>9.5694855929368945</v>
      </c>
      <c r="AP647">
        <v>57.603352701167722</v>
      </c>
      <c r="AQ647">
        <v>58.856530159080769</v>
      </c>
      <c r="AR647">
        <v>9.0694709206307795</v>
      </c>
      <c r="AS647">
        <v>46.757095982665</v>
      </c>
      <c r="AT647">
        <v>5.3606098851470776</v>
      </c>
      <c r="AU647">
        <v>42.9351952757631</v>
      </c>
      <c r="AV647"/>
      <c r="AW647"/>
      <c r="FY647" s="214">
        <v>642</v>
      </c>
      <c r="FZ647">
        <v>1.0855438875052446</v>
      </c>
      <c r="GA647">
        <v>3.5438280272394493</v>
      </c>
      <c r="GB647">
        <v>4.3901642279939512</v>
      </c>
      <c r="GC647">
        <v>2.3524831597842129</v>
      </c>
      <c r="GD647">
        <v>1.5283865944002426</v>
      </c>
      <c r="GE647">
        <v>12.266859868571593</v>
      </c>
      <c r="GF647">
        <v>26.497131269764342</v>
      </c>
      <c r="GG647">
        <v>9.0609098050213781</v>
      </c>
      <c r="GH647">
        <v>1.7875222031384326</v>
      </c>
      <c r="GI647">
        <v>7.3940022046753686</v>
      </c>
      <c r="GJ647"/>
      <c r="GK647"/>
      <c r="GL647"/>
      <c r="GM647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47.249478913429357</v>
      </c>
      <c r="AO648">
        <v>7.0999926561102882</v>
      </c>
      <c r="AP648">
        <v>30.36478370456436</v>
      </c>
      <c r="AQ648">
        <v>42.790211533508952</v>
      </c>
      <c r="AR648">
        <v>6.6459347634329804</v>
      </c>
      <c r="AS648">
        <v>37.86546444664927</v>
      </c>
      <c r="AT648">
        <v>3.8648024691838914</v>
      </c>
      <c r="AU648">
        <v>13.982021534952111</v>
      </c>
      <c r="AV648"/>
      <c r="AW648"/>
      <c r="FY648" s="214">
        <v>643</v>
      </c>
      <c r="FZ648">
        <v>0.94818867544368646</v>
      </c>
      <c r="GA648">
        <v>15.907580275362093</v>
      </c>
      <c r="GB648">
        <v>11.703196642872811</v>
      </c>
      <c r="GC648">
        <v>3.0016564803786276</v>
      </c>
      <c r="GD648">
        <v>4.9528309834449979</v>
      </c>
      <c r="GE648">
        <v>13.518795249435053</v>
      </c>
      <c r="GF648">
        <v>18.40634406357406</v>
      </c>
      <c r="GG648">
        <v>14.951215465489277</v>
      </c>
      <c r="GH648">
        <v>8.8495267521897034</v>
      </c>
      <c r="GI648">
        <v>10.939441510876772</v>
      </c>
      <c r="GJ648"/>
      <c r="GK648"/>
      <c r="GL648"/>
      <c r="GM648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83.893160083820661</v>
      </c>
      <c r="AO649">
        <v>16.018730740192087</v>
      </c>
      <c r="AP649">
        <v>79.939715679479548</v>
      </c>
      <c r="AQ649">
        <v>99.577610428744293</v>
      </c>
      <c r="AR649">
        <v>14.944308296612785</v>
      </c>
      <c r="AS649">
        <v>78.486740407389888</v>
      </c>
      <c r="AT649">
        <v>8.9283269919326091</v>
      </c>
      <c r="AU649">
        <v>47.544018619627053</v>
      </c>
      <c r="AV649"/>
      <c r="AW649"/>
      <c r="FY649" s="214">
        <v>644</v>
      </c>
      <c r="FZ649">
        <v>0.74679729983914023</v>
      </c>
      <c r="GA649">
        <v>9.51457363008649</v>
      </c>
      <c r="GB649">
        <v>8.8529077635184024</v>
      </c>
      <c r="GC649">
        <v>3.0586821571321345</v>
      </c>
      <c r="GD649">
        <v>4.2193408342657577</v>
      </c>
      <c r="GE649">
        <v>17.565390725575313</v>
      </c>
      <c r="GF649">
        <v>24.159101869176439</v>
      </c>
      <c r="GG649">
        <v>8.8912284346577373</v>
      </c>
      <c r="GH649">
        <v>2.3098044733128309</v>
      </c>
      <c r="GI649">
        <v>9.8281582739762303</v>
      </c>
      <c r="GJ649"/>
      <c r="GK649"/>
      <c r="GL649"/>
      <c r="GM649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53.630909355852829</v>
      </c>
      <c r="AO650">
        <v>10.157097411615057</v>
      </c>
      <c r="AP650">
        <v>45.737712694025284</v>
      </c>
      <c r="AQ650">
        <v>58.413893521109273</v>
      </c>
      <c r="AR650">
        <v>9.615550725179121</v>
      </c>
      <c r="AS650">
        <v>50.402028980403124</v>
      </c>
      <c r="AT650">
        <v>5.3196518053218975</v>
      </c>
      <c r="AU650">
        <v>-1.4885255835183258</v>
      </c>
      <c r="AV650"/>
      <c r="AW650"/>
      <c r="FY650" s="214">
        <v>645</v>
      </c>
      <c r="FZ650">
        <v>0.99918121811815308</v>
      </c>
      <c r="GA650">
        <v>18.267758784993262</v>
      </c>
      <c r="GB650">
        <v>19.626600622745549</v>
      </c>
      <c r="GC650">
        <v>6.29422069032438</v>
      </c>
      <c r="GD650">
        <v>7.8558482921870825</v>
      </c>
      <c r="GE650">
        <v>22.897462971549711</v>
      </c>
      <c r="GF650">
        <v>21.288988583073895</v>
      </c>
      <c r="GG650">
        <v>14.409265702638912</v>
      </c>
      <c r="GH650">
        <v>8.1750326225660466</v>
      </c>
      <c r="GI650">
        <v>15.389642240950494</v>
      </c>
      <c r="GJ650"/>
      <c r="GK650"/>
      <c r="GL650"/>
      <c r="GM650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59.650479238847424</v>
      </c>
      <c r="AO651">
        <v>12.092706294153036</v>
      </c>
      <c r="AP651">
        <v>58.711792949142364</v>
      </c>
      <c r="AQ651">
        <v>72.8155915428719</v>
      </c>
      <c r="AR651">
        <v>11.350776569774228</v>
      </c>
      <c r="AS651">
        <v>63.594243068021854</v>
      </c>
      <c r="AT651">
        <v>6.9068120928519994</v>
      </c>
      <c r="AU651">
        <v>12.49217393180316</v>
      </c>
      <c r="AV651"/>
      <c r="AW651"/>
      <c r="FY651" s="214">
        <v>646</v>
      </c>
      <c r="FZ651">
        <v>0.83061479229998114</v>
      </c>
      <c r="GA651">
        <v>11.525593993243273</v>
      </c>
      <c r="GB651">
        <v>7.4593634957332791</v>
      </c>
      <c r="GC651">
        <v>1.6061304671083745</v>
      </c>
      <c r="GD651">
        <v>7.9715573686698162</v>
      </c>
      <c r="GE651">
        <v>18.761190356467758</v>
      </c>
      <c r="GF651">
        <v>15.333998359863902</v>
      </c>
      <c r="GG651">
        <v>10.253122747547252</v>
      </c>
      <c r="GH651">
        <v>4.8555691323582026</v>
      </c>
      <c r="GI651">
        <v>10.688023792912885</v>
      </c>
      <c r="GJ651"/>
      <c r="GK651"/>
      <c r="GL651"/>
      <c r="GM651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63.810396144314481</v>
      </c>
      <c r="AO652">
        <v>11.904833956336535</v>
      </c>
      <c r="AP652">
        <v>87.978723777577883</v>
      </c>
      <c r="AQ652">
        <v>67.262345854509974</v>
      </c>
      <c r="AR652">
        <v>11.05027814528264</v>
      </c>
      <c r="AS652">
        <v>55.660049074067665</v>
      </c>
      <c r="AT652">
        <v>6.2425802766398739</v>
      </c>
      <c r="AU652">
        <v>50.518717155917365</v>
      </c>
      <c r="AV652"/>
      <c r="AW652"/>
      <c r="FY652" s="214">
        <v>647</v>
      </c>
      <c r="FZ652">
        <v>0.6797597190428335</v>
      </c>
      <c r="GA652">
        <v>3.1383830772926857</v>
      </c>
      <c r="GB652">
        <v>4.6076985554909307</v>
      </c>
      <c r="GC652">
        <v>2.620691831066289</v>
      </c>
      <c r="GD652">
        <v>7.3919831413469961</v>
      </c>
      <c r="GE652">
        <v>17.575041892073102</v>
      </c>
      <c r="GF652">
        <v>18.677479121026131</v>
      </c>
      <c r="GG652">
        <v>15.886417515597572</v>
      </c>
      <c r="GH652">
        <v>10.521236831071453</v>
      </c>
      <c r="GI652">
        <v>11.283078466459624</v>
      </c>
      <c r="GJ652"/>
      <c r="GK652"/>
      <c r="GL652"/>
      <c r="GM652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60.321820008684654</v>
      </c>
      <c r="AO653">
        <v>11.976467948743155</v>
      </c>
      <c r="AP653">
        <v>39.86663226844334</v>
      </c>
      <c r="AQ653">
        <v>72.207595540442483</v>
      </c>
      <c r="AR653">
        <v>10.888664299993778</v>
      </c>
      <c r="AS653">
        <v>55.716893510463535</v>
      </c>
      <c r="AT653" t="e">
        <v>#DIV/0!</v>
      </c>
      <c r="AU653" t="e">
        <v>#DIV/0!</v>
      </c>
      <c r="AV653"/>
      <c r="AW653"/>
      <c r="FY653" s="214">
        <v>648</v>
      </c>
      <c r="FZ653">
        <v>0.57850950723659422</v>
      </c>
      <c r="GA653">
        <v>5.2252477081211097</v>
      </c>
      <c r="GB653">
        <v>2.891327773833007</v>
      </c>
      <c r="GC653">
        <v>0.93767569447231613</v>
      </c>
      <c r="GD653">
        <v>7.964472498142122</v>
      </c>
      <c r="GE653">
        <v>15.827873516895876</v>
      </c>
      <c r="GF653">
        <v>12.629351270115466</v>
      </c>
      <c r="GG653">
        <v>11.571217582164101</v>
      </c>
      <c r="GH653">
        <v>1.1967763997980561</v>
      </c>
      <c r="GI653">
        <v>8.4390487495215538</v>
      </c>
      <c r="GJ653"/>
      <c r="GK653"/>
      <c r="GL653"/>
      <c r="GM653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82.446734795919653</v>
      </c>
      <c r="AO654">
        <v>17.399211498662737</v>
      </c>
      <c r="AP654">
        <v>62.638870937313477</v>
      </c>
      <c r="AQ654">
        <v>106.50789504520677</v>
      </c>
      <c r="AR654">
        <v>16.365624085540006</v>
      </c>
      <c r="AS654">
        <v>86.122776674256059</v>
      </c>
      <c r="AT654">
        <v>9.5587586837275893</v>
      </c>
      <c r="AU654">
        <v>16.566298172246011</v>
      </c>
      <c r="AV654"/>
      <c r="AW654"/>
      <c r="FY654" s="214">
        <v>649</v>
      </c>
      <c r="FZ654">
        <v>1.4242904751713492</v>
      </c>
      <c r="GA654">
        <v>18.233149057156581</v>
      </c>
      <c r="GB654">
        <v>13.59338671899485</v>
      </c>
      <c r="GC654">
        <v>3.3683879641660281</v>
      </c>
      <c r="GD654">
        <v>7.107326901875008</v>
      </c>
      <c r="GE654">
        <v>18.945901387913018</v>
      </c>
      <c r="GF654">
        <v>20.520594436131827</v>
      </c>
      <c r="GG654">
        <v>12.964027890678242</v>
      </c>
      <c r="GH654">
        <v>5.3603986408057089</v>
      </c>
      <c r="GI654">
        <v>12.669748293223936</v>
      </c>
      <c r="GJ654"/>
      <c r="GK654"/>
      <c r="GL654"/>
      <c r="GM654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49.603990967253942</v>
      </c>
      <c r="AO655">
        <v>6.6329416014242337</v>
      </c>
      <c r="AP655">
        <v>12.289485277566444</v>
      </c>
      <c r="AQ655">
        <v>45.631603241593538</v>
      </c>
      <c r="AR655">
        <v>6.2329080827259755</v>
      </c>
      <c r="AS655">
        <v>38.551047028208657</v>
      </c>
      <c r="AT655">
        <v>3.710655172567316</v>
      </c>
      <c r="AU655">
        <v>-1.8577413626248129</v>
      </c>
      <c r="AV655"/>
      <c r="AW655"/>
      <c r="FY655" s="214">
        <v>650</v>
      </c>
      <c r="FZ655">
        <v>0.78812729821821448</v>
      </c>
      <c r="GA655">
        <v>10.26294881742121</v>
      </c>
      <c r="GB655">
        <v>8.8976354355335534</v>
      </c>
      <c r="GC655">
        <v>3.0733160027372683</v>
      </c>
      <c r="GD655">
        <v>10.176058064139069</v>
      </c>
      <c r="GE655">
        <v>24.569490390836567</v>
      </c>
      <c r="GF655">
        <v>15.785125849061577</v>
      </c>
      <c r="GG655">
        <v>7.8705349800696647</v>
      </c>
      <c r="GH655">
        <v>3.4570643134105952</v>
      </c>
      <c r="GI655">
        <v>12.151038447680698</v>
      </c>
      <c r="GJ655"/>
      <c r="GK655"/>
      <c r="GL655"/>
      <c r="GM65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95.798939335434909</v>
      </c>
      <c r="AO656">
        <v>19.900768993554504</v>
      </c>
      <c r="AP656">
        <v>128.44282918241245</v>
      </c>
      <c r="AQ656">
        <v>116.90838285363465</v>
      </c>
      <c r="AR656">
        <v>18.091608175958637</v>
      </c>
      <c r="AS656">
        <v>93.599092562591778</v>
      </c>
      <c r="AT656" t="e">
        <v>#DIV/0!</v>
      </c>
      <c r="AU656" t="e">
        <v>#DIV/0!</v>
      </c>
      <c r="AV656"/>
      <c r="AW656"/>
      <c r="FY656" s="214">
        <v>651</v>
      </c>
      <c r="FZ656">
        <v>0.6601559972364226</v>
      </c>
      <c r="GA656">
        <v>3.8556671230313015</v>
      </c>
      <c r="GB656">
        <v>4.3189538573228914</v>
      </c>
      <c r="GC656">
        <v>2.0184649482374395</v>
      </c>
      <c r="GD656">
        <v>1.9517975765922317</v>
      </c>
      <c r="GE656">
        <v>7.7791172079041369</v>
      </c>
      <c r="GF656">
        <v>18.454258996619412</v>
      </c>
      <c r="GG656">
        <v>10.783724419340494</v>
      </c>
      <c r="GH656">
        <v>0.80775901560723096</v>
      </c>
      <c r="GI656">
        <v>6.1032595497378397</v>
      </c>
      <c r="GJ656"/>
      <c r="GK656"/>
      <c r="GL656"/>
      <c r="GM656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79.915671512814214</v>
      </c>
      <c r="AO657">
        <v>14.874220301871071</v>
      </c>
      <c r="AP657">
        <v>56.284018807291901</v>
      </c>
      <c r="AQ657">
        <v>98.076745561502648</v>
      </c>
      <c r="AR657">
        <v>13.534549808208563</v>
      </c>
      <c r="AS657">
        <v>73.695397875151798</v>
      </c>
      <c r="AT657" t="e">
        <v>#DIV/0!</v>
      </c>
      <c r="AU657" t="e">
        <v>#DIV/0!</v>
      </c>
      <c r="AV657"/>
      <c r="AW657"/>
      <c r="FY657" s="214">
        <v>652</v>
      </c>
      <c r="FZ657">
        <v>1.7363159736619009</v>
      </c>
      <c r="GA657">
        <v>18.400198142216031</v>
      </c>
      <c r="GB657">
        <v>13.731785508159597</v>
      </c>
      <c r="GC657">
        <v>3.2406923071952916</v>
      </c>
      <c r="GD657">
        <v>7.2812338758822639</v>
      </c>
      <c r="GE657">
        <v>24.057265265625052</v>
      </c>
      <c r="GF657">
        <v>29.946943621992297</v>
      </c>
      <c r="GG657">
        <v>14.153321401083595</v>
      </c>
      <c r="GH657">
        <v>1.9207870891220062</v>
      </c>
      <c r="GI657">
        <v>14.299817281318704</v>
      </c>
      <c r="GJ657"/>
      <c r="GK657"/>
      <c r="GL657"/>
      <c r="GM657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69.166437796903466</v>
      </c>
      <c r="AO658">
        <v>11.007803347398658</v>
      </c>
      <c r="AP658">
        <v>68.934979742650569</v>
      </c>
      <c r="AQ658">
        <v>69.906831248094207</v>
      </c>
      <c r="AR658">
        <v>10.210377179445148</v>
      </c>
      <c r="AS658">
        <v>61.519267337822754</v>
      </c>
      <c r="AT658" t="e">
        <v>#DIV/0!</v>
      </c>
      <c r="AU658" t="e">
        <v>#DIV/0!</v>
      </c>
      <c r="AV658"/>
      <c r="AW658"/>
      <c r="FY658" s="214">
        <v>653</v>
      </c>
      <c r="FZ658">
        <v>0.68359703594303034</v>
      </c>
      <c r="GA658">
        <v>10.115584355719593</v>
      </c>
      <c r="GB658">
        <v>5.5713949343363609</v>
      </c>
      <c r="GC658">
        <v>0.93527248633293047</v>
      </c>
      <c r="GD658">
        <v>3.8920463200033972</v>
      </c>
      <c r="GE658">
        <v>10.227326525668461</v>
      </c>
      <c r="GF658">
        <v>8.9893632481648993</v>
      </c>
      <c r="GG658">
        <v>3.5483117986475095</v>
      </c>
      <c r="GH658">
        <v>1.8712705294217138</v>
      </c>
      <c r="GI658">
        <v>5.8618145560683388</v>
      </c>
      <c r="GJ658"/>
      <c r="GK658"/>
      <c r="GL658"/>
      <c r="GM658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87.581288231126607</v>
      </c>
      <c r="AO659">
        <v>16.465428989255308</v>
      </c>
      <c r="AP659">
        <v>58.838116439748909</v>
      </c>
      <c r="AQ659">
        <v>103.17877609906709</v>
      </c>
      <c r="AR659">
        <v>15.159323683716332</v>
      </c>
      <c r="AS659">
        <v>82.68094393793929</v>
      </c>
      <c r="AT659">
        <v>8.8658428453268279</v>
      </c>
      <c r="AU659">
        <v>20.044173803454079</v>
      </c>
      <c r="AV659"/>
      <c r="AW659"/>
      <c r="FY659" s="214">
        <v>654</v>
      </c>
      <c r="FZ659">
        <v>0.43477180134858845</v>
      </c>
      <c r="GA659">
        <v>8.7369393795389279</v>
      </c>
      <c r="GB659">
        <v>10.48390211180147</v>
      </c>
      <c r="GC659">
        <v>4.0772470215581915</v>
      </c>
      <c r="GD659">
        <v>4.0332199629502856</v>
      </c>
      <c r="GE659">
        <v>10.25042971572536</v>
      </c>
      <c r="GF659">
        <v>10.360581622544332</v>
      </c>
      <c r="GG659">
        <v>8.2866321647999897</v>
      </c>
      <c r="GH659">
        <v>5.9169126775630962</v>
      </c>
      <c r="GI659">
        <v>8.1759378387245984</v>
      </c>
      <c r="GJ659"/>
      <c r="GK659"/>
      <c r="GL659"/>
      <c r="GM659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86.286353655117068</v>
      </c>
      <c r="AO660">
        <v>15.031387148548385</v>
      </c>
      <c r="AP660">
        <v>61.774267516295723</v>
      </c>
      <c r="AQ660">
        <v>89.145985461540477</v>
      </c>
      <c r="AR660">
        <v>13.677106704809148</v>
      </c>
      <c r="AS660">
        <v>79.56803222834705</v>
      </c>
      <c r="AT660" t="e">
        <v>#DIV/0!</v>
      </c>
      <c r="AU660" t="e">
        <v>#DIV/0!</v>
      </c>
      <c r="AV660"/>
      <c r="AW660"/>
      <c r="FY660" s="214">
        <v>655</v>
      </c>
      <c r="FZ660">
        <v>0.87504723403655826</v>
      </c>
      <c r="GA660">
        <v>10.816120558515285</v>
      </c>
      <c r="GB660">
        <v>11.557265601446163</v>
      </c>
      <c r="GC660">
        <v>4.1842403626592723</v>
      </c>
      <c r="GD660">
        <v>3.9896307047406068</v>
      </c>
      <c r="GE660">
        <v>12.800940080050454</v>
      </c>
      <c r="GF660">
        <v>22.392888243372937</v>
      </c>
      <c r="GG660">
        <v>12.925515991225126</v>
      </c>
      <c r="GH660">
        <v>0.72401068932394974</v>
      </c>
      <c r="GI660">
        <v>10.121489713273132</v>
      </c>
      <c r="GJ660"/>
      <c r="GK660"/>
      <c r="GL660"/>
      <c r="GM660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109.46609276557118</v>
      </c>
      <c r="AO661">
        <v>23.736058161071956</v>
      </c>
      <c r="AP661">
        <v>117.11579426345578</v>
      </c>
      <c r="AQ661">
        <v>135.20400172914748</v>
      </c>
      <c r="AR661">
        <v>21.602975340883621</v>
      </c>
      <c r="AS661">
        <v>111.07173804097989</v>
      </c>
      <c r="AT661" t="e">
        <v>#DIV/0!</v>
      </c>
      <c r="AU661" t="e">
        <v>#DIV/0!</v>
      </c>
      <c r="AV661"/>
      <c r="AW661"/>
      <c r="FY661" s="214">
        <v>656</v>
      </c>
      <c r="FZ661">
        <v>0.73103089493292628</v>
      </c>
      <c r="GA661">
        <v>16.388869492980497</v>
      </c>
      <c r="GB661">
        <v>8.8608395481285811</v>
      </c>
      <c r="GC661">
        <v>0.84705836920095301</v>
      </c>
      <c r="GD661">
        <v>2.5533198573475757</v>
      </c>
      <c r="GE661">
        <v>9.3217862986988145</v>
      </c>
      <c r="GF661">
        <v>20.640231168145164</v>
      </c>
      <c r="GG661">
        <v>12.71526106757107</v>
      </c>
      <c r="GH661">
        <v>1.1130280735147748</v>
      </c>
      <c r="GI661">
        <v>8.0354625196773206</v>
      </c>
      <c r="GJ661"/>
      <c r="GK661"/>
      <c r="GL661"/>
      <c r="GM661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76.719173163566751</v>
      </c>
      <c r="AO662">
        <v>16.114486270680487</v>
      </c>
      <c r="AP662">
        <v>102.46987194006246</v>
      </c>
      <c r="AQ662">
        <v>89.285164506204723</v>
      </c>
      <c r="AR662">
        <v>15.007262239723428</v>
      </c>
      <c r="AS662">
        <v>75.862163160183187</v>
      </c>
      <c r="AT662">
        <v>8.270223571668442</v>
      </c>
      <c r="AU662">
        <v>6.0178317854815235</v>
      </c>
      <c r="AV662"/>
      <c r="AW662"/>
      <c r="FY662" s="214">
        <v>657</v>
      </c>
      <c r="FZ662">
        <v>0.54341801373959542</v>
      </c>
      <c r="GA662">
        <v>11.122562927505438</v>
      </c>
      <c r="GB662">
        <v>6.1146502189713159</v>
      </c>
      <c r="GC662">
        <v>0.98593013782242256</v>
      </c>
      <c r="GD662">
        <v>3.7627859988371171</v>
      </c>
      <c r="GE662">
        <v>7.6708711968655861</v>
      </c>
      <c r="GF662">
        <v>13.136544941489182</v>
      </c>
      <c r="GG662">
        <v>11.869048969705775</v>
      </c>
      <c r="GH662">
        <v>3.4570643134105952</v>
      </c>
      <c r="GI662">
        <v>7.0583660868820441</v>
      </c>
      <c r="GJ662"/>
      <c r="GK662"/>
      <c r="GL662"/>
      <c r="GM662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70.969516377618106</v>
      </c>
      <c r="AO663">
        <v>17.01083811231673</v>
      </c>
      <c r="AP663">
        <v>117.49329238803966</v>
      </c>
      <c r="AQ663">
        <v>92.381770150467617</v>
      </c>
      <c r="AR663">
        <v>16.000026018717865</v>
      </c>
      <c r="AS663">
        <v>81.47880431794519</v>
      </c>
      <c r="AT663" t="e">
        <v>#DIV/0!</v>
      </c>
      <c r="AU663" t="e">
        <v>#DIV/0!</v>
      </c>
      <c r="AV663"/>
      <c r="AW663"/>
      <c r="FY663" s="214">
        <v>658</v>
      </c>
      <c r="FZ663">
        <v>1.4171731078022076</v>
      </c>
      <c r="GA663">
        <v>9.9715792722283734</v>
      </c>
      <c r="GB663">
        <v>10.228642610585103</v>
      </c>
      <c r="GC663">
        <v>4.2521000703488472</v>
      </c>
      <c r="GD663">
        <v>1.9679382474007516</v>
      </c>
      <c r="GE663">
        <v>7.8125671350993153</v>
      </c>
      <c r="GF663">
        <v>18.915868788741211</v>
      </c>
      <c r="GG663">
        <v>13.423203763622599</v>
      </c>
      <c r="GH663">
        <v>8.1772005911756356</v>
      </c>
      <c r="GI663">
        <v>9.1268660285111931</v>
      </c>
      <c r="GJ663"/>
      <c r="GK663"/>
      <c r="GL663"/>
      <c r="GM663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53.909828198694662</v>
      </c>
      <c r="AO664">
        <v>13.117460480164587</v>
      </c>
      <c r="AP664">
        <v>90.01898007065347</v>
      </c>
      <c r="AQ664">
        <v>67.261500700300203</v>
      </c>
      <c r="AR664">
        <v>11.925286127801142</v>
      </c>
      <c r="AS664">
        <v>56.273141131399548</v>
      </c>
      <c r="AT664" t="e">
        <v>#DIV/0!</v>
      </c>
      <c r="AU664" t="e">
        <v>#DIV/0!</v>
      </c>
      <c r="AV664"/>
      <c r="AW664"/>
      <c r="FY664" s="214">
        <v>659</v>
      </c>
      <c r="FZ664">
        <v>0.88087246143175368</v>
      </c>
      <c r="GA664">
        <v>22.90833560412139</v>
      </c>
      <c r="GB664">
        <v>11.803941248942905</v>
      </c>
      <c r="GC664">
        <v>0.99856402791760734</v>
      </c>
      <c r="GD664">
        <v>7.9407714980552919</v>
      </c>
      <c r="GE664">
        <v>19.898944590455056</v>
      </c>
      <c r="GF664">
        <v>19.585507260672067</v>
      </c>
      <c r="GG664">
        <v>10.991393266891416</v>
      </c>
      <c r="GH664">
        <v>3.5750444062768651</v>
      </c>
      <c r="GI664">
        <v>12.348121074613065</v>
      </c>
      <c r="GJ664"/>
      <c r="GK664"/>
      <c r="GL664"/>
      <c r="GM664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89.397560388670371</v>
      </c>
      <c r="AO665">
        <v>19.12354693695697</v>
      </c>
      <c r="AP665">
        <v>76.496108314401624</v>
      </c>
      <c r="AQ665">
        <v>114.18721176611653</v>
      </c>
      <c r="AR665">
        <v>17.588647952149675</v>
      </c>
      <c r="AS665">
        <v>93.539805738790719</v>
      </c>
      <c r="AT665">
        <v>10.29904168132177</v>
      </c>
      <c r="AU665">
        <v>18.653812429647225</v>
      </c>
      <c r="AV665"/>
      <c r="AW665"/>
      <c r="FY665" s="214">
        <v>660</v>
      </c>
      <c r="FZ665">
        <v>0.80417233634005447</v>
      </c>
      <c r="GA665">
        <v>22.917910043976395</v>
      </c>
      <c r="GB665">
        <v>14.110245484171426</v>
      </c>
      <c r="GC665">
        <v>2.5723310754947089</v>
      </c>
      <c r="GD665">
        <v>2.1736011469115466</v>
      </c>
      <c r="GE665">
        <v>7.6566541857194865</v>
      </c>
      <c r="GF665">
        <v>20.736780956981477</v>
      </c>
      <c r="GG665">
        <v>15.368651178652552</v>
      </c>
      <c r="GH665">
        <v>5.9169126775630962</v>
      </c>
      <c r="GI665">
        <v>10.055451406255555</v>
      </c>
      <c r="GJ665"/>
      <c r="GK665"/>
      <c r="GL665"/>
      <c r="GM66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96.616410080128588</v>
      </c>
      <c r="AO666">
        <v>18.457515838500491</v>
      </c>
      <c r="AP666">
        <v>117.1627085089072</v>
      </c>
      <c r="AQ666">
        <v>97.031339599108406</v>
      </c>
      <c r="AR666">
        <v>16.95842448637103</v>
      </c>
      <c r="AS666">
        <v>89.438389882992553</v>
      </c>
      <c r="AT666">
        <v>8.9871779100008879</v>
      </c>
      <c r="AU666">
        <v>38.236376906309552</v>
      </c>
      <c r="AV666"/>
      <c r="AW666"/>
      <c r="FY666" s="214">
        <v>661</v>
      </c>
      <c r="FZ666">
        <v>1.126873885884319</v>
      </c>
      <c r="GA666">
        <v>11.576053490929372</v>
      </c>
      <c r="GB666">
        <v>16.156183298467596</v>
      </c>
      <c r="GC666">
        <v>6.7681077701117793</v>
      </c>
      <c r="GD666">
        <v>2.2286985643310548</v>
      </c>
      <c r="GE666">
        <v>13.666607779957147</v>
      </c>
      <c r="GF666">
        <v>24.248086162018897</v>
      </c>
      <c r="GG666">
        <v>7.8939763211053222</v>
      </c>
      <c r="GH666">
        <v>2.4277845661791013</v>
      </c>
      <c r="GI666">
        <v>10.795435142133087</v>
      </c>
      <c r="GJ666"/>
      <c r="GK666"/>
      <c r="GL666"/>
      <c r="GM666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48.186219638222383</v>
      </c>
      <c r="AO667">
        <v>9.4789692084716428</v>
      </c>
      <c r="AP667">
        <v>42.072482969295137</v>
      </c>
      <c r="AQ667">
        <v>56.733158691629406</v>
      </c>
      <c r="AR667">
        <v>8.6172447349742214</v>
      </c>
      <c r="AS667">
        <v>44.905856388036419</v>
      </c>
      <c r="AT667" t="e">
        <v>#DIV/0!</v>
      </c>
      <c r="AU667" t="e">
        <v>#DIV/0!</v>
      </c>
      <c r="AV667"/>
      <c r="AW667"/>
      <c r="FY667" s="214">
        <v>662</v>
      </c>
      <c r="FZ667">
        <v>0.29103409546058256</v>
      </c>
      <c r="GA667">
        <v>11.478063294783</v>
      </c>
      <c r="GB667">
        <v>6.322106948167284</v>
      </c>
      <c r="GC667">
        <v>0.83623376235063918</v>
      </c>
      <c r="GD667">
        <v>1.5034448940068237</v>
      </c>
      <c r="GE667">
        <v>9.6014559918668603</v>
      </c>
      <c r="GF667">
        <v>21.741488307532229</v>
      </c>
      <c r="GG667">
        <v>9.4649369228508302</v>
      </c>
      <c r="GH667">
        <v>1.8712705294217138</v>
      </c>
      <c r="GI667">
        <v>7.0472251648617963</v>
      </c>
      <c r="GJ667"/>
      <c r="GK667"/>
      <c r="GL667"/>
      <c r="GM667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108.00205665324813</v>
      </c>
      <c r="AO668">
        <v>22.021601291708027</v>
      </c>
      <c r="AP668">
        <v>99.76900438609178</v>
      </c>
      <c r="AQ668">
        <v>128.76836046625672</v>
      </c>
      <c r="AR668">
        <v>20.068796780992205</v>
      </c>
      <c r="AS668">
        <v>103.72127840727605</v>
      </c>
      <c r="AT668" t="e">
        <v>#DIV/0!</v>
      </c>
      <c r="AU668" t="e">
        <v>#DIV/0!</v>
      </c>
      <c r="AV668"/>
      <c r="AW668"/>
      <c r="FY668" s="214">
        <v>663</v>
      </c>
      <c r="FZ668">
        <v>0.99890258490252704</v>
      </c>
      <c r="GA668">
        <v>4.8600172004809874</v>
      </c>
      <c r="GB668">
        <v>8.0861251502750626</v>
      </c>
      <c r="GC668">
        <v>3.7847753421391932</v>
      </c>
      <c r="GD668">
        <v>1.0080050391432205</v>
      </c>
      <c r="GE668">
        <v>7.0879977311919005</v>
      </c>
      <c r="GF668">
        <v>22.450800465880803</v>
      </c>
      <c r="GG668">
        <v>18.799036444529193</v>
      </c>
      <c r="GH668">
        <v>9.4897891152303728</v>
      </c>
      <c r="GI668">
        <v>8.9587928137663138</v>
      </c>
      <c r="GJ668"/>
      <c r="GK668"/>
      <c r="GL668"/>
      <c r="GM668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52.489301289753669</v>
      </c>
      <c r="AO669">
        <v>8.7327019867164246</v>
      </c>
      <c r="AP669">
        <v>38.657003529081955</v>
      </c>
      <c r="AQ669">
        <v>51.695981790306234</v>
      </c>
      <c r="AR669">
        <v>8.1298939181506782</v>
      </c>
      <c r="AS669">
        <v>45.402995860846772</v>
      </c>
      <c r="AT669">
        <v>4.8438602695167301</v>
      </c>
      <c r="AU669">
        <v>3.0917982764263829</v>
      </c>
      <c r="AV669"/>
      <c r="AW669"/>
      <c r="FY669" s="214">
        <v>664</v>
      </c>
      <c r="FZ669">
        <v>0.75419330042390809</v>
      </c>
      <c r="GA669">
        <v>4.6504797955063566</v>
      </c>
      <c r="GB669">
        <v>5.9537842455856662</v>
      </c>
      <c r="GC669">
        <v>3.0458870379687215</v>
      </c>
      <c r="GD669">
        <v>10.441018627427345</v>
      </c>
      <c r="GE669">
        <v>26.65168849361017</v>
      </c>
      <c r="GF669">
        <v>18.140957308851778</v>
      </c>
      <c r="GG669">
        <v>7.6993182478989848</v>
      </c>
      <c r="GH669">
        <v>2.9842986029364886</v>
      </c>
      <c r="GI669">
        <v>12.088468875144693</v>
      </c>
      <c r="GJ669"/>
      <c r="GK669"/>
      <c r="GL669"/>
      <c r="GM669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58.602156041651106</v>
      </c>
      <c r="AO670">
        <v>12.453652775626804</v>
      </c>
      <c r="AP670">
        <v>48.58518769913934</v>
      </c>
      <c r="AQ670">
        <v>70.756574296554831</v>
      </c>
      <c r="AR670">
        <v>11.50036715648586</v>
      </c>
      <c r="AS670">
        <v>59.912557542397479</v>
      </c>
      <c r="AT670">
        <v>5.9829582193097357</v>
      </c>
      <c r="AU670">
        <v>7.7400502544808756</v>
      </c>
      <c r="AV670"/>
      <c r="AW670"/>
      <c r="FY670" s="214">
        <v>665</v>
      </c>
      <c r="FZ670">
        <v>0.61300077146215293</v>
      </c>
      <c r="GA670">
        <v>9.2712576795599091</v>
      </c>
      <c r="GB670">
        <v>14.070691190514578</v>
      </c>
      <c r="GC670">
        <v>5.7511756269493413</v>
      </c>
      <c r="GD670">
        <v>5.0037590606223459</v>
      </c>
      <c r="GE670">
        <v>13.993249494181105</v>
      </c>
      <c r="GF670">
        <v>14.070107241610581</v>
      </c>
      <c r="GG670">
        <v>8.2728695322194401</v>
      </c>
      <c r="GH670">
        <v>7.1479208439441422</v>
      </c>
      <c r="GI670">
        <v>10.45869584344886</v>
      </c>
      <c r="GJ670"/>
      <c r="GK670"/>
      <c r="GL670"/>
      <c r="GM670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72.195894994305462</v>
      </c>
      <c r="AO671">
        <v>15.784550576698839</v>
      </c>
      <c r="AP671">
        <v>77.785138620927285</v>
      </c>
      <c r="AQ671">
        <v>90.387149178643483</v>
      </c>
      <c r="AR671">
        <v>14.374332082362606</v>
      </c>
      <c r="AS671">
        <v>71.293626921389517</v>
      </c>
      <c r="AT671" t="e">
        <v>#DIV/0!</v>
      </c>
      <c r="AU671" t="e">
        <v>#DIV/0!</v>
      </c>
      <c r="AV671"/>
      <c r="AW671"/>
      <c r="FY671" s="214">
        <v>666</v>
      </c>
      <c r="FZ671">
        <v>0.34230527135067523</v>
      </c>
      <c r="GA671">
        <v>10.273046153482204</v>
      </c>
      <c r="GB671">
        <v>12.677729546717742</v>
      </c>
      <c r="GC671">
        <v>4.8137741422513933</v>
      </c>
      <c r="GD671">
        <v>2.9778512779639392</v>
      </c>
      <c r="GE671">
        <v>11.358378139066236</v>
      </c>
      <c r="GF671">
        <v>14.999848559389847</v>
      </c>
      <c r="GG671">
        <v>4.689842517738346</v>
      </c>
      <c r="GH671">
        <v>8.3748326283281188E-2</v>
      </c>
      <c r="GI671">
        <v>8.0208575327529577</v>
      </c>
      <c r="GJ671"/>
      <c r="GK671"/>
      <c r="GL671"/>
      <c r="GM671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73.413916454255315</v>
      </c>
      <c r="AO672">
        <v>12.328074422877151</v>
      </c>
      <c r="AP672">
        <v>75.600099253991317</v>
      </c>
      <c r="AQ672">
        <v>81.20688729019767</v>
      </c>
      <c r="AR672">
        <v>11.232081033433801</v>
      </c>
      <c r="AS672">
        <v>63.396352087086562</v>
      </c>
      <c r="AT672" t="e">
        <v>#DIV/0!</v>
      </c>
      <c r="AU672" t="e">
        <v>#DIV/0!</v>
      </c>
      <c r="AV672"/>
      <c r="AW672"/>
      <c r="FY672" s="214">
        <v>667</v>
      </c>
      <c r="FZ672">
        <v>0.79778984251360685</v>
      </c>
      <c r="GA672">
        <v>11.319133106812934</v>
      </c>
      <c r="GB672">
        <v>11.740139378425674</v>
      </c>
      <c r="GC672">
        <v>4.6800042854472039</v>
      </c>
      <c r="GD672">
        <v>7.4251991428029482</v>
      </c>
      <c r="GE672">
        <v>16.62160833174115</v>
      </c>
      <c r="GF672">
        <v>14.406230064367168</v>
      </c>
      <c r="GG672">
        <v>9.5458656631153413</v>
      </c>
      <c r="GH672">
        <v>1.1967763997980561</v>
      </c>
      <c r="GI672">
        <v>10.836960910140938</v>
      </c>
      <c r="GJ672"/>
      <c r="GK672"/>
      <c r="GL672"/>
      <c r="GM672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56.683828227989316</v>
      </c>
      <c r="AO673">
        <v>10.70547083816194</v>
      </c>
      <c r="AP673">
        <v>88.25727641956523</v>
      </c>
      <c r="AQ673">
        <v>65.721242805229068</v>
      </c>
      <c r="AR673">
        <v>9.9236422016617514</v>
      </c>
      <c r="AS673">
        <v>52.55840602631568</v>
      </c>
      <c r="AT673">
        <v>5.9923953044887677</v>
      </c>
      <c r="AU673">
        <v>42.939406062819835</v>
      </c>
      <c r="AV673"/>
      <c r="AW673"/>
      <c r="FY673" s="214">
        <v>668</v>
      </c>
      <c r="FZ673">
        <v>1.2066764543335211</v>
      </c>
      <c r="GA673">
        <v>12.250938026451582</v>
      </c>
      <c r="GB673">
        <v>7.7013259202084825</v>
      </c>
      <c r="GC673">
        <v>2.171685350545884</v>
      </c>
      <c r="GD673">
        <v>0.95950391123992451</v>
      </c>
      <c r="GE673">
        <v>2.1188350217574228</v>
      </c>
      <c r="GF673">
        <v>17.21327802870475</v>
      </c>
      <c r="GG673">
        <v>13.545544609106688</v>
      </c>
      <c r="GH673">
        <v>2.3440362398958201</v>
      </c>
      <c r="GI673">
        <v>6.5619485844834013</v>
      </c>
      <c r="GJ673"/>
      <c r="GK673"/>
      <c r="GL673"/>
      <c r="GM673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59.70202446631923</v>
      </c>
      <c r="AO674">
        <v>13.84998230043708</v>
      </c>
      <c r="AP674">
        <v>64.223321104655625</v>
      </c>
      <c r="AQ674">
        <v>85.29313961551523</v>
      </c>
      <c r="AR674">
        <v>12.947978156926389</v>
      </c>
      <c r="AS674">
        <v>63.280336949241914</v>
      </c>
      <c r="AT674" t="e">
        <v>#DIV/0!</v>
      </c>
      <c r="AU674" t="e">
        <v>#DIV/0!</v>
      </c>
      <c r="AV674"/>
      <c r="AW674"/>
      <c r="FY674" s="214">
        <v>669</v>
      </c>
      <c r="FZ674">
        <v>0.43477180134858845</v>
      </c>
      <c r="GA674">
        <v>4.1619489252611643</v>
      </c>
      <c r="GB674">
        <v>7.9532049814235419</v>
      </c>
      <c r="GC674">
        <v>3.8102634902144996</v>
      </c>
      <c r="GD674">
        <v>6.1236226060784018</v>
      </c>
      <c r="GE674">
        <v>20.118637983549235</v>
      </c>
      <c r="GF674">
        <v>22.385969817951235</v>
      </c>
      <c r="GG674">
        <v>16.945578868613033</v>
      </c>
      <c r="GH674">
        <v>11.664160733950043</v>
      </c>
      <c r="GI674">
        <v>12.063204737816466</v>
      </c>
      <c r="GJ674"/>
      <c r="GK674"/>
      <c r="GL674"/>
      <c r="GM674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98.827391586469133</v>
      </c>
      <c r="AO675">
        <v>18.603881254032196</v>
      </c>
      <c r="AP675">
        <v>154.62504153949394</v>
      </c>
      <c r="AQ675">
        <v>110.93149543937741</v>
      </c>
      <c r="AR675">
        <v>17.269704478376493</v>
      </c>
      <c r="AS675">
        <v>95.114609190847204</v>
      </c>
      <c r="AT675" t="e">
        <v>#DIV/0!</v>
      </c>
      <c r="AU675" t="e">
        <v>#DIV/0!</v>
      </c>
      <c r="AV675"/>
      <c r="AW675"/>
      <c r="FY675" s="214">
        <v>670</v>
      </c>
      <c r="FZ675">
        <v>1.554806953079392</v>
      </c>
      <c r="GA675">
        <v>11.380281086304887</v>
      </c>
      <c r="GB675">
        <v>10.423288740382423</v>
      </c>
      <c r="GC675">
        <v>3.5250940289126396</v>
      </c>
      <c r="GD675">
        <v>7.0139809713861778</v>
      </c>
      <c r="GE675">
        <v>18.420262862566837</v>
      </c>
      <c r="GF675">
        <v>18.105888838492891</v>
      </c>
      <c r="GG675">
        <v>9.0637596902546917</v>
      </c>
      <c r="GH675">
        <v>0.16749665256656238</v>
      </c>
      <c r="GI675">
        <v>10.552364181548482</v>
      </c>
      <c r="GJ675"/>
      <c r="GK675"/>
      <c r="GL675"/>
      <c r="GM67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88.097045533750062</v>
      </c>
      <c r="AO676">
        <v>15.37776629954314</v>
      </c>
      <c r="AP676">
        <v>65.295256527244234</v>
      </c>
      <c r="AQ676">
        <v>102.3127104920663</v>
      </c>
      <c r="AR676">
        <v>14.170539420341633</v>
      </c>
      <c r="AS676">
        <v>71.538836445605497</v>
      </c>
      <c r="AT676">
        <v>8.2272999104304834</v>
      </c>
      <c r="AU676">
        <v>18.112702309090743</v>
      </c>
      <c r="AV676"/>
      <c r="AW676"/>
      <c r="FY676" s="214">
        <v>671</v>
      </c>
      <c r="FZ676">
        <v>0.55562573496123857</v>
      </c>
      <c r="GA676">
        <v>10.838366785400511</v>
      </c>
      <c r="GB676">
        <v>8.5165281267389368</v>
      </c>
      <c r="GC676">
        <v>2.6586621464742368</v>
      </c>
      <c r="GD676">
        <v>11.375049987628655</v>
      </c>
      <c r="GE676">
        <v>24.394751229170549</v>
      </c>
      <c r="GF676">
        <v>9.3916521151151287</v>
      </c>
      <c r="GG676">
        <v>8.3625136950634786</v>
      </c>
      <c r="GH676">
        <v>6.9461924247945905</v>
      </c>
      <c r="GI676">
        <v>12.087541069467864</v>
      </c>
      <c r="GJ676"/>
      <c r="GK676"/>
      <c r="GL676"/>
      <c r="GM676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99.896666515627956</v>
      </c>
      <c r="AO677">
        <v>16.588973418884315</v>
      </c>
      <c r="AP677">
        <v>119.33593682158643</v>
      </c>
      <c r="AQ677">
        <v>96.887806981117677</v>
      </c>
      <c r="AR677">
        <v>15.272280911409364</v>
      </c>
      <c r="AS677">
        <v>85.138594680746365</v>
      </c>
      <c r="AT677">
        <v>8.2722476445953106</v>
      </c>
      <c r="AU677">
        <v>192.12761191918972</v>
      </c>
      <c r="AV677"/>
      <c r="AW677"/>
      <c r="FY677" s="214">
        <v>672</v>
      </c>
      <c r="FZ677">
        <v>0.75775198410847888</v>
      </c>
      <c r="GA677">
        <v>3.4786039918347869</v>
      </c>
      <c r="GB677">
        <v>5.5814856470725935</v>
      </c>
      <c r="GC677">
        <v>3.0296877539624596</v>
      </c>
      <c r="GD677">
        <v>5.5169509141671496</v>
      </c>
      <c r="GE677">
        <v>13.587903793878034</v>
      </c>
      <c r="GF677">
        <v>7.8808242573987934</v>
      </c>
      <c r="GG677">
        <v>2.4170386788158256</v>
      </c>
      <c r="GH677">
        <v>2.5115328924623825</v>
      </c>
      <c r="GI677">
        <v>6.7510639242287898</v>
      </c>
      <c r="GJ677"/>
      <c r="GK677"/>
      <c r="GL677"/>
      <c r="GM677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70.005167654650791</v>
      </c>
      <c r="AO678">
        <v>10.674743157172768</v>
      </c>
      <c r="AP678">
        <v>60.433345330023066</v>
      </c>
      <c r="AQ678">
        <v>70.157259911301765</v>
      </c>
      <c r="AR678">
        <v>9.8831765942549179</v>
      </c>
      <c r="AS678">
        <v>57.127366923615384</v>
      </c>
      <c r="AT678">
        <v>5.7848453079975677</v>
      </c>
      <c r="AU678">
        <v>21.098323283779621</v>
      </c>
      <c r="AV678"/>
      <c r="AW678"/>
      <c r="FY678" s="214">
        <v>673</v>
      </c>
      <c r="FZ678">
        <v>1.1900741497804288</v>
      </c>
      <c r="GA678">
        <v>13.59733175690744</v>
      </c>
      <c r="GB678">
        <v>16.127059935222913</v>
      </c>
      <c r="GC678">
        <v>6.0970184524339199</v>
      </c>
      <c r="GD678">
        <v>6.0894408511791323</v>
      </c>
      <c r="GE678">
        <v>20.770688474094079</v>
      </c>
      <c r="GF678">
        <v>26.385274541894962</v>
      </c>
      <c r="GG678">
        <v>10.394624890446826</v>
      </c>
      <c r="GH678">
        <v>4.2153067693175341</v>
      </c>
      <c r="GI678">
        <v>13.575294514064071</v>
      </c>
      <c r="GJ678"/>
      <c r="GK678"/>
      <c r="GL678"/>
      <c r="GM678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62.576923804858652</v>
      </c>
      <c r="AO679">
        <v>13.96643103505447</v>
      </c>
      <c r="AP679">
        <v>102.34040654854891</v>
      </c>
      <c r="AQ679">
        <v>85.524241887539574</v>
      </c>
      <c r="AR679">
        <v>12.875620119601917</v>
      </c>
      <c r="AS679">
        <v>62.888899698676838</v>
      </c>
      <c r="AT679">
        <v>7.6731015338824191</v>
      </c>
      <c r="AU679">
        <v>87.433465658438124</v>
      </c>
      <c r="AV679"/>
      <c r="AW679"/>
      <c r="FY679" s="214">
        <v>674</v>
      </c>
      <c r="FZ679">
        <v>0.82095224800458855</v>
      </c>
      <c r="GA679">
        <v>3.7915363009465737</v>
      </c>
      <c r="GB679">
        <v>7.1162806512324126</v>
      </c>
      <c r="GC679">
        <v>3.7467972017265678</v>
      </c>
      <c r="GD679">
        <v>4.0209840331091327</v>
      </c>
      <c r="GE679">
        <v>15.512587981849158</v>
      </c>
      <c r="GF679">
        <v>19.847347289033021</v>
      </c>
      <c r="GG679">
        <v>13.521892885921051</v>
      </c>
      <c r="GH679">
        <v>10.467384334151987</v>
      </c>
      <c r="GI679">
        <v>9.7936430935613625</v>
      </c>
      <c r="GJ679"/>
      <c r="GK679"/>
      <c r="GL679"/>
      <c r="GM679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87.314210071829564</v>
      </c>
      <c r="AO680">
        <v>18.514259472357118</v>
      </c>
      <c r="AP680">
        <v>122.46379009140307</v>
      </c>
      <c r="AQ680">
        <v>92.410094535354119</v>
      </c>
      <c r="AR680">
        <v>17.022540960021008</v>
      </c>
      <c r="AS680">
        <v>83.527349918621525</v>
      </c>
      <c r="AT680">
        <v>8.8610885204458878</v>
      </c>
      <c r="AU680">
        <v>32.879350074962844</v>
      </c>
      <c r="AV680"/>
      <c r="AW680"/>
      <c r="FY680" s="214">
        <v>675</v>
      </c>
      <c r="FZ680">
        <v>1.1329777464951405</v>
      </c>
      <c r="GA680">
        <v>10.405337791386506</v>
      </c>
      <c r="GB680">
        <v>7.6453323420367019</v>
      </c>
      <c r="GC680">
        <v>2.0912493599703414</v>
      </c>
      <c r="GD680">
        <v>5.3617283157017246</v>
      </c>
      <c r="GE680">
        <v>10.314277231264866</v>
      </c>
      <c r="GF680">
        <v>10.817589932863736</v>
      </c>
      <c r="GG680">
        <v>9.4605073419434973</v>
      </c>
      <c r="GH680">
        <v>5.3625666094152988</v>
      </c>
      <c r="GI680">
        <v>8.3758967787223622</v>
      </c>
      <c r="GJ680"/>
      <c r="GK680"/>
      <c r="GL680"/>
      <c r="GM680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78.677004529493132</v>
      </c>
      <c r="AO681">
        <v>15.569693572023482</v>
      </c>
      <c r="AP681">
        <v>61.378822860639694</v>
      </c>
      <c r="AQ681">
        <v>88.652727284512466</v>
      </c>
      <c r="AR681">
        <v>14.547979931300432</v>
      </c>
      <c r="AS681">
        <v>74.46051114428893</v>
      </c>
      <c r="AT681">
        <v>7.9907824630910333</v>
      </c>
      <c r="AU681">
        <v>8.725191695267247</v>
      </c>
      <c r="AV681"/>
      <c r="AW681"/>
      <c r="FY681" s="214">
        <v>676</v>
      </c>
      <c r="FZ681">
        <v>0.94536486530180963</v>
      </c>
      <c r="GA681">
        <v>9.8237047617625954</v>
      </c>
      <c r="GB681">
        <v>8.6183321363855043</v>
      </c>
      <c r="GC681">
        <v>3.3008279766372475</v>
      </c>
      <c r="GD681">
        <v>14.580053451120483</v>
      </c>
      <c r="GE681">
        <v>35.340634537280799</v>
      </c>
      <c r="GF681">
        <v>19.557460825049546</v>
      </c>
      <c r="GG681">
        <v>7.8219978624356861</v>
      </c>
      <c r="GH681">
        <v>1.8712705294217138</v>
      </c>
      <c r="GI681">
        <v>15.634981568476478</v>
      </c>
      <c r="GJ681"/>
      <c r="GK681"/>
      <c r="GL681"/>
      <c r="GM681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69.795179273061706</v>
      </c>
      <c r="AO682">
        <v>12.393910611133069</v>
      </c>
      <c r="AP682">
        <v>59.188791034395891</v>
      </c>
      <c r="AQ682">
        <v>70.237381466996624</v>
      </c>
      <c r="AR682">
        <v>11.280044871552803</v>
      </c>
      <c r="AS682">
        <v>59.34328870134167</v>
      </c>
      <c r="AT682" t="e">
        <v>#DIV/0!</v>
      </c>
      <c r="AU682" t="e">
        <v>#DIV/0!</v>
      </c>
      <c r="AV682"/>
      <c r="AW682"/>
      <c r="FY682" s="214">
        <v>677</v>
      </c>
      <c r="FZ682">
        <v>0.80773102002462538</v>
      </c>
      <c r="GA682">
        <v>3.1478097978292343</v>
      </c>
      <c r="GB682">
        <v>3.034268398599826</v>
      </c>
      <c r="GC682">
        <v>1.44745342427324</v>
      </c>
      <c r="GD682">
        <v>8.0424944363977549</v>
      </c>
      <c r="GE682">
        <v>24.077991774716622</v>
      </c>
      <c r="GF682">
        <v>19.192715849073792</v>
      </c>
      <c r="GG682">
        <v>6.4544178925033933</v>
      </c>
      <c r="GH682">
        <v>4.8555691323582026</v>
      </c>
      <c r="GI682">
        <v>10.39210024752094</v>
      </c>
      <c r="GJ682"/>
      <c r="GK682"/>
      <c r="GL682"/>
      <c r="GM682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80.039829761912159</v>
      </c>
      <c r="AO683">
        <v>16.918054213351443</v>
      </c>
      <c r="AP683">
        <v>93.340769391702992</v>
      </c>
      <c r="AQ683">
        <v>88.569707125165024</v>
      </c>
      <c r="AR683">
        <v>15.392580636827084</v>
      </c>
      <c r="AS683">
        <v>78.547553450422043</v>
      </c>
      <c r="AT683" t="e">
        <v>#DIV/0!</v>
      </c>
      <c r="AU683" t="e">
        <v>#DIV/0!</v>
      </c>
      <c r="AV683"/>
      <c r="AW683"/>
      <c r="FY683" s="214">
        <v>678</v>
      </c>
      <c r="FZ683">
        <v>0.35807167625688929</v>
      </c>
      <c r="GA683">
        <v>9.9008568528814074</v>
      </c>
      <c r="GB683">
        <v>6.8751569741090206</v>
      </c>
      <c r="GC683">
        <v>1.6450404498031399</v>
      </c>
      <c r="GD683">
        <v>2.7353335073626921</v>
      </c>
      <c r="GE683">
        <v>7.1986996900768787</v>
      </c>
      <c r="GF683">
        <v>12.2026120746989</v>
      </c>
      <c r="GG683">
        <v>12.690202120778165</v>
      </c>
      <c r="GH683">
        <v>10.720797281611418</v>
      </c>
      <c r="GI683">
        <v>7.4055727037655616</v>
      </c>
      <c r="GJ683"/>
      <c r="GK683"/>
      <c r="GL683"/>
      <c r="GM683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44.534541521032267</v>
      </c>
      <c r="AO684">
        <v>10.012944192182635</v>
      </c>
      <c r="AP684">
        <v>48.951020181859612</v>
      </c>
      <c r="AQ684">
        <v>66.073772146727478</v>
      </c>
      <c r="AR684">
        <v>9.3422656018018344</v>
      </c>
      <c r="AS684">
        <v>45.562311575692654</v>
      </c>
      <c r="AT684">
        <v>5.6031335800367374</v>
      </c>
      <c r="AU684">
        <v>37.17024920882362</v>
      </c>
      <c r="AV684"/>
      <c r="AW684"/>
      <c r="FY684" s="214">
        <v>679</v>
      </c>
      <c r="FZ684">
        <v>0.94208481483286488</v>
      </c>
      <c r="GA684">
        <v>3.2174390038562661</v>
      </c>
      <c r="GB684">
        <v>3.5769362998678336</v>
      </c>
      <c r="GC684">
        <v>1.6474501826837959</v>
      </c>
      <c r="GD684">
        <v>6.9039606761295236</v>
      </c>
      <c r="GE684">
        <v>19.577494408376982</v>
      </c>
      <c r="GF684">
        <v>26.98368203732382</v>
      </c>
      <c r="GG684">
        <v>16.355155880897136</v>
      </c>
      <c r="GH684">
        <v>0.72401068932394974</v>
      </c>
      <c r="GI684">
        <v>10.813170985395296</v>
      </c>
      <c r="GJ684"/>
      <c r="GK684"/>
      <c r="GL684"/>
      <c r="GM684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80.913044553078151</v>
      </c>
      <c r="AO685">
        <v>18.681896332980859</v>
      </c>
      <c r="AP685">
        <v>73.486834782487207</v>
      </c>
      <c r="AQ685">
        <v>105.66136394620621</v>
      </c>
      <c r="AR685">
        <v>16.983864175815931</v>
      </c>
      <c r="AS685">
        <v>82.79426552312934</v>
      </c>
      <c r="AT685" t="e">
        <v>#DIV/0!</v>
      </c>
      <c r="AU685" t="e">
        <v>#DIV/0!</v>
      </c>
      <c r="AV685"/>
      <c r="AW685"/>
      <c r="FY685" s="214">
        <v>680</v>
      </c>
      <c r="FZ685">
        <v>0.98924004060713466</v>
      </c>
      <c r="GA685">
        <v>19.076382519996329</v>
      </c>
      <c r="GB685">
        <v>9.8686724460777917</v>
      </c>
      <c r="GC685">
        <v>1.2745167848817258</v>
      </c>
      <c r="GD685">
        <v>7.20933030169736</v>
      </c>
      <c r="GE685">
        <v>18.161693822378389</v>
      </c>
      <c r="GF685">
        <v>25.740059242271311</v>
      </c>
      <c r="GG685">
        <v>20.320069290521747</v>
      </c>
      <c r="GH685">
        <v>8.4284455700254792</v>
      </c>
      <c r="GI685">
        <v>13.525780339383115</v>
      </c>
      <c r="GJ685"/>
      <c r="GK685"/>
      <c r="GL685"/>
      <c r="GM68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87.750655921359282</v>
      </c>
      <c r="AO686">
        <v>16.102301619781976</v>
      </c>
      <c r="AP686">
        <v>70.426409884461847</v>
      </c>
      <c r="AQ686">
        <v>90.207224005494979</v>
      </c>
      <c r="AR686">
        <v>14.650987369945751</v>
      </c>
      <c r="AS686">
        <v>78.017033661745486</v>
      </c>
      <c r="AT686" t="e">
        <v>#DIV/0!</v>
      </c>
      <c r="AU686" t="e">
        <v>#DIV/0!</v>
      </c>
      <c r="AV686"/>
      <c r="AW686"/>
      <c r="FY686" s="214">
        <v>681</v>
      </c>
      <c r="FZ686">
        <v>0.34230527135067523</v>
      </c>
      <c r="GA686">
        <v>2.8009512238470355</v>
      </c>
      <c r="GB686">
        <v>3.1028880925161553</v>
      </c>
      <c r="GC686">
        <v>1.9142028199977252</v>
      </c>
      <c r="GD686">
        <v>7.2710142896312666</v>
      </c>
      <c r="GE686">
        <v>16.503864447696202</v>
      </c>
      <c r="GF686">
        <v>12.329855241525831</v>
      </c>
      <c r="GG686">
        <v>7.3209130948265706</v>
      </c>
      <c r="GH686">
        <v>1.7875222031384326</v>
      </c>
      <c r="GI686">
        <v>8.2010538893653546</v>
      </c>
      <c r="GJ686"/>
      <c r="GK686"/>
      <c r="GL686"/>
      <c r="GM686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89.993045340222892</v>
      </c>
      <c r="AO687">
        <v>18.333458003352593</v>
      </c>
      <c r="AP687">
        <v>109.70821682703473</v>
      </c>
      <c r="AQ687">
        <v>95.126883314815203</v>
      </c>
      <c r="AR687">
        <v>16.857531878350226</v>
      </c>
      <c r="AS687">
        <v>88.629022004898673</v>
      </c>
      <c r="AT687">
        <v>9.0944728384271301</v>
      </c>
      <c r="AU687">
        <v>15.542765931615911</v>
      </c>
      <c r="AV687"/>
      <c r="AW687"/>
      <c r="FY687" s="214">
        <v>682</v>
      </c>
      <c r="FZ687">
        <v>1.51559950946657</v>
      </c>
      <c r="GA687">
        <v>5.8449101121419016</v>
      </c>
      <c r="GB687">
        <v>5.697424291780222</v>
      </c>
      <c r="GC687">
        <v>2.6914218551211886</v>
      </c>
      <c r="GD687">
        <v>5.0758220380019186</v>
      </c>
      <c r="GE687">
        <v>12.71774306274998</v>
      </c>
      <c r="GF687">
        <v>19.34795432514445</v>
      </c>
      <c r="GG687">
        <v>21.129883637474048</v>
      </c>
      <c r="GH687">
        <v>12.811420574047805</v>
      </c>
      <c r="GI687">
        <v>10.729757284068288</v>
      </c>
      <c r="GJ687"/>
      <c r="GK687"/>
      <c r="GL687"/>
      <c r="GM687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61.682610635335337</v>
      </c>
      <c r="AO688">
        <v>10.100424773248189</v>
      </c>
      <c r="AP688">
        <v>41.90826325147939</v>
      </c>
      <c r="AQ688">
        <v>51.512843837929296</v>
      </c>
      <c r="AR688">
        <v>9.3861316764295708</v>
      </c>
      <c r="AS688">
        <v>50.351125462748755</v>
      </c>
      <c r="AT688">
        <v>4.8604849347400014</v>
      </c>
      <c r="AU688">
        <v>7.2231035326017379E-2</v>
      </c>
      <c r="AV688"/>
      <c r="AW688"/>
      <c r="FY688" s="214">
        <v>683</v>
      </c>
      <c r="FZ688">
        <v>1.3743114392552025</v>
      </c>
      <c r="GA688">
        <v>10.977250020567052</v>
      </c>
      <c r="GB688">
        <v>8.2579565497334748</v>
      </c>
      <c r="GC688">
        <v>2.5716818659915992</v>
      </c>
      <c r="GD688">
        <v>8.3402754608657705</v>
      </c>
      <c r="GE688">
        <v>25.011134871676806</v>
      </c>
      <c r="GF688">
        <v>26.850354774713352</v>
      </c>
      <c r="GG688">
        <v>11.390982671646768</v>
      </c>
      <c r="GH688">
        <v>3.6587927325601464</v>
      </c>
      <c r="GI688">
        <v>13.18894553747316</v>
      </c>
      <c r="GJ688"/>
      <c r="GK688"/>
      <c r="GL688"/>
      <c r="GM688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101.05739230876358</v>
      </c>
      <c r="AO689">
        <v>20.370046435069391</v>
      </c>
      <c r="AP689">
        <v>83.021891536911113</v>
      </c>
      <c r="AQ689">
        <v>118.4421143353413</v>
      </c>
      <c r="AR689">
        <v>18.875631243334549</v>
      </c>
      <c r="AS689">
        <v>102.97660883884267</v>
      </c>
      <c r="AT689">
        <v>10.417173372338064</v>
      </c>
      <c r="AU689">
        <v>10.331576844393606</v>
      </c>
      <c r="AV689"/>
      <c r="AW689"/>
      <c r="FY689" s="214">
        <v>684</v>
      </c>
      <c r="FZ689">
        <v>1.0060199522716688</v>
      </c>
      <c r="GA689">
        <v>10.529818818280182</v>
      </c>
      <c r="GB689">
        <v>6.8101258043179076</v>
      </c>
      <c r="GC689">
        <v>1.7625451112529993</v>
      </c>
      <c r="GD689">
        <v>6.8516240578897172</v>
      </c>
      <c r="GE689">
        <v>14.654156855524938</v>
      </c>
      <c r="GF689">
        <v>13.473282206822249</v>
      </c>
      <c r="GG689">
        <v>12.07895056876149</v>
      </c>
      <c r="GH689">
        <v>5.3603986408057089</v>
      </c>
      <c r="GI689">
        <v>9.444014716161746</v>
      </c>
      <c r="GJ689"/>
      <c r="GK689"/>
      <c r="GL689"/>
      <c r="GM689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75.68438710579008</v>
      </c>
      <c r="AO690">
        <v>15.00087187862969</v>
      </c>
      <c r="AP690">
        <v>53.181965689988402</v>
      </c>
      <c r="AQ690">
        <v>88.639406019535855</v>
      </c>
      <c r="AR690">
        <v>13.650009660186093</v>
      </c>
      <c r="AS690">
        <v>70.241951256886765</v>
      </c>
      <c r="AT690" t="e">
        <v>#DIV/0!</v>
      </c>
      <c r="AU690" t="e">
        <v>#DIV/0!</v>
      </c>
      <c r="AV690"/>
      <c r="AW690"/>
      <c r="FY690" s="214">
        <v>685</v>
      </c>
      <c r="FZ690">
        <v>0.92858495363727556</v>
      </c>
      <c r="GA690">
        <v>4.2312158018425006</v>
      </c>
      <c r="GB690">
        <v>7.3022597329771735</v>
      </c>
      <c r="GC690">
        <v>3.8492724925134389</v>
      </c>
      <c r="GD690">
        <v>8.309466168908715</v>
      </c>
      <c r="GE690">
        <v>23.262613055679001</v>
      </c>
      <c r="GF690">
        <v>20.911662937064875</v>
      </c>
      <c r="GG690">
        <v>9.8459455711301747</v>
      </c>
      <c r="GH690">
        <v>8.8196309228258922</v>
      </c>
      <c r="GI690">
        <v>12.770056487542918</v>
      </c>
      <c r="GJ690"/>
      <c r="GK690"/>
      <c r="GL690"/>
      <c r="GM690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59.193644173836319</v>
      </c>
      <c r="AO691">
        <v>12.305274125838769</v>
      </c>
      <c r="AP691">
        <v>159.15615540808045</v>
      </c>
      <c r="AQ691">
        <v>70.967463449800178</v>
      </c>
      <c r="AR691">
        <v>11.759190522503093</v>
      </c>
      <c r="AS691">
        <v>56.55017795029935</v>
      </c>
      <c r="AT691" t="e">
        <v>#DIV/0!</v>
      </c>
      <c r="AU691" t="e">
        <v>#DIV/0!</v>
      </c>
      <c r="AV691"/>
      <c r="AW691"/>
      <c r="FY691" s="214">
        <v>686</v>
      </c>
      <c r="FZ691">
        <v>0.67365585843201192</v>
      </c>
      <c r="GA691">
        <v>3.5539253633004444</v>
      </c>
      <c r="GB691">
        <v>7.1156312374695467</v>
      </c>
      <c r="GC691">
        <v>3.5493056585609244</v>
      </c>
      <c r="GD691">
        <v>1.5236625452677401</v>
      </c>
      <c r="GE691">
        <v>11.522379477577338</v>
      </c>
      <c r="GF691">
        <v>26.181623549198807</v>
      </c>
      <c r="GG691">
        <v>10.429580475098939</v>
      </c>
      <c r="GH691">
        <v>3.7425410588434276</v>
      </c>
      <c r="GI691">
        <v>8.289948892852129</v>
      </c>
      <c r="GJ691"/>
      <c r="GK691"/>
      <c r="GL691"/>
      <c r="GM691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105.63486705172465</v>
      </c>
      <c r="AO692">
        <v>24.168951409408482</v>
      </c>
      <c r="AP692">
        <v>166.67466407332904</v>
      </c>
      <c r="AQ692">
        <v>117.49462851387185</v>
      </c>
      <c r="AR692">
        <v>22.150960696666175</v>
      </c>
      <c r="AS692">
        <v>140.42329951947872</v>
      </c>
      <c r="AT692">
        <v>11.160661993946258</v>
      </c>
      <c r="AU692">
        <v>79.523377703296816</v>
      </c>
      <c r="AV692"/>
      <c r="AW692"/>
      <c r="FY692" s="214">
        <v>687</v>
      </c>
      <c r="FZ692">
        <v>0.61655945514672372</v>
      </c>
      <c r="GA692">
        <v>3.1723093421630977</v>
      </c>
      <c r="GB692">
        <v>5.5646981588448501</v>
      </c>
      <c r="GC692">
        <v>3.169957411899917</v>
      </c>
      <c r="GD692">
        <v>5.6210919019571648</v>
      </c>
      <c r="GE692">
        <v>16.041688398329633</v>
      </c>
      <c r="GF692">
        <v>14.675068027322542</v>
      </c>
      <c r="GG692">
        <v>12.418897249360992</v>
      </c>
      <c r="GH692">
        <v>10.551132660435268</v>
      </c>
      <c r="GI692">
        <v>9.354739374308739</v>
      </c>
      <c r="GJ692"/>
      <c r="GK692"/>
      <c r="GL692"/>
      <c r="GM692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73.781587424643121</v>
      </c>
      <c r="AO693">
        <v>15.720902761033878</v>
      </c>
      <c r="AP693">
        <v>98.480764902228913</v>
      </c>
      <c r="AQ693">
        <v>81.452551973297631</v>
      </c>
      <c r="AR693">
        <v>14.66134629124925</v>
      </c>
      <c r="AS693">
        <v>75.991864244817521</v>
      </c>
      <c r="AT693">
        <v>7.2653412525295478</v>
      </c>
      <c r="AU693">
        <v>25.8430194919526</v>
      </c>
      <c r="AV693"/>
      <c r="AW693"/>
      <c r="FY693" s="214">
        <v>688</v>
      </c>
      <c r="FZ693">
        <v>1.0766162167525462</v>
      </c>
      <c r="GA693">
        <v>17.746099424560668</v>
      </c>
      <c r="GB693">
        <v>13.967442753221937</v>
      </c>
      <c r="GC693">
        <v>3.9466921047398147</v>
      </c>
      <c r="GD693">
        <v>4.2461975037216533</v>
      </c>
      <c r="GE693">
        <v>12.083667554105215</v>
      </c>
      <c r="GF693">
        <v>20.597558987639633</v>
      </c>
      <c r="GG693">
        <v>14.11964481606482</v>
      </c>
      <c r="GH693">
        <v>4.0456421481413827</v>
      </c>
      <c r="GI693">
        <v>10.682160318795729</v>
      </c>
      <c r="GJ693"/>
      <c r="GK693"/>
      <c r="GL693"/>
      <c r="GM693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53.169388843080426</v>
      </c>
      <c r="AO694">
        <v>10.874571756472839</v>
      </c>
      <c r="AP694">
        <v>25.709178921822851</v>
      </c>
      <c r="AQ694">
        <v>71.732343331344069</v>
      </c>
      <c r="AR694">
        <v>10.243381535519505</v>
      </c>
      <c r="AS694">
        <v>52.314963347128874</v>
      </c>
      <c r="AT694">
        <v>6.3752790155030219</v>
      </c>
      <c r="AU694">
        <v>3.7238011630861596</v>
      </c>
      <c r="AV694"/>
      <c r="AW694"/>
      <c r="FY694" s="214">
        <v>689</v>
      </c>
      <c r="FZ694">
        <v>0.41900539644237433</v>
      </c>
      <c r="GA694">
        <v>16.200405363320559</v>
      </c>
      <c r="GB694">
        <v>12.272252325193973</v>
      </c>
      <c r="GC694">
        <v>3.4094760764542942</v>
      </c>
      <c r="GD694">
        <v>3.0233823253419665</v>
      </c>
      <c r="GE694">
        <v>6.5458483901431492</v>
      </c>
      <c r="GF694">
        <v>11.064638964121976</v>
      </c>
      <c r="GG694">
        <v>7.2685177231443987</v>
      </c>
      <c r="GH694">
        <v>4.3828034218840966</v>
      </c>
      <c r="GI694">
        <v>7.677445760265492</v>
      </c>
      <c r="GJ694"/>
      <c r="GK694"/>
      <c r="GL694"/>
      <c r="GM694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71.144444035715267</v>
      </c>
      <c r="AO695">
        <v>16.850788900702366</v>
      </c>
      <c r="AP695">
        <v>103.4487450278891</v>
      </c>
      <c r="AQ695">
        <v>90.741384978687478</v>
      </c>
      <c r="AR695">
        <v>15.368058243714323</v>
      </c>
      <c r="AS695">
        <v>76.925777690976744</v>
      </c>
      <c r="AT695" t="e">
        <v>#DIV/0!</v>
      </c>
      <c r="AU695" t="e">
        <v>#DIV/0!</v>
      </c>
      <c r="AV695"/>
      <c r="AW695"/>
      <c r="FY695" s="214">
        <v>690</v>
      </c>
      <c r="FZ695">
        <v>1.3911868921693489</v>
      </c>
      <c r="GA695">
        <v>5.3000590308226112</v>
      </c>
      <c r="GB695">
        <v>4.0203423074269296</v>
      </c>
      <c r="GC695">
        <v>1.7025871039901752</v>
      </c>
      <c r="GD695">
        <v>6.1168299780522197</v>
      </c>
      <c r="GE695">
        <v>17.568146585765579</v>
      </c>
      <c r="GF695">
        <v>24.388156432368898</v>
      </c>
      <c r="GG695">
        <v>14.152298597690102</v>
      </c>
      <c r="GH695">
        <v>2.4277845661791013</v>
      </c>
      <c r="GI695">
        <v>10.25844103842781</v>
      </c>
      <c r="GJ695"/>
      <c r="GK695"/>
      <c r="GL695"/>
      <c r="GM69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94.350888529973062</v>
      </c>
      <c r="AO696">
        <v>20.594250563812494</v>
      </c>
      <c r="AP696">
        <v>116.35665804136165</v>
      </c>
      <c r="AQ696">
        <v>124.59419035784038</v>
      </c>
      <c r="AR696">
        <v>19.079453178555553</v>
      </c>
      <c r="AS696">
        <v>100.25728704470509</v>
      </c>
      <c r="AT696">
        <v>10.952209402857115</v>
      </c>
      <c r="AU696">
        <v>17.683351626492207</v>
      </c>
      <c r="AV696"/>
      <c r="AW696"/>
      <c r="FY696" s="214">
        <v>691</v>
      </c>
      <c r="FZ696">
        <v>0.99279872429170546</v>
      </c>
      <c r="GA696">
        <v>17.465772709430301</v>
      </c>
      <c r="GB696">
        <v>10.764914963019667</v>
      </c>
      <c r="GC696">
        <v>1.9253003851166688</v>
      </c>
      <c r="GD696">
        <v>1.5767651566889902</v>
      </c>
      <c r="GE696">
        <v>6.6449260041055824</v>
      </c>
      <c r="GF696">
        <v>13.648300557975009</v>
      </c>
      <c r="GG696">
        <v>11.850948634469871</v>
      </c>
      <c r="GH696">
        <v>7.5347702595253789</v>
      </c>
      <c r="GI696">
        <v>7.6601653973113422</v>
      </c>
      <c r="GJ696"/>
      <c r="GK696"/>
      <c r="GL696"/>
      <c r="GM696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56.515201472531089</v>
      </c>
      <c r="AO697">
        <v>12.689464591590378</v>
      </c>
      <c r="AP697">
        <v>118.21110371022532</v>
      </c>
      <c r="AQ697">
        <v>61.574570573895244</v>
      </c>
      <c r="AR697">
        <v>11.715063589558806</v>
      </c>
      <c r="AS697">
        <v>57.514334852964112</v>
      </c>
      <c r="AT697" t="e">
        <v>#DIV/0!</v>
      </c>
      <c r="AU697" t="e">
        <v>#DIV/0!</v>
      </c>
      <c r="AV697"/>
      <c r="AW697"/>
      <c r="FY697" s="214">
        <v>692</v>
      </c>
      <c r="FZ697">
        <v>0.21433397036888341</v>
      </c>
      <c r="GA697">
        <v>3.0212231728053838</v>
      </c>
      <c r="GB697">
        <v>5.5105827978161575</v>
      </c>
      <c r="GC697">
        <v>3.0789547694888011</v>
      </c>
      <c r="GD697">
        <v>1.987449918497497</v>
      </c>
      <c r="GE697">
        <v>6.004839163053739</v>
      </c>
      <c r="GF697">
        <v>14.81577076811136</v>
      </c>
      <c r="GG697">
        <v>14.510594912933341</v>
      </c>
      <c r="GH697">
        <v>8.7657784259064222</v>
      </c>
      <c r="GI697">
        <v>7.0939364949045176</v>
      </c>
      <c r="GJ697"/>
      <c r="GK697"/>
      <c r="GL697"/>
      <c r="GM697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63.091825316760335</v>
      </c>
      <c r="AO698">
        <v>16.509267407465835</v>
      </c>
      <c r="AP698">
        <v>82.959590061491653</v>
      </c>
      <c r="AQ698">
        <v>97.561936689996372</v>
      </c>
      <c r="AR698">
        <v>15.199498846104692</v>
      </c>
      <c r="AS698">
        <v>69.631998309919553</v>
      </c>
      <c r="AT698">
        <v>9.122972153162161</v>
      </c>
      <c r="AU698">
        <v>27.353363843133685</v>
      </c>
      <c r="AV698"/>
      <c r="AW698"/>
      <c r="FY698" s="214">
        <v>693</v>
      </c>
      <c r="FZ698">
        <v>0.39584299095139264</v>
      </c>
      <c r="GA698">
        <v>11.883508244729768</v>
      </c>
      <c r="GB698">
        <v>10.823503992516359</v>
      </c>
      <c r="GC698">
        <v>3.42792700535633</v>
      </c>
      <c r="GD698">
        <v>8.0879022574076505</v>
      </c>
      <c r="GE698">
        <v>19.903469661294896</v>
      </c>
      <c r="GF698">
        <v>17.232252594875639</v>
      </c>
      <c r="GG698">
        <v>9.8345063144694596</v>
      </c>
      <c r="GH698">
        <v>1.6695421102721626</v>
      </c>
      <c r="GI698">
        <v>11.241752407158966</v>
      </c>
      <c r="GJ698"/>
      <c r="GK698"/>
      <c r="GL698"/>
      <c r="GM698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101.22439030384592</v>
      </c>
      <c r="AO699">
        <v>19.939130848414276</v>
      </c>
      <c r="AP699">
        <v>119.91726204108062</v>
      </c>
      <c r="AQ699">
        <v>111.62168592448333</v>
      </c>
      <c r="AR699">
        <v>18.484855965693541</v>
      </c>
      <c r="AS699">
        <v>97.876148359115305</v>
      </c>
      <c r="AT699">
        <v>10.112525487324788</v>
      </c>
      <c r="AU699">
        <v>22.830491328860859</v>
      </c>
      <c r="AV699"/>
      <c r="AW699"/>
      <c r="FY699" s="214">
        <v>694</v>
      </c>
      <c r="FZ699">
        <v>1.219619049097858</v>
      </c>
      <c r="GA699">
        <v>5.6428415488921022</v>
      </c>
      <c r="GB699">
        <v>6.9471227655518764</v>
      </c>
      <c r="GC699">
        <v>3.0630108091673098</v>
      </c>
      <c r="GD699">
        <v>3.6273487068304648</v>
      </c>
      <c r="GE699">
        <v>14.382289512680586</v>
      </c>
      <c r="GF699">
        <v>19.750495539739802</v>
      </c>
      <c r="GG699">
        <v>14.703848229187773</v>
      </c>
      <c r="GH699">
        <v>11.107646697192655</v>
      </c>
      <c r="GI699">
        <v>9.6212463845842482</v>
      </c>
      <c r="GJ699"/>
      <c r="GK699"/>
      <c r="GL699"/>
      <c r="GM699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65.647549410406626</v>
      </c>
      <c r="AO700">
        <v>14.239977816558241</v>
      </c>
      <c r="AP700">
        <v>71.822410292132489</v>
      </c>
      <c r="AQ700">
        <v>81.970936732088617</v>
      </c>
      <c r="AR700">
        <v>13.124943121726556</v>
      </c>
      <c r="AS700">
        <v>69.514025669448088</v>
      </c>
      <c r="AT700">
        <v>7.6616889273762858</v>
      </c>
      <c r="AU700">
        <v>10.138682343875201</v>
      </c>
      <c r="AV700"/>
      <c r="AW700"/>
      <c r="FY700" s="214">
        <v>695</v>
      </c>
      <c r="FZ700">
        <v>1.1683478732077655</v>
      </c>
      <c r="GA700">
        <v>11.480464331550104</v>
      </c>
      <c r="GB700">
        <v>14.625789858447725</v>
      </c>
      <c r="GC700">
        <v>5.7184206968300835</v>
      </c>
      <c r="GD700">
        <v>6.1347403273643533</v>
      </c>
      <c r="GE700">
        <v>13.528665895271782</v>
      </c>
      <c r="GF700">
        <v>12.410335213936779</v>
      </c>
      <c r="GG700">
        <v>8.4624954463356516</v>
      </c>
      <c r="GH700">
        <v>2.038767181988276</v>
      </c>
      <c r="GI700">
        <v>10.404598363309127</v>
      </c>
      <c r="GJ700"/>
      <c r="GK700"/>
      <c r="GL700"/>
      <c r="GM700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83.279138857171347</v>
      </c>
      <c r="AO701">
        <v>19.156992839227417</v>
      </c>
      <c r="AP701">
        <v>140.75591937038823</v>
      </c>
      <c r="AQ701">
        <v>100.23070812412196</v>
      </c>
      <c r="AR701">
        <v>18.129618348719376</v>
      </c>
      <c r="AS701">
        <v>94.61515398489459</v>
      </c>
      <c r="AT701" t="e">
        <v>#DIV/0!</v>
      </c>
      <c r="AU701" t="e">
        <v>#DIV/0!</v>
      </c>
      <c r="AV701"/>
      <c r="AW701"/>
      <c r="FY701" s="214">
        <v>696</v>
      </c>
      <c r="FZ701">
        <v>0.94180618161723872</v>
      </c>
      <c r="GA701">
        <v>3.3743779054128957</v>
      </c>
      <c r="GB701">
        <v>6.845208888450462</v>
      </c>
      <c r="GC701">
        <v>3.911950091828909</v>
      </c>
      <c r="GD701">
        <v>4.1189439406610289</v>
      </c>
      <c r="GE701">
        <v>11.54275310546066</v>
      </c>
      <c r="GF701">
        <v>18.768667610300682</v>
      </c>
      <c r="GG701">
        <v>13.454937655752234</v>
      </c>
      <c r="GH701">
        <v>12.510487453359442</v>
      </c>
      <c r="GI701">
        <v>10.027456465374195</v>
      </c>
      <c r="GJ701"/>
      <c r="GK701"/>
      <c r="GL701"/>
      <c r="GM701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70.97657022819233</v>
      </c>
      <c r="AO702">
        <v>12.225599063964522</v>
      </c>
      <c r="AP702">
        <v>49.10716587646705</v>
      </c>
      <c r="AQ702">
        <v>76.582254116601305</v>
      </c>
      <c r="AR702">
        <v>11.471588178693759</v>
      </c>
      <c r="AS702">
        <v>68.677036301534031</v>
      </c>
      <c r="AT702">
        <v>6.9419375337328733</v>
      </c>
      <c r="AU702">
        <v>17.416391191690444</v>
      </c>
      <c r="AV702"/>
      <c r="AW702"/>
      <c r="FY702" s="214">
        <v>697</v>
      </c>
      <c r="FZ702">
        <v>0.81411351385107289</v>
      </c>
      <c r="GA702">
        <v>11.832834136916434</v>
      </c>
      <c r="GB702">
        <v>12.039029742906811</v>
      </c>
      <c r="GC702">
        <v>4.1688086647208902</v>
      </c>
      <c r="GD702">
        <v>1.9421469343864288</v>
      </c>
      <c r="GE702">
        <v>5.1497124874954334</v>
      </c>
      <c r="GF702">
        <v>16.82261916896757</v>
      </c>
      <c r="GG702">
        <v>14.979236776432321</v>
      </c>
      <c r="GH702">
        <v>7.7044348807015295</v>
      </c>
      <c r="GI702">
        <v>8.7932566265951451</v>
      </c>
      <c r="GJ702"/>
      <c r="GK702"/>
      <c r="GL702"/>
      <c r="GM702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76.214483607945098</v>
      </c>
      <c r="AO703">
        <v>14.306377069458559</v>
      </c>
      <c r="AP703">
        <v>70.001047269190167</v>
      </c>
      <c r="AQ703">
        <v>81.186141979768934</v>
      </c>
      <c r="AR703">
        <v>13.01832868783355</v>
      </c>
      <c r="AS703">
        <v>69.420246725618327</v>
      </c>
      <c r="AT703" t="e">
        <v>#DIV/0!</v>
      </c>
      <c r="AU703" t="e">
        <v>#DIV/0!</v>
      </c>
      <c r="AV703"/>
      <c r="AW703"/>
      <c r="FY703" s="214">
        <v>698</v>
      </c>
      <c r="FZ703">
        <v>0.54596319066584609</v>
      </c>
      <c r="GA703">
        <v>3.7235360518872875</v>
      </c>
      <c r="GB703">
        <v>8.7811623749903376</v>
      </c>
      <c r="GC703">
        <v>4.9396647496495305</v>
      </c>
      <c r="GD703">
        <v>0.86935630728469515</v>
      </c>
      <c r="GE703">
        <v>5.4405406877688165</v>
      </c>
      <c r="GF703">
        <v>15.75674639507578</v>
      </c>
      <c r="GG703">
        <v>12.582075457265674</v>
      </c>
      <c r="GH703">
        <v>8.1750326225660466</v>
      </c>
      <c r="GI703">
        <v>7.029196769434269</v>
      </c>
      <c r="GJ703"/>
      <c r="GK703"/>
      <c r="GL703"/>
      <c r="GM703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86.810199434098848</v>
      </c>
      <c r="AO704">
        <v>16.201162384504585</v>
      </c>
      <c r="AP704">
        <v>63.297855803747851</v>
      </c>
      <c r="AQ704">
        <v>102.5117218277434</v>
      </c>
      <c r="AR704">
        <v>14.754036254231465</v>
      </c>
      <c r="AS704">
        <v>81.938883611984721</v>
      </c>
      <c r="AT704" t="e">
        <v>#DIV/0!</v>
      </c>
      <c r="AU704" t="e">
        <v>#DIV/0!</v>
      </c>
      <c r="AV704"/>
      <c r="AW704"/>
      <c r="FY704" s="214">
        <v>699</v>
      </c>
      <c r="FZ704">
        <v>1.1525814683015514</v>
      </c>
      <c r="GA704">
        <v>16.178319703195626</v>
      </c>
      <c r="GB704">
        <v>8.4685916204940561</v>
      </c>
      <c r="GC704">
        <v>1.3934322325630517</v>
      </c>
      <c r="GD704">
        <v>3.1269559969911951</v>
      </c>
      <c r="GE704">
        <v>10.89135813997456</v>
      </c>
      <c r="GF704">
        <v>22.270068941813591</v>
      </c>
      <c r="GG704">
        <v>11.771612944831464</v>
      </c>
      <c r="GH704">
        <v>2.5115328924623825</v>
      </c>
      <c r="GI704">
        <v>8.7242560337406996</v>
      </c>
      <c r="GJ704"/>
      <c r="GK704"/>
      <c r="GL704"/>
      <c r="GM704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72.647810832156324</v>
      </c>
      <c r="AO705">
        <v>11.229833954546937</v>
      </c>
      <c r="AP705">
        <v>37.287342176291617</v>
      </c>
      <c r="AQ705">
        <v>72.263775746312291</v>
      </c>
      <c r="AR705">
        <v>10.578878522094456</v>
      </c>
      <c r="AS705">
        <v>59.235201319254735</v>
      </c>
      <c r="AT705">
        <v>6.2558009515540007</v>
      </c>
      <c r="AU705">
        <v>-1.6447393873481853</v>
      </c>
      <c r="AV705"/>
      <c r="AW705"/>
      <c r="FY705" s="214">
        <v>700</v>
      </c>
      <c r="FZ705">
        <v>0.59339704965574191</v>
      </c>
      <c r="GA705">
        <v>3.6893015009381234</v>
      </c>
      <c r="GB705">
        <v>7.0151197887180654</v>
      </c>
      <c r="GC705">
        <v>3.6043683172729715</v>
      </c>
      <c r="GD705">
        <v>5.8543353366468356</v>
      </c>
      <c r="GE705">
        <v>14.360386736922685</v>
      </c>
      <c r="GF705">
        <v>20.726562393315099</v>
      </c>
      <c r="GG705">
        <v>14.511180428360063</v>
      </c>
      <c r="GH705">
        <v>2.4277845661791013</v>
      </c>
      <c r="GI705">
        <v>10.049699566175791</v>
      </c>
      <c r="GJ705"/>
      <c r="GK705"/>
      <c r="GL705"/>
      <c r="GM7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76.539061265727227</v>
      </c>
      <c r="AO706">
        <v>15.796295364229888</v>
      </c>
      <c r="AP706">
        <v>108.0662503931088</v>
      </c>
      <c r="AQ706">
        <v>87.325832532892775</v>
      </c>
      <c r="AR706">
        <v>14.575761037238706</v>
      </c>
      <c r="AS706">
        <v>72.720174928684372</v>
      </c>
      <c r="AT706">
        <v>7.8015999278346086</v>
      </c>
      <c r="AU706">
        <v>31.636655177202631</v>
      </c>
      <c r="AV706"/>
      <c r="AW706"/>
      <c r="FY706" s="214">
        <v>701</v>
      </c>
      <c r="FZ706">
        <v>0.94180618161723872</v>
      </c>
      <c r="GA706">
        <v>10.962687245533896</v>
      </c>
      <c r="GB706">
        <v>5.8000724305470612</v>
      </c>
      <c r="GC706">
        <v>1.1663951977512361</v>
      </c>
      <c r="GD706">
        <v>6.6305653066976644</v>
      </c>
      <c r="GE706">
        <v>21.371187822643019</v>
      </c>
      <c r="GF706">
        <v>23.303075060097104</v>
      </c>
      <c r="GG706">
        <v>7.8427306375842711</v>
      </c>
      <c r="GH706">
        <v>0.16749665256656238</v>
      </c>
      <c r="GI706">
        <v>10.055220892432789</v>
      </c>
      <c r="GJ706"/>
      <c r="GK706"/>
      <c r="GL706"/>
      <c r="GM706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59.84266470464992</v>
      </c>
      <c r="AO707">
        <v>11.774445822663647</v>
      </c>
      <c r="AP707">
        <v>38.919828018037514</v>
      </c>
      <c r="AQ707">
        <v>80.064662791934524</v>
      </c>
      <c r="AR707">
        <v>10.716895063853331</v>
      </c>
      <c r="AS707">
        <v>55.010817357058293</v>
      </c>
      <c r="AT707" t="e">
        <v>#DIV/0!</v>
      </c>
      <c r="AU707" t="e">
        <v>#DIV/0!</v>
      </c>
      <c r="AV707"/>
      <c r="AW707"/>
      <c r="FY707" s="214">
        <v>702</v>
      </c>
      <c r="FZ707">
        <v>0.46288057174769937</v>
      </c>
      <c r="GA707">
        <v>11.047448184977927</v>
      </c>
      <c r="GB707">
        <v>12.438157448765109</v>
      </c>
      <c r="GC707">
        <v>4.1436970590315427</v>
      </c>
      <c r="GD707">
        <v>0.51160452810432067</v>
      </c>
      <c r="GE707">
        <v>3.8366881827894019</v>
      </c>
      <c r="GF707">
        <v>19.849944829738458</v>
      </c>
      <c r="GG707">
        <v>14.538878382871136</v>
      </c>
      <c r="GH707">
        <v>2.9005502766532074</v>
      </c>
      <c r="GI707">
        <v>7.9545653923741257</v>
      </c>
      <c r="GJ707"/>
      <c r="GK707"/>
      <c r="GL707"/>
      <c r="GM707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51.80546222322495</v>
      </c>
      <c r="AO708">
        <v>10.956575377902288</v>
      </c>
      <c r="AP708">
        <v>57.95990938956713</v>
      </c>
      <c r="AQ708">
        <v>65.003464393886091</v>
      </c>
      <c r="AR708">
        <v>10.139387704009025</v>
      </c>
      <c r="AS708">
        <v>48.967325769750381</v>
      </c>
      <c r="AT708">
        <v>5.5047656672301786</v>
      </c>
      <c r="AU708">
        <v>19.212486987170873</v>
      </c>
      <c r="AV708"/>
      <c r="AW708"/>
      <c r="FY708" s="214">
        <v>703</v>
      </c>
      <c r="FZ708">
        <v>1.2571117305767356</v>
      </c>
      <c r="GA708">
        <v>11.129213434387363</v>
      </c>
      <c r="GB708">
        <v>7.3101846206958401</v>
      </c>
      <c r="GC708">
        <v>2.0444802292041975</v>
      </c>
      <c r="GD708">
        <v>8.0145397407346977</v>
      </c>
      <c r="GE708">
        <v>19.450795161097201</v>
      </c>
      <c r="GF708">
        <v>15.379194696800491</v>
      </c>
      <c r="GG708">
        <v>7.4042315123865654</v>
      </c>
      <c r="GH708">
        <v>1.7875222031384326</v>
      </c>
      <c r="GI708">
        <v>10.115768738092171</v>
      </c>
      <c r="GJ708"/>
      <c r="GK708"/>
      <c r="GL708"/>
      <c r="GM708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84.055010521629853</v>
      </c>
      <c r="AO709">
        <v>17.216913550309549</v>
      </c>
      <c r="AP709">
        <v>102.04765591622814</v>
      </c>
      <c r="AQ709">
        <v>94.500207579032633</v>
      </c>
      <c r="AR709">
        <v>15.664270943152632</v>
      </c>
      <c r="AS709">
        <v>83.159998763101839</v>
      </c>
      <c r="AT709" t="e">
        <v>#DIV/0!</v>
      </c>
      <c r="AU709" t="e">
        <v>#DIV/0!</v>
      </c>
      <c r="AV709"/>
      <c r="AW709"/>
      <c r="FY709" s="214">
        <v>704</v>
      </c>
      <c r="FZ709">
        <v>1.0626601152298889</v>
      </c>
      <c r="GA709">
        <v>10.509986475603885</v>
      </c>
      <c r="GB709">
        <v>11.663212389156021</v>
      </c>
      <c r="GC709">
        <v>4.5454296999779373</v>
      </c>
      <c r="GD709">
        <v>4.9520482955883036</v>
      </c>
      <c r="GE709">
        <v>11.245880541163173</v>
      </c>
      <c r="GF709">
        <v>8.6192437441013485</v>
      </c>
      <c r="GG709">
        <v>7.1877714855469046</v>
      </c>
      <c r="GH709">
        <v>5.833164351279815</v>
      </c>
      <c r="GI709">
        <v>8.6453778214384833</v>
      </c>
      <c r="GJ709"/>
      <c r="GK709"/>
      <c r="GL709"/>
      <c r="GM709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70.459545015762075</v>
      </c>
      <c r="AO710">
        <v>14.72212402284894</v>
      </c>
      <c r="AP710">
        <v>49.576732425489993</v>
      </c>
      <c r="AQ710">
        <v>90.065469242924678</v>
      </c>
      <c r="AR710">
        <v>13.396280463642988</v>
      </c>
      <c r="AS710">
        <v>71.047614808098189</v>
      </c>
      <c r="AT710" t="e">
        <v>#DIV/0!</v>
      </c>
      <c r="AU710" t="e">
        <v>#DIV/0!</v>
      </c>
      <c r="AV710"/>
      <c r="AW710"/>
      <c r="FY710" s="214">
        <v>705</v>
      </c>
      <c r="FZ710">
        <v>0.86838610699448437</v>
      </c>
      <c r="GA710">
        <v>10.618449184698774</v>
      </c>
      <c r="GB710">
        <v>9.3279202525702107</v>
      </c>
      <c r="GC710">
        <v>3.3426617163505048</v>
      </c>
      <c r="GD710">
        <v>4.3548138886003613</v>
      </c>
      <c r="GE710">
        <v>9.5055245958846033</v>
      </c>
      <c r="GF710">
        <v>14.901371743884662</v>
      </c>
      <c r="GG710">
        <v>10.924018673855214</v>
      </c>
      <c r="GH710">
        <v>2.4277845661791013</v>
      </c>
      <c r="GI710">
        <v>8.405587599490655</v>
      </c>
      <c r="GJ710"/>
      <c r="GK710"/>
      <c r="GL710"/>
      <c r="GM710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70.162715444675854</v>
      </c>
      <c r="AO711">
        <v>15.86477597764959</v>
      </c>
      <c r="AP711">
        <v>73.144229954360881</v>
      </c>
      <c r="AQ711">
        <v>85.972625188241636</v>
      </c>
      <c r="AR711">
        <v>14.625484788385384</v>
      </c>
      <c r="AS711">
        <v>71.990957177408589</v>
      </c>
      <c r="AT711">
        <v>7.6276976497250759</v>
      </c>
      <c r="AU711">
        <v>-1.9923788044145214</v>
      </c>
      <c r="AV711"/>
      <c r="AW711"/>
      <c r="FY711" s="214">
        <v>706</v>
      </c>
      <c r="FZ711">
        <v>0.72747221124835537</v>
      </c>
      <c r="GA711">
        <v>6.2302478409353448</v>
      </c>
      <c r="GB711">
        <v>4.5094087395649733</v>
      </c>
      <c r="GC711">
        <v>1.4254914223267652</v>
      </c>
      <c r="GD711">
        <v>0.84063403319933072</v>
      </c>
      <c r="GE711">
        <v>4.9565594818148062</v>
      </c>
      <c r="GF711">
        <v>17.412488895888558</v>
      </c>
      <c r="GG711">
        <v>13.60900981104162</v>
      </c>
      <c r="GH711">
        <v>6.3896783880372032</v>
      </c>
      <c r="GI711">
        <v>6.1422510372983572</v>
      </c>
      <c r="GJ711"/>
      <c r="GK711"/>
      <c r="GL711"/>
      <c r="GM711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62.587486540131501</v>
      </c>
      <c r="AO712">
        <v>14.484737576030648</v>
      </c>
      <c r="AP712">
        <v>66.193143055757929</v>
      </c>
      <c r="AQ712">
        <v>85.496589298217756</v>
      </c>
      <c r="AR712">
        <v>14.060978197183804</v>
      </c>
      <c r="AS712">
        <v>68.199268903219078</v>
      </c>
      <c r="AT712">
        <v>8.4739277476950896</v>
      </c>
      <c r="AU712">
        <v>12.177458086654516</v>
      </c>
      <c r="AV712"/>
      <c r="AW712"/>
      <c r="FY712" s="214">
        <v>707</v>
      </c>
      <c r="FZ712">
        <v>0.60661827763570519</v>
      </c>
      <c r="GA712">
        <v>12.829124226896425</v>
      </c>
      <c r="GB712">
        <v>6.9272475796187436</v>
      </c>
      <c r="GC712">
        <v>0.77837867203515676</v>
      </c>
      <c r="GD712">
        <v>1.4456202579787996</v>
      </c>
      <c r="GE712">
        <v>9.4275840075190285</v>
      </c>
      <c r="GF712">
        <v>27.511734869743307</v>
      </c>
      <c r="GG712">
        <v>18.223912001325353</v>
      </c>
      <c r="GH712">
        <v>3.5728764376672766</v>
      </c>
      <c r="GI712">
        <v>8.9007763449963004</v>
      </c>
      <c r="GJ712"/>
      <c r="GK712"/>
      <c r="GL712"/>
      <c r="GM712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67.418843115843174</v>
      </c>
      <c r="AO713">
        <v>13.107177983375584</v>
      </c>
      <c r="AP713">
        <v>44.569458307721447</v>
      </c>
      <c r="AQ713">
        <v>84.246192932973628</v>
      </c>
      <c r="AR713">
        <v>12.297120099128087</v>
      </c>
      <c r="AS713">
        <v>66.12962457172047</v>
      </c>
      <c r="AT713">
        <v>7.234754033800268</v>
      </c>
      <c r="AU713">
        <v>14.240845814191745</v>
      </c>
      <c r="AV713"/>
      <c r="AW713"/>
      <c r="FY713" s="214">
        <v>708</v>
      </c>
      <c r="FZ713">
        <v>1.014947623024367</v>
      </c>
      <c r="GA713">
        <v>24.217203654956553</v>
      </c>
      <c r="GB713">
        <v>14.99614744932475</v>
      </c>
      <c r="GC713">
        <v>2.256380297529434</v>
      </c>
      <c r="GD713">
        <v>14.437021973772547</v>
      </c>
      <c r="GE713">
        <v>28.573066203204558</v>
      </c>
      <c r="GF713">
        <v>12.9568992957802</v>
      </c>
      <c r="GG713">
        <v>14.261449714731516</v>
      </c>
      <c r="GH713">
        <v>3.5728764376672766</v>
      </c>
      <c r="GI713">
        <v>15.959998553984216</v>
      </c>
      <c r="GJ713"/>
      <c r="GK713"/>
      <c r="GL713"/>
      <c r="GM713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62.20823186394955</v>
      </c>
      <c r="AO714">
        <v>10.694574762817489</v>
      </c>
      <c r="AP714">
        <v>35.931533457587356</v>
      </c>
      <c r="AQ714">
        <v>67.843274606588281</v>
      </c>
      <c r="AR714">
        <v>9.7345499905083344</v>
      </c>
      <c r="AS714">
        <v>53.897777690355383</v>
      </c>
      <c r="AT714" t="e">
        <v>#DIV/0!</v>
      </c>
      <c r="AU714" t="e">
        <v>#DIV/0!</v>
      </c>
      <c r="AV714"/>
      <c r="AW714"/>
      <c r="FY714" s="214">
        <v>709</v>
      </c>
      <c r="FZ714">
        <v>0.54313938052396937</v>
      </c>
      <c r="GA714">
        <v>3.1468643038277619</v>
      </c>
      <c r="GB714">
        <v>7.0053232115150275</v>
      </c>
      <c r="GC714">
        <v>3.7490417260872366</v>
      </c>
      <c r="GD714">
        <v>3.9056582378769042</v>
      </c>
      <c r="GE714">
        <v>11.298957490033427</v>
      </c>
      <c r="GF714">
        <v>16.379954529280742</v>
      </c>
      <c r="GG714">
        <v>11.869439371176632</v>
      </c>
      <c r="GH714">
        <v>4.8534011637486145</v>
      </c>
      <c r="GI714">
        <v>8.0797349680203183</v>
      </c>
      <c r="GJ714"/>
      <c r="GK714"/>
      <c r="GL714"/>
      <c r="GM714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80.786595162115049</v>
      </c>
      <c r="AO715">
        <v>13.034085425007845</v>
      </c>
      <c r="AP715">
        <v>48.153661488157312</v>
      </c>
      <c r="AQ715">
        <v>86.488709974368177</v>
      </c>
      <c r="AR715">
        <v>12.040242498415607</v>
      </c>
      <c r="AS715">
        <v>68.888572409389184</v>
      </c>
      <c r="AT715">
        <v>7.4394377491488548</v>
      </c>
      <c r="AU715">
        <v>9.4922777264799798</v>
      </c>
      <c r="AV715"/>
      <c r="AW715"/>
      <c r="FY715" s="214">
        <v>710</v>
      </c>
      <c r="FZ715">
        <v>0.88087246143175357</v>
      </c>
      <c r="GA715">
        <v>11.288130774915604</v>
      </c>
      <c r="GB715">
        <v>8.327812962286254</v>
      </c>
      <c r="GC715">
        <v>2.3289372055027586</v>
      </c>
      <c r="GD715">
        <v>5.0829211506688026</v>
      </c>
      <c r="GE715">
        <v>12.029693704011803</v>
      </c>
      <c r="GF715">
        <v>10.111447614376186</v>
      </c>
      <c r="GG715">
        <v>10.171691479469459</v>
      </c>
      <c r="GH715">
        <v>8.7657784259064222</v>
      </c>
      <c r="GI715">
        <v>8.6050693715705151</v>
      </c>
      <c r="GJ715"/>
      <c r="GK715"/>
      <c r="GL715"/>
      <c r="GM71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56.175548234589108</v>
      </c>
      <c r="AO716">
        <v>15.504046047867368</v>
      </c>
      <c r="AP716">
        <v>67.85220132301373</v>
      </c>
      <c r="AQ716">
        <v>82.832135684184479</v>
      </c>
      <c r="AR716">
        <v>14.29754848858337</v>
      </c>
      <c r="AS716">
        <v>63.339917648305359</v>
      </c>
      <c r="AT716">
        <v>7.613226299875973</v>
      </c>
      <c r="AU716">
        <v>11.407896581273882</v>
      </c>
      <c r="AV716"/>
      <c r="AW716"/>
      <c r="FY716" s="214">
        <v>711</v>
      </c>
      <c r="FZ716">
        <v>0.2752676905543685</v>
      </c>
      <c r="GA716">
        <v>10.42010232910507</v>
      </c>
      <c r="GB716">
        <v>8.4311621123411307</v>
      </c>
      <c r="GC716">
        <v>2.44535271402078</v>
      </c>
      <c r="GD716">
        <v>5.8698784841362084</v>
      </c>
      <c r="GE716">
        <v>17.615420546776139</v>
      </c>
      <c r="GF716">
        <v>22.981515689202698</v>
      </c>
      <c r="GG716">
        <v>15.106460492017444</v>
      </c>
      <c r="GH716">
        <v>7.6206865544182483</v>
      </c>
      <c r="GI716">
        <v>11.769045439585666</v>
      </c>
      <c r="GJ716"/>
      <c r="GK716"/>
      <c r="GL716"/>
      <c r="GM716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86.750073807456459</v>
      </c>
      <c r="AO717">
        <v>15.354074311161824</v>
      </c>
      <c r="AP717">
        <v>73.964945086354362</v>
      </c>
      <c r="AQ717">
        <v>88.241237427470821</v>
      </c>
      <c r="AR717">
        <v>13.970780725745612</v>
      </c>
      <c r="AS717">
        <v>77.812554681096671</v>
      </c>
      <c r="AT717" t="e">
        <v>#DIV/0!</v>
      </c>
      <c r="AU717" t="e">
        <v>#DIV/0!</v>
      </c>
      <c r="AV717"/>
      <c r="AW717"/>
      <c r="FY717" s="214">
        <v>712</v>
      </c>
      <c r="FZ717">
        <v>0.82095224800458855</v>
      </c>
      <c r="GA717">
        <v>11.715821951747595</v>
      </c>
      <c r="GB717">
        <v>10.349607614822327</v>
      </c>
      <c r="GC717">
        <v>3.3187131057537611</v>
      </c>
      <c r="GD717">
        <v>1.4038862486256174</v>
      </c>
      <c r="GE717">
        <v>5.3305826717778446</v>
      </c>
      <c r="GF717">
        <v>13.199587323976482</v>
      </c>
      <c r="GG717">
        <v>9.4201456729380659</v>
      </c>
      <c r="GH717">
        <v>3.5728764376672766</v>
      </c>
      <c r="GI717">
        <v>6.5529782646792407</v>
      </c>
      <c r="GJ717"/>
      <c r="GK717"/>
      <c r="GL717"/>
      <c r="GM717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55.379133607292751</v>
      </c>
      <c r="AO718">
        <v>12.209914401607874</v>
      </c>
      <c r="AP718">
        <v>70.504378330524133</v>
      </c>
      <c r="AQ718">
        <v>77.684414857052928</v>
      </c>
      <c r="AR718">
        <v>11.290996113506541</v>
      </c>
      <c r="AS718">
        <v>53.341838728712673</v>
      </c>
      <c r="AT718">
        <v>6.3245163994923947</v>
      </c>
      <c r="AU718">
        <v>46.567230225382751</v>
      </c>
      <c r="AV718"/>
      <c r="AW718"/>
      <c r="FY718" s="214">
        <v>713</v>
      </c>
      <c r="FZ718">
        <v>0.5263594688594353</v>
      </c>
      <c r="GA718">
        <v>17.136299186313742</v>
      </c>
      <c r="GB718">
        <v>14.820951305530688</v>
      </c>
      <c r="GC718">
        <v>4.1841322991549976</v>
      </c>
      <c r="GD718">
        <v>1.2601254098094179</v>
      </c>
      <c r="GE718">
        <v>4.0662347474520537</v>
      </c>
      <c r="GF718">
        <v>9.1113854032968895</v>
      </c>
      <c r="GG718">
        <v>10.393815621473747</v>
      </c>
      <c r="GH718">
        <v>11.109814665802244</v>
      </c>
      <c r="GI718">
        <v>8.1346289083849594</v>
      </c>
      <c r="GJ718"/>
      <c r="GK718"/>
      <c r="GL718"/>
      <c r="GM718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77.660332109456434</v>
      </c>
      <c r="AO719">
        <v>15.290369515078249</v>
      </c>
      <c r="AP719">
        <v>109.6281003850989</v>
      </c>
      <c r="AQ719">
        <v>83.893042067113697</v>
      </c>
      <c r="AR719">
        <v>14.079200555987169</v>
      </c>
      <c r="AS719">
        <v>72.712081389757586</v>
      </c>
      <c r="AT719" t="e">
        <v>#DIV/0!</v>
      </c>
      <c r="AU719" t="e">
        <v>#DIV/0!</v>
      </c>
      <c r="AV719"/>
      <c r="AW719"/>
      <c r="FY719" s="214">
        <v>714</v>
      </c>
      <c r="FZ719">
        <v>0.53985933005502451</v>
      </c>
      <c r="GA719">
        <v>8.4139097343661451</v>
      </c>
      <c r="GB719">
        <v>5.9763588095280298</v>
      </c>
      <c r="GC719">
        <v>1.6414155686575753</v>
      </c>
      <c r="GD719">
        <v>2.7973162281139152</v>
      </c>
      <c r="GE719">
        <v>6.7797587943834303</v>
      </c>
      <c r="GF719">
        <v>13.516620634522319</v>
      </c>
      <c r="GG719">
        <v>12.505848021922224</v>
      </c>
      <c r="GH719">
        <v>5.2766503145224277</v>
      </c>
      <c r="GI719">
        <v>6.9467094939036924</v>
      </c>
      <c r="GJ719"/>
      <c r="GK719"/>
      <c r="GL719"/>
      <c r="GM719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62.995156347507098</v>
      </c>
      <c r="AO720">
        <v>12.995850163526521</v>
      </c>
      <c r="AP720">
        <v>45.189185089162805</v>
      </c>
      <c r="AQ720">
        <v>74.264774919085767</v>
      </c>
      <c r="AR720">
        <v>12.005161114871976</v>
      </c>
      <c r="AS720">
        <v>64.747149503165858</v>
      </c>
      <c r="AT720">
        <v>6.6812280825763883</v>
      </c>
      <c r="AU720">
        <v>12.784158227376828</v>
      </c>
      <c r="AV720"/>
      <c r="AW720"/>
      <c r="FY720" s="214">
        <v>715</v>
      </c>
      <c r="FZ720">
        <v>0.6262219994421161</v>
      </c>
      <c r="GA720">
        <v>19.640597091152873</v>
      </c>
      <c r="GB720">
        <v>12.979976721082782</v>
      </c>
      <c r="GC720">
        <v>2.5188741474758771</v>
      </c>
      <c r="GD720">
        <v>0.62328294363284398</v>
      </c>
      <c r="GE720">
        <v>6.1472737908577733</v>
      </c>
      <c r="GF720">
        <v>17.605091571363104</v>
      </c>
      <c r="GG720">
        <v>7.9884701403724687</v>
      </c>
      <c r="GH720">
        <v>0.64026236304066864</v>
      </c>
      <c r="GI720">
        <v>7.2500309173803741</v>
      </c>
      <c r="GJ720"/>
      <c r="GK720"/>
      <c r="GL720"/>
      <c r="GM720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62.589218474100264</v>
      </c>
      <c r="AO721">
        <v>12.739820253965346</v>
      </c>
      <c r="AP721">
        <v>48.831058832203922</v>
      </c>
      <c r="AQ721">
        <v>74.676518328508578</v>
      </c>
      <c r="AR721">
        <v>11.773050761483033</v>
      </c>
      <c r="AS721">
        <v>60.822182713937778</v>
      </c>
      <c r="AT721">
        <v>6.5322534149320211</v>
      </c>
      <c r="AU721">
        <v>-3.2730038081395252</v>
      </c>
      <c r="AV721"/>
      <c r="AW721"/>
      <c r="FY721" s="214">
        <v>716</v>
      </c>
      <c r="FZ721">
        <v>0.35451299257231844</v>
      </c>
      <c r="GA721">
        <v>2.6521183719379602</v>
      </c>
      <c r="GB721">
        <v>6.8302676563752147</v>
      </c>
      <c r="GC721">
        <v>3.7463192756213255</v>
      </c>
      <c r="GD721">
        <v>1.6191957013267004</v>
      </c>
      <c r="GE721">
        <v>9.2056329197729703</v>
      </c>
      <c r="GF721">
        <v>16.043008901969799</v>
      </c>
      <c r="GG721">
        <v>10.082966482190983</v>
      </c>
      <c r="GH721">
        <v>11.109814665802244</v>
      </c>
      <c r="GI721">
        <v>7.5122578188544127</v>
      </c>
      <c r="GJ721"/>
      <c r="GK721"/>
      <c r="GL721"/>
      <c r="GM721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46.542042804572972</v>
      </c>
      <c r="AO722">
        <v>9.2885393996676484</v>
      </c>
      <c r="AP722">
        <v>37.804428784136341</v>
      </c>
      <c r="AQ722">
        <v>62.243241861355315</v>
      </c>
      <c r="AR722">
        <v>8.6348786022730035</v>
      </c>
      <c r="AS722">
        <v>43.81978010508989</v>
      </c>
      <c r="AT722">
        <v>5.4689432052123577</v>
      </c>
      <c r="AU722">
        <v>18.917401586544489</v>
      </c>
      <c r="AV722"/>
      <c r="AW722"/>
      <c r="FY722" s="214">
        <v>717</v>
      </c>
      <c r="FZ722">
        <v>1.046336443892423</v>
      </c>
      <c r="GA722">
        <v>3.734578881949755</v>
      </c>
      <c r="GB722">
        <v>4.119394817607505</v>
      </c>
      <c r="GC722">
        <v>2.485479051616946</v>
      </c>
      <c r="GD722">
        <v>1.4098571263162736</v>
      </c>
      <c r="GE722">
        <v>9.906680196919508</v>
      </c>
      <c r="GF722">
        <v>25.807135207993717</v>
      </c>
      <c r="GG722">
        <v>14.100754390950168</v>
      </c>
      <c r="GH722">
        <v>7.064172517660861</v>
      </c>
      <c r="GI722">
        <v>8.2859955102018734</v>
      </c>
      <c r="GJ722"/>
      <c r="GK722"/>
      <c r="GL722"/>
      <c r="GM722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72.60918656718033</v>
      </c>
      <c r="AO723">
        <v>14.03739247800552</v>
      </c>
      <c r="AP723">
        <v>82.963258143490904</v>
      </c>
      <c r="AQ723">
        <v>90.223872675416089</v>
      </c>
      <c r="AR723">
        <v>12.773797241058061</v>
      </c>
      <c r="AS723">
        <v>65.405296756984214</v>
      </c>
      <c r="AT723" t="e">
        <v>#DIV/0!</v>
      </c>
      <c r="AU723" t="e">
        <v>#DIV/0!</v>
      </c>
      <c r="AV723"/>
      <c r="AW723"/>
      <c r="FY723" s="214">
        <v>718</v>
      </c>
      <c r="FZ723">
        <v>0.27882637423893936</v>
      </c>
      <c r="GA723">
        <v>9.5921611664426152</v>
      </c>
      <c r="GB723">
        <v>11.190435267590438</v>
      </c>
      <c r="GC723">
        <v>3.92011336262886</v>
      </c>
      <c r="GD723">
        <v>10.955294981372791</v>
      </c>
      <c r="GE723">
        <v>25.92287740331356</v>
      </c>
      <c r="GF723">
        <v>20.735155196995379</v>
      </c>
      <c r="GG723">
        <v>16.104260210913353</v>
      </c>
      <c r="GH723">
        <v>6.0844093301296587</v>
      </c>
      <c r="GI723">
        <v>14.815684430326838</v>
      </c>
      <c r="GJ723"/>
      <c r="GK723"/>
      <c r="GL723"/>
      <c r="GM723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108.16797712497548</v>
      </c>
      <c r="AO724">
        <v>24.583262236867228</v>
      </c>
      <c r="AP724">
        <v>165.68852601157602</v>
      </c>
      <c r="AQ724">
        <v>132.24599120397542</v>
      </c>
      <c r="AR724">
        <v>22.372838809409632</v>
      </c>
      <c r="AS724">
        <v>115.21835030330219</v>
      </c>
      <c r="AT724" t="e">
        <v>#DIV/0!</v>
      </c>
      <c r="AU724" t="e">
        <v>#DIV/0!</v>
      </c>
      <c r="AV724"/>
      <c r="AW724"/>
      <c r="FY724" s="214">
        <v>719</v>
      </c>
      <c r="FZ724">
        <v>0.68359703594303034</v>
      </c>
      <c r="GA724">
        <v>15.590765691833919</v>
      </c>
      <c r="GB724">
        <v>11.826626224333525</v>
      </c>
      <c r="GC724">
        <v>3.209221953783171</v>
      </c>
      <c r="GD724">
        <v>2.0779580397568207</v>
      </c>
      <c r="GE724">
        <v>10.52341575484532</v>
      </c>
      <c r="GF724">
        <v>21.197817763219927</v>
      </c>
      <c r="GG724">
        <v>19.170229176499845</v>
      </c>
      <c r="GH724">
        <v>15.237037171617319</v>
      </c>
      <c r="GI724">
        <v>10.675991960171022</v>
      </c>
      <c r="GJ724"/>
      <c r="GK724"/>
      <c r="GL724"/>
      <c r="GM724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60.571653264441785</v>
      </c>
      <c r="AO725">
        <v>12.353935496267864</v>
      </c>
      <c r="AP725">
        <v>42.985110345576466</v>
      </c>
      <c r="AQ725">
        <v>70.831514382090631</v>
      </c>
      <c r="AR725">
        <v>11.24370385803898</v>
      </c>
      <c r="AS725">
        <v>56.093636458914069</v>
      </c>
      <c r="AT725" t="e">
        <v>#DIV/0!</v>
      </c>
      <c r="AU725" t="e">
        <v>#DIV/0!</v>
      </c>
      <c r="AV725"/>
      <c r="AW725"/>
      <c r="FY725" s="214">
        <v>720</v>
      </c>
      <c r="FZ725">
        <v>0.88443114511632448</v>
      </c>
      <c r="GA725">
        <v>4.8407077540106771</v>
      </c>
      <c r="GB725">
        <v>2.6061503486776179</v>
      </c>
      <c r="GC725">
        <v>0.96653024256017106</v>
      </c>
      <c r="GD725">
        <v>0.51439951726780109</v>
      </c>
      <c r="GE725">
        <v>7.9609971483783575</v>
      </c>
      <c r="GF725">
        <v>18.117244041408171</v>
      </c>
      <c r="GG725">
        <v>10.194621579385752</v>
      </c>
      <c r="GH725">
        <v>6.9782562227679907</v>
      </c>
      <c r="GI725">
        <v>5.6059975053834092</v>
      </c>
      <c r="GJ725"/>
      <c r="GK725"/>
      <c r="GL725"/>
      <c r="GM72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69.827555610072181</v>
      </c>
      <c r="AO726">
        <v>12.917779192240738</v>
      </c>
      <c r="AP726">
        <v>57.313670928455402</v>
      </c>
      <c r="AQ726">
        <v>77.592355150139554</v>
      </c>
      <c r="AR726">
        <v>11.946396801650069</v>
      </c>
      <c r="AS726">
        <v>64.987501248069549</v>
      </c>
      <c r="AT726">
        <v>7.0058600442172612</v>
      </c>
      <c r="AU726">
        <v>7.5640412262347763</v>
      </c>
      <c r="AV726"/>
      <c r="AW726"/>
      <c r="FY726" s="214">
        <v>721</v>
      </c>
      <c r="FZ726">
        <v>0.6601559972364226</v>
      </c>
      <c r="GA726">
        <v>23.728162735947208</v>
      </c>
      <c r="GB726">
        <v>18.222481795281155</v>
      </c>
      <c r="GC726">
        <v>4.3734704396707205</v>
      </c>
      <c r="GD726">
        <v>3.9711759987368245</v>
      </c>
      <c r="GE726">
        <v>11.609213309359161</v>
      </c>
      <c r="GF726">
        <v>19.85695685363919</v>
      </c>
      <c r="GG726">
        <v>14.209002710631099</v>
      </c>
      <c r="GH726">
        <v>5.9169126775630962</v>
      </c>
      <c r="GI726">
        <v>11.853718898915378</v>
      </c>
      <c r="GJ726"/>
      <c r="GK726"/>
      <c r="GL726"/>
      <c r="GM726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75.551195328373268</v>
      </c>
      <c r="AO727">
        <v>18.103352336229715</v>
      </c>
      <c r="AP727">
        <v>115.51859228774467</v>
      </c>
      <c r="AQ727">
        <v>102.53489205215774</v>
      </c>
      <c r="AR727">
        <v>16.815322299313632</v>
      </c>
      <c r="AS727">
        <v>81.369999722533606</v>
      </c>
      <c r="AT727">
        <v>9.0808442046067182</v>
      </c>
      <c r="AU727">
        <v>50.173264578419733</v>
      </c>
      <c r="AV727"/>
      <c r="AW727"/>
      <c r="FY727" s="214">
        <v>722</v>
      </c>
      <c r="FZ727">
        <v>0.73713475554374785</v>
      </c>
      <c r="GA727">
        <v>3.8952394911624806</v>
      </c>
      <c r="GB727">
        <v>2.0456549342895873</v>
      </c>
      <c r="GC727">
        <v>0.78724531761636374</v>
      </c>
      <c r="GD727">
        <v>4.832497891652336</v>
      </c>
      <c r="GE727">
        <v>11.205235683419327</v>
      </c>
      <c r="GF727">
        <v>20.86081827781689</v>
      </c>
      <c r="GG727">
        <v>19.960909537297752</v>
      </c>
      <c r="GH727">
        <v>6.3896783880372032</v>
      </c>
      <c r="GI727">
        <v>9.0026702690497746</v>
      </c>
      <c r="GJ727"/>
      <c r="GK727"/>
      <c r="GL727"/>
      <c r="GM727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60.169546364475629</v>
      </c>
      <c r="AO728">
        <v>9.9318869661531082</v>
      </c>
      <c r="AP728">
        <v>26.509364501944596</v>
      </c>
      <c r="AQ728">
        <v>65.685151539992802</v>
      </c>
      <c r="AR728">
        <v>9.029632260896765</v>
      </c>
      <c r="AS728">
        <v>51.735348140314045</v>
      </c>
      <c r="AT728" t="e">
        <v>#DIV/0!</v>
      </c>
      <c r="AU728" t="e">
        <v>#DIV/0!</v>
      </c>
      <c r="AV728"/>
      <c r="AW728"/>
      <c r="FY728" s="214">
        <v>723</v>
      </c>
      <c r="FZ728">
        <v>0.53630064637045372</v>
      </c>
      <c r="GA728">
        <v>10.272227818639294</v>
      </c>
      <c r="GB728">
        <v>12.040893725685841</v>
      </c>
      <c r="GC728">
        <v>4.3646902778635805</v>
      </c>
      <c r="GD728">
        <v>3.8583063095420753</v>
      </c>
      <c r="GE728">
        <v>9.5647622063881634</v>
      </c>
      <c r="GF728">
        <v>12.215022098066026</v>
      </c>
      <c r="GG728">
        <v>11.402415608800064</v>
      </c>
      <c r="GH728">
        <v>8.817462954216305</v>
      </c>
      <c r="GI728">
        <v>9.2866940544688816</v>
      </c>
      <c r="GJ728"/>
      <c r="GK728"/>
      <c r="GL728"/>
      <c r="GM728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61.648266997549094</v>
      </c>
      <c r="AO729">
        <v>12.137086757991147</v>
      </c>
      <c r="AP729">
        <v>38.041048840992325</v>
      </c>
      <c r="AQ729">
        <v>80.743747016078174</v>
      </c>
      <c r="AR729">
        <v>11.390800391066449</v>
      </c>
      <c r="AS729">
        <v>60.193799557424761</v>
      </c>
      <c r="AT729" t="e">
        <v>#DIV/0!</v>
      </c>
      <c r="AU729" t="e">
        <v>#DIV/0!</v>
      </c>
      <c r="AV729"/>
      <c r="AW729"/>
      <c r="FY729" s="214">
        <v>724</v>
      </c>
      <c r="FZ729">
        <v>1.1683478732077655</v>
      </c>
      <c r="GA729">
        <v>10.644256552479806</v>
      </c>
      <c r="GB729">
        <v>5.1717273673314912</v>
      </c>
      <c r="GC729">
        <v>0.7807842456383931</v>
      </c>
      <c r="GD729">
        <v>4.7811682237298712</v>
      </c>
      <c r="GE729">
        <v>16.959499128868348</v>
      </c>
      <c r="GF729">
        <v>21.632754547595063</v>
      </c>
      <c r="GG729">
        <v>10.649515510276437</v>
      </c>
      <c r="GH729">
        <v>5.833164351279815</v>
      </c>
      <c r="GI729">
        <v>9.3797318855709886</v>
      </c>
      <c r="GJ729"/>
      <c r="GK729"/>
      <c r="GL729"/>
      <c r="GM729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46.911237079995274</v>
      </c>
      <c r="AO730">
        <v>10.688679965135179</v>
      </c>
      <c r="AP730">
        <v>44.149560636236735</v>
      </c>
      <c r="AQ730">
        <v>64.394446929974777</v>
      </c>
      <c r="AR730">
        <v>9.9080557167131857</v>
      </c>
      <c r="AS730">
        <v>45.889672258092055</v>
      </c>
      <c r="AT730">
        <v>5.610048137311054</v>
      </c>
      <c r="AU730">
        <v>12.804561483655684</v>
      </c>
      <c r="AV730"/>
      <c r="AW730"/>
      <c r="FY730" s="214">
        <v>725</v>
      </c>
      <c r="FZ730">
        <v>0.9354236877907911</v>
      </c>
      <c r="GA730">
        <v>1.983892324486757</v>
      </c>
      <c r="GB730">
        <v>3.3462973617253056</v>
      </c>
      <c r="GC730">
        <v>2.0988091099754778</v>
      </c>
      <c r="GD730">
        <v>4.7348854950635291</v>
      </c>
      <c r="GE730">
        <v>15.070960975277179</v>
      </c>
      <c r="GF730">
        <v>18.598363032745542</v>
      </c>
      <c r="GG730">
        <v>10.937119676316344</v>
      </c>
      <c r="GH730">
        <v>6.0006610038463775</v>
      </c>
      <c r="GI730">
        <v>8.5204201485181699</v>
      </c>
      <c r="GJ730"/>
      <c r="GK730"/>
      <c r="GL730"/>
      <c r="GM730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65.47477762435112</v>
      </c>
      <c r="AO731">
        <v>11.151893547460313</v>
      </c>
      <c r="AP731">
        <v>47.753903463547459</v>
      </c>
      <c r="AQ731">
        <v>76.020081685800875</v>
      </c>
      <c r="AR731">
        <v>10.150616395107873</v>
      </c>
      <c r="AS731">
        <v>58.543658520783637</v>
      </c>
      <c r="AT731" t="e">
        <v>#DIV/0!</v>
      </c>
      <c r="AU731" t="e">
        <v>#DIV/0!</v>
      </c>
      <c r="AV731"/>
      <c r="AW731"/>
      <c r="FY731" s="214">
        <v>726</v>
      </c>
      <c r="FZ731">
        <v>0.61045559453590226</v>
      </c>
      <c r="GA731">
        <v>10.083924255739644</v>
      </c>
      <c r="GB731">
        <v>8.9491845431875348</v>
      </c>
      <c r="GC731">
        <v>2.784033155067041</v>
      </c>
      <c r="GD731">
        <v>5.7351101991851436</v>
      </c>
      <c r="GE731">
        <v>13.630535810234168</v>
      </c>
      <c r="GF731">
        <v>20.109335250237656</v>
      </c>
      <c r="GG731">
        <v>24.622213516307525</v>
      </c>
      <c r="GH731">
        <v>13.956512445535981</v>
      </c>
      <c r="GI731">
        <v>11.968395561992178</v>
      </c>
      <c r="GJ731"/>
      <c r="GK731"/>
      <c r="GL731"/>
      <c r="GM731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63.875143665341554</v>
      </c>
      <c r="AO732">
        <v>11.073687941867201</v>
      </c>
      <c r="AP732">
        <v>38.482044073771632</v>
      </c>
      <c r="AQ732">
        <v>69.156094786423921</v>
      </c>
      <c r="AR732">
        <v>10.424074194590135</v>
      </c>
      <c r="AS732">
        <v>60.925742498494031</v>
      </c>
      <c r="AT732" t="e">
        <v>#DIV/0!</v>
      </c>
      <c r="AU732" t="e">
        <v>#DIV/0!</v>
      </c>
      <c r="AV732"/>
      <c r="AW732"/>
      <c r="FY732" s="214">
        <v>727</v>
      </c>
      <c r="FZ732">
        <v>1.0185063067089379</v>
      </c>
      <c r="GA732">
        <v>12.475092249826314</v>
      </c>
      <c r="GB732">
        <v>6.1701737569574489</v>
      </c>
      <c r="GC732">
        <v>1.2965064360339429</v>
      </c>
      <c r="GD732">
        <v>2.2710422510090353</v>
      </c>
      <c r="GE732">
        <v>8.4759432243466684</v>
      </c>
      <c r="GF732">
        <v>17.333548225290123</v>
      </c>
      <c r="GG732">
        <v>9.1233461584436952</v>
      </c>
      <c r="GH732">
        <v>2.9005502766532074</v>
      </c>
      <c r="GI732">
        <v>7.0722691249159277</v>
      </c>
      <c r="GJ732"/>
      <c r="GK732"/>
      <c r="GL732"/>
      <c r="GM732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69.340752269361445</v>
      </c>
      <c r="AO733">
        <v>12.521151289607003</v>
      </c>
      <c r="AP733">
        <v>78.814529624530195</v>
      </c>
      <c r="AQ733">
        <v>77.960384145109032</v>
      </c>
      <c r="AR733">
        <v>11.764690614262708</v>
      </c>
      <c r="AS733">
        <v>64.12413615224402</v>
      </c>
      <c r="AT733">
        <v>7.0579567900883333</v>
      </c>
      <c r="AU733">
        <v>45.675417896259525</v>
      </c>
      <c r="AV733"/>
      <c r="AW733"/>
      <c r="FY733" s="214">
        <v>728</v>
      </c>
      <c r="FZ733">
        <v>1.2866566298941648</v>
      </c>
      <c r="GA733">
        <v>4.7299917274671506</v>
      </c>
      <c r="GB733">
        <v>8.0821289212120462</v>
      </c>
      <c r="GC733">
        <v>3.9620193131193817</v>
      </c>
      <c r="GD733">
        <v>3.6619061536119362</v>
      </c>
      <c r="GE733">
        <v>15.108535715046965</v>
      </c>
      <c r="GF733">
        <v>22.575256247845971</v>
      </c>
      <c r="GG733">
        <v>13.709828275581847</v>
      </c>
      <c r="GH733">
        <v>10.553300629044855</v>
      </c>
      <c r="GI733">
        <v>10.552042185714706</v>
      </c>
      <c r="GJ733"/>
      <c r="GK733"/>
      <c r="GL733"/>
      <c r="GM733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91.64745933858471</v>
      </c>
      <c r="AO734">
        <v>22.868103955256576</v>
      </c>
      <c r="AP734">
        <v>145.19890688333308</v>
      </c>
      <c r="AQ734">
        <v>119.59921772395244</v>
      </c>
      <c r="AR734">
        <v>20.980903453944762</v>
      </c>
      <c r="AS734">
        <v>99.958283786872428</v>
      </c>
      <c r="AT734">
        <v>10.905457518392401</v>
      </c>
      <c r="AU734">
        <v>31.592743450493334</v>
      </c>
      <c r="AV734"/>
      <c r="AW734"/>
      <c r="FY734" s="214">
        <v>729</v>
      </c>
      <c r="FZ734">
        <v>0.47254311604309179</v>
      </c>
      <c r="GA734">
        <v>17.894771709709456</v>
      </c>
      <c r="GB734">
        <v>18.236652594635686</v>
      </c>
      <c r="GC734">
        <v>5.8679621126019939</v>
      </c>
      <c r="GD734">
        <v>4.2892099460828579</v>
      </c>
      <c r="GE734">
        <v>14.490506435517583</v>
      </c>
      <c r="GF734">
        <v>22.906171125760444</v>
      </c>
      <c r="GG734">
        <v>14.978410093764531</v>
      </c>
      <c r="GH734">
        <v>12.308759034209888</v>
      </c>
      <c r="GI734">
        <v>13.840555058728597</v>
      </c>
      <c r="GJ734"/>
      <c r="GK734"/>
      <c r="GL734"/>
      <c r="GM734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89.419379250540686</v>
      </c>
      <c r="AO735">
        <v>16.221362799026664</v>
      </c>
      <c r="AP735">
        <v>44.529714197190515</v>
      </c>
      <c r="AQ735">
        <v>110.1926607720039</v>
      </c>
      <c r="AR735">
        <v>14.77143410266063</v>
      </c>
      <c r="AS735">
        <v>84.084529690769045</v>
      </c>
      <c r="AT735" t="e">
        <v>#DIV/0!</v>
      </c>
      <c r="AU735" t="e">
        <v>#DIV/0!</v>
      </c>
      <c r="AV735"/>
      <c r="AW735"/>
      <c r="FY735" s="214">
        <v>730</v>
      </c>
      <c r="FZ735">
        <v>1.0659401656988337</v>
      </c>
      <c r="GA735">
        <v>17.554403075848896</v>
      </c>
      <c r="GB735">
        <v>16.982303713919361</v>
      </c>
      <c r="GC735">
        <v>5.4399748196066788</v>
      </c>
      <c r="GD735">
        <v>5.3156730700854853</v>
      </c>
      <c r="GE735">
        <v>10.768416185762762</v>
      </c>
      <c r="GF735">
        <v>9.5836717780607437</v>
      </c>
      <c r="GG735">
        <v>7.6321521402150232</v>
      </c>
      <c r="GH735">
        <v>2.4277845661791013</v>
      </c>
      <c r="GI735">
        <v>9.972998520740731</v>
      </c>
      <c r="GJ735"/>
      <c r="GK735"/>
      <c r="GL735"/>
      <c r="GM73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50.399708232358762</v>
      </c>
      <c r="AO736">
        <v>8.5552433028298331</v>
      </c>
      <c r="AP736">
        <v>45.13538430480574</v>
      </c>
      <c r="AQ736">
        <v>58.669335504956265</v>
      </c>
      <c r="AR736">
        <v>7.7778159665877276</v>
      </c>
      <c r="AS736">
        <v>44.103841542532358</v>
      </c>
      <c r="AT736" t="e">
        <v>#DIV/0!</v>
      </c>
      <c r="AU736" t="e">
        <v>#DIV/0!</v>
      </c>
      <c r="AV736"/>
      <c r="AW736"/>
      <c r="FY736" s="214">
        <v>731</v>
      </c>
      <c r="FZ736">
        <v>1.0088437624135456</v>
      </c>
      <c r="GA736">
        <v>10.034764600311627</v>
      </c>
      <c r="GB736">
        <v>8.8477958536376775</v>
      </c>
      <c r="GC736">
        <v>2.8630171915830536</v>
      </c>
      <c r="GD736">
        <v>6.9254330395551191</v>
      </c>
      <c r="GE736">
        <v>18.609203673609571</v>
      </c>
      <c r="GF736">
        <v>19.738757727198433</v>
      </c>
      <c r="GG736">
        <v>11.147043963084554</v>
      </c>
      <c r="GH736">
        <v>2.5952812187456633</v>
      </c>
      <c r="GI736">
        <v>11.071612038739662</v>
      </c>
      <c r="GJ736"/>
      <c r="GK736"/>
      <c r="GL736"/>
      <c r="GM736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97.295025242525043</v>
      </c>
      <c r="AO737">
        <v>18.001014132205619</v>
      </c>
      <c r="AP737">
        <v>74.847724781565375</v>
      </c>
      <c r="AQ737">
        <v>114.40125141698024</v>
      </c>
      <c r="AR737">
        <v>16.543100880269627</v>
      </c>
      <c r="AS737">
        <v>89.45753479836587</v>
      </c>
      <c r="AT737" t="e">
        <v>#DIV/0!</v>
      </c>
      <c r="AU737" t="e">
        <v>#DIV/0!</v>
      </c>
      <c r="AV737"/>
      <c r="AW737"/>
      <c r="FY737" s="214">
        <v>732</v>
      </c>
      <c r="FZ737">
        <v>0.56884696294120185</v>
      </c>
      <c r="GA737">
        <v>4.1523744854061526</v>
      </c>
      <c r="GB737">
        <v>8.0204252202303596</v>
      </c>
      <c r="GC737">
        <v>4.0283158963501711</v>
      </c>
      <c r="GD737">
        <v>8.2077572936933496</v>
      </c>
      <c r="GE737">
        <v>18.881905247043139</v>
      </c>
      <c r="GF737">
        <v>13.447095572158528</v>
      </c>
      <c r="GG737">
        <v>12.824750953665097</v>
      </c>
      <c r="GH737">
        <v>8.7657784259064222</v>
      </c>
      <c r="GI737">
        <v>11.265686194456418</v>
      </c>
      <c r="GJ737"/>
      <c r="GK737"/>
      <c r="GL737"/>
      <c r="GM737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49.761384180729223</v>
      </c>
      <c r="AO738">
        <v>14.081369841288652</v>
      </c>
      <c r="AP738">
        <v>103.05888503870482</v>
      </c>
      <c r="AQ738">
        <v>79.717084545885456</v>
      </c>
      <c r="AR738">
        <v>12.979787888526932</v>
      </c>
      <c r="AS738">
        <v>54.876473158300414</v>
      </c>
      <c r="AT738" t="e">
        <v>#DIV/0!</v>
      </c>
      <c r="AU738" t="e">
        <v>#DIV/0!</v>
      </c>
      <c r="AV738"/>
      <c r="AW738"/>
      <c r="FY738" s="214">
        <v>733</v>
      </c>
      <c r="FZ738">
        <v>0.68970089655385203</v>
      </c>
      <c r="GA738">
        <v>2.2695568567991415</v>
      </c>
      <c r="GB738">
        <v>5.1093397368084927</v>
      </c>
      <c r="GC738">
        <v>3.1888346991855547</v>
      </c>
      <c r="GD738">
        <v>0.85230189644384313</v>
      </c>
      <c r="GE738">
        <v>4.9617226034451338</v>
      </c>
      <c r="GF738">
        <v>19.754506877471378</v>
      </c>
      <c r="GG738">
        <v>11.545617700473763</v>
      </c>
      <c r="GH738">
        <v>0.33499330513312475</v>
      </c>
      <c r="GI738">
        <v>5.7773916962816356</v>
      </c>
      <c r="GJ738"/>
      <c r="GK738"/>
      <c r="GL738"/>
      <c r="GM738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63.701033467242155</v>
      </c>
      <c r="AO739">
        <v>13.958886550648122</v>
      </c>
      <c r="AP739">
        <v>58.280719236624016</v>
      </c>
      <c r="AQ739">
        <v>82.358775700040695</v>
      </c>
      <c r="AR739">
        <v>13.059191317792502</v>
      </c>
      <c r="AS739">
        <v>63.817599450873097</v>
      </c>
      <c r="AT739">
        <v>7.0314618630477419</v>
      </c>
      <c r="AU739">
        <v>11.76612295769996</v>
      </c>
      <c r="AV739"/>
      <c r="AW739"/>
      <c r="FY739" s="214">
        <v>734</v>
      </c>
      <c r="FZ739">
        <v>0.73458957861749707</v>
      </c>
      <c r="GA739">
        <v>9.3821342728637234</v>
      </c>
      <c r="GB739">
        <v>11.407925196044744</v>
      </c>
      <c r="GC739">
        <v>4.2835273138611507</v>
      </c>
      <c r="GD739">
        <v>7.9250110974815389</v>
      </c>
      <c r="GE739">
        <v>20.322410556988348</v>
      </c>
      <c r="GF739">
        <v>14.248617080530673</v>
      </c>
      <c r="GG739">
        <v>11.498819760627075</v>
      </c>
      <c r="GH739">
        <v>9.962554825704478</v>
      </c>
      <c r="GI739">
        <v>12.111354763956262</v>
      </c>
      <c r="GJ739"/>
      <c r="GK739"/>
      <c r="GL739"/>
      <c r="GM739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86.946681681629741</v>
      </c>
      <c r="AO740">
        <v>14.099193418757039</v>
      </c>
      <c r="AP740">
        <v>71.672864061547102</v>
      </c>
      <c r="AQ740">
        <v>87.000949685977986</v>
      </c>
      <c r="AR740">
        <v>13.020409734846705</v>
      </c>
      <c r="AS740">
        <v>73.443832498439306</v>
      </c>
      <c r="AT740">
        <v>7.6845687357070682</v>
      </c>
      <c r="AU740">
        <v>21.568331703850422</v>
      </c>
      <c r="AV740"/>
      <c r="AW740"/>
      <c r="FY740" s="214">
        <v>735</v>
      </c>
      <c r="FZ740">
        <v>1.6055208625382322</v>
      </c>
      <c r="GA740">
        <v>3.7095564414099069</v>
      </c>
      <c r="GB740">
        <v>3.1837507615086125</v>
      </c>
      <c r="GC740">
        <v>1.8109502407226052</v>
      </c>
      <c r="GD740">
        <v>10.331293331295418</v>
      </c>
      <c r="GE740">
        <v>28.603874124414698</v>
      </c>
      <c r="GF740">
        <v>27.846928538507623</v>
      </c>
      <c r="GG740">
        <v>13.233100505955793</v>
      </c>
      <c r="GH740">
        <v>3.5750444062768651</v>
      </c>
      <c r="GI740">
        <v>13.537431798161839</v>
      </c>
      <c r="GJ740"/>
      <c r="GK740"/>
      <c r="GL740"/>
      <c r="GM740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62.096082975901467</v>
      </c>
      <c r="AO741">
        <v>13.016553653790117</v>
      </c>
      <c r="AP741">
        <v>65.591713844724154</v>
      </c>
      <c r="AQ741">
        <v>72.226832815745468</v>
      </c>
      <c r="AR741">
        <v>12.036835876543446</v>
      </c>
      <c r="AS741">
        <v>60.683991399852673</v>
      </c>
      <c r="AT741">
        <v>6.2659818833071661</v>
      </c>
      <c r="AU741">
        <v>19.425710636453232</v>
      </c>
      <c r="AV741"/>
      <c r="AW741"/>
      <c r="FY741" s="214">
        <v>736</v>
      </c>
      <c r="FZ741">
        <v>0.94818867544368635</v>
      </c>
      <c r="GA741">
        <v>11.457070847978001</v>
      </c>
      <c r="GB741">
        <v>7.2318300242677509</v>
      </c>
      <c r="GC741">
        <v>2.0676949087828609</v>
      </c>
      <c r="GD741">
        <v>4.5164226993343339</v>
      </c>
      <c r="GE741">
        <v>10.031050868517669</v>
      </c>
      <c r="GF741">
        <v>16.861914324714519</v>
      </c>
      <c r="GG741">
        <v>12.295253174445291</v>
      </c>
      <c r="GH741">
        <v>0.80775901560723096</v>
      </c>
      <c r="GI741">
        <v>8.1189863053669402</v>
      </c>
      <c r="GJ741"/>
      <c r="GK741"/>
      <c r="GL741"/>
      <c r="GM741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77.359117626498417</v>
      </c>
      <c r="AO742">
        <v>18.431175245761985</v>
      </c>
      <c r="AP742">
        <v>79.975586125279193</v>
      </c>
      <c r="AQ742">
        <v>112.44970033202279</v>
      </c>
      <c r="AR742">
        <v>16.756257969632109</v>
      </c>
      <c r="AS742">
        <v>83.121914891376363</v>
      </c>
      <c r="AT742" t="e">
        <v>#DIV/0!</v>
      </c>
      <c r="AU742" t="e">
        <v>#DIV/0!</v>
      </c>
      <c r="AV742"/>
      <c r="AW742"/>
      <c r="FY742" s="214">
        <v>737</v>
      </c>
      <c r="FZ742">
        <v>1.2734354019142018</v>
      </c>
      <c r="GA742">
        <v>10.577201797421989</v>
      </c>
      <c r="GB742">
        <v>9.671465496268425</v>
      </c>
      <c r="GC742">
        <v>3.4529936387646392</v>
      </c>
      <c r="GD742">
        <v>3.0311607563518792</v>
      </c>
      <c r="GE742">
        <v>8.442098606362805</v>
      </c>
      <c r="GF742">
        <v>11.683321382192593</v>
      </c>
      <c r="GG742">
        <v>6.6990573951051884</v>
      </c>
      <c r="GH742">
        <v>4.8555691323582026</v>
      </c>
      <c r="GI742">
        <v>7.5550044452955776</v>
      </c>
      <c r="GJ742"/>
      <c r="GK742"/>
      <c r="GL742"/>
      <c r="GM742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57.10728462031814</v>
      </c>
      <c r="AO743">
        <v>10.876122310163762</v>
      </c>
      <c r="AP743">
        <v>65.768907085126486</v>
      </c>
      <c r="AQ743">
        <v>68.136978010185302</v>
      </c>
      <c r="AR743">
        <v>10.078457848557351</v>
      </c>
      <c r="AS743">
        <v>54.932528226873693</v>
      </c>
      <c r="AT743">
        <v>5.826447549583281</v>
      </c>
      <c r="AU743">
        <v>45.067222015911724</v>
      </c>
      <c r="AV743"/>
      <c r="AW743"/>
      <c r="FY743" s="214">
        <v>738</v>
      </c>
      <c r="FZ743">
        <v>0.53985933005502451</v>
      </c>
      <c r="GA743">
        <v>9.4606673032213227</v>
      </c>
      <c r="GB743">
        <v>12.580209160094039</v>
      </c>
      <c r="GC743">
        <v>5.2754532441156137</v>
      </c>
      <c r="GD743">
        <v>11.315739504360762</v>
      </c>
      <c r="GE743">
        <v>26.634966313750851</v>
      </c>
      <c r="GF743">
        <v>22.819959259204659</v>
      </c>
      <c r="GG743">
        <v>16.955382915571882</v>
      </c>
      <c r="GH743">
        <v>6.6409233668870469</v>
      </c>
      <c r="GI743">
        <v>15.712270764470224</v>
      </c>
      <c r="GJ743"/>
      <c r="GK743"/>
      <c r="GL743"/>
      <c r="GM743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75.721359012129298</v>
      </c>
      <c r="AO744">
        <v>15.90645917777417</v>
      </c>
      <c r="AP744">
        <v>68.089138311601744</v>
      </c>
      <c r="AQ744">
        <v>94.221665798539021</v>
      </c>
      <c r="AR744">
        <v>14.830033942831331</v>
      </c>
      <c r="AS744">
        <v>77.948461243433442</v>
      </c>
      <c r="AT744">
        <v>8.4816840402483216</v>
      </c>
      <c r="AU744">
        <v>33.182747441884672</v>
      </c>
      <c r="AV744"/>
      <c r="AW744"/>
      <c r="FY744" s="214">
        <v>739</v>
      </c>
      <c r="FZ744">
        <v>0.95146872591263121</v>
      </c>
      <c r="GA744">
        <v>2.3386631666201891</v>
      </c>
      <c r="GB744">
        <v>1.4786957520120989</v>
      </c>
      <c r="GC744">
        <v>1.0091775599616246</v>
      </c>
      <c r="GD744">
        <v>2.6582403325208812</v>
      </c>
      <c r="GE744">
        <v>14.450420654703086</v>
      </c>
      <c r="GF744">
        <v>23.457032874310933</v>
      </c>
      <c r="GG744">
        <v>12.387303860057665</v>
      </c>
      <c r="GH744">
        <v>8.7657784259064222</v>
      </c>
      <c r="GI744">
        <v>8.0754072719329955</v>
      </c>
      <c r="GJ744"/>
      <c r="GK744"/>
      <c r="GL744"/>
      <c r="GM744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91.038656195243306</v>
      </c>
      <c r="AO745">
        <v>20.7091130945727</v>
      </c>
      <c r="AP745">
        <v>98.632863244569862</v>
      </c>
      <c r="AQ745">
        <v>125.28554122705413</v>
      </c>
      <c r="AR745">
        <v>19.540958817593875</v>
      </c>
      <c r="AS745">
        <v>98.192200438004008</v>
      </c>
      <c r="AT745">
        <v>11.06566187537944</v>
      </c>
      <c r="AU745">
        <v>25.046325071297474</v>
      </c>
      <c r="AV745"/>
      <c r="AW745"/>
      <c r="FY745" s="214">
        <v>740</v>
      </c>
      <c r="FZ745">
        <v>1.1368150633953376</v>
      </c>
      <c r="GA745">
        <v>4.0752223942873433</v>
      </c>
      <c r="GB745">
        <v>4.0525136381022175</v>
      </c>
      <c r="GC745">
        <v>2.233006055335176</v>
      </c>
      <c r="GD745">
        <v>13.392431826952263</v>
      </c>
      <c r="GE745">
        <v>36.15840890382519</v>
      </c>
      <c r="GF745">
        <v>28.00069103672859</v>
      </c>
      <c r="GG745">
        <v>18.626352217519372</v>
      </c>
      <c r="GH745">
        <v>12.811420574047805</v>
      </c>
      <c r="GI745">
        <v>16.784080030040634</v>
      </c>
      <c r="GJ745"/>
      <c r="GK745"/>
      <c r="GL745"/>
      <c r="GM74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77.477555984964681</v>
      </c>
      <c r="AO746">
        <v>15.166611014867268</v>
      </c>
      <c r="AP746">
        <v>75.136792465549462</v>
      </c>
      <c r="AQ746">
        <v>86.743318036117614</v>
      </c>
      <c r="AR746">
        <v>13.978902125560536</v>
      </c>
      <c r="AS746">
        <v>72.599093459673981</v>
      </c>
      <c r="AT746">
        <v>7.3017023310702589</v>
      </c>
      <c r="AU746">
        <v>-5.2830054526733372</v>
      </c>
      <c r="AV746"/>
      <c r="AW746"/>
      <c r="FY746" s="214">
        <v>741</v>
      </c>
      <c r="FZ746">
        <v>1.3633567549858638</v>
      </c>
      <c r="GA746">
        <v>11.379335592303415</v>
      </c>
      <c r="GB746">
        <v>5.5157500742555357</v>
      </c>
      <c r="GC746">
        <v>0.78462431847284675</v>
      </c>
      <c r="GD746">
        <v>3.6689563043897748</v>
      </c>
      <c r="GE746">
        <v>12.261903378030677</v>
      </c>
      <c r="GF746">
        <v>17.830496359379339</v>
      </c>
      <c r="GG746">
        <v>14.248562246690797</v>
      </c>
      <c r="GH746">
        <v>9.962554825704478</v>
      </c>
      <c r="GI746">
        <v>8.8747024743370382</v>
      </c>
      <c r="GJ746"/>
      <c r="GK746"/>
      <c r="GL746"/>
      <c r="GM746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80.286491363735806</v>
      </c>
      <c r="AO747">
        <v>17.053630895196655</v>
      </c>
      <c r="AP747">
        <v>106.77057372858128</v>
      </c>
      <c r="AQ747">
        <v>92.841753068878916</v>
      </c>
      <c r="AR747">
        <v>15.706584041079683</v>
      </c>
      <c r="AS747">
        <v>78.791552203068548</v>
      </c>
      <c r="AT747">
        <v>8.0867809434147588</v>
      </c>
      <c r="AU747">
        <v>22.991183837101335</v>
      </c>
      <c r="AV747"/>
      <c r="AW747"/>
      <c r="FY747" s="214">
        <v>742</v>
      </c>
      <c r="FZ747">
        <v>1.005563711944601</v>
      </c>
      <c r="GA747">
        <v>2.9603040096125941</v>
      </c>
      <c r="GB747">
        <v>8.0540352263823269</v>
      </c>
      <c r="GC747">
        <v>4.5524229194855739</v>
      </c>
      <c r="GD747">
        <v>6.9442777059609204</v>
      </c>
      <c r="GE747">
        <v>20.446688765855157</v>
      </c>
      <c r="GF747">
        <v>22.713361602556184</v>
      </c>
      <c r="GG747">
        <v>18.324964600950846</v>
      </c>
      <c r="GH747">
        <v>14.126177066712133</v>
      </c>
      <c r="GI747">
        <v>13.296353526104005</v>
      </c>
      <c r="GJ747"/>
      <c r="GK747"/>
      <c r="GL747"/>
      <c r="GM747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66.777001064455888</v>
      </c>
      <c r="AO748">
        <v>17.276991733480241</v>
      </c>
      <c r="AP748">
        <v>81.887510156732191</v>
      </c>
      <c r="AQ748">
        <v>90.162936251850851</v>
      </c>
      <c r="AR748">
        <v>15.897430051572334</v>
      </c>
      <c r="AS748">
        <v>72.719373796371229</v>
      </c>
      <c r="AT748">
        <v>8.3080498085623979</v>
      </c>
      <c r="AU748">
        <v>13.949414898400743</v>
      </c>
      <c r="AV748"/>
      <c r="AW748"/>
      <c r="FY748" s="214">
        <v>743</v>
      </c>
      <c r="FZ748">
        <v>1.0220649903935088</v>
      </c>
      <c r="GA748">
        <v>3.8691238373026975</v>
      </c>
      <c r="GB748">
        <v>6.8441556762578148</v>
      </c>
      <c r="GC748">
        <v>3.6074724176857478</v>
      </c>
      <c r="GD748">
        <v>4.9703620072548791</v>
      </c>
      <c r="GE748">
        <v>15.666130110598614</v>
      </c>
      <c r="GF748">
        <v>22.528508012005091</v>
      </c>
      <c r="GG748">
        <v>14.583504792109661</v>
      </c>
      <c r="GH748">
        <v>4.8534011637486145</v>
      </c>
      <c r="GI748">
        <v>10.121826211342324</v>
      </c>
      <c r="GJ748"/>
      <c r="GK748"/>
      <c r="GL748"/>
      <c r="GM748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50.678146463264895</v>
      </c>
      <c r="AO749">
        <v>8.9115123569446784</v>
      </c>
      <c r="AP749">
        <v>33.370411547606388</v>
      </c>
      <c r="AQ749">
        <v>54.483966268595921</v>
      </c>
      <c r="AR749">
        <v>8.1257934640254916</v>
      </c>
      <c r="AS749">
        <v>48.083705572689617</v>
      </c>
      <c r="AT749" t="e">
        <v>#DIV/0!</v>
      </c>
      <c r="AU749" t="e">
        <v>#DIV/0!</v>
      </c>
      <c r="AV749"/>
      <c r="AW749"/>
      <c r="FY749" s="214">
        <v>744</v>
      </c>
      <c r="FZ749">
        <v>0.67749317533220876</v>
      </c>
      <c r="GA749">
        <v>3.7829073550930352</v>
      </c>
      <c r="GB749">
        <v>4.2137730965274969</v>
      </c>
      <c r="GC749">
        <v>2.2707407803137682</v>
      </c>
      <c r="GD749">
        <v>1.1921576870840518</v>
      </c>
      <c r="GE749">
        <v>4.2018382669186884</v>
      </c>
      <c r="GF749">
        <v>15.394755684171427</v>
      </c>
      <c r="GG749">
        <v>9.6357556167490532</v>
      </c>
      <c r="GH749">
        <v>3.5750444062768651</v>
      </c>
      <c r="GI749">
        <v>5.4480995678891846</v>
      </c>
      <c r="GJ749"/>
      <c r="GK749"/>
      <c r="GL749"/>
      <c r="GM749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84.481945507747895</v>
      </c>
      <c r="AO750">
        <v>18.322235448344372</v>
      </c>
      <c r="AP750">
        <v>95.301687272566653</v>
      </c>
      <c r="AQ750">
        <v>101.87694444667548</v>
      </c>
      <c r="AR750">
        <v>16.872392259539751</v>
      </c>
      <c r="AS750">
        <v>87.224816664105475</v>
      </c>
      <c r="AT750">
        <v>9.2327140387796849</v>
      </c>
      <c r="AU750">
        <v>15.363560543189879</v>
      </c>
      <c r="AV750"/>
      <c r="AW750"/>
      <c r="FY750" s="214">
        <v>745</v>
      </c>
      <c r="FZ750">
        <v>0.13763384527718425</v>
      </c>
      <c r="GA750">
        <v>10.182651958219232</v>
      </c>
      <c r="GB750">
        <v>7.2859210654828157</v>
      </c>
      <c r="GC750">
        <v>2.1751889404513474</v>
      </c>
      <c r="GD750">
        <v>1.0569913066229917</v>
      </c>
      <c r="GE750">
        <v>7.9363238788875341</v>
      </c>
      <c r="GF750">
        <v>20.812953440208339</v>
      </c>
      <c r="GG750">
        <v>11.936447458468027</v>
      </c>
      <c r="GH750">
        <v>5.9169126775630962</v>
      </c>
      <c r="GI750">
        <v>7.612967164308226</v>
      </c>
      <c r="GJ750"/>
      <c r="GK750"/>
      <c r="GL750"/>
      <c r="GM750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94.551815873957466</v>
      </c>
      <c r="AO751">
        <v>20.673789039909668</v>
      </c>
      <c r="AP751">
        <v>196.77751247515192</v>
      </c>
      <c r="AQ751">
        <v>107.43745101079158</v>
      </c>
      <c r="AR751">
        <v>19.176501533098467</v>
      </c>
      <c r="AS751">
        <v>95.552991024207103</v>
      </c>
      <c r="AT751" t="e">
        <v>#DIV/0!</v>
      </c>
      <c r="AU751" t="e">
        <v>#DIV/0!</v>
      </c>
      <c r="AV751"/>
      <c r="AW751"/>
      <c r="FY751" s="214">
        <v>746</v>
      </c>
      <c r="FZ751">
        <v>0.40222548477784026</v>
      </c>
      <c r="GA751">
        <v>2.9649029617312848</v>
      </c>
      <c r="GB751">
        <v>7.5650660500496274</v>
      </c>
      <c r="GC751">
        <v>4.0297344236849142</v>
      </c>
      <c r="GD751">
        <v>10.198772900455792</v>
      </c>
      <c r="GE751">
        <v>24.424070776314572</v>
      </c>
      <c r="GF751">
        <v>16.372592146275483</v>
      </c>
      <c r="GG751">
        <v>14.189338885402336</v>
      </c>
      <c r="GH751">
        <v>7.5347702595253789</v>
      </c>
      <c r="GI751">
        <v>12.886643203768539</v>
      </c>
      <c r="GJ751"/>
      <c r="GK751"/>
      <c r="GL751"/>
      <c r="GM751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70.188128999014054</v>
      </c>
      <c r="AO752">
        <v>12.485667652825574</v>
      </c>
      <c r="AP752">
        <v>62.99356547254834</v>
      </c>
      <c r="AQ752">
        <v>74.336170844458294</v>
      </c>
      <c r="AR752">
        <v>11.375025551189943</v>
      </c>
      <c r="AS752">
        <v>61.462935984438502</v>
      </c>
      <c r="AT752" t="e">
        <v>#DIV/0!</v>
      </c>
      <c r="AU752" t="e">
        <v>#DIV/0!</v>
      </c>
      <c r="AV752"/>
      <c r="AW752"/>
      <c r="FY752" s="214">
        <v>747</v>
      </c>
      <c r="FZ752">
        <v>0.87120991713636131</v>
      </c>
      <c r="GA752">
        <v>3.8817827768910842</v>
      </c>
      <c r="GB752">
        <v>1.8221723434086852</v>
      </c>
      <c r="GC752">
        <v>0.9970164711312286</v>
      </c>
      <c r="GD752">
        <v>1.7947115327397603</v>
      </c>
      <c r="GE752">
        <v>5.3760274148191218</v>
      </c>
      <c r="GF752">
        <v>14.424935614376857</v>
      </c>
      <c r="GG752">
        <v>8.5626749226455754</v>
      </c>
      <c r="GH752">
        <v>5.4463149356985801</v>
      </c>
      <c r="GI752">
        <v>5.2086036795734119</v>
      </c>
      <c r="GJ752"/>
      <c r="GK752"/>
      <c r="GL752"/>
      <c r="GM752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61.039872880172084</v>
      </c>
      <c r="AO753">
        <v>11.265827542374783</v>
      </c>
      <c r="AP753">
        <v>43.189761922604788</v>
      </c>
      <c r="AQ753">
        <v>67.241308052035507</v>
      </c>
      <c r="AR753">
        <v>10.623165152763722</v>
      </c>
      <c r="AS753">
        <v>55.909654135926516</v>
      </c>
      <c r="AT753">
        <v>5.5478888963497255</v>
      </c>
      <c r="AU753">
        <v>7.2949014621531871</v>
      </c>
      <c r="AV753"/>
      <c r="AW753"/>
      <c r="FY753" s="214">
        <v>748</v>
      </c>
      <c r="FZ753">
        <v>0.6333393668112578</v>
      </c>
      <c r="GA753">
        <v>11.380951701829336</v>
      </c>
      <c r="GB753">
        <v>10.465886752088059</v>
      </c>
      <c r="GC753">
        <v>3.5827605739348996</v>
      </c>
      <c r="GD753">
        <v>0.86156879495017014</v>
      </c>
      <c r="GE753">
        <v>3.9745569659451241</v>
      </c>
      <c r="GF753">
        <v>19.560039343759442</v>
      </c>
      <c r="GG753">
        <v>16.470430794660992</v>
      </c>
      <c r="GH753">
        <v>4.6021561848987709</v>
      </c>
      <c r="GI753">
        <v>7.8962986777836042</v>
      </c>
      <c r="GJ753"/>
      <c r="GK753"/>
      <c r="GL753"/>
      <c r="GM753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101.85343163472338</v>
      </c>
      <c r="AO754">
        <v>24.045438321179947</v>
      </c>
      <c r="AP754">
        <v>127.60417194028496</v>
      </c>
      <c r="AQ754">
        <v>127.93543116173143</v>
      </c>
      <c r="AR754">
        <v>22.050563313117514</v>
      </c>
      <c r="AS754">
        <v>111.38969325563086</v>
      </c>
      <c r="AT754">
        <v>11.916662471897054</v>
      </c>
      <c r="AU754">
        <v>29.057344280304076</v>
      </c>
      <c r="AV754"/>
      <c r="AW754"/>
      <c r="FY754" s="214">
        <v>749</v>
      </c>
      <c r="FZ754">
        <v>1.0284474842199565</v>
      </c>
      <c r="GA754">
        <v>4.8186220938857423</v>
      </c>
      <c r="GB754">
        <v>4.7179340791152296</v>
      </c>
      <c r="GC754">
        <v>2.1478358091297163</v>
      </c>
      <c r="GD754">
        <v>0.70325381394975328</v>
      </c>
      <c r="GE754">
        <v>10.063935558349311</v>
      </c>
      <c r="GF754">
        <v>22.849492210267741</v>
      </c>
      <c r="GG754">
        <v>8.8069177500924773</v>
      </c>
      <c r="GH754">
        <v>2.3098044733128309</v>
      </c>
      <c r="GI754">
        <v>6.5671969734311144</v>
      </c>
      <c r="GJ754"/>
      <c r="GK754"/>
      <c r="GL754"/>
      <c r="GM754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76.501970162828826</v>
      </c>
      <c r="AO755">
        <v>12.272623307194364</v>
      </c>
      <c r="AP755">
        <v>74.163099981108573</v>
      </c>
      <c r="AQ755">
        <v>75.57218862393853</v>
      </c>
      <c r="AR755">
        <v>11.348004209494261</v>
      </c>
      <c r="AS755">
        <v>63.115910562136911</v>
      </c>
      <c r="AT755">
        <v>6.6919890183298056</v>
      </c>
      <c r="AU755">
        <v>68.015986864775002</v>
      </c>
      <c r="AV755"/>
      <c r="AW755"/>
      <c r="FY755" s="214">
        <v>750</v>
      </c>
      <c r="FZ755">
        <v>0.99562253443358228</v>
      </c>
      <c r="GA755">
        <v>3.8707399468286168</v>
      </c>
      <c r="GB755">
        <v>2.2095197029631524</v>
      </c>
      <c r="GC755">
        <v>1.0780650381445351</v>
      </c>
      <c r="GD755">
        <v>1.6149918773221723</v>
      </c>
      <c r="GE755">
        <v>5.7589651093204601</v>
      </c>
      <c r="GF755">
        <v>12.986112441471155</v>
      </c>
      <c r="GG755">
        <v>12.930782285400516</v>
      </c>
      <c r="GH755">
        <v>11.66632870255963</v>
      </c>
      <c r="GI755">
        <v>6.1134277486287791</v>
      </c>
      <c r="GJ755"/>
      <c r="GK755"/>
      <c r="GL755"/>
      <c r="GM75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114.22933476785886</v>
      </c>
      <c r="AO756">
        <v>25.595047693740245</v>
      </c>
      <c r="AP756">
        <v>144.91360727133053</v>
      </c>
      <c r="AQ756">
        <v>137.27094174023392</v>
      </c>
      <c r="AR756">
        <v>23.4474118642405</v>
      </c>
      <c r="AS756">
        <v>122.9446791476003</v>
      </c>
      <c r="AT756">
        <v>13.27859293835022</v>
      </c>
      <c r="AU756">
        <v>48.065112754885575</v>
      </c>
      <c r="AV756"/>
      <c r="AW756"/>
      <c r="FY756" s="214">
        <v>751</v>
      </c>
      <c r="FZ756">
        <v>0.94536486530180963</v>
      </c>
      <c r="GA756">
        <v>2.8239823779734428</v>
      </c>
      <c r="GB756">
        <v>1.8274848223633671</v>
      </c>
      <c r="GC756">
        <v>1.3679849476688788</v>
      </c>
      <c r="GD756">
        <v>6.2039141932306237</v>
      </c>
      <c r="GE756">
        <v>16.747418686959023</v>
      </c>
      <c r="GF756">
        <v>21.737476787259631</v>
      </c>
      <c r="GG756">
        <v>11.915380309250519</v>
      </c>
      <c r="GH756">
        <v>3.6587927325601464</v>
      </c>
      <c r="GI756">
        <v>9.2021800347068581</v>
      </c>
      <c r="GJ756"/>
      <c r="GK756"/>
      <c r="GL756"/>
      <c r="GM756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74.825454655082609</v>
      </c>
      <c r="AO757">
        <v>13.458879150217461</v>
      </c>
      <c r="AP757">
        <v>63.649771665404138</v>
      </c>
      <c r="AQ757">
        <v>85.89024232854976</v>
      </c>
      <c r="AR757">
        <v>12.438627909280422</v>
      </c>
      <c r="AS757">
        <v>65.231168563316132</v>
      </c>
      <c r="AT757">
        <v>7.1820494951446401</v>
      </c>
      <c r="AU757">
        <v>31.289422484010831</v>
      </c>
      <c r="AV757"/>
      <c r="AW757"/>
      <c r="FY757" s="214">
        <v>752</v>
      </c>
      <c r="FZ757">
        <v>0.88115109464737973</v>
      </c>
      <c r="GA757">
        <v>16.719288510098529</v>
      </c>
      <c r="GB757">
        <v>18.165591982097631</v>
      </c>
      <c r="GC757">
        <v>6.0280838880566971</v>
      </c>
      <c r="GD757">
        <v>4.9190230032512918</v>
      </c>
      <c r="GE757">
        <v>11.946533127521024</v>
      </c>
      <c r="GF757">
        <v>22.965815253877398</v>
      </c>
      <c r="GG757">
        <v>20.678951121191712</v>
      </c>
      <c r="GH757">
        <v>6.6409233668870469</v>
      </c>
      <c r="GI757">
        <v>13.338713845299415</v>
      </c>
      <c r="GJ757"/>
      <c r="GK757"/>
      <c r="GL757"/>
      <c r="GM757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94.984693710364979</v>
      </c>
      <c r="AO758">
        <v>20.300392723049612</v>
      </c>
      <c r="AP758">
        <v>124.66927292211837</v>
      </c>
      <c r="AQ758">
        <v>112.42414913556433</v>
      </c>
      <c r="AR758">
        <v>18.824196929066584</v>
      </c>
      <c r="AS758">
        <v>94.33563584849918</v>
      </c>
      <c r="AT758">
        <v>10.145950447287449</v>
      </c>
      <c r="AU758">
        <v>43.163548046724074</v>
      </c>
      <c r="AV758"/>
      <c r="AW758"/>
      <c r="FY758" s="214">
        <v>753</v>
      </c>
      <c r="FZ758">
        <v>1.0149476230243673</v>
      </c>
      <c r="GA758">
        <v>19.033519023193627</v>
      </c>
      <c r="GB758">
        <v>10.944922769373195</v>
      </c>
      <c r="GC758">
        <v>1.8210362963091531</v>
      </c>
      <c r="GD758">
        <v>7.2280856721128872</v>
      </c>
      <c r="GE758">
        <v>16.10742662435203</v>
      </c>
      <c r="GF758">
        <v>8.9646745152214216</v>
      </c>
      <c r="GG758">
        <v>7.3150468335502739</v>
      </c>
      <c r="GH758">
        <v>6.0006610038463775</v>
      </c>
      <c r="GI758">
        <v>9.9492463079359563</v>
      </c>
      <c r="GJ758"/>
      <c r="GK758"/>
      <c r="GL758"/>
      <c r="GM758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69.503426513564506</v>
      </c>
      <c r="AO759">
        <v>15.690830595735381</v>
      </c>
      <c r="AP759">
        <v>68.917368427984158</v>
      </c>
      <c r="AQ759">
        <v>88.066549218698952</v>
      </c>
      <c r="AR759">
        <v>14.277244857554907</v>
      </c>
      <c r="AS759">
        <v>69.477165925034882</v>
      </c>
      <c r="AT759" t="e">
        <v>#DIV/0!</v>
      </c>
      <c r="AU759" t="e">
        <v>#DIV/0!</v>
      </c>
      <c r="AV759"/>
      <c r="AW759"/>
      <c r="FY759" s="214">
        <v>754</v>
      </c>
      <c r="FZ759">
        <v>0.7445307561285156</v>
      </c>
      <c r="GA759">
        <v>10.407751675595437</v>
      </c>
      <c r="GB759">
        <v>8.9912372649930514</v>
      </c>
      <c r="GC759">
        <v>2.8846581772587117</v>
      </c>
      <c r="GD759">
        <v>9.0661890357618766</v>
      </c>
      <c r="GE759">
        <v>19.342727855589121</v>
      </c>
      <c r="GF759">
        <v>20.929175781711272</v>
      </c>
      <c r="GG759">
        <v>17.307782080576192</v>
      </c>
      <c r="GH759">
        <v>1.1967763997980561</v>
      </c>
      <c r="GI759">
        <v>12.384619185896877</v>
      </c>
      <c r="GJ759"/>
      <c r="GK759"/>
      <c r="GL759"/>
      <c r="GM759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48.387140946763928</v>
      </c>
      <c r="AO760">
        <v>8.0295448727036849</v>
      </c>
      <c r="AP760">
        <v>88.002657295717171</v>
      </c>
      <c r="AQ760">
        <v>50.392565636355783</v>
      </c>
      <c r="AR760">
        <v>7.6695248113278609</v>
      </c>
      <c r="AS760">
        <v>41.946272199874123</v>
      </c>
      <c r="AT760" t="e">
        <v>#DIV/0!</v>
      </c>
      <c r="AU760" t="e">
        <v>#DIV/0!</v>
      </c>
      <c r="AV760"/>
      <c r="AW760"/>
      <c r="FY760" s="214">
        <v>755</v>
      </c>
      <c r="FZ760">
        <v>0.74069343922831865</v>
      </c>
      <c r="GA760">
        <v>17.949475811257635</v>
      </c>
      <c r="GB760">
        <v>16.480204695133356</v>
      </c>
      <c r="GC760">
        <v>4.7041727025687656</v>
      </c>
      <c r="GD760">
        <v>3.964604136452047</v>
      </c>
      <c r="GE760">
        <v>10.754937864186969</v>
      </c>
      <c r="GF760">
        <v>13.071016279149687</v>
      </c>
      <c r="GG760">
        <v>12.421416497708456</v>
      </c>
      <c r="GH760">
        <v>7.7022669120919414</v>
      </c>
      <c r="GI760">
        <v>10.288792262162865</v>
      </c>
      <c r="GJ760"/>
      <c r="GK760"/>
      <c r="GL760"/>
      <c r="GM760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68.745578087578878</v>
      </c>
      <c r="AO761">
        <v>11.692773708058999</v>
      </c>
      <c r="AP761">
        <v>167.42969376839883</v>
      </c>
      <c r="AQ761">
        <v>75.053991735488793</v>
      </c>
      <c r="AR761">
        <v>10.820868210280288</v>
      </c>
      <c r="AS761">
        <v>61.178096845996777</v>
      </c>
      <c r="AT761" t="e">
        <v>#DIV/0!</v>
      </c>
      <c r="AU761" t="e">
        <v>#DIV/0!</v>
      </c>
      <c r="AV761"/>
      <c r="AW761"/>
      <c r="FY761" s="214">
        <v>756</v>
      </c>
      <c r="FZ761">
        <v>1.238944137688643</v>
      </c>
      <c r="GA761">
        <v>7.9578903968301091</v>
      </c>
      <c r="GB761">
        <v>9.7108643515826483</v>
      </c>
      <c r="GC761">
        <v>4.4078020943474492</v>
      </c>
      <c r="GD761">
        <v>6.4811966825140725</v>
      </c>
      <c r="GE761">
        <v>11.61970172605553</v>
      </c>
      <c r="GF761">
        <v>12.595976317553692</v>
      </c>
      <c r="GG761">
        <v>20.162668122546652</v>
      </c>
      <c r="GH761">
        <v>12.811420574047805</v>
      </c>
      <c r="GI761">
        <v>11.304077518857163</v>
      </c>
      <c r="GJ761"/>
      <c r="GK761"/>
      <c r="GL761"/>
      <c r="GM761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78.707228158311281</v>
      </c>
      <c r="AO762">
        <v>20.149505898422415</v>
      </c>
      <c r="AP762">
        <v>114.30377628824786</v>
      </c>
      <c r="AQ762">
        <v>100.56811709198577</v>
      </c>
      <c r="AR762">
        <v>18.329941931967362</v>
      </c>
      <c r="AS762">
        <v>86.991999357668504</v>
      </c>
      <c r="AT762" t="e">
        <v>#DIV/0!</v>
      </c>
      <c r="AU762" t="e">
        <v>#DIV/0!</v>
      </c>
      <c r="AV762"/>
      <c r="AW762"/>
      <c r="FY762" s="214">
        <v>757</v>
      </c>
      <c r="FZ762">
        <v>1.5410284586681764</v>
      </c>
      <c r="GA762">
        <v>12.267833588712966</v>
      </c>
      <c r="GB762">
        <v>8.0079016340544396</v>
      </c>
      <c r="GC762">
        <v>1.8817503576708585</v>
      </c>
      <c r="GD762">
        <v>7.0160125998144975</v>
      </c>
      <c r="GE762">
        <v>14.217337357868374</v>
      </c>
      <c r="GF762">
        <v>6.7701335102350377</v>
      </c>
      <c r="GG762">
        <v>13.192319474082973</v>
      </c>
      <c r="GH762">
        <v>11.107646697192655</v>
      </c>
      <c r="GI762">
        <v>9.5907621087898463</v>
      </c>
      <c r="GJ762"/>
      <c r="GK762"/>
      <c r="GL762"/>
      <c r="GM762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48.93277139783153</v>
      </c>
      <c r="AO763">
        <v>7.2998545077348052</v>
      </c>
      <c r="AP763">
        <v>52.714324536720959</v>
      </c>
      <c r="AQ763">
        <v>48.385449608420672</v>
      </c>
      <c r="AR763">
        <v>7.1840684024994621</v>
      </c>
      <c r="AS763">
        <v>40.37135813263528</v>
      </c>
      <c r="AT763">
        <v>4.8258298021814934</v>
      </c>
      <c r="AU763">
        <v>11.142849188828039</v>
      </c>
      <c r="AV763"/>
      <c r="AW763"/>
      <c r="FY763" s="214">
        <v>758</v>
      </c>
      <c r="FZ763">
        <v>0.39584299095139264</v>
      </c>
      <c r="GA763">
        <v>4.9871267217108235</v>
      </c>
      <c r="GB763">
        <v>7.2026948212520692</v>
      </c>
      <c r="GC763">
        <v>3.4526864233407224</v>
      </c>
      <c r="GD763">
        <v>1.9911887132584543</v>
      </c>
      <c r="GE763">
        <v>4.8019685187997672</v>
      </c>
      <c r="GF763">
        <v>10.152073527416764</v>
      </c>
      <c r="GG763">
        <v>6.9412216503852449</v>
      </c>
      <c r="GH763">
        <v>2.9005502766532074</v>
      </c>
      <c r="GI763">
        <v>5.4026157021580632</v>
      </c>
      <c r="GJ763"/>
      <c r="GK763"/>
      <c r="GL763"/>
      <c r="GM763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56.210291693230673</v>
      </c>
      <c r="AO764">
        <v>12.325230019292196</v>
      </c>
      <c r="AP764">
        <v>48.765805788942828</v>
      </c>
      <c r="AQ764">
        <v>79.427989156661667</v>
      </c>
      <c r="AR764">
        <v>11.20572072776563</v>
      </c>
      <c r="AS764">
        <v>57.805398869074125</v>
      </c>
      <c r="AT764" t="e">
        <v>#DIV/0!</v>
      </c>
      <c r="AU764" t="e">
        <v>#DIV/0!</v>
      </c>
      <c r="AV764"/>
      <c r="AW764"/>
      <c r="FY764" s="214">
        <v>759</v>
      </c>
      <c r="FZ764">
        <v>0.41188802907323274</v>
      </c>
      <c r="GA764">
        <v>23.513435233109014</v>
      </c>
      <c r="GB764">
        <v>14.47208659281722</v>
      </c>
      <c r="GC764">
        <v>2.1390455655831806</v>
      </c>
      <c r="GD764">
        <v>4.7710421562182299</v>
      </c>
      <c r="GE764">
        <v>10.228679966489041</v>
      </c>
      <c r="GF764">
        <v>11.318067415489203</v>
      </c>
      <c r="GG764">
        <v>14.189338885402336</v>
      </c>
      <c r="GH764">
        <v>7.5347702595253789</v>
      </c>
      <c r="GI764">
        <v>10.233585116287648</v>
      </c>
      <c r="GJ764"/>
      <c r="GK764"/>
      <c r="GL764"/>
      <c r="GM764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64.477769350849982</v>
      </c>
      <c r="AO765">
        <v>10.183478773356446</v>
      </c>
      <c r="AP765">
        <v>66.943449187657677</v>
      </c>
      <c r="AQ765">
        <v>64.01344024575387</v>
      </c>
      <c r="AR765">
        <v>9.2702393277407236</v>
      </c>
      <c r="AS765">
        <v>56.663528085774345</v>
      </c>
      <c r="AT765" t="e">
        <v>#DIV/0!</v>
      </c>
      <c r="AU765" t="e">
        <v>#DIV/0!</v>
      </c>
      <c r="AV765"/>
      <c r="AW765"/>
      <c r="FY765" s="214">
        <v>760</v>
      </c>
      <c r="FZ765">
        <v>1.0794400268944231</v>
      </c>
      <c r="GA765">
        <v>10.535156635462197</v>
      </c>
      <c r="GB765">
        <v>7.7582970561699867</v>
      </c>
      <c r="GC765">
        <v>2.1355535627293758</v>
      </c>
      <c r="GD765">
        <v>3.6738896199080013</v>
      </c>
      <c r="GE765">
        <v>14.272001792248375</v>
      </c>
      <c r="GF765">
        <v>21.200304225613145</v>
      </c>
      <c r="GG765">
        <v>9.1484487499146017</v>
      </c>
      <c r="GH765">
        <v>2.9005502766532074</v>
      </c>
      <c r="GI765">
        <v>8.9608995849818829</v>
      </c>
      <c r="GJ765"/>
      <c r="GK765"/>
      <c r="GL765"/>
      <c r="GM76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45.405791413608171</v>
      </c>
      <c r="AO766">
        <v>9.0661542516331455</v>
      </c>
      <c r="AP766">
        <v>38.231240815516699</v>
      </c>
      <c r="AQ766">
        <v>59.224555387072606</v>
      </c>
      <c r="AR766">
        <v>8.6234621611804165</v>
      </c>
      <c r="AS766">
        <v>45.167694919750978</v>
      </c>
      <c r="AT766">
        <v>5.4399235816557789</v>
      </c>
      <c r="AU766">
        <v>16.152641050406647</v>
      </c>
      <c r="AV766"/>
      <c r="AW766"/>
      <c r="FY766" s="214">
        <v>761</v>
      </c>
      <c r="FZ766">
        <v>0.53347683622857689</v>
      </c>
      <c r="GA766">
        <v>16.797398942660635</v>
      </c>
      <c r="GB766">
        <v>9.1884304108283104</v>
      </c>
      <c r="GC766">
        <v>1.070207296059035</v>
      </c>
      <c r="GD766">
        <v>1.5292859835972679</v>
      </c>
      <c r="GE766">
        <v>2.5399345006591165</v>
      </c>
      <c r="GF766">
        <v>16.85472600681647</v>
      </c>
      <c r="GG766">
        <v>20.013627981920873</v>
      </c>
      <c r="GH766">
        <v>8.8495267521897034</v>
      </c>
      <c r="GI766">
        <v>7.9424332232526202</v>
      </c>
      <c r="GJ766"/>
      <c r="GK766"/>
      <c r="GL766"/>
      <c r="GM766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73.548873236532557</v>
      </c>
      <c r="AO767">
        <v>13.808045064143528</v>
      </c>
      <c r="AP767">
        <v>106.93084670513576</v>
      </c>
      <c r="AQ767">
        <v>76.429979757274296</v>
      </c>
      <c r="AR767">
        <v>12.9227068035459</v>
      </c>
      <c r="AS767">
        <v>70.603902557157269</v>
      </c>
      <c r="AT767">
        <v>7.6414796926345181</v>
      </c>
      <c r="AU767">
        <v>36.676916506442936</v>
      </c>
      <c r="AV767"/>
      <c r="AW767"/>
      <c r="FY767" s="214">
        <v>762</v>
      </c>
      <c r="FZ767">
        <v>0.99534390121795613</v>
      </c>
      <c r="GA767">
        <v>6.1375874807819049</v>
      </c>
      <c r="GB767">
        <v>6.8456498848612872</v>
      </c>
      <c r="GC767">
        <v>2.843307190741061</v>
      </c>
      <c r="GD767">
        <v>6.8194295563427421</v>
      </c>
      <c r="GE767">
        <v>20.978111024416908</v>
      </c>
      <c r="GF767">
        <v>19.404372408587363</v>
      </c>
      <c r="GG767">
        <v>7.1209076382649013</v>
      </c>
      <c r="GH767">
        <v>1.1130280735147748</v>
      </c>
      <c r="GI767">
        <v>10.075182144945005</v>
      </c>
      <c r="GJ767"/>
      <c r="GK767"/>
      <c r="GL767"/>
      <c r="GM767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91.832969487207052</v>
      </c>
      <c r="AO768">
        <v>20.462212640657945</v>
      </c>
      <c r="AP768">
        <v>106.91268945508877</v>
      </c>
      <c r="AQ768">
        <v>122.28407519292813</v>
      </c>
      <c r="AR768">
        <v>18.792763366809641</v>
      </c>
      <c r="AS768">
        <v>96.162589440390377</v>
      </c>
      <c r="AT768">
        <v>10.413773186430774</v>
      </c>
      <c r="AU768">
        <v>18.910811571255792</v>
      </c>
      <c r="AV768"/>
      <c r="AW768"/>
      <c r="FY768" s="214">
        <v>763</v>
      </c>
      <c r="FZ768">
        <v>1.0284474842199565</v>
      </c>
      <c r="GA768">
        <v>4.5152642246289663</v>
      </c>
      <c r="GB768">
        <v>3.7663292132384374</v>
      </c>
      <c r="GC768">
        <v>2.1125138771629342</v>
      </c>
      <c r="GD768">
        <v>1.3717742376890627</v>
      </c>
      <c r="GE768">
        <v>3.2349820593318714</v>
      </c>
      <c r="GF768">
        <v>19.489686361611039</v>
      </c>
      <c r="GG768">
        <v>20.75751803426461</v>
      </c>
      <c r="GH768">
        <v>7.5347702595253789</v>
      </c>
      <c r="GI768">
        <v>7.0499062140397601</v>
      </c>
      <c r="GJ768"/>
      <c r="GK768"/>
      <c r="GL768"/>
      <c r="GM768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85.533194839600242</v>
      </c>
      <c r="AO769">
        <v>14.996688989431922</v>
      </c>
      <c r="AP769">
        <v>90.316841809282664</v>
      </c>
      <c r="AQ769">
        <v>88.379566668919281</v>
      </c>
      <c r="AR769">
        <v>13.811896205020815</v>
      </c>
      <c r="AS769">
        <v>74.604982673095336</v>
      </c>
      <c r="AT769" t="e">
        <v>#DIV/0!</v>
      </c>
      <c r="AU769" t="e">
        <v>#DIV/0!</v>
      </c>
      <c r="AV769"/>
      <c r="AW769"/>
      <c r="FY769" s="214">
        <v>764</v>
      </c>
      <c r="FZ769">
        <v>0.67721454211658272</v>
      </c>
      <c r="GA769">
        <v>10.160714017412758</v>
      </c>
      <c r="GB769">
        <v>7.7833705049740072</v>
      </c>
      <c r="GC769">
        <v>2.3026520389752552</v>
      </c>
      <c r="GD769">
        <v>7.1636152181366057</v>
      </c>
      <c r="GE769">
        <v>16.341956112841366</v>
      </c>
      <c r="GF769">
        <v>12.921809084576436</v>
      </c>
      <c r="GG769">
        <v>10.822591293527381</v>
      </c>
      <c r="GH769">
        <v>7.6206865544182483</v>
      </c>
      <c r="GI769">
        <v>10.213989486201198</v>
      </c>
      <c r="GJ769"/>
      <c r="GK769"/>
      <c r="GL769"/>
      <c r="GM769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71.393057593884294</v>
      </c>
      <c r="AO770">
        <v>19.290955503845556</v>
      </c>
      <c r="AP770">
        <v>75.386971459545208</v>
      </c>
      <c r="AQ770">
        <v>103.25544821330909</v>
      </c>
      <c r="AR770">
        <v>17.550085683109607</v>
      </c>
      <c r="AS770">
        <v>82.381989074689542</v>
      </c>
      <c r="AT770" t="e">
        <v>#DIV/0!</v>
      </c>
      <c r="AU770" t="e">
        <v>#DIV/0!</v>
      </c>
      <c r="AV770"/>
      <c r="AW770"/>
      <c r="FY770" s="214">
        <v>765</v>
      </c>
      <c r="FZ770">
        <v>0.28747541177601171</v>
      </c>
      <c r="GA770">
        <v>3.2244518401838858</v>
      </c>
      <c r="GB770">
        <v>3.5817369159959558</v>
      </c>
      <c r="GC770">
        <v>1.876003514245064</v>
      </c>
      <c r="GD770">
        <v>1.0320770205023282</v>
      </c>
      <c r="GE770">
        <v>3.6233708857713838</v>
      </c>
      <c r="GF770">
        <v>17.844760037533014</v>
      </c>
      <c r="GG770">
        <v>15.554457226071571</v>
      </c>
      <c r="GH770">
        <v>4.1293904744246639</v>
      </c>
      <c r="GI770">
        <v>5.6898476519401253</v>
      </c>
      <c r="GJ770"/>
      <c r="GK770"/>
      <c r="GL770"/>
      <c r="GM770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84.80508159326088</v>
      </c>
      <c r="AO771">
        <v>15.662514514247789</v>
      </c>
      <c r="AP771">
        <v>62.823250644033806</v>
      </c>
      <c r="AQ771">
        <v>98.077580599940035</v>
      </c>
      <c r="AR771">
        <v>14.238971613331316</v>
      </c>
      <c r="AS771">
        <v>80.43215982385729</v>
      </c>
      <c r="AT771" t="e">
        <v>#DIV/0!</v>
      </c>
      <c r="AU771" t="e">
        <v>#DIV/0!</v>
      </c>
      <c r="AV771"/>
      <c r="AW771"/>
      <c r="FY771" s="214">
        <v>766</v>
      </c>
      <c r="FZ771">
        <v>1.0159611297826872</v>
      </c>
      <c r="GA771">
        <v>10.906527601220088</v>
      </c>
      <c r="GB771">
        <v>12.264133298327016</v>
      </c>
      <c r="GC771">
        <v>5.0912022000529937</v>
      </c>
      <c r="GD771">
        <v>7.2660307417549648</v>
      </c>
      <c r="GE771">
        <v>16.688894939149368</v>
      </c>
      <c r="GF771">
        <v>13.884818388820461</v>
      </c>
      <c r="GG771">
        <v>11.27956984170403</v>
      </c>
      <c r="GH771">
        <v>6.9461924247945905</v>
      </c>
      <c r="GI771">
        <v>11.53732072613216</v>
      </c>
      <c r="GJ771"/>
      <c r="GK771"/>
      <c r="GL771"/>
      <c r="GM771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59.030684678256208</v>
      </c>
      <c r="AO772">
        <v>17.433828910761729</v>
      </c>
      <c r="AP772">
        <v>307.79632507282383</v>
      </c>
      <c r="AQ772">
        <v>98.290541922023749</v>
      </c>
      <c r="AR772">
        <v>16.040009303646414</v>
      </c>
      <c r="AS772">
        <v>69.648754711390424</v>
      </c>
      <c r="AT772" t="e">
        <v>#DIV/0!</v>
      </c>
      <c r="AU772" t="e">
        <v>#DIV/0!</v>
      </c>
      <c r="AV772"/>
      <c r="AW772"/>
      <c r="FY772" s="214">
        <v>767</v>
      </c>
      <c r="FZ772">
        <v>0.33518790398153359</v>
      </c>
      <c r="GA772">
        <v>11.494604508787774</v>
      </c>
      <c r="GB772">
        <v>14.713387163349815</v>
      </c>
      <c r="GC772">
        <v>5.7049283470327996</v>
      </c>
      <c r="GD772">
        <v>4.4824005905604123</v>
      </c>
      <c r="GE772">
        <v>12.490830858444276</v>
      </c>
      <c r="GF772">
        <v>24.392517435430857</v>
      </c>
      <c r="GG772">
        <v>15.731201945831106</v>
      </c>
      <c r="GH772">
        <v>1.7875222031384326</v>
      </c>
      <c r="GI772">
        <v>11.626803022524395</v>
      </c>
      <c r="GJ772"/>
      <c r="GK772"/>
      <c r="GL772"/>
      <c r="GM772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67.116453037734487</v>
      </c>
      <c r="AO773">
        <v>14.672780465585301</v>
      </c>
      <c r="AP773">
        <v>69.342833612845567</v>
      </c>
      <c r="AQ773">
        <v>85.592725787089833</v>
      </c>
      <c r="AR773">
        <v>13.363309926426059</v>
      </c>
      <c r="AS773">
        <v>68.153922849041706</v>
      </c>
      <c r="AT773" t="e">
        <v>#DIV/0!</v>
      </c>
      <c r="AU773" t="e">
        <v>#DIV/0!</v>
      </c>
      <c r="AV773"/>
      <c r="AW773"/>
      <c r="FY773" s="214">
        <v>768</v>
      </c>
      <c r="FZ773">
        <v>1.9338700323662503</v>
      </c>
      <c r="GA773">
        <v>17.600625950861996</v>
      </c>
      <c r="GB773">
        <v>12.235921375040469</v>
      </c>
      <c r="GC773">
        <v>3.2629170454952359</v>
      </c>
      <c r="GD773">
        <v>4.4026375337907293</v>
      </c>
      <c r="GE773">
        <v>13.665217678416615</v>
      </c>
      <c r="GF773">
        <v>27.17533128822738</v>
      </c>
      <c r="GG773">
        <v>16.864581433174205</v>
      </c>
      <c r="GH773">
        <v>4.8555691323582026</v>
      </c>
      <c r="GI773">
        <v>12.239499014798783</v>
      </c>
      <c r="GJ773"/>
      <c r="GK773"/>
      <c r="GL773"/>
      <c r="GM773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41.384820038641493</v>
      </c>
      <c r="AO774">
        <v>8.006233657846348</v>
      </c>
      <c r="AP774">
        <v>28.370674004556996</v>
      </c>
      <c r="AQ774">
        <v>48.227969345926518</v>
      </c>
      <c r="AR774">
        <v>7.4694681646324277</v>
      </c>
      <c r="AS774">
        <v>39.129486023036684</v>
      </c>
      <c r="AT774">
        <v>4.5143526485071463</v>
      </c>
      <c r="AU774">
        <v>15.016311789300156</v>
      </c>
      <c r="AV774"/>
      <c r="AW774"/>
      <c r="FY774" s="214">
        <v>769</v>
      </c>
      <c r="FZ774">
        <v>0.80773102002462538</v>
      </c>
      <c r="GA774">
        <v>11.276940225534677</v>
      </c>
      <c r="GB774">
        <v>8.1150834769617504</v>
      </c>
      <c r="GC774">
        <v>2.1623489801318914</v>
      </c>
      <c r="GD774">
        <v>8.1929364255717978</v>
      </c>
      <c r="GE774">
        <v>19.161538499401491</v>
      </c>
      <c r="GF774">
        <v>19.135604922292334</v>
      </c>
      <c r="GG774">
        <v>20.956433216311531</v>
      </c>
      <c r="GH774">
        <v>11.023898370909373</v>
      </c>
      <c r="GI774">
        <v>12.852738892690313</v>
      </c>
      <c r="GJ774"/>
      <c r="GK774"/>
      <c r="GL774"/>
      <c r="GM774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73.560705423961835</v>
      </c>
      <c r="AO775">
        <v>15.940619830734624</v>
      </c>
      <c r="AP775">
        <v>66.113115616704107</v>
      </c>
      <c r="AQ775">
        <v>98.811939219994471</v>
      </c>
      <c r="AR775">
        <v>14.491472573395114</v>
      </c>
      <c r="AS775">
        <v>69.137697856671124</v>
      </c>
      <c r="AT775" t="e">
        <v>#DIV/0!</v>
      </c>
      <c r="AU775" t="e">
        <v>#DIV/0!</v>
      </c>
      <c r="AV775"/>
      <c r="AW775"/>
      <c r="FY775" s="214">
        <v>770</v>
      </c>
      <c r="FZ775">
        <v>0.67393449164763786</v>
      </c>
      <c r="GA775">
        <v>18.1197237077672</v>
      </c>
      <c r="GB775">
        <v>9.4479024454749485</v>
      </c>
      <c r="GC775">
        <v>0.95664611402622524</v>
      </c>
      <c r="GD775">
        <v>7.0827794867496054</v>
      </c>
      <c r="GE775">
        <v>20.407858204435254</v>
      </c>
      <c r="GF775">
        <v>20.067397573578713</v>
      </c>
      <c r="GG775">
        <v>7.8169506524346648</v>
      </c>
      <c r="GH775">
        <v>3.5750444062768651</v>
      </c>
      <c r="GI775">
        <v>11.115272122904468</v>
      </c>
      <c r="GJ775"/>
      <c r="GK775"/>
      <c r="GL775"/>
      <c r="GM77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79.477664397606731</v>
      </c>
      <c r="AO776">
        <v>13.635529499055917</v>
      </c>
      <c r="AP776">
        <v>84.405961509650922</v>
      </c>
      <c r="AQ776">
        <v>81.664541530575207</v>
      </c>
      <c r="AR776">
        <v>12.599541190421442</v>
      </c>
      <c r="AS776">
        <v>71.070057691815421</v>
      </c>
      <c r="AT776">
        <v>6.8934728123751023</v>
      </c>
      <c r="AU776">
        <v>46.421632835442139</v>
      </c>
      <c r="AV776"/>
      <c r="AW776"/>
      <c r="FY776" s="214">
        <v>771</v>
      </c>
      <c r="FZ776">
        <v>0.98568135692256376</v>
      </c>
      <c r="GA776">
        <v>9.988179395852832</v>
      </c>
      <c r="GB776">
        <v>9.5005236771686263</v>
      </c>
      <c r="GC776">
        <v>3.2284193436021402</v>
      </c>
      <c r="GD776">
        <v>5.8333543595796566</v>
      </c>
      <c r="GE776">
        <v>18.482510871827444</v>
      </c>
      <c r="GF776">
        <v>24.407204844571375</v>
      </c>
      <c r="GG776">
        <v>12.229773150409674</v>
      </c>
      <c r="GH776">
        <v>1.1967763997980561</v>
      </c>
      <c r="GI776">
        <v>11.01922885833096</v>
      </c>
      <c r="GJ776"/>
      <c r="GK776"/>
      <c r="GL776"/>
      <c r="GM776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66.076656926649619</v>
      </c>
      <c r="AO777">
        <v>11.955103262595561</v>
      </c>
      <c r="AP777">
        <v>79.629189656301918</v>
      </c>
      <c r="AQ777">
        <v>85.319047934212605</v>
      </c>
      <c r="AR777">
        <v>11.059671678419592</v>
      </c>
      <c r="AS777">
        <v>57.352803639559994</v>
      </c>
      <c r="AT777">
        <v>7.4433953012586835</v>
      </c>
      <c r="AU777">
        <v>9.9659296902257797</v>
      </c>
      <c r="AV777"/>
      <c r="AW777"/>
      <c r="FY777" s="214">
        <v>772</v>
      </c>
      <c r="FZ777">
        <v>1.2838328197522881</v>
      </c>
      <c r="GA777">
        <v>4.7244933435248466</v>
      </c>
      <c r="GB777">
        <v>9.9349483480155403</v>
      </c>
      <c r="GC777">
        <v>5.0182438370016964</v>
      </c>
      <c r="GD777">
        <v>1.5313221333149385</v>
      </c>
      <c r="GE777">
        <v>8.0103131068852704</v>
      </c>
      <c r="GF777">
        <v>18.763237697480562</v>
      </c>
      <c r="GG777">
        <v>9.0285571290277886</v>
      </c>
      <c r="GH777">
        <v>2.6790295450289445</v>
      </c>
      <c r="GI777">
        <v>7.5637938674101894</v>
      </c>
      <c r="GJ777"/>
      <c r="GK777"/>
      <c r="GL777"/>
      <c r="GM777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78.701394430002892</v>
      </c>
      <c r="AO778">
        <v>15.611233718014669</v>
      </c>
      <c r="AP778">
        <v>100.3964952837797</v>
      </c>
      <c r="AQ778">
        <v>82.33291930367389</v>
      </c>
      <c r="AR778">
        <v>14.216449246816394</v>
      </c>
      <c r="AS778">
        <v>76.556862558596151</v>
      </c>
      <c r="AT778" t="e">
        <v>#DIV/0!</v>
      </c>
      <c r="AU778" t="e">
        <v>#DIV/0!</v>
      </c>
      <c r="AV778"/>
      <c r="AW778"/>
      <c r="FY778" s="214">
        <v>773</v>
      </c>
      <c r="FZ778">
        <v>0.68331840272740441</v>
      </c>
      <c r="GA778">
        <v>2.2570456365292171</v>
      </c>
      <c r="GB778">
        <v>5.2914102109873804</v>
      </c>
      <c r="GC778">
        <v>3.2723049878368329</v>
      </c>
      <c r="GD778">
        <v>7.2420576980384439</v>
      </c>
      <c r="GE778">
        <v>17.068390522172635</v>
      </c>
      <c r="GF778">
        <v>13.175054986719619</v>
      </c>
      <c r="GG778">
        <v>6.535133810995875</v>
      </c>
      <c r="GH778">
        <v>8.3748326283281188E-2</v>
      </c>
      <c r="GI778">
        <v>8.3350374295453857</v>
      </c>
      <c r="GJ778"/>
      <c r="GK778"/>
      <c r="GL778"/>
      <c r="GM778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37.61162622984493</v>
      </c>
      <c r="AO779">
        <v>11.029572463175871</v>
      </c>
      <c r="AP779">
        <v>31.102008753969177</v>
      </c>
      <c r="AQ779">
        <v>70.86119196571201</v>
      </c>
      <c r="AR779">
        <v>10.039415409394746</v>
      </c>
      <c r="AS779">
        <v>48.208734271541445</v>
      </c>
      <c r="AT779" t="e">
        <v>#DIV/0!</v>
      </c>
      <c r="AU779" t="e">
        <v>#DIV/0!</v>
      </c>
      <c r="AV779"/>
      <c r="AW779"/>
      <c r="FY779" s="214">
        <v>774</v>
      </c>
      <c r="FZ779">
        <v>0.40578416846241111</v>
      </c>
      <c r="GA779">
        <v>29.40168606140249</v>
      </c>
      <c r="GB779">
        <v>24.113296688846926</v>
      </c>
      <c r="GC779">
        <v>5.7057031685805484</v>
      </c>
      <c r="GD779">
        <v>1.8166037074332189</v>
      </c>
      <c r="GE779">
        <v>5.6474011415529368</v>
      </c>
      <c r="GF779">
        <v>17.49032687948845</v>
      </c>
      <c r="GG779">
        <v>12.348046584399922</v>
      </c>
      <c r="GH779">
        <v>0.55651403675738742</v>
      </c>
      <c r="GI779">
        <v>10.831416098611491</v>
      </c>
      <c r="GJ779"/>
      <c r="GK779"/>
      <c r="GL779"/>
      <c r="GM779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75.711107286675727</v>
      </c>
      <c r="AO780">
        <v>15.379056181759285</v>
      </c>
      <c r="AP780">
        <v>78.218738839290609</v>
      </c>
      <c r="AQ780">
        <v>86.008598853179834</v>
      </c>
      <c r="AR780">
        <v>14.338689431613242</v>
      </c>
      <c r="AS780">
        <v>73.208564652740023</v>
      </c>
      <c r="AT780">
        <v>7.8840133115647832</v>
      </c>
      <c r="AU780">
        <v>15.30929772223416</v>
      </c>
      <c r="AV780"/>
      <c r="AW780"/>
      <c r="FY780" s="214">
        <v>775</v>
      </c>
      <c r="FZ780">
        <v>0.50282288890321514</v>
      </c>
      <c r="GA780">
        <v>3.6441718392449549</v>
      </c>
      <c r="GB780">
        <v>5.9844420203305875</v>
      </c>
      <c r="GC780">
        <v>2.9977054489847683</v>
      </c>
      <c r="GD780">
        <v>4.8854905619223983</v>
      </c>
      <c r="GE780">
        <v>13.788825440579336</v>
      </c>
      <c r="GF780">
        <v>19.226667367633191</v>
      </c>
      <c r="GG780">
        <v>18.495843059434083</v>
      </c>
      <c r="GH780">
        <v>12.422403189856981</v>
      </c>
      <c r="GI780">
        <v>10.306383801529988</v>
      </c>
      <c r="GJ780"/>
      <c r="GK780"/>
      <c r="GL780"/>
      <c r="GM780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42.325512488383922</v>
      </c>
      <c r="AO781">
        <v>8.8137560951826899</v>
      </c>
      <c r="AP781">
        <v>33.773087802349693</v>
      </c>
      <c r="AQ781">
        <v>56.843570978444006</v>
      </c>
      <c r="AR781">
        <v>8.0125055410751749</v>
      </c>
      <c r="AS781">
        <v>40.681158432877311</v>
      </c>
      <c r="AT781" t="e">
        <v>#DIV/0!</v>
      </c>
      <c r="AU781" t="e">
        <v>#DIV/0!</v>
      </c>
      <c r="AV781"/>
      <c r="AW781"/>
      <c r="FY781" s="214">
        <v>776</v>
      </c>
      <c r="FZ781">
        <v>1.286935263109791</v>
      </c>
      <c r="GA781">
        <v>19.341577501709693</v>
      </c>
      <c r="GB781">
        <v>11.090535078484022</v>
      </c>
      <c r="GC781">
        <v>1.6347923011459213</v>
      </c>
      <c r="GD781">
        <v>3.2653993108631614</v>
      </c>
      <c r="GE781">
        <v>13.883162286546401</v>
      </c>
      <c r="GF781">
        <v>15.606934784571635</v>
      </c>
      <c r="GG781">
        <v>5.335478648702761</v>
      </c>
      <c r="GH781">
        <v>4.0456421481413827</v>
      </c>
      <c r="GI781">
        <v>8.4735025763827974</v>
      </c>
      <c r="GJ781"/>
      <c r="GK781"/>
      <c r="GL781"/>
      <c r="GM781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82.795984344442303</v>
      </c>
      <c r="AO782">
        <v>17.635586737901153</v>
      </c>
      <c r="AP782">
        <v>78.610287372935332</v>
      </c>
      <c r="AQ782">
        <v>96.88065129173836</v>
      </c>
      <c r="AR782">
        <v>16.211860322947388</v>
      </c>
      <c r="AS782">
        <v>83.999727354750092</v>
      </c>
      <c r="AT782">
        <v>8.4620539347766961</v>
      </c>
      <c r="AU782">
        <v>19.968270119529507</v>
      </c>
      <c r="AV782"/>
      <c r="AW782"/>
      <c r="FY782" s="214">
        <v>777</v>
      </c>
      <c r="FZ782">
        <v>1.5984034951690909</v>
      </c>
      <c r="GA782">
        <v>11.66615224755542</v>
      </c>
      <c r="GB782">
        <v>9.690941072268922</v>
      </c>
      <c r="GC782">
        <v>3.0617879772876133</v>
      </c>
      <c r="GD782">
        <v>4.8689422066475059</v>
      </c>
      <c r="GE782">
        <v>10.306042176221599</v>
      </c>
      <c r="GF782">
        <v>14.25980264685399</v>
      </c>
      <c r="GG782">
        <v>11.065214075594989</v>
      </c>
      <c r="GH782">
        <v>8.3748326283281188E-2</v>
      </c>
      <c r="GI782">
        <v>8.4433639006677481</v>
      </c>
      <c r="GJ782"/>
      <c r="GK782"/>
      <c r="GL782"/>
      <c r="GM782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74.263055460026749</v>
      </c>
      <c r="AO783">
        <v>17.847986874920071</v>
      </c>
      <c r="AP783">
        <v>110.36074784729581</v>
      </c>
      <c r="AQ783">
        <v>102.75938397908141</v>
      </c>
      <c r="AR783">
        <v>16.416194488866111</v>
      </c>
      <c r="AS783">
        <v>82.654191037704578</v>
      </c>
      <c r="AT783" t="e">
        <v>#DIV/0!</v>
      </c>
      <c r="AU783" t="e">
        <v>#DIV/0!</v>
      </c>
      <c r="AV783"/>
      <c r="AW783"/>
      <c r="FY783" s="214">
        <v>778</v>
      </c>
      <c r="FZ783">
        <v>0.72747221124835537</v>
      </c>
      <c r="GA783">
        <v>2.164385276375778</v>
      </c>
      <c r="GB783">
        <v>2.6847641687779698</v>
      </c>
      <c r="GC783">
        <v>1.8492775496223857</v>
      </c>
      <c r="GD783">
        <v>8.2921712234061449</v>
      </c>
      <c r="GE783">
        <v>17.206050672678277</v>
      </c>
      <c r="GF783">
        <v>13.04630460692854</v>
      </c>
      <c r="GG783">
        <v>12.06436125351315</v>
      </c>
      <c r="GH783">
        <v>5.833164351279815</v>
      </c>
      <c r="GI783">
        <v>9.2605001820636659</v>
      </c>
      <c r="GJ783"/>
      <c r="GK783"/>
      <c r="GL783"/>
      <c r="GM783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83.900424660160581</v>
      </c>
      <c r="AO784">
        <v>18.581379619149139</v>
      </c>
      <c r="AP784">
        <v>66.73047527817512</v>
      </c>
      <c r="AQ784">
        <v>114.23617048452986</v>
      </c>
      <c r="AR784">
        <v>17.285876337778305</v>
      </c>
      <c r="AS784">
        <v>84.350791230976029</v>
      </c>
      <c r="AT784">
        <v>9.8521237303834894</v>
      </c>
      <c r="AU784">
        <v>10.246598831566235</v>
      </c>
      <c r="AV784"/>
      <c r="AW784"/>
      <c r="FY784" s="214">
        <v>779</v>
      </c>
      <c r="FZ784">
        <v>0.81383488063544696</v>
      </c>
      <c r="GA784">
        <v>4.9545082802875786</v>
      </c>
      <c r="GB784">
        <v>5.5284049613066824</v>
      </c>
      <c r="GC784">
        <v>2.6056953615001071</v>
      </c>
      <c r="GD784">
        <v>3.7668153016643178</v>
      </c>
      <c r="GE784">
        <v>12.422275233535681</v>
      </c>
      <c r="GF784">
        <v>20.716561069512132</v>
      </c>
      <c r="GG784">
        <v>15.970051301849296</v>
      </c>
      <c r="GH784">
        <v>11.109814665802244</v>
      </c>
      <c r="GI784">
        <v>9.6194214655170853</v>
      </c>
      <c r="GJ784"/>
      <c r="GK784"/>
      <c r="GL784"/>
      <c r="GM784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83.37426751221679</v>
      </c>
      <c r="AO785">
        <v>19.999150993806289</v>
      </c>
      <c r="AP785">
        <v>111.48521899909782</v>
      </c>
      <c r="AQ785">
        <v>113.68525402982979</v>
      </c>
      <c r="AR785">
        <v>18.193577709967858</v>
      </c>
      <c r="AS785">
        <v>85.929987298783658</v>
      </c>
      <c r="AT785" t="e">
        <v>#DIV/0!</v>
      </c>
      <c r="AU785" t="e">
        <v>#DIV/0!</v>
      </c>
      <c r="AV785"/>
      <c r="AW785"/>
      <c r="FY785" s="214">
        <v>780</v>
      </c>
      <c r="FZ785">
        <v>0.87148855035198747</v>
      </c>
      <c r="GA785">
        <v>2.5206245087166668</v>
      </c>
      <c r="GB785">
        <v>4.9998870955581669</v>
      </c>
      <c r="GC785">
        <v>3.0421722915390932</v>
      </c>
      <c r="GD785">
        <v>4.1197526964481526</v>
      </c>
      <c r="GE785">
        <v>10.616151685930467</v>
      </c>
      <c r="GF785">
        <v>22.060048883979746</v>
      </c>
      <c r="GG785">
        <v>18.805292611911177</v>
      </c>
      <c r="GH785">
        <v>4.1293904744246639</v>
      </c>
      <c r="GI785">
        <v>9.1670264039997598</v>
      </c>
      <c r="GJ785"/>
      <c r="GK785"/>
      <c r="GL785"/>
      <c r="GM78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91.435611378514821</v>
      </c>
      <c r="AO786">
        <v>16.539970382608399</v>
      </c>
      <c r="AP786">
        <v>126.78598493057694</v>
      </c>
      <c r="AQ786">
        <v>99.263509205295591</v>
      </c>
      <c r="AR786">
        <v>15.405953219953359</v>
      </c>
      <c r="AS786">
        <v>83.070318849915878</v>
      </c>
      <c r="AT786" t="e">
        <v>#DIV/0!</v>
      </c>
      <c r="AU786" t="e">
        <v>#DIV/0!</v>
      </c>
      <c r="AV786"/>
      <c r="AW786"/>
      <c r="FY786" s="214">
        <v>781</v>
      </c>
      <c r="FZ786">
        <v>0.73713475554374785</v>
      </c>
      <c r="GA786">
        <v>17.181416000565086</v>
      </c>
      <c r="GB786">
        <v>13.779338115851832</v>
      </c>
      <c r="GC786">
        <v>3.9263370798092057</v>
      </c>
      <c r="GD786">
        <v>0.8357983682976502</v>
      </c>
      <c r="GE786">
        <v>9.9605561397397704</v>
      </c>
      <c r="GF786">
        <v>22.126141382225811</v>
      </c>
      <c r="GG786">
        <v>5.9776908355257223</v>
      </c>
      <c r="GH786">
        <v>0.16749665256656238</v>
      </c>
      <c r="GI786">
        <v>8.2286603055099032</v>
      </c>
      <c r="GJ786"/>
      <c r="GK786"/>
      <c r="GL786"/>
      <c r="GM786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88.972541791748796</v>
      </c>
      <c r="AO787">
        <v>16.995321953826867</v>
      </c>
      <c r="AP787">
        <v>95.58662959818642</v>
      </c>
      <c r="AQ787">
        <v>96.871652258063321</v>
      </c>
      <c r="AR787">
        <v>15.462501982335043</v>
      </c>
      <c r="AS787">
        <v>81.982946252809427</v>
      </c>
      <c r="AT787" t="e">
        <v>#DIV/0!</v>
      </c>
      <c r="AU787" t="e">
        <v>#DIV/0!</v>
      </c>
      <c r="AV787"/>
      <c r="AW787"/>
      <c r="FY787" s="214">
        <v>782</v>
      </c>
      <c r="FZ787">
        <v>1.1393602403215881</v>
      </c>
      <c r="GA787">
        <v>4.5675544419682161</v>
      </c>
      <c r="GB787">
        <v>2.8730582681369023</v>
      </c>
      <c r="GC787">
        <v>1.4683656997642043</v>
      </c>
      <c r="GD787">
        <v>4.9948826904412993</v>
      </c>
      <c r="GE787">
        <v>12.633665091158422</v>
      </c>
      <c r="GF787">
        <v>12.852986969311807</v>
      </c>
      <c r="GG787">
        <v>6.3050472594182896</v>
      </c>
      <c r="GH787">
        <v>3.5750444062768651</v>
      </c>
      <c r="GI787">
        <v>7.0800238543874601</v>
      </c>
      <c r="GJ787"/>
      <c r="GK787"/>
      <c r="GL787"/>
      <c r="GM787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53.390023650387164</v>
      </c>
      <c r="AO788">
        <v>11.357944537531928</v>
      </c>
      <c r="AP788">
        <v>29.62978117253369</v>
      </c>
      <c r="AQ788">
        <v>68.537771827442057</v>
      </c>
      <c r="AR788">
        <v>10.517122165104167</v>
      </c>
      <c r="AS788">
        <v>55.862750735389433</v>
      </c>
      <c r="AT788">
        <v>5.931034162876422</v>
      </c>
      <c r="AU788">
        <v>5.2960588927421464</v>
      </c>
      <c r="AV788"/>
      <c r="AW788"/>
      <c r="FY788" s="214">
        <v>783</v>
      </c>
      <c r="FZ788">
        <v>0.68331840272740441</v>
      </c>
      <c r="GA788">
        <v>17.687365329277643</v>
      </c>
      <c r="GB788">
        <v>12.805596176349912</v>
      </c>
      <c r="GC788">
        <v>3.0834513038989204</v>
      </c>
      <c r="GD788">
        <v>8.281186088551781</v>
      </c>
      <c r="GE788">
        <v>16.104416225594985</v>
      </c>
      <c r="GF788">
        <v>12.29733979342304</v>
      </c>
      <c r="GG788">
        <v>13.399257996340161</v>
      </c>
      <c r="GH788">
        <v>5.833164351279815</v>
      </c>
      <c r="GI788">
        <v>11.761454699255614</v>
      </c>
      <c r="GJ788"/>
      <c r="GK788"/>
      <c r="GL788"/>
      <c r="GM788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62.002118607998341</v>
      </c>
      <c r="AO789">
        <v>12.734578831858247</v>
      </c>
      <c r="AP789">
        <v>54.919246527226846</v>
      </c>
      <c r="AQ789">
        <v>63.943502011836074</v>
      </c>
      <c r="AR789">
        <v>11.589421199105997</v>
      </c>
      <c r="AS789">
        <v>63.775307982998378</v>
      </c>
      <c r="AT789" t="e">
        <v>#DIV/0!</v>
      </c>
      <c r="AU789" t="e">
        <v>#DIV/0!</v>
      </c>
      <c r="AV789"/>
      <c r="AW789"/>
      <c r="FY789" s="214">
        <v>784</v>
      </c>
      <c r="FZ789">
        <v>0.52991815254400609</v>
      </c>
      <c r="GA789">
        <v>22.738885482294833</v>
      </c>
      <c r="GB789">
        <v>16.143644829505391</v>
      </c>
      <c r="GC789">
        <v>3.1855781821479869</v>
      </c>
      <c r="GD789">
        <v>5.1299822314060517</v>
      </c>
      <c r="GE789">
        <v>18.236914923170957</v>
      </c>
      <c r="GF789">
        <v>25.257991941593204</v>
      </c>
      <c r="GG789">
        <v>16.975757402916571</v>
      </c>
      <c r="GH789">
        <v>11.66632870255963</v>
      </c>
      <c r="GI789">
        <v>14.132428109389679</v>
      </c>
      <c r="GJ789"/>
      <c r="GK789"/>
      <c r="GL789"/>
      <c r="GM789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81.894226044766512</v>
      </c>
      <c r="AO790">
        <v>16.771242835645033</v>
      </c>
      <c r="AP790">
        <v>77.950479384559642</v>
      </c>
      <c r="AQ790">
        <v>108.31677853553578</v>
      </c>
      <c r="AR790">
        <v>15.259115748003072</v>
      </c>
      <c r="AS790">
        <v>80.771413216168426</v>
      </c>
      <c r="AT790" t="e">
        <v>#DIV/0!</v>
      </c>
      <c r="AU790" t="e">
        <v>#DIV/0!</v>
      </c>
      <c r="AV790"/>
      <c r="AW790"/>
      <c r="FY790" s="214">
        <v>785</v>
      </c>
      <c r="FZ790">
        <v>0.93186500410622031</v>
      </c>
      <c r="GA790">
        <v>4.6016284261570917</v>
      </c>
      <c r="GB790">
        <v>2.2574988739647415</v>
      </c>
      <c r="GC790">
        <v>1.0377136688733861</v>
      </c>
      <c r="GD790">
        <v>5.3011796953284955</v>
      </c>
      <c r="GE790">
        <v>12.856416988293367</v>
      </c>
      <c r="GF790">
        <v>17.350728717420438</v>
      </c>
      <c r="GG790">
        <v>13.92834786921116</v>
      </c>
      <c r="GH790">
        <v>3.740373090233839</v>
      </c>
      <c r="GI790">
        <v>7.951049184438987</v>
      </c>
      <c r="GJ790"/>
      <c r="GK790"/>
      <c r="GL790"/>
      <c r="GM790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71.105505298470348</v>
      </c>
      <c r="AO791">
        <v>15.715374932711054</v>
      </c>
      <c r="AP791">
        <v>73.51255541308096</v>
      </c>
      <c r="AQ791">
        <v>92.254755618419509</v>
      </c>
      <c r="AR791">
        <v>14.478744579282164</v>
      </c>
      <c r="AS791">
        <v>73.690174239644193</v>
      </c>
      <c r="AT791">
        <v>8.3095184962951389</v>
      </c>
      <c r="AU791">
        <v>25.25034415471373</v>
      </c>
      <c r="AV791"/>
      <c r="AW791"/>
      <c r="FY791" s="214">
        <v>786</v>
      </c>
      <c r="FZ791">
        <v>1.4549444224967107</v>
      </c>
      <c r="GA791">
        <v>3.9960187484053007</v>
      </c>
      <c r="GB791">
        <v>1.8287961751546962</v>
      </c>
      <c r="GC791">
        <v>1.0586930221600226</v>
      </c>
      <c r="GD791">
        <v>9.0731747120424515</v>
      </c>
      <c r="GE791">
        <v>29.563881113692439</v>
      </c>
      <c r="GF791">
        <v>27.124576976508166</v>
      </c>
      <c r="GG791">
        <v>7.6321521402150232</v>
      </c>
      <c r="GH791">
        <v>2.4277845661791013</v>
      </c>
      <c r="GI791">
        <v>11.935395762636361</v>
      </c>
      <c r="GJ791"/>
      <c r="GK791"/>
      <c r="GL791"/>
      <c r="GM791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91.634602033879872</v>
      </c>
      <c r="AO792">
        <v>12.835930335240757</v>
      </c>
      <c r="AP792">
        <v>42.74717697288991</v>
      </c>
      <c r="AQ792">
        <v>83.963959899657567</v>
      </c>
      <c r="AR792">
        <v>11.693768226491626</v>
      </c>
      <c r="AS792">
        <v>70.586279383676796</v>
      </c>
      <c r="AT792" t="e">
        <v>#DIV/0!</v>
      </c>
      <c r="AU792" t="e">
        <v>#DIV/0!</v>
      </c>
      <c r="AV792"/>
      <c r="AW792"/>
      <c r="FY792" s="214">
        <v>787</v>
      </c>
      <c r="FZ792">
        <v>1.0662187989144598</v>
      </c>
      <c r="GA792">
        <v>11.717417501113616</v>
      </c>
      <c r="GB792">
        <v>6.0245396322892031</v>
      </c>
      <c r="GC792">
        <v>1.1643574926596463</v>
      </c>
      <c r="GD792">
        <v>10.657413643773189</v>
      </c>
      <c r="GE792">
        <v>25.731309855531865</v>
      </c>
      <c r="GF792">
        <v>16.992923929063728</v>
      </c>
      <c r="GG792">
        <v>10.570950247338969</v>
      </c>
      <c r="GH792">
        <v>5.833164351279815</v>
      </c>
      <c r="GI792">
        <v>12.317067861360774</v>
      </c>
      <c r="GJ792"/>
      <c r="GK792"/>
      <c r="GL792"/>
      <c r="GM792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70.452148441761921</v>
      </c>
      <c r="AO793">
        <v>12.969881033232923</v>
      </c>
      <c r="AP793">
        <v>77.381187817484403</v>
      </c>
      <c r="AQ793">
        <v>75.04439812455017</v>
      </c>
      <c r="AR793">
        <v>11.827428830416336</v>
      </c>
      <c r="AS793">
        <v>62.824561822005926</v>
      </c>
      <c r="AT793" t="e">
        <v>#DIV/0!</v>
      </c>
      <c r="AU793" t="e">
        <v>#DIV/0!</v>
      </c>
      <c r="AV793"/>
      <c r="AW793"/>
      <c r="FY793" s="214">
        <v>788</v>
      </c>
      <c r="FZ793">
        <v>0.61300077146215293</v>
      </c>
      <c r="GA793">
        <v>3.0465204918222564</v>
      </c>
      <c r="GB793">
        <v>6.7725709530686871</v>
      </c>
      <c r="GC793">
        <v>3.7720631386339001</v>
      </c>
      <c r="GD793">
        <v>8.0153259138819362</v>
      </c>
      <c r="GE793">
        <v>18.031973147570955</v>
      </c>
      <c r="GF793">
        <v>16.760733485713068</v>
      </c>
      <c r="GG793">
        <v>13.707909810855215</v>
      </c>
      <c r="GH793">
        <v>5.9169126775630962</v>
      </c>
      <c r="GI793">
        <v>10.807748133150355</v>
      </c>
      <c r="GJ793"/>
      <c r="GK793"/>
      <c r="GL793"/>
      <c r="GM793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62.359472003634139</v>
      </c>
      <c r="AO794">
        <v>13.967080627738175</v>
      </c>
      <c r="AP794">
        <v>83.078294038209634</v>
      </c>
      <c r="AQ794">
        <v>73.128451495894083</v>
      </c>
      <c r="AR794">
        <v>12.912516494594724</v>
      </c>
      <c r="AS794">
        <v>64.6201727759303</v>
      </c>
      <c r="AT794">
        <v>7.3599150049164743</v>
      </c>
      <c r="AU794">
        <v>19.227130523635459</v>
      </c>
      <c r="AV794"/>
      <c r="AW794"/>
      <c r="FY794" s="214">
        <v>789</v>
      </c>
      <c r="FZ794">
        <v>0.8516061953299503</v>
      </c>
      <c r="GA794">
        <v>30.287260124838959</v>
      </c>
      <c r="GB794">
        <v>19.113939406403727</v>
      </c>
      <c r="GC794">
        <v>2.6151987673549093</v>
      </c>
      <c r="GD794">
        <v>7.0735380171826225</v>
      </c>
      <c r="GE794">
        <v>26.004332335461516</v>
      </c>
      <c r="GF794">
        <v>27.635293741191404</v>
      </c>
      <c r="GG794">
        <v>8.4514345647695901</v>
      </c>
      <c r="GH794">
        <v>2.9842986029364886</v>
      </c>
      <c r="GI794">
        <v>15.090193052954065</v>
      </c>
      <c r="GJ794"/>
      <c r="GK794"/>
      <c r="GL794"/>
      <c r="GM794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70.424368344529469</v>
      </c>
      <c r="AO795">
        <v>14.437037072153675</v>
      </c>
      <c r="AP795">
        <v>70.35679652471272</v>
      </c>
      <c r="AQ795">
        <v>87.507382521610566</v>
      </c>
      <c r="AR795">
        <v>13.506082907108171</v>
      </c>
      <c r="AS795">
        <v>70.517927406503645</v>
      </c>
      <c r="AT795">
        <v>8.0527297095767416</v>
      </c>
      <c r="AU795">
        <v>28.883505857919076</v>
      </c>
      <c r="AV795"/>
      <c r="AW795"/>
      <c r="FY795" s="214">
        <v>790</v>
      </c>
      <c r="FZ795">
        <v>1.1296976960261955</v>
      </c>
      <c r="GA795">
        <v>4.9911567154456709</v>
      </c>
      <c r="GB795">
        <v>4.0193958993621912</v>
      </c>
      <c r="GC795">
        <v>1.7631902862463023</v>
      </c>
      <c r="GD795">
        <v>7.2514355798607939</v>
      </c>
      <c r="GE795">
        <v>18.443683330016896</v>
      </c>
      <c r="GF795">
        <v>20.730684459798983</v>
      </c>
      <c r="GG795">
        <v>16.97695872349594</v>
      </c>
      <c r="GH795">
        <v>12.42457115846657</v>
      </c>
      <c r="GI795">
        <v>11.489800647992745</v>
      </c>
      <c r="GJ795"/>
      <c r="GK795"/>
      <c r="GL795"/>
      <c r="GM79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70.206053347251299</v>
      </c>
      <c r="AO796">
        <v>14.473389639850101</v>
      </c>
      <c r="AP796">
        <v>115.14276424330014</v>
      </c>
      <c r="AQ796">
        <v>80.331835202859878</v>
      </c>
      <c r="AR796">
        <v>13.182045539394055</v>
      </c>
      <c r="AS796">
        <v>60.900161635805112</v>
      </c>
      <c r="AT796" t="e">
        <v>#DIV/0!</v>
      </c>
      <c r="AU796" t="e">
        <v>#DIV/0!</v>
      </c>
      <c r="AV796"/>
      <c r="AW796"/>
      <c r="FY796" s="214">
        <v>791</v>
      </c>
      <c r="FZ796">
        <v>1.5487030924685701</v>
      </c>
      <c r="GA796">
        <v>4.4155910281479072</v>
      </c>
      <c r="GB796">
        <v>3.4664959213094386</v>
      </c>
      <c r="GC796">
        <v>1.8714667299604149</v>
      </c>
      <c r="GD796">
        <v>5.0541737815981289</v>
      </c>
      <c r="GE796">
        <v>12.115236129903563</v>
      </c>
      <c r="GF796">
        <v>17.905453359638454</v>
      </c>
      <c r="GG796">
        <v>14.529349458770284</v>
      </c>
      <c r="GH796">
        <v>11.195730960695114</v>
      </c>
      <c r="GI796">
        <v>9.3173732421720175</v>
      </c>
      <c r="GJ796"/>
      <c r="GK796"/>
      <c r="GL796"/>
      <c r="GM796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81.156896377140043</v>
      </c>
      <c r="AO797">
        <v>12.517220378681177</v>
      </c>
      <c r="AP797">
        <v>53.193123700132375</v>
      </c>
      <c r="AQ797">
        <v>82.920569635635289</v>
      </c>
      <c r="AR797">
        <v>11.379291253346526</v>
      </c>
      <c r="AS797">
        <v>70.214210193876127</v>
      </c>
      <c r="AT797" t="e">
        <v>#DIV/0!</v>
      </c>
      <c r="AU797" t="e">
        <v>#DIV/0!</v>
      </c>
      <c r="AV797"/>
      <c r="AW797"/>
      <c r="FY797" s="214">
        <v>792</v>
      </c>
      <c r="FZ797">
        <v>0.8783272845055029</v>
      </c>
      <c r="GA797">
        <v>4.0155428050028439</v>
      </c>
      <c r="GB797">
        <v>6.4742077603229529</v>
      </c>
      <c r="GC797">
        <v>3.1594507721892802</v>
      </c>
      <c r="GD797">
        <v>3.000925133637967</v>
      </c>
      <c r="GE797">
        <v>8.3828609958592448</v>
      </c>
      <c r="GF797">
        <v>24.932145085264146</v>
      </c>
      <c r="GG797">
        <v>21.835343096827835</v>
      </c>
      <c r="GH797">
        <v>7.6206865544182483</v>
      </c>
      <c r="GI797">
        <v>9.9130454588974359</v>
      </c>
      <c r="GJ797"/>
      <c r="GK797"/>
      <c r="GL797"/>
      <c r="GM797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59.746090003077299</v>
      </c>
      <c r="AO798">
        <v>10.546432363723586</v>
      </c>
      <c r="AP798">
        <v>117.39094847243945</v>
      </c>
      <c r="AQ798">
        <v>57.489988921185059</v>
      </c>
      <c r="AR798">
        <v>9.9813788328459818</v>
      </c>
      <c r="AS798">
        <v>53.844720789558799</v>
      </c>
      <c r="AT798" t="e">
        <v>#DIV/0!</v>
      </c>
      <c r="AU798" t="e">
        <v>#DIV/0!</v>
      </c>
      <c r="AV798"/>
      <c r="AW798"/>
      <c r="FY798" s="214">
        <v>793</v>
      </c>
      <c r="FZ798">
        <v>0.41900539644237433</v>
      </c>
      <c r="GA798">
        <v>3.5167668793781943</v>
      </c>
      <c r="GB798">
        <v>9.1796776928566359</v>
      </c>
      <c r="GC798">
        <v>4.7246514133217428</v>
      </c>
      <c r="GD798">
        <v>12.168492656510757</v>
      </c>
      <c r="GE798">
        <v>28.815080943508189</v>
      </c>
      <c r="GF798">
        <v>15.286512369226152</v>
      </c>
      <c r="GG798">
        <v>15.524122920747605</v>
      </c>
      <c r="GH798">
        <v>13.451682937088474</v>
      </c>
      <c r="GI798">
        <v>15.064307427349084</v>
      </c>
      <c r="GJ798"/>
      <c r="GK798"/>
      <c r="GL798"/>
      <c r="GM798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83.403910847720155</v>
      </c>
      <c r="AO799">
        <v>17.92101373103241</v>
      </c>
      <c r="AP799">
        <v>95.880735650505002</v>
      </c>
      <c r="AQ799">
        <v>101.93655036669928</v>
      </c>
      <c r="AR799">
        <v>16.482904594801571</v>
      </c>
      <c r="AS799">
        <v>83.506988419923687</v>
      </c>
      <c r="AT799">
        <v>9.0320160919844685</v>
      </c>
      <c r="AU799">
        <v>-7.1751861373548858</v>
      </c>
      <c r="AV799"/>
      <c r="AW799"/>
      <c r="FY799" s="214">
        <v>794</v>
      </c>
      <c r="FZ799">
        <v>0.65761082031017182</v>
      </c>
      <c r="GA799">
        <v>12.366051242428396</v>
      </c>
      <c r="GB799">
        <v>12.212007015227357</v>
      </c>
      <c r="GC799">
        <v>4.2252669972730024</v>
      </c>
      <c r="GD799">
        <v>10.227001732621167</v>
      </c>
      <c r="GE799">
        <v>24.352986102029906</v>
      </c>
      <c r="GF799">
        <v>19.629303013573669</v>
      </c>
      <c r="GG799">
        <v>12.309015807025844</v>
      </c>
      <c r="GH799">
        <v>1.3642730523646185</v>
      </c>
      <c r="GI799">
        <v>13.713061666336609</v>
      </c>
      <c r="GJ799"/>
      <c r="GK799"/>
      <c r="GL799"/>
      <c r="GM799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104.7723544670954</v>
      </c>
      <c r="AO800">
        <v>21.446258075337177</v>
      </c>
      <c r="AP800">
        <v>100.64639206682793</v>
      </c>
      <c r="AQ800">
        <v>133.99742995752831</v>
      </c>
      <c r="AR800">
        <v>19.866214758797703</v>
      </c>
      <c r="AS800">
        <v>96.262843092174791</v>
      </c>
      <c r="AT800">
        <v>11.423218425104805</v>
      </c>
      <c r="AU800">
        <v>32.441832283199844</v>
      </c>
      <c r="AV800"/>
      <c r="AW800"/>
      <c r="FY800" s="214">
        <v>795</v>
      </c>
      <c r="FZ800">
        <v>1.1490227846169807</v>
      </c>
      <c r="GA800">
        <v>31.870749877924041</v>
      </c>
      <c r="GB800">
        <v>22.885893783518036</v>
      </c>
      <c r="GC800">
        <v>4.4196851959998211</v>
      </c>
      <c r="GD800">
        <v>8.0600984273853431</v>
      </c>
      <c r="GE800">
        <v>19.24172511794492</v>
      </c>
      <c r="GF800">
        <v>18.003163757943309</v>
      </c>
      <c r="GG800">
        <v>16.335205063460531</v>
      </c>
      <c r="GH800">
        <v>8.9332750784729846</v>
      </c>
      <c r="GI800">
        <v>15.802879608219902</v>
      </c>
      <c r="GJ800"/>
      <c r="GK800"/>
      <c r="GL800"/>
      <c r="GM800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58.523561398429436</v>
      </c>
      <c r="AO801">
        <v>12.316148560899418</v>
      </c>
      <c r="AP801">
        <v>71.740573463782169</v>
      </c>
      <c r="AQ801">
        <v>69.956801518027731</v>
      </c>
      <c r="AR801">
        <v>11.196820746650983</v>
      </c>
      <c r="AS801">
        <v>57.673223137765824</v>
      </c>
      <c r="AT801" t="e">
        <v>#DIV/0!</v>
      </c>
      <c r="AU801" t="e">
        <v>#DIV/0!</v>
      </c>
      <c r="AV801"/>
      <c r="AW801"/>
      <c r="FY801" s="214">
        <v>796</v>
      </c>
      <c r="FZ801">
        <v>1.0819852038206739</v>
      </c>
      <c r="GA801">
        <v>3.5563392475093734</v>
      </c>
      <c r="GB801">
        <v>4.699394440601143</v>
      </c>
      <c r="GC801">
        <v>2.6873074503548304</v>
      </c>
      <c r="GD801">
        <v>8.5040176532050982</v>
      </c>
      <c r="GE801">
        <v>19.324251976643989</v>
      </c>
      <c r="GF801">
        <v>21.327635693147826</v>
      </c>
      <c r="GG801">
        <v>17.285746645853617</v>
      </c>
      <c r="GH801">
        <v>3.5728764376672766</v>
      </c>
      <c r="GI801">
        <v>11.274722266075541</v>
      </c>
      <c r="GJ801"/>
      <c r="GK801"/>
      <c r="GL801"/>
      <c r="GM801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97.394182429225751</v>
      </c>
      <c r="AO802">
        <v>18.276319528564763</v>
      </c>
      <c r="AP802">
        <v>125.10611040485108</v>
      </c>
      <c r="AQ802">
        <v>96.095417639490265</v>
      </c>
      <c r="AR802">
        <v>16.805587810361288</v>
      </c>
      <c r="AS802">
        <v>105.42110269295823</v>
      </c>
      <c r="AT802">
        <v>8.8698886840241116</v>
      </c>
      <c r="AU802">
        <v>63.921254525404521</v>
      </c>
      <c r="AV802"/>
      <c r="AW802"/>
      <c r="FY802" s="214">
        <v>797</v>
      </c>
      <c r="FZ802">
        <v>0.55562573496123857</v>
      </c>
      <c r="GA802">
        <v>4.6386391907608786</v>
      </c>
      <c r="GB802">
        <v>6.3337635981791358</v>
      </c>
      <c r="GC802">
        <v>3.0552995621989099</v>
      </c>
      <c r="GD802">
        <v>3.9990529206479151</v>
      </c>
      <c r="GE802">
        <v>10.42132774212584</v>
      </c>
      <c r="GF802">
        <v>17.327052149881453</v>
      </c>
      <c r="GG802">
        <v>12.989138614315914</v>
      </c>
      <c r="GH802">
        <v>3.4891281113839954</v>
      </c>
      <c r="GI802">
        <v>7.8960810392137191</v>
      </c>
      <c r="GJ802"/>
      <c r="GK802"/>
      <c r="GL802"/>
      <c r="GM802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92.319724067596326</v>
      </c>
      <c r="AO803">
        <v>18.654595208510194</v>
      </c>
      <c r="AP803">
        <v>91.986773252522426</v>
      </c>
      <c r="AQ803">
        <v>102.07536331332525</v>
      </c>
      <c r="AR803">
        <v>17.137587550016221</v>
      </c>
      <c r="AS803">
        <v>94.154296391721715</v>
      </c>
      <c r="AT803">
        <v>9.5445542877424074</v>
      </c>
      <c r="AU803">
        <v>24.636686261644662</v>
      </c>
      <c r="AV803"/>
      <c r="AW803"/>
      <c r="FY803" s="214">
        <v>798</v>
      </c>
      <c r="FZ803">
        <v>0.47282174925871789</v>
      </c>
      <c r="GA803">
        <v>2.2719707410080696</v>
      </c>
      <c r="GB803">
        <v>5.4692759770391</v>
      </c>
      <c r="GC803">
        <v>3.0994322025332428</v>
      </c>
      <c r="GD803">
        <v>0.93563908230264425</v>
      </c>
      <c r="GE803">
        <v>6.568767960548155</v>
      </c>
      <c r="GF803">
        <v>22.971652916171131</v>
      </c>
      <c r="GG803">
        <v>13.965981309151715</v>
      </c>
      <c r="GH803">
        <v>3.4570643134105952</v>
      </c>
      <c r="GI803">
        <v>6.9835709421874164</v>
      </c>
      <c r="GJ803"/>
      <c r="GK803"/>
      <c r="GL803"/>
      <c r="GM803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76.065708251587367</v>
      </c>
      <c r="AO804">
        <v>16.354051317723723</v>
      </c>
      <c r="AP804">
        <v>93.262909293733259</v>
      </c>
      <c r="AQ804">
        <v>87.444758523721617</v>
      </c>
      <c r="AR804">
        <v>15.058071255051257</v>
      </c>
      <c r="AS804">
        <v>75.749649124164108</v>
      </c>
      <c r="AT804">
        <v>8.2364678999670762</v>
      </c>
      <c r="AU804">
        <v>16.458003208181029</v>
      </c>
      <c r="AV804"/>
      <c r="AW804"/>
      <c r="FY804" s="214">
        <v>799</v>
      </c>
      <c r="FZ804">
        <v>0.50180938214489512</v>
      </c>
      <c r="GA804">
        <v>16.664946737996043</v>
      </c>
      <c r="GB804">
        <v>12.549514875228475</v>
      </c>
      <c r="GC804">
        <v>3.0408360012771922</v>
      </c>
      <c r="GD804">
        <v>4.1459643928506393</v>
      </c>
      <c r="GE804">
        <v>18.263687056653012</v>
      </c>
      <c r="GF804">
        <v>25.514511609212121</v>
      </c>
      <c r="GG804">
        <v>8.4892922536216666</v>
      </c>
      <c r="GH804">
        <v>2.9005502766532074</v>
      </c>
      <c r="GI804">
        <v>11.124494840028659</v>
      </c>
      <c r="GJ804"/>
      <c r="GK804"/>
      <c r="GL804"/>
      <c r="GM804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124.51870917346839</v>
      </c>
      <c r="AO805">
        <v>23.003630459254857</v>
      </c>
      <c r="AP805">
        <v>107.37587859805278</v>
      </c>
      <c r="AQ805">
        <v>140.10709480842323</v>
      </c>
      <c r="AR805">
        <v>21.103143201897741</v>
      </c>
      <c r="AS805">
        <v>114.57690807228363</v>
      </c>
      <c r="AT805">
        <v>11.385986445937297</v>
      </c>
      <c r="AU805">
        <v>6.027668204475721</v>
      </c>
      <c r="AV805"/>
      <c r="AW805"/>
      <c r="FY805" s="214">
        <v>800</v>
      </c>
      <c r="FZ805">
        <v>0.35908518301520931</v>
      </c>
      <c r="GA805">
        <v>3.6117139645820004</v>
      </c>
      <c r="GB805">
        <v>2.2072549863388904</v>
      </c>
      <c r="GC805">
        <v>1.0498011176719795</v>
      </c>
      <c r="GD805">
        <v>8.319615924312</v>
      </c>
      <c r="GE805">
        <v>27.300654885993421</v>
      </c>
      <c r="GF805">
        <v>32.96545466573172</v>
      </c>
      <c r="GG805">
        <v>14.849727522153895</v>
      </c>
      <c r="GH805">
        <v>2.9005502766532074</v>
      </c>
      <c r="GI805">
        <v>12.900559447379727</v>
      </c>
      <c r="GJ805"/>
      <c r="GK805"/>
      <c r="GL805"/>
      <c r="GM8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75.353521090792782</v>
      </c>
      <c r="AO806">
        <v>16.967514597842982</v>
      </c>
      <c r="AP806">
        <v>87.126403460257166</v>
      </c>
      <c r="AQ806">
        <v>99.220574496712288</v>
      </c>
      <c r="AR806">
        <v>15.972850302597804</v>
      </c>
      <c r="AS806">
        <v>82.302811030452077</v>
      </c>
      <c r="AT806">
        <v>9.9195325658321369</v>
      </c>
      <c r="AU806">
        <v>24.44665672226877</v>
      </c>
      <c r="AV806"/>
      <c r="AW806"/>
      <c r="FY806" s="214">
        <v>801</v>
      </c>
      <c r="FZ806">
        <v>0.96140990342364963</v>
      </c>
      <c r="GA806">
        <v>24.814184386854805</v>
      </c>
      <c r="GB806">
        <v>17.535759276623459</v>
      </c>
      <c r="GC806">
        <v>3.8746821449642415</v>
      </c>
      <c r="GD806">
        <v>1.8769851063998306</v>
      </c>
      <c r="GE806">
        <v>4.6347299707174265</v>
      </c>
      <c r="GF806">
        <v>17.757740486671167</v>
      </c>
      <c r="GG806">
        <v>13.301167760864811</v>
      </c>
      <c r="GH806">
        <v>1.955018855704995</v>
      </c>
      <c r="GI806">
        <v>9.5774456210335739</v>
      </c>
      <c r="GJ806"/>
      <c r="GK806"/>
      <c r="GL806"/>
      <c r="GM806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63.498995684537682</v>
      </c>
      <c r="AO807">
        <v>13.410103189700985</v>
      </c>
      <c r="AP807">
        <v>61.126644605723214</v>
      </c>
      <c r="AQ807">
        <v>81.41957370466389</v>
      </c>
      <c r="AR807">
        <v>12.930235916710522</v>
      </c>
      <c r="AS807">
        <v>64.663591494001892</v>
      </c>
      <c r="AT807">
        <v>8.0772874281271356</v>
      </c>
      <c r="AU807">
        <v>21.245666117896363</v>
      </c>
      <c r="AV807"/>
      <c r="AW807"/>
      <c r="FY807" s="214">
        <v>802</v>
      </c>
      <c r="FZ807">
        <v>0.75747335089285273</v>
      </c>
      <c r="GA807">
        <v>5.2000775482627999</v>
      </c>
      <c r="GB807">
        <v>4.4200318801720275</v>
      </c>
      <c r="GC807">
        <v>1.8805871320583447</v>
      </c>
      <c r="GD807">
        <v>4.5786003477725821</v>
      </c>
      <c r="GE807">
        <v>15.136446482211715</v>
      </c>
      <c r="GF807">
        <v>19.069549606850998</v>
      </c>
      <c r="GG807">
        <v>13.95722929378314</v>
      </c>
      <c r="GH807">
        <v>10.435320536178585</v>
      </c>
      <c r="GI807">
        <v>9.4081623473968676</v>
      </c>
      <c r="GJ807"/>
      <c r="GK807"/>
      <c r="GL807"/>
      <c r="GM807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57.592367722303209</v>
      </c>
      <c r="AO808">
        <v>15.208518461675274</v>
      </c>
      <c r="AP808">
        <v>86.244134980576675</v>
      </c>
      <c r="AQ808">
        <v>90.212534946925445</v>
      </c>
      <c r="AR808">
        <v>14.195864437665669</v>
      </c>
      <c r="AS808">
        <v>66.133743408337679</v>
      </c>
      <c r="AT808">
        <v>8.2275701902908605</v>
      </c>
      <c r="AU808">
        <v>26.500917789863799</v>
      </c>
      <c r="AV808"/>
      <c r="AW808"/>
      <c r="FY808" s="214">
        <v>803</v>
      </c>
      <c r="FZ808">
        <v>0.54697669742416621</v>
      </c>
      <c r="GA808">
        <v>10.542967246472827</v>
      </c>
      <c r="GB808">
        <v>14.93167820438677</v>
      </c>
      <c r="GC808">
        <v>5.9123144461694697</v>
      </c>
      <c r="GD808">
        <v>6.8985491276973256</v>
      </c>
      <c r="GE808">
        <v>19.920825558945925</v>
      </c>
      <c r="GF808">
        <v>24.592633985228325</v>
      </c>
      <c r="GG808">
        <v>12.882551327787017</v>
      </c>
      <c r="GH808">
        <v>4.1315584430342529</v>
      </c>
      <c r="GI808">
        <v>13.52866055189152</v>
      </c>
      <c r="GJ808"/>
      <c r="GK808"/>
      <c r="GL808"/>
      <c r="GM808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96.375873769450479</v>
      </c>
      <c r="AO809">
        <v>23.132758737349786</v>
      </c>
      <c r="AP809">
        <v>148.40152761516399</v>
      </c>
      <c r="AQ809">
        <v>118.15030063642919</v>
      </c>
      <c r="AR809">
        <v>21.208967358430989</v>
      </c>
      <c r="AS809">
        <v>102.20460579536433</v>
      </c>
      <c r="AT809">
        <v>11.040670633752734</v>
      </c>
      <c r="AU809">
        <v>23.362448936567269</v>
      </c>
      <c r="AV809"/>
      <c r="AW809"/>
      <c r="FY809" s="214">
        <v>804</v>
      </c>
      <c r="FZ809">
        <v>1.5188795599355145</v>
      </c>
      <c r="GA809">
        <v>3.8353452917507482</v>
      </c>
      <c r="GB809">
        <v>5.0998781328863902</v>
      </c>
      <c r="GC809">
        <v>2.9662717876495579</v>
      </c>
      <c r="GD809">
        <v>4.9408576900514447</v>
      </c>
      <c r="GE809">
        <v>11.45483399860356</v>
      </c>
      <c r="GF809">
        <v>10.3410091149008</v>
      </c>
      <c r="GG809">
        <v>5.4893530331310121</v>
      </c>
      <c r="GH809">
        <v>8.3748326283281188E-2</v>
      </c>
      <c r="GI809">
        <v>6.4749287469795522</v>
      </c>
      <c r="GJ809"/>
      <c r="GK809"/>
      <c r="GL809"/>
      <c r="GM809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87.671530621395306</v>
      </c>
      <c r="AO810">
        <v>21.384319887397204</v>
      </c>
      <c r="AP810">
        <v>109.54021539787109</v>
      </c>
      <c r="AQ810">
        <v>111.05657744919075</v>
      </c>
      <c r="AR810">
        <v>19.440934916573219</v>
      </c>
      <c r="AS810">
        <v>90.635985553063904</v>
      </c>
      <c r="AT810" t="e">
        <v>#DIV/0!</v>
      </c>
      <c r="AU810" t="e">
        <v>#DIV/0!</v>
      </c>
      <c r="AV810"/>
      <c r="AW810"/>
      <c r="FY810" s="214">
        <v>805</v>
      </c>
      <c r="FZ810">
        <v>0.69681826392299362</v>
      </c>
      <c r="GA810">
        <v>10.440880165782842</v>
      </c>
      <c r="GB810">
        <v>9.3612777634379825</v>
      </c>
      <c r="GC810">
        <v>3.1281830230651568</v>
      </c>
      <c r="GD810">
        <v>1.7104911725869787</v>
      </c>
      <c r="GE810">
        <v>5.7253224964072764</v>
      </c>
      <c r="GF810">
        <v>14.555132419189752</v>
      </c>
      <c r="GG810">
        <v>8.5044743647506031</v>
      </c>
      <c r="GH810">
        <v>4.2990550956008153</v>
      </c>
      <c r="GI810">
        <v>6.889232729069799</v>
      </c>
      <c r="GJ810"/>
      <c r="GK810"/>
      <c r="GL810"/>
      <c r="GM810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106.15027901857566</v>
      </c>
      <c r="AO811">
        <v>24.076148753901954</v>
      </c>
      <c r="AP811">
        <v>73.015512173439092</v>
      </c>
      <c r="AQ811">
        <v>146.70169869548587</v>
      </c>
      <c r="AR811">
        <v>22.090369130432986</v>
      </c>
      <c r="AS811">
        <v>109.80508641541816</v>
      </c>
      <c r="AT811">
        <v>12.209779044312482</v>
      </c>
      <c r="AU811">
        <v>3.8438538256755432</v>
      </c>
      <c r="AV811"/>
      <c r="AW811"/>
      <c r="FY811" s="214">
        <v>806</v>
      </c>
      <c r="FZ811">
        <v>1.005563711944601</v>
      </c>
      <c r="GA811">
        <v>17.208489995868167</v>
      </c>
      <c r="GB811">
        <v>10.384946831308758</v>
      </c>
      <c r="GC811">
        <v>2.1882498043690006</v>
      </c>
      <c r="GD811">
        <v>1.0311747925934911</v>
      </c>
      <c r="GE811">
        <v>8.0886291525283003</v>
      </c>
      <c r="GF811">
        <v>24.938411535338645</v>
      </c>
      <c r="GG811">
        <v>20.075762074941231</v>
      </c>
      <c r="GH811">
        <v>10.551132660435268</v>
      </c>
      <c r="GI811">
        <v>10.028326919792077</v>
      </c>
      <c r="GJ811"/>
      <c r="GK811"/>
      <c r="GL811"/>
      <c r="GM811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81.819676107897607</v>
      </c>
      <c r="AO812">
        <v>17.393201530622196</v>
      </c>
      <c r="AP812">
        <v>101.92198416352008</v>
      </c>
      <c r="AQ812">
        <v>93.314277014879366</v>
      </c>
      <c r="AR812">
        <v>15.824210688512615</v>
      </c>
      <c r="AS812">
        <v>81.311095092169609</v>
      </c>
      <c r="AT812" t="e">
        <v>#DIV/0!</v>
      </c>
      <c r="AU812" t="e">
        <v>#DIV/0!</v>
      </c>
      <c r="AV812"/>
      <c r="AW812"/>
      <c r="FY812" s="214">
        <v>807</v>
      </c>
      <c r="FZ812">
        <v>0.94818867544368635</v>
      </c>
      <c r="GA812">
        <v>4.4115610344130598</v>
      </c>
      <c r="GB812">
        <v>11.156451383485889</v>
      </c>
      <c r="GC812">
        <v>6.0081940572515702</v>
      </c>
      <c r="GD812">
        <v>7.1532427755689625</v>
      </c>
      <c r="GE812">
        <v>18.578369454382752</v>
      </c>
      <c r="GF812">
        <v>22.081796715668609</v>
      </c>
      <c r="GG812">
        <v>16.029553523178841</v>
      </c>
      <c r="GH812">
        <v>8.817462954216305</v>
      </c>
      <c r="GI812">
        <v>13.036328937397368</v>
      </c>
      <c r="GJ812"/>
      <c r="GK812"/>
      <c r="GL812"/>
      <c r="GM812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63.734163581597407</v>
      </c>
      <c r="AO813">
        <v>12.039472756109978</v>
      </c>
      <c r="AP813">
        <v>50.954379074459965</v>
      </c>
      <c r="AQ813">
        <v>70.705108663668994</v>
      </c>
      <c r="AR813">
        <v>10.957184529865145</v>
      </c>
      <c r="AS813">
        <v>56.474889085246964</v>
      </c>
      <c r="AT813" t="e">
        <v>#DIV/0!</v>
      </c>
      <c r="AU813" t="e">
        <v>#DIV/0!</v>
      </c>
      <c r="AV813"/>
      <c r="AW813"/>
      <c r="FY813" s="214">
        <v>808</v>
      </c>
      <c r="FZ813">
        <v>0.99534390121795613</v>
      </c>
      <c r="GA813">
        <v>3.7899201914206548</v>
      </c>
      <c r="GB813">
        <v>3.9175021445346405</v>
      </c>
      <c r="GC813">
        <v>1.976481081406017</v>
      </c>
      <c r="GD813">
        <v>8.2410999272464611</v>
      </c>
      <c r="GE813">
        <v>19.149462597195377</v>
      </c>
      <c r="GF813">
        <v>19.039055133456024</v>
      </c>
      <c r="GG813">
        <v>20.159088624667994</v>
      </c>
      <c r="GH813">
        <v>10.467384334151987</v>
      </c>
      <c r="GI813">
        <v>11.585630526295237</v>
      </c>
      <c r="GJ813"/>
      <c r="GK813"/>
      <c r="GL813"/>
      <c r="GM813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60.19550904020516</v>
      </c>
      <c r="AO814">
        <v>10.607040242373708</v>
      </c>
      <c r="AP814">
        <v>74.386893744887615</v>
      </c>
      <c r="AQ814">
        <v>66.196177193610794</v>
      </c>
      <c r="AR814">
        <v>9.8216284898921344</v>
      </c>
      <c r="AS814">
        <v>51.794661588574712</v>
      </c>
      <c r="AT814">
        <v>5.8206470729940847</v>
      </c>
      <c r="AU814">
        <v>68.716911122942577</v>
      </c>
      <c r="AV814"/>
      <c r="AW814"/>
      <c r="FY814" s="214">
        <v>809</v>
      </c>
      <c r="FZ814">
        <v>1.2099565048024656</v>
      </c>
      <c r="GA814">
        <v>5.6522682694286512</v>
      </c>
      <c r="GB814">
        <v>6.2218863102555151</v>
      </c>
      <c r="GC814">
        <v>2.9432401154688446</v>
      </c>
      <c r="GD814">
        <v>6.2082414851680703</v>
      </c>
      <c r="GE814">
        <v>19.991927707498853</v>
      </c>
      <c r="GF814">
        <v>27.094252988106113</v>
      </c>
      <c r="GG814">
        <v>12.66906259405104</v>
      </c>
      <c r="GH814">
        <v>0.72401068932394974</v>
      </c>
      <c r="GI814">
        <v>10.905100849352873</v>
      </c>
      <c r="GJ814"/>
      <c r="GK814"/>
      <c r="GL814"/>
      <c r="GM814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103.7139462426436</v>
      </c>
      <c r="AO815">
        <v>16.909198532588068</v>
      </c>
      <c r="AP815">
        <v>93.963676098381455</v>
      </c>
      <c r="AQ815">
        <v>103.19560742566591</v>
      </c>
      <c r="AR815">
        <v>15.550863299177916</v>
      </c>
      <c r="AS815">
        <v>92.800703425742967</v>
      </c>
      <c r="AT815">
        <v>8.8671396269880312</v>
      </c>
      <c r="AU815">
        <v>51.806370028518479</v>
      </c>
      <c r="AV815"/>
      <c r="AW815"/>
      <c r="FY815" s="214">
        <v>810</v>
      </c>
      <c r="FZ815">
        <v>0.86866474021011064</v>
      </c>
      <c r="GA815">
        <v>11.084244339454482</v>
      </c>
      <c r="GB815">
        <v>7.0750340022380902</v>
      </c>
      <c r="GC815">
        <v>1.7840370511799843</v>
      </c>
      <c r="GD815">
        <v>12.467458199628108</v>
      </c>
      <c r="GE815">
        <v>27.936832111351556</v>
      </c>
      <c r="GF815">
        <v>18.515077823511227</v>
      </c>
      <c r="GG815">
        <v>11.910591358625725</v>
      </c>
      <c r="GH815">
        <v>0.64026236304066864</v>
      </c>
      <c r="GI815">
        <v>13.32835677145329</v>
      </c>
      <c r="GJ815"/>
      <c r="GK815"/>
      <c r="GL815"/>
      <c r="GM81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87.658124059614124</v>
      </c>
      <c r="AO816">
        <v>20.087961086868411</v>
      </c>
      <c r="AP816">
        <v>161.48462599091661</v>
      </c>
      <c r="AQ816">
        <v>106.46441797383204</v>
      </c>
      <c r="AR816">
        <v>18.453822901243392</v>
      </c>
      <c r="AS816">
        <v>88.915659686904462</v>
      </c>
      <c r="AT816">
        <v>9.9918486060821241</v>
      </c>
      <c r="AU816">
        <v>125.86646141335819</v>
      </c>
      <c r="AV816"/>
      <c r="AW816"/>
      <c r="FY816" s="214">
        <v>811</v>
      </c>
      <c r="FZ816">
        <v>0.2752676905543685</v>
      </c>
      <c r="GA816">
        <v>2.5642857802023786</v>
      </c>
      <c r="GB816">
        <v>5.1989163160588188</v>
      </c>
      <c r="GC816">
        <v>2.9969453913242967</v>
      </c>
      <c r="GD816">
        <v>3.2176414691702915</v>
      </c>
      <c r="GE816">
        <v>11.891953408603957</v>
      </c>
      <c r="GF816">
        <v>22.918404855130248</v>
      </c>
      <c r="GG816">
        <v>11.749872634483499</v>
      </c>
      <c r="GH816">
        <v>0</v>
      </c>
      <c r="GI816">
        <v>7.9069106148671882</v>
      </c>
      <c r="GJ816"/>
      <c r="GK816"/>
      <c r="GL816"/>
      <c r="GM816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72.582366485491349</v>
      </c>
      <c r="AO817">
        <v>14.628893825933329</v>
      </c>
      <c r="AP817">
        <v>63.284186222383973</v>
      </c>
      <c r="AQ817">
        <v>96.289123513257962</v>
      </c>
      <c r="AR817">
        <v>13.502277614476661</v>
      </c>
      <c r="AS817">
        <v>66.010182451451044</v>
      </c>
      <c r="AT817">
        <v>7.4808119823936821</v>
      </c>
      <c r="AU817">
        <v>2.2388173282023693</v>
      </c>
      <c r="AV817"/>
      <c r="AW817"/>
      <c r="FY817" s="214">
        <v>812</v>
      </c>
      <c r="FZ817">
        <v>1.1197565185151772</v>
      </c>
      <c r="GA817">
        <v>11.289089116358905</v>
      </c>
      <c r="GB817">
        <v>7.2770822247018829</v>
      </c>
      <c r="GC817">
        <v>1.8083235842121852</v>
      </c>
      <c r="GD817">
        <v>5.8626896927285976</v>
      </c>
      <c r="GE817">
        <v>17.758458311897151</v>
      </c>
      <c r="GF817">
        <v>18.095932333223271</v>
      </c>
      <c r="GG817">
        <v>9.3358349883728078</v>
      </c>
      <c r="GH817">
        <v>5.3603986408057089</v>
      </c>
      <c r="GI817">
        <v>9.9906375750382193</v>
      </c>
      <c r="GJ817"/>
      <c r="GK817"/>
      <c r="GL817"/>
      <c r="GM817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72.039031282063775</v>
      </c>
      <c r="AO818">
        <v>14.343663582303089</v>
      </c>
      <c r="AP818">
        <v>76.439132448412863</v>
      </c>
      <c r="AQ818">
        <v>84.843478525579911</v>
      </c>
      <c r="AR818">
        <v>13.231412205805222</v>
      </c>
      <c r="AS818">
        <v>69.479868850337539</v>
      </c>
      <c r="AT818">
        <v>7.9626985792770988</v>
      </c>
      <c r="AU818">
        <v>31.072892494434054</v>
      </c>
      <c r="AV818"/>
      <c r="AW818"/>
      <c r="FY818" s="214">
        <v>813</v>
      </c>
      <c r="FZ818">
        <v>1.2160603654132873</v>
      </c>
      <c r="GA818">
        <v>8.9649758773300476</v>
      </c>
      <c r="GB818">
        <v>10.957701174800112</v>
      </c>
      <c r="GC818">
        <v>4.1545204256339989</v>
      </c>
      <c r="GD818">
        <v>5.032402486177797</v>
      </c>
      <c r="GE818">
        <v>16.705814791080591</v>
      </c>
      <c r="GF818">
        <v>21.754927289409277</v>
      </c>
      <c r="GG818">
        <v>10.449833410146741</v>
      </c>
      <c r="GH818">
        <v>1.7532904365554438</v>
      </c>
      <c r="GI818">
        <v>10.368023035295183</v>
      </c>
      <c r="GJ818"/>
      <c r="GK818"/>
      <c r="GL818"/>
      <c r="GM818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90.104482411394912</v>
      </c>
      <c r="AO819">
        <v>20.491127849017346</v>
      </c>
      <c r="AP819">
        <v>116.72064967489229</v>
      </c>
      <c r="AQ819">
        <v>113.88871558903759</v>
      </c>
      <c r="AR819">
        <v>18.998558662900884</v>
      </c>
      <c r="AS819">
        <v>95.509177836911007</v>
      </c>
      <c r="AT819">
        <v>10.137073706672041</v>
      </c>
      <c r="AU819">
        <v>57.769814687320171</v>
      </c>
      <c r="AV819"/>
      <c r="AW819"/>
      <c r="FY819" s="214">
        <v>814</v>
      </c>
      <c r="FZ819">
        <v>0.54341801373959542</v>
      </c>
      <c r="GA819">
        <v>2.3060447251969443</v>
      </c>
      <c r="GB819">
        <v>6.2196088229691231</v>
      </c>
      <c r="GC819">
        <v>3.5349082255026323</v>
      </c>
      <c r="GD819">
        <v>9.0667588453420596</v>
      </c>
      <c r="GE819">
        <v>19.54063939163607</v>
      </c>
      <c r="GF819">
        <v>10.981229448049415</v>
      </c>
      <c r="GG819">
        <v>10.094314355964888</v>
      </c>
      <c r="GH819">
        <v>3.5728764376672766</v>
      </c>
      <c r="GI819">
        <v>10.19213983492833</v>
      </c>
      <c r="GJ819"/>
      <c r="GK819"/>
      <c r="GL819"/>
      <c r="GM819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51.167623903736192</v>
      </c>
      <c r="AO820">
        <v>9.90043730119692</v>
      </c>
      <c r="AP820">
        <v>48.851370247800361</v>
      </c>
      <c r="AQ820">
        <v>52.205105682171855</v>
      </c>
      <c r="AR820">
        <v>9.0010416563911395</v>
      </c>
      <c r="AS820">
        <v>47.484036176991623</v>
      </c>
      <c r="AT820" t="e">
        <v>#DIV/0!</v>
      </c>
      <c r="AU820" t="e">
        <v>#DIV/0!</v>
      </c>
      <c r="AV820"/>
      <c r="AW820"/>
      <c r="FY820" s="214">
        <v>815</v>
      </c>
      <c r="FZ820">
        <v>0.74707593305476638</v>
      </c>
      <c r="GA820">
        <v>17.524198518634577</v>
      </c>
      <c r="GB820">
        <v>13.773286210650156</v>
      </c>
      <c r="GC820">
        <v>3.4305662581263352</v>
      </c>
      <c r="GD820">
        <v>2.7768931061705042</v>
      </c>
      <c r="GE820">
        <v>13.308141349875948</v>
      </c>
      <c r="GF820">
        <v>26.56077027118679</v>
      </c>
      <c r="GG820">
        <v>16.120873883497481</v>
      </c>
      <c r="GH820">
        <v>5.1586702216561573</v>
      </c>
      <c r="GI820">
        <v>11.328767661161551</v>
      </c>
      <c r="GJ820"/>
      <c r="GK820"/>
      <c r="GL820"/>
      <c r="GM820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60.466468436246224</v>
      </c>
      <c r="AO821">
        <v>10.07454863957684</v>
      </c>
      <c r="AP821">
        <v>27.970574207714904</v>
      </c>
      <c r="AQ821">
        <v>65.310867493814186</v>
      </c>
      <c r="AR821">
        <v>9.5408284418868039</v>
      </c>
      <c r="AS821">
        <v>56.029292934394931</v>
      </c>
      <c r="AT821">
        <v>5.474231897203846</v>
      </c>
      <c r="AU821">
        <v>0.53454266071904466</v>
      </c>
      <c r="AV821"/>
      <c r="AW821"/>
      <c r="FY821" s="214">
        <v>816</v>
      </c>
      <c r="FZ821">
        <v>0.75673847735015876</v>
      </c>
      <c r="GA821">
        <v>30.123147820194422</v>
      </c>
      <c r="GB821">
        <v>19.292551115694916</v>
      </c>
      <c r="GC821">
        <v>3.2623985305562604</v>
      </c>
      <c r="GD821">
        <v>5.0546356429481811</v>
      </c>
      <c r="GE821">
        <v>13.518795249435053</v>
      </c>
      <c r="GF821">
        <v>26.467299126281773</v>
      </c>
      <c r="GG821">
        <v>21.209560925151717</v>
      </c>
      <c r="GH821">
        <v>4.2968871269912263</v>
      </c>
      <c r="GI821">
        <v>14.123786911495857</v>
      </c>
      <c r="GJ821"/>
      <c r="GK821"/>
      <c r="GL821"/>
      <c r="GM821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74.578701883333764</v>
      </c>
      <c r="AO822">
        <v>15.57385598023086</v>
      </c>
      <c r="AP822">
        <v>61.021617770718805</v>
      </c>
      <c r="AQ822">
        <v>105.50068747911955</v>
      </c>
      <c r="AR822">
        <v>14.170260188156856</v>
      </c>
      <c r="AS822">
        <v>74.82101802039999</v>
      </c>
      <c r="AT822" t="e">
        <v>#DIV/0!</v>
      </c>
      <c r="AU822" t="e">
        <v>#DIV/0!</v>
      </c>
      <c r="AV822"/>
      <c r="AW822"/>
      <c r="FY822" s="214">
        <v>817</v>
      </c>
      <c r="FZ822">
        <v>1.5319231808040361</v>
      </c>
      <c r="GA822">
        <v>11.257416168937134</v>
      </c>
      <c r="GB822">
        <v>7.9527685819568736</v>
      </c>
      <c r="GC822">
        <v>2.3598976482926979</v>
      </c>
      <c r="GD822">
        <v>1.8531732864539605</v>
      </c>
      <c r="GE822">
        <v>3.4859338153366872</v>
      </c>
      <c r="GF822">
        <v>16.73701683357293</v>
      </c>
      <c r="GG822">
        <v>14.698191533541527</v>
      </c>
      <c r="GH822">
        <v>4.1315584430342529</v>
      </c>
      <c r="GI822">
        <v>7.3855158704455617</v>
      </c>
      <c r="GJ822"/>
      <c r="GK822"/>
      <c r="GL822"/>
      <c r="GM822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91.868266792375564</v>
      </c>
      <c r="AO823">
        <v>19.708706725891084</v>
      </c>
      <c r="AP823">
        <v>100.06503524856751</v>
      </c>
      <c r="AQ823">
        <v>108.22114951100706</v>
      </c>
      <c r="AR823">
        <v>18.298509865051273</v>
      </c>
      <c r="AS823">
        <v>93.289601764512227</v>
      </c>
      <c r="AT823">
        <v>10.100821036943209</v>
      </c>
      <c r="AU823">
        <v>23.530494710841435</v>
      </c>
      <c r="AV823"/>
      <c r="AW823"/>
      <c r="FY823" s="214">
        <v>818</v>
      </c>
      <c r="FZ823">
        <v>1.2163389986289133</v>
      </c>
      <c r="GA823">
        <v>3.3413971345439557</v>
      </c>
      <c r="GB823">
        <v>9.5145780068646353</v>
      </c>
      <c r="GC823">
        <v>5.2775711293753282</v>
      </c>
      <c r="GD823">
        <v>8.1831729154039419</v>
      </c>
      <c r="GE823">
        <v>29.135443837265761</v>
      </c>
      <c r="GF823">
        <v>34.252648037734716</v>
      </c>
      <c r="GG823">
        <v>13.138796239608862</v>
      </c>
      <c r="GH823">
        <v>3.5408126396938764</v>
      </c>
      <c r="GI823">
        <v>14.997191970440047</v>
      </c>
      <c r="GJ823"/>
      <c r="GK823"/>
      <c r="GL823"/>
      <c r="GM823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77.744058481402931</v>
      </c>
      <c r="AO824">
        <v>17.8871590918849</v>
      </c>
      <c r="AP824">
        <v>100.89849065417347</v>
      </c>
      <c r="AQ824">
        <v>99.320968461592344</v>
      </c>
      <c r="AR824">
        <v>16.285472313971145</v>
      </c>
      <c r="AS824">
        <v>80.758503117554596</v>
      </c>
      <c r="AT824" t="e">
        <v>#DIV/0!</v>
      </c>
      <c r="AU824" t="e">
        <v>#DIV/0!</v>
      </c>
      <c r="AV824"/>
      <c r="AW824"/>
      <c r="FY824" s="214">
        <v>819</v>
      </c>
      <c r="FZ824">
        <v>0.70292212453381531</v>
      </c>
      <c r="GA824">
        <v>16.653903907933575</v>
      </c>
      <c r="GB824">
        <v>12.108015220831117</v>
      </c>
      <c r="GC824">
        <v>2.6101755551997634</v>
      </c>
      <c r="GD824">
        <v>10.929748487991295</v>
      </c>
      <c r="GE824">
        <v>25.946916955012671</v>
      </c>
      <c r="GF824">
        <v>10.684595205310378</v>
      </c>
      <c r="GG824">
        <v>5.8991935551141816</v>
      </c>
      <c r="GH824">
        <v>5.3603986408057089</v>
      </c>
      <c r="GI824">
        <v>12.753174761263098</v>
      </c>
      <c r="GJ824"/>
      <c r="GK824"/>
      <c r="GL824"/>
      <c r="GM824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89.451294873481203</v>
      </c>
      <c r="AO825">
        <v>16.824018960580062</v>
      </c>
      <c r="AP825">
        <v>91.694920789729451</v>
      </c>
      <c r="AQ825">
        <v>93.619947513456367</v>
      </c>
      <c r="AR825">
        <v>15.31930334043645</v>
      </c>
      <c r="AS825">
        <v>81.419817435266566</v>
      </c>
      <c r="AT825" t="e">
        <v>#DIV/0!</v>
      </c>
      <c r="AU825" t="e">
        <v>#DIV/0!</v>
      </c>
      <c r="AV825"/>
      <c r="AW825"/>
      <c r="FY825" s="214">
        <v>820</v>
      </c>
      <c r="FZ825">
        <v>1.2061191879022688</v>
      </c>
      <c r="GA825">
        <v>11.253386175202284</v>
      </c>
      <c r="GB825">
        <v>12.821677035993986</v>
      </c>
      <c r="GC825">
        <v>4.8221513430440677</v>
      </c>
      <c r="GD825">
        <v>2.7813744111129894</v>
      </c>
      <c r="GE825">
        <v>8.7598076378843501</v>
      </c>
      <c r="GF825">
        <v>18.610704421986497</v>
      </c>
      <c r="GG825">
        <v>11.585806897412441</v>
      </c>
      <c r="GH825">
        <v>4.2990550956008153</v>
      </c>
      <c r="GI825">
        <v>9.3849780708970147</v>
      </c>
      <c r="GJ825"/>
      <c r="GK825"/>
      <c r="GL825"/>
      <c r="GM82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91.075544529226903</v>
      </c>
      <c r="AO826">
        <v>20.608471763052624</v>
      </c>
      <c r="AP826">
        <v>120.4083205861069</v>
      </c>
      <c r="AQ826">
        <v>105.61055876069324</v>
      </c>
      <c r="AR826">
        <v>18.735618439896324</v>
      </c>
      <c r="AS826">
        <v>93.77452913475652</v>
      </c>
      <c r="AT826" t="e">
        <v>#DIV/0!</v>
      </c>
      <c r="AU826" t="e">
        <v>#DIV/0!</v>
      </c>
      <c r="AV826"/>
      <c r="AW826"/>
      <c r="FY826" s="214">
        <v>821</v>
      </c>
      <c r="FZ826">
        <v>0.74707593305476638</v>
      </c>
      <c r="GA826">
        <v>4.8588650775413678</v>
      </c>
      <c r="GB826">
        <v>7.6880298154872886</v>
      </c>
      <c r="GC826">
        <v>3.6172727974665229</v>
      </c>
      <c r="GD826">
        <v>9.1378651839598888</v>
      </c>
      <c r="GE826">
        <v>25.250928120576287</v>
      </c>
      <c r="GF826">
        <v>26.766246760924687</v>
      </c>
      <c r="GG826">
        <v>16.914134551015579</v>
      </c>
      <c r="GH826">
        <v>7.1479208439441422</v>
      </c>
      <c r="GI826">
        <v>14.309513889488382</v>
      </c>
      <c r="GJ826"/>
      <c r="GK826"/>
      <c r="GL826"/>
      <c r="GM826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62.236894637851591</v>
      </c>
      <c r="AO827">
        <v>12.394082152419774</v>
      </c>
      <c r="AP827">
        <v>77.819276646142185</v>
      </c>
      <c r="AQ827">
        <v>68.720198160395043</v>
      </c>
      <c r="AR827">
        <v>11.267991521139187</v>
      </c>
      <c r="AS827">
        <v>54.122976706954056</v>
      </c>
      <c r="AT827" t="e">
        <v>#DIV/0!</v>
      </c>
      <c r="AU827" t="e">
        <v>#DIV/0!</v>
      </c>
      <c r="AV827"/>
      <c r="AW827"/>
      <c r="FY827" s="214">
        <v>822</v>
      </c>
      <c r="FZ827">
        <v>0.97929886309611625</v>
      </c>
      <c r="GA827">
        <v>4.0829058461394112</v>
      </c>
      <c r="GB827">
        <v>4.4268267390285292</v>
      </c>
      <c r="GC827">
        <v>2.1203927968276943</v>
      </c>
      <c r="GD827">
        <v>4.2191978799845096</v>
      </c>
      <c r="GE827">
        <v>14.597424413734595</v>
      </c>
      <c r="GF827">
        <v>20.818633347194108</v>
      </c>
      <c r="GG827">
        <v>9.047788201895397</v>
      </c>
      <c r="GH827">
        <v>5.3625666094152988</v>
      </c>
      <c r="GI827">
        <v>8.7564718460224462</v>
      </c>
      <c r="GJ827"/>
      <c r="GK827"/>
      <c r="GL827"/>
      <c r="GM827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81.988663303131219</v>
      </c>
      <c r="AO828">
        <v>15.204872245452909</v>
      </c>
      <c r="AP828">
        <v>79.615472017362706</v>
      </c>
      <c r="AQ828">
        <v>87.898202985853914</v>
      </c>
      <c r="AR828">
        <v>14.025572304570222</v>
      </c>
      <c r="AS828">
        <v>75.139752727822795</v>
      </c>
      <c r="AT828">
        <v>7.5600420193485016</v>
      </c>
      <c r="AU828">
        <v>23.735875821237151</v>
      </c>
      <c r="AV828"/>
      <c r="AW828"/>
      <c r="FY828" s="214">
        <v>823</v>
      </c>
      <c r="FZ828">
        <v>0.52991815254400609</v>
      </c>
      <c r="GA828">
        <v>9.7534923911797886</v>
      </c>
      <c r="GB828">
        <v>10.263268063985734</v>
      </c>
      <c r="GC828">
        <v>3.6546058892486029</v>
      </c>
      <c r="GD828">
        <v>13.264598039844156</v>
      </c>
      <c r="GE828">
        <v>30.15588955524191</v>
      </c>
      <c r="GF828">
        <v>21.248518728552078</v>
      </c>
      <c r="GG828">
        <v>13.306913182492599</v>
      </c>
      <c r="GH828">
        <v>3.7425410588434276</v>
      </c>
      <c r="GI828">
        <v>15.614227532826616</v>
      </c>
      <c r="GJ828"/>
      <c r="GK828"/>
      <c r="GL828"/>
      <c r="GM828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73.710491505790188</v>
      </c>
      <c r="AO829">
        <v>15.840050146214997</v>
      </c>
      <c r="AP829">
        <v>69.294012943057936</v>
      </c>
      <c r="AQ829">
        <v>91.357549291842474</v>
      </c>
      <c r="AR829">
        <v>14.424464181543966</v>
      </c>
      <c r="AS829">
        <v>74.667939993456457</v>
      </c>
      <c r="AT829" t="e">
        <v>#DIV/0!</v>
      </c>
      <c r="AU829" t="e">
        <v>#DIV/0!</v>
      </c>
      <c r="AV829"/>
      <c r="AW829"/>
      <c r="FY829" s="214">
        <v>824</v>
      </c>
      <c r="FZ829">
        <v>1.3707527555706316</v>
      </c>
      <c r="GA829">
        <v>19.355034215981089</v>
      </c>
      <c r="GB829">
        <v>9.8592191636274613</v>
      </c>
      <c r="GC829">
        <v>1.2617308878887794</v>
      </c>
      <c r="GD829">
        <v>2.3460126710486997</v>
      </c>
      <c r="GE829">
        <v>6.5768861417768392</v>
      </c>
      <c r="GF829">
        <v>20.031568941246235</v>
      </c>
      <c r="GG829">
        <v>17.527378842066241</v>
      </c>
      <c r="GH829">
        <v>4.6859045111820521</v>
      </c>
      <c r="GI829">
        <v>8.8690463236536967</v>
      </c>
      <c r="GJ829"/>
      <c r="GK829"/>
      <c r="GL829"/>
      <c r="GM829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62.593251787641542</v>
      </c>
      <c r="AO830">
        <v>15.976219929680321</v>
      </c>
      <c r="AP830">
        <v>117.86219480352285</v>
      </c>
      <c r="AQ830">
        <v>76.051938100996338</v>
      </c>
      <c r="AR830">
        <v>14.536689706595759</v>
      </c>
      <c r="AS830">
        <v>63.195677785450805</v>
      </c>
      <c r="AT830" t="e">
        <v>#DIV/0!</v>
      </c>
      <c r="AU830" t="e">
        <v>#DIV/0!</v>
      </c>
      <c r="AV830"/>
      <c r="AW830"/>
      <c r="FY830" s="214">
        <v>825</v>
      </c>
      <c r="FZ830">
        <v>0.20111274238892013</v>
      </c>
      <c r="GA830">
        <v>3.3296234206072493</v>
      </c>
      <c r="GB830">
        <v>14.47360936138432</v>
      </c>
      <c r="GC830">
        <v>7.5980690181796859</v>
      </c>
      <c r="GD830">
        <v>3.8136362367388337</v>
      </c>
      <c r="GE830">
        <v>10.398842254736143</v>
      </c>
      <c r="GF830">
        <v>18.638742868902597</v>
      </c>
      <c r="GG830">
        <v>12.919259328477974</v>
      </c>
      <c r="GH830">
        <v>3.5408126396938764</v>
      </c>
      <c r="GI830">
        <v>10.225405766486654</v>
      </c>
      <c r="GJ830"/>
      <c r="GK830"/>
      <c r="GL830"/>
      <c r="GM830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101.64808269647027</v>
      </c>
      <c r="AO831">
        <v>17.580595888290716</v>
      </c>
      <c r="AP831">
        <v>106.99266390381747</v>
      </c>
      <c r="AQ831">
        <v>110.72924341401426</v>
      </c>
      <c r="AR831">
        <v>15.982359898446106</v>
      </c>
      <c r="AS831">
        <v>89.463265970351742</v>
      </c>
      <c r="AT831" t="e">
        <v>#DIV/0!</v>
      </c>
      <c r="AU831" t="e">
        <v>#DIV/0!</v>
      </c>
      <c r="AV831"/>
      <c r="AW831"/>
      <c r="FY831" s="214">
        <v>826</v>
      </c>
      <c r="FZ831">
        <v>0.67009717474744113</v>
      </c>
      <c r="GA831">
        <v>6.5214568193678915</v>
      </c>
      <c r="GB831">
        <v>9.2200913475845123</v>
      </c>
      <c r="GC831">
        <v>3.6937409861968651</v>
      </c>
      <c r="GD831">
        <v>1.6295531831533685</v>
      </c>
      <c r="GE831">
        <v>8.512702589377346</v>
      </c>
      <c r="GF831">
        <v>18.127782227905666</v>
      </c>
      <c r="GG831">
        <v>11.966130515211486</v>
      </c>
      <c r="GH831">
        <v>4.7696528374653333</v>
      </c>
      <c r="GI831">
        <v>7.6919517409567097</v>
      </c>
      <c r="GJ831"/>
      <c r="GK831"/>
      <c r="GL831"/>
      <c r="GM831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107.82580895529034</v>
      </c>
      <c r="AO832">
        <v>21.977444510882112</v>
      </c>
      <c r="AP832">
        <v>98.346535652854698</v>
      </c>
      <c r="AQ832">
        <v>138.10580092609956</v>
      </c>
      <c r="AR832">
        <v>19.991704306930721</v>
      </c>
      <c r="AS832">
        <v>102.92932205502173</v>
      </c>
      <c r="AT832" t="e">
        <v>#DIV/0!</v>
      </c>
      <c r="AU832" t="e">
        <v>#DIV/0!</v>
      </c>
      <c r="AV832"/>
      <c r="AW832"/>
      <c r="FY832" s="214">
        <v>827</v>
      </c>
      <c r="FZ832">
        <v>1.3343691220996867</v>
      </c>
      <c r="GA832">
        <v>4.6174990246374161</v>
      </c>
      <c r="GB832">
        <v>4.4221135343842164</v>
      </c>
      <c r="GC832">
        <v>1.8773897599273079</v>
      </c>
      <c r="GD832">
        <v>3.8089313066157673</v>
      </c>
      <c r="GE832">
        <v>11.46103138914925</v>
      </c>
      <c r="GF832">
        <v>13.501411365877241</v>
      </c>
      <c r="GG832">
        <v>6.6707054472763003</v>
      </c>
      <c r="GH832">
        <v>2.9842986029364886</v>
      </c>
      <c r="GI832">
        <v>6.6675387184252299</v>
      </c>
      <c r="GJ832"/>
      <c r="GK832"/>
      <c r="GL832"/>
      <c r="GM832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52.797250783871597</v>
      </c>
      <c r="AO833">
        <v>11.09707709890805</v>
      </c>
      <c r="AP833">
        <v>51.134502627773102</v>
      </c>
      <c r="AQ833">
        <v>71.393395362375657</v>
      </c>
      <c r="AR833">
        <v>10.469755658703056</v>
      </c>
      <c r="AS833">
        <v>52.991025583977788</v>
      </c>
      <c r="AT833">
        <v>6.5126562869437707</v>
      </c>
      <c r="AU833">
        <v>35.475068728811273</v>
      </c>
      <c r="AV833"/>
      <c r="AW833"/>
      <c r="FY833" s="214">
        <v>828</v>
      </c>
      <c r="FZ833">
        <v>0.40296035832053434</v>
      </c>
      <c r="GA833">
        <v>2.7764516795131717</v>
      </c>
      <c r="GB833">
        <v>8.1102127544872822</v>
      </c>
      <c r="GC833">
        <v>4.5966273625877596</v>
      </c>
      <c r="GD833">
        <v>7.3848525215933938</v>
      </c>
      <c r="GE833">
        <v>19.681635447363423</v>
      </c>
      <c r="GF833">
        <v>16.555657288843292</v>
      </c>
      <c r="GG833">
        <v>12.759963591502292</v>
      </c>
      <c r="GH833">
        <v>15.325121435119778</v>
      </c>
      <c r="GI833">
        <v>12.341546073646914</v>
      </c>
      <c r="GJ833"/>
      <c r="GK833"/>
      <c r="GL833"/>
      <c r="GM833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100.4872203336266</v>
      </c>
      <c r="AO834">
        <v>23.184626325057934</v>
      </c>
      <c r="AP834">
        <v>140.74590112141101</v>
      </c>
      <c r="AQ834">
        <v>122.59795090956004</v>
      </c>
      <c r="AR834">
        <v>21.267684898082358</v>
      </c>
      <c r="AS834">
        <v>104.74129902943153</v>
      </c>
      <c r="AT834">
        <v>10.917166620477127</v>
      </c>
      <c r="AU834">
        <v>62.280766769711796</v>
      </c>
      <c r="AV834"/>
      <c r="AW834"/>
      <c r="FY834" s="214">
        <v>829</v>
      </c>
      <c r="FZ834">
        <v>1.0381100285153488</v>
      </c>
      <c r="GA834">
        <v>16.283491283618986</v>
      </c>
      <c r="GB834">
        <v>13.442988854179731</v>
      </c>
      <c r="GC834">
        <v>4.0021444355436451</v>
      </c>
      <c r="GD834">
        <v>2.0763561666059576</v>
      </c>
      <c r="GE834">
        <v>7.8636201964448924</v>
      </c>
      <c r="GF834">
        <v>9.2775212249803474</v>
      </c>
      <c r="GG834">
        <v>3.6686617177569567</v>
      </c>
      <c r="GH834">
        <v>3.5728764376672766</v>
      </c>
      <c r="GI834">
        <v>7.0344322297222712</v>
      </c>
      <c r="GJ834"/>
      <c r="GK834"/>
      <c r="GL834"/>
      <c r="GM834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94.54581028995014</v>
      </c>
      <c r="AO835">
        <v>19.362513808472013</v>
      </c>
      <c r="AP835">
        <v>115.86658191441704</v>
      </c>
      <c r="AQ835">
        <v>103.6490444139956</v>
      </c>
      <c r="AR835">
        <v>17.781149913617867</v>
      </c>
      <c r="AS835">
        <v>90.595773857567323</v>
      </c>
      <c r="AT835">
        <v>9.3298421425403344</v>
      </c>
      <c r="AU835">
        <v>6.1962417307618658</v>
      </c>
      <c r="AV835"/>
      <c r="AW835"/>
      <c r="FY835" s="214">
        <v>830</v>
      </c>
      <c r="FZ835">
        <v>1.0317275346889012</v>
      </c>
      <c r="GA835">
        <v>10.44088016578284</v>
      </c>
      <c r="GB835">
        <v>8.8667748776293056</v>
      </c>
      <c r="GC835">
        <v>2.6633129281853232</v>
      </c>
      <c r="GD835">
        <v>1.5168106040598635</v>
      </c>
      <c r="GE835">
        <v>3.7901280844727472</v>
      </c>
      <c r="GF835">
        <v>14.293241601617856</v>
      </c>
      <c r="GG835">
        <v>13.786144932272007</v>
      </c>
      <c r="GH835">
        <v>5.4441469670889902</v>
      </c>
      <c r="GI835">
        <v>6.9411021389480609</v>
      </c>
      <c r="GJ835"/>
      <c r="GK835"/>
      <c r="GL835"/>
      <c r="GM83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74.521338775680803</v>
      </c>
      <c r="AO836">
        <v>14.054267068028764</v>
      </c>
      <c r="AP836">
        <v>64.073603011215781</v>
      </c>
      <c r="AQ836">
        <v>85.525060277036729</v>
      </c>
      <c r="AR836">
        <v>13.145900879047632</v>
      </c>
      <c r="AS836">
        <v>72.511723678151611</v>
      </c>
      <c r="AT836">
        <v>7.2420298426077148</v>
      </c>
      <c r="AU836">
        <v>10.304015950649987</v>
      </c>
      <c r="AV836"/>
      <c r="AW836"/>
      <c r="FY836" s="214">
        <v>831</v>
      </c>
      <c r="FZ836">
        <v>1.2538316801077907</v>
      </c>
      <c r="GA836">
        <v>11.943187834014266</v>
      </c>
      <c r="GB836">
        <v>10.20218516581896</v>
      </c>
      <c r="GC836">
        <v>3.3704011546655814</v>
      </c>
      <c r="GD836">
        <v>3.7325707256575069</v>
      </c>
      <c r="GE836">
        <v>14.212880767456706</v>
      </c>
      <c r="GF836">
        <v>13.333910434188352</v>
      </c>
      <c r="GG836">
        <v>4.1936841204817439</v>
      </c>
      <c r="GH836">
        <v>4.2968871269912263</v>
      </c>
      <c r="GI836">
        <v>8.2086020784382843</v>
      </c>
      <c r="GJ836"/>
      <c r="GK836"/>
      <c r="GL836"/>
      <c r="GM836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93.735676088509408</v>
      </c>
      <c r="AO837">
        <v>22.02097956324058</v>
      </c>
      <c r="AP837">
        <v>165.16770963396075</v>
      </c>
      <c r="AQ837">
        <v>116.43785297345892</v>
      </c>
      <c r="AR837">
        <v>20.376157486747758</v>
      </c>
      <c r="AS837">
        <v>102.14964565824276</v>
      </c>
      <c r="AT837" t="e">
        <v>#DIV/0!</v>
      </c>
      <c r="AU837" t="e">
        <v>#DIV/0!</v>
      </c>
      <c r="AV837"/>
      <c r="AW837"/>
      <c r="FY837" s="214">
        <v>832</v>
      </c>
      <c r="FZ837">
        <v>0.88087246143175357</v>
      </c>
      <c r="GA837">
        <v>4.6157557559529341</v>
      </c>
      <c r="GB837">
        <v>2.585942298700183</v>
      </c>
      <c r="GC837">
        <v>1.2922788111694326</v>
      </c>
      <c r="GD837">
        <v>4.2236982860056171</v>
      </c>
      <c r="GE837">
        <v>12.399318641198336</v>
      </c>
      <c r="GF837">
        <v>21.225978828582267</v>
      </c>
      <c r="GG837">
        <v>15.671182933628243</v>
      </c>
      <c r="GH837">
        <v>6.0006610038463775</v>
      </c>
      <c r="GI837">
        <v>8.7946004021978972</v>
      </c>
      <c r="GJ837"/>
      <c r="GK837"/>
      <c r="GL837"/>
      <c r="GM837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66.215443691582067</v>
      </c>
      <c r="AO838">
        <v>12.945846128265279</v>
      </c>
      <c r="AP838">
        <v>141.24151603878994</v>
      </c>
      <c r="AQ838">
        <v>74.411506543338106</v>
      </c>
      <c r="AR838">
        <v>12.317110112451408</v>
      </c>
      <c r="AS838">
        <v>66.110405488813726</v>
      </c>
      <c r="AT838" t="e">
        <v>#DIV/0!</v>
      </c>
      <c r="AU838" t="e">
        <v>#DIV/0!</v>
      </c>
      <c r="AV838"/>
      <c r="AW838"/>
      <c r="FY838" s="214">
        <v>833</v>
      </c>
      <c r="FZ838">
        <v>0.58701455582929429</v>
      </c>
      <c r="GA838">
        <v>9.492487969961557</v>
      </c>
      <c r="GB838">
        <v>13.60273209427444</v>
      </c>
      <c r="GC838">
        <v>5.7345981791908862</v>
      </c>
      <c r="GD838">
        <v>3.7816125045295323</v>
      </c>
      <c r="GE838">
        <v>13.990929679710648</v>
      </c>
      <c r="GF838">
        <v>21.142980642097584</v>
      </c>
      <c r="GG838">
        <v>15.351732167976959</v>
      </c>
      <c r="GH838">
        <v>9.20431236979754</v>
      </c>
      <c r="GI838">
        <v>11.408121975212028</v>
      </c>
      <c r="GJ838"/>
      <c r="GK838"/>
      <c r="GL838"/>
      <c r="GM838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96.202901367330696</v>
      </c>
      <c r="AO839">
        <v>23.728956588069728</v>
      </c>
      <c r="AP839">
        <v>121.46178639125897</v>
      </c>
      <c r="AQ839">
        <v>121.53397259475891</v>
      </c>
      <c r="AR839">
        <v>21.941395224918203</v>
      </c>
      <c r="AS839">
        <v>114.18386955618719</v>
      </c>
      <c r="AT839">
        <v>11.658543941867343</v>
      </c>
      <c r="AU839">
        <v>8.3609416914315631</v>
      </c>
      <c r="AV839"/>
      <c r="AW839"/>
      <c r="FY839" s="214">
        <v>834</v>
      </c>
      <c r="FZ839">
        <v>0.84166501781893199</v>
      </c>
      <c r="GA839">
        <v>11.094181108755189</v>
      </c>
      <c r="GB839">
        <v>12.225957167888723</v>
      </c>
      <c r="GC839">
        <v>4.4684486047694225</v>
      </c>
      <c r="GD839">
        <v>1.7892299034345172</v>
      </c>
      <c r="GE839">
        <v>6.0850257815971656</v>
      </c>
      <c r="GF839">
        <v>7.8324096448697134</v>
      </c>
      <c r="GG839">
        <v>2.8755735223056131</v>
      </c>
      <c r="GH839">
        <v>1.1967763997980561</v>
      </c>
      <c r="GI839">
        <v>5.922268790855199</v>
      </c>
      <c r="GJ839"/>
      <c r="GK839"/>
      <c r="GL839"/>
      <c r="GM839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67.637227143637972</v>
      </c>
      <c r="AO840">
        <v>13.784753715947335</v>
      </c>
      <c r="AP840">
        <v>49.424989252309508</v>
      </c>
      <c r="AQ840">
        <v>91.883534454041722</v>
      </c>
      <c r="AR840">
        <v>12.544769749035467</v>
      </c>
      <c r="AS840">
        <v>64.396091648479612</v>
      </c>
      <c r="AT840" t="e">
        <v>#DIV/0!</v>
      </c>
      <c r="AU840" t="e">
        <v>#DIV/0!</v>
      </c>
      <c r="AV840"/>
      <c r="AW840"/>
      <c r="FY840" s="214">
        <v>835</v>
      </c>
      <c r="FZ840">
        <v>0.49570552153407349</v>
      </c>
      <c r="GA840">
        <v>1.341634211576874</v>
      </c>
      <c r="GB840">
        <v>6.9400313443393804</v>
      </c>
      <c r="GC840">
        <v>3.9293385473040798</v>
      </c>
      <c r="GD840">
        <v>1.6653406483189723</v>
      </c>
      <c r="GE840">
        <v>4.623571463612091</v>
      </c>
      <c r="GF840">
        <v>12.203472777106017</v>
      </c>
      <c r="GG840">
        <v>8.5569295010177875</v>
      </c>
      <c r="GH840">
        <v>1.8712705294217138</v>
      </c>
      <c r="GI840">
        <v>5.5666303177715708</v>
      </c>
      <c r="GJ840"/>
      <c r="GK840"/>
      <c r="GL840"/>
      <c r="GM840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64.540039888668588</v>
      </c>
      <c r="AO841">
        <v>15.637486006495346</v>
      </c>
      <c r="AP841">
        <v>51.38254134974251</v>
      </c>
      <c r="AQ841">
        <v>85.139113637596267</v>
      </c>
      <c r="AR841">
        <v>14.406648244843637</v>
      </c>
      <c r="AS841">
        <v>69.289706351669409</v>
      </c>
      <c r="AT841">
        <v>7.4289989348697638</v>
      </c>
      <c r="AU841">
        <v>10.801500656662478</v>
      </c>
      <c r="AV841"/>
      <c r="AW841"/>
      <c r="FY841" s="214">
        <v>836</v>
      </c>
      <c r="FZ841">
        <v>0.21077528668431256</v>
      </c>
      <c r="GA841">
        <v>5.3791149573861912</v>
      </c>
      <c r="GB841">
        <v>8.2894192900629626</v>
      </c>
      <c r="GC841">
        <v>4.0266120903935034</v>
      </c>
      <c r="GD841">
        <v>10.388980802175389</v>
      </c>
      <c r="GE841">
        <v>23.371130183879782</v>
      </c>
      <c r="GF841">
        <v>14.066272015335306</v>
      </c>
      <c r="GG841">
        <v>10.343758077385592</v>
      </c>
      <c r="GH841">
        <v>9.0191913733658549</v>
      </c>
      <c r="GI841">
        <v>12.725507763563423</v>
      </c>
      <c r="GJ841"/>
      <c r="GK841"/>
      <c r="GL841"/>
      <c r="GM841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63.02809787032097</v>
      </c>
      <c r="AO842">
        <v>11.887666863444267</v>
      </c>
      <c r="AP842">
        <v>53.453487270573618</v>
      </c>
      <c r="AQ842">
        <v>72.803159421966626</v>
      </c>
      <c r="AR842">
        <v>10.819179172896312</v>
      </c>
      <c r="AS842">
        <v>57.75992844705268</v>
      </c>
      <c r="AT842" t="e">
        <v>#DIV/0!</v>
      </c>
      <c r="AU842" t="e">
        <v>#DIV/0!</v>
      </c>
      <c r="AV842"/>
      <c r="AW842"/>
      <c r="FY842" s="214">
        <v>837</v>
      </c>
      <c r="FZ842">
        <v>0.7409720724439447</v>
      </c>
      <c r="GA842">
        <v>4.8897068426784038</v>
      </c>
      <c r="GB842">
        <v>6.7900329098060119</v>
      </c>
      <c r="GC842">
        <v>2.9801647536909091</v>
      </c>
      <c r="GD842">
        <v>0.63754679345201626</v>
      </c>
      <c r="GE842">
        <v>1.6228944993091894</v>
      </c>
      <c r="GF842">
        <v>17.437497251663146</v>
      </c>
      <c r="GG842">
        <v>17.3573270662508</v>
      </c>
      <c r="GH842">
        <v>3.5728764376672766</v>
      </c>
      <c r="GI842">
        <v>6.3056566447609921</v>
      </c>
      <c r="GJ842"/>
      <c r="GK842"/>
      <c r="GL842"/>
      <c r="GM842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54.634909470465836</v>
      </c>
      <c r="AO843">
        <v>9.9990340384440852</v>
      </c>
      <c r="AP843">
        <v>48.520624614067941</v>
      </c>
      <c r="AQ843">
        <v>57.345288271328897</v>
      </c>
      <c r="AR843">
        <v>9.2933141713046279</v>
      </c>
      <c r="AS843">
        <v>50.648012813568307</v>
      </c>
      <c r="AT843">
        <v>5.0880179724159342</v>
      </c>
      <c r="AU843">
        <v>6.5372953088387238</v>
      </c>
      <c r="AV843"/>
      <c r="AW843"/>
      <c r="FY843" s="214">
        <v>838</v>
      </c>
      <c r="FZ843">
        <v>0.94180618161723872</v>
      </c>
      <c r="GA843">
        <v>17.883728879646991</v>
      </c>
      <c r="GB843">
        <v>9.636624771377015</v>
      </c>
      <c r="GC843">
        <v>0.90560944613577266</v>
      </c>
      <c r="GD843">
        <v>1.575660964142251</v>
      </c>
      <c r="GE843">
        <v>7.1941635904664309</v>
      </c>
      <c r="GF843">
        <v>17.843410579876821</v>
      </c>
      <c r="GG843">
        <v>10.5129150254834</v>
      </c>
      <c r="GH843">
        <v>1.7875222031384326</v>
      </c>
      <c r="GI843">
        <v>7.587717466869357</v>
      </c>
      <c r="GJ843"/>
      <c r="GK843"/>
      <c r="GL843"/>
      <c r="GM843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82.304228550850922</v>
      </c>
      <c r="AO844">
        <v>18.28877151784522</v>
      </c>
      <c r="AP844">
        <v>83.776820758112791</v>
      </c>
      <c r="AQ844">
        <v>99.935028512977851</v>
      </c>
      <c r="AR844">
        <v>17.341292403144653</v>
      </c>
      <c r="AS844">
        <v>86.768583393297106</v>
      </c>
      <c r="AT844">
        <v>9.5478998535437398</v>
      </c>
      <c r="AU844">
        <v>19.538813272011364</v>
      </c>
      <c r="AV844"/>
      <c r="AW844"/>
      <c r="FY844" s="214">
        <v>839</v>
      </c>
      <c r="FZ844">
        <v>1.3244279445886682</v>
      </c>
      <c r="GA844">
        <v>5.1439179039489904</v>
      </c>
      <c r="GB844">
        <v>11.741246021056849</v>
      </c>
      <c r="GC844">
        <v>6.3034037126183291</v>
      </c>
      <c r="GD844">
        <v>6.1888264860284439</v>
      </c>
      <c r="GE844">
        <v>14.358835624030197</v>
      </c>
      <c r="GF844">
        <v>12.469138875125171</v>
      </c>
      <c r="GG844">
        <v>12.65846822864853</v>
      </c>
      <c r="GH844">
        <v>8.1750326225660466</v>
      </c>
      <c r="GI844">
        <v>10.731742905231423</v>
      </c>
      <c r="GJ844"/>
      <c r="GK844"/>
      <c r="GL844"/>
      <c r="GM844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73.885939005596327</v>
      </c>
      <c r="AO845">
        <v>10.636397043824777</v>
      </c>
      <c r="AP845">
        <v>15.116823317013623</v>
      </c>
      <c r="AQ845">
        <v>68.260202575035407</v>
      </c>
      <c r="AR845">
        <v>9.6941925070225548</v>
      </c>
      <c r="AS845">
        <v>60.62256557658057</v>
      </c>
      <c r="AT845" t="e">
        <v>#DIV/0!</v>
      </c>
      <c r="AU845" t="e">
        <v>#DIV/0!</v>
      </c>
      <c r="AV845"/>
      <c r="AW845"/>
      <c r="FY845" s="214">
        <v>840</v>
      </c>
      <c r="FZ845">
        <v>0.75063461673933718</v>
      </c>
      <c r="GA845">
        <v>2.7226930719664648</v>
      </c>
      <c r="GB845">
        <v>8.9405902242623778</v>
      </c>
      <c r="GC845">
        <v>4.9161152399065795</v>
      </c>
      <c r="GD845">
        <v>6.4144714190059755</v>
      </c>
      <c r="GE845">
        <v>14.739132016442348</v>
      </c>
      <c r="GF845">
        <v>19.775297404390976</v>
      </c>
      <c r="GG845">
        <v>16.901754091545985</v>
      </c>
      <c r="GH845">
        <v>3.6566247639505578</v>
      </c>
      <c r="GI845">
        <v>10.712390802355488</v>
      </c>
      <c r="GJ845"/>
      <c r="GK845"/>
      <c r="GL845"/>
      <c r="GM84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58.713144233162851</v>
      </c>
      <c r="AO846">
        <v>10.478058618159157</v>
      </c>
      <c r="AP846">
        <v>56.844700658865975</v>
      </c>
      <c r="AQ846">
        <v>68.774269834745894</v>
      </c>
      <c r="AR846">
        <v>9.7169038198410416</v>
      </c>
      <c r="AS846">
        <v>52.135183644763778</v>
      </c>
      <c r="AT846">
        <v>5.7390636912691271</v>
      </c>
      <c r="AU846">
        <v>10.337017850396775</v>
      </c>
      <c r="AV846"/>
      <c r="AW846"/>
      <c r="FY846" s="214">
        <v>841</v>
      </c>
      <c r="FZ846">
        <v>0.81739356432001786</v>
      </c>
      <c r="GA846">
        <v>12.519424136836477</v>
      </c>
      <c r="GB846">
        <v>12.993914399767561</v>
      </c>
      <c r="GC846">
        <v>4.4570745398737834</v>
      </c>
      <c r="GD846">
        <v>5.0415470864914971</v>
      </c>
      <c r="GE846">
        <v>12.646546135752198</v>
      </c>
      <c r="GF846">
        <v>16.322907941869218</v>
      </c>
      <c r="GG846">
        <v>10.834337205573743</v>
      </c>
      <c r="GH846">
        <v>4.2153067693175341</v>
      </c>
      <c r="GI846">
        <v>10.504585376141359</v>
      </c>
      <c r="GJ846"/>
      <c r="GK846"/>
      <c r="GL846"/>
      <c r="GM846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80.39141474185908</v>
      </c>
      <c r="AO847">
        <v>12.526164345975115</v>
      </c>
      <c r="AP847">
        <v>58.322176898818697</v>
      </c>
      <c r="AQ847">
        <v>74.748141087820429</v>
      </c>
      <c r="AR847">
        <v>11.38742213270465</v>
      </c>
      <c r="AS847">
        <v>69.204175730253297</v>
      </c>
      <c r="AT847" t="e">
        <v>#DIV/0!</v>
      </c>
      <c r="AU847" t="e">
        <v>#DIV/0!</v>
      </c>
      <c r="AV847"/>
      <c r="AW847"/>
      <c r="FY847" s="214">
        <v>842</v>
      </c>
      <c r="FZ847">
        <v>1.1804116054850364</v>
      </c>
      <c r="GA847">
        <v>3.9582102091185032</v>
      </c>
      <c r="GB847">
        <v>4.1321268774834641</v>
      </c>
      <c r="GC847">
        <v>2.6005180785144049</v>
      </c>
      <c r="GD847">
        <v>4.5534196459981819</v>
      </c>
      <c r="GE847">
        <v>8.1146524536470359</v>
      </c>
      <c r="GF847">
        <v>6.505727692849165</v>
      </c>
      <c r="GG847">
        <v>10.996395751936625</v>
      </c>
      <c r="GH847">
        <v>7.6185185858086601</v>
      </c>
      <c r="GI847">
        <v>6.5802014457369102</v>
      </c>
      <c r="GJ847"/>
      <c r="GK847"/>
      <c r="GL847"/>
      <c r="GM847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60.31350340817319</v>
      </c>
      <c r="AO848">
        <v>13.730052045533839</v>
      </c>
      <c r="AP848">
        <v>97.679736640007405</v>
      </c>
      <c r="AQ848">
        <v>77.69028942271305</v>
      </c>
      <c r="AR848">
        <v>12.684826668280158</v>
      </c>
      <c r="AS848">
        <v>58.031735587696609</v>
      </c>
      <c r="AT848">
        <v>6.8400261918686462</v>
      </c>
      <c r="AU848">
        <v>36.518216591469198</v>
      </c>
      <c r="AV848"/>
      <c r="AW848"/>
      <c r="FY848" s="214">
        <v>843</v>
      </c>
      <c r="FZ848">
        <v>0.41188802907323274</v>
      </c>
      <c r="GA848">
        <v>10.614212562025777</v>
      </c>
      <c r="GB848">
        <v>13.613205815642084</v>
      </c>
      <c r="GC848">
        <v>5.184406126132167</v>
      </c>
      <c r="GD848">
        <v>2.7763655605256865</v>
      </c>
      <c r="GE848">
        <v>9.0812424581930404</v>
      </c>
      <c r="GF848">
        <v>19.109209365635614</v>
      </c>
      <c r="GG848">
        <v>11.522169223410756</v>
      </c>
      <c r="GH848">
        <v>2.4277845661791013</v>
      </c>
      <c r="GI848">
        <v>9.2607412890269547</v>
      </c>
      <c r="GJ848"/>
      <c r="GK848"/>
      <c r="GL848"/>
      <c r="GM848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83.841263235718387</v>
      </c>
      <c r="AO849">
        <v>17.622303822587536</v>
      </c>
      <c r="AP849">
        <v>76.054163772101788</v>
      </c>
      <c r="AQ849">
        <v>104.29652213858047</v>
      </c>
      <c r="AR849">
        <v>16.020598257276546</v>
      </c>
      <c r="AS849">
        <v>81.17751950294074</v>
      </c>
      <c r="AT849" t="e">
        <v>#DIV/0!</v>
      </c>
      <c r="AU849" t="e">
        <v>#DIV/0!</v>
      </c>
      <c r="AV849"/>
      <c r="AW849"/>
      <c r="FY849" s="214">
        <v>844</v>
      </c>
      <c r="FZ849">
        <v>0.9354236877907911</v>
      </c>
      <c r="GA849">
        <v>17.540946361577497</v>
      </c>
      <c r="GB849">
        <v>11.089760089210834</v>
      </c>
      <c r="GC849">
        <v>2.1360382503250457</v>
      </c>
      <c r="GD849">
        <v>1.2157243907873543</v>
      </c>
      <c r="GE849">
        <v>5.095233407358192</v>
      </c>
      <c r="GF849">
        <v>12.582027329541898</v>
      </c>
      <c r="GG849">
        <v>9.3848833471261521</v>
      </c>
      <c r="GH849">
        <v>5.9169126775630962</v>
      </c>
      <c r="GI849">
        <v>7.0477409420131885</v>
      </c>
      <c r="GJ849"/>
      <c r="GK849"/>
      <c r="GL849"/>
      <c r="GM849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52.59109392611505</v>
      </c>
      <c r="AO850">
        <v>9.0507131916307095</v>
      </c>
      <c r="AP850">
        <v>37.310893033334466</v>
      </c>
      <c r="AQ850">
        <v>54.331535942092529</v>
      </c>
      <c r="AR850">
        <v>8.2279210833006431</v>
      </c>
      <c r="AS850">
        <v>44.603455852278842</v>
      </c>
      <c r="AT850" t="e">
        <v>#DIV/0!</v>
      </c>
      <c r="AU850" t="e">
        <v>#DIV/0!</v>
      </c>
      <c r="AV850"/>
      <c r="AW850"/>
      <c r="FY850" s="214">
        <v>845</v>
      </c>
      <c r="FZ850">
        <v>1.0534538112615646</v>
      </c>
      <c r="GA850">
        <v>37.840824865246645</v>
      </c>
      <c r="GB850">
        <v>29.266765987132981</v>
      </c>
      <c r="GC850">
        <v>6.7480611686476415</v>
      </c>
      <c r="GD850">
        <v>2.1252645203437512</v>
      </c>
      <c r="GE850">
        <v>7.3043851461839777</v>
      </c>
      <c r="GF850">
        <v>19.975732883245421</v>
      </c>
      <c r="GG850">
        <v>14.733017578156506</v>
      </c>
      <c r="GH850">
        <v>4.2131388007079451</v>
      </c>
      <c r="GI850">
        <v>13.244000356920687</v>
      </c>
      <c r="GJ850"/>
      <c r="GK850"/>
      <c r="GL850"/>
      <c r="GM850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44.39850493130713</v>
      </c>
      <c r="AO851">
        <v>8.4580535528515242</v>
      </c>
      <c r="AP851">
        <v>43.501635175938162</v>
      </c>
      <c r="AQ851">
        <v>47.193924862002554</v>
      </c>
      <c r="AR851">
        <v>7.8805355786522853</v>
      </c>
      <c r="AS851">
        <v>38.948799013907099</v>
      </c>
      <c r="AT851">
        <v>3.9808267286512389</v>
      </c>
      <c r="AU851">
        <v>-2.2642668670957082</v>
      </c>
      <c r="AV851"/>
      <c r="AW851"/>
      <c r="FY851" s="214">
        <v>846</v>
      </c>
      <c r="FZ851">
        <v>0.68359703594303034</v>
      </c>
      <c r="GA851">
        <v>16.10058444752104</v>
      </c>
      <c r="GB851">
        <v>11.223594795967236</v>
      </c>
      <c r="GC851">
        <v>2.1572096944657195</v>
      </c>
      <c r="GD851">
        <v>3.4211060580478971</v>
      </c>
      <c r="GE851">
        <v>9.7549763133492799</v>
      </c>
      <c r="GF851">
        <v>17.697962691283962</v>
      </c>
      <c r="GG851">
        <v>17.517082999882611</v>
      </c>
      <c r="GH851">
        <v>8.815294985606716</v>
      </c>
      <c r="GI851">
        <v>9.7244183523472181</v>
      </c>
      <c r="GJ851"/>
      <c r="GK851"/>
      <c r="GL851"/>
      <c r="GM851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86.032004788558339</v>
      </c>
      <c r="AO852">
        <v>19.07901742075089</v>
      </c>
      <c r="AP852">
        <v>111.96609454025348</v>
      </c>
      <c r="AQ852">
        <v>97.820761840232308</v>
      </c>
      <c r="AR852">
        <v>17.880189026385285</v>
      </c>
      <c r="AS852">
        <v>97.445752307843733</v>
      </c>
      <c r="AT852" t="e">
        <v>#DIV/0!</v>
      </c>
      <c r="AU852" t="e">
        <v>#DIV/0!</v>
      </c>
      <c r="AV852"/>
      <c r="AW852"/>
      <c r="FY852" s="214">
        <v>847</v>
      </c>
      <c r="FZ852">
        <v>1.0633949887725831</v>
      </c>
      <c r="GA852">
        <v>3.7473649806967044</v>
      </c>
      <c r="GB852">
        <v>5.713936306364543</v>
      </c>
      <c r="GC852">
        <v>2.9934061135690979</v>
      </c>
      <c r="GD852">
        <v>3.6548409017392065</v>
      </c>
      <c r="GE852">
        <v>8.8752929540120462</v>
      </c>
      <c r="GF852">
        <v>13.441276071080067</v>
      </c>
      <c r="GG852">
        <v>11.689212592826067</v>
      </c>
      <c r="GH852">
        <v>7.2316691702274234</v>
      </c>
      <c r="GI852">
        <v>7.6687786644491958</v>
      </c>
      <c r="GJ852"/>
      <c r="GK852"/>
      <c r="GL852"/>
      <c r="GM852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41.156939566127193</v>
      </c>
      <c r="AO853">
        <v>9.8991854452414341</v>
      </c>
      <c r="AP853">
        <v>49.524674111284206</v>
      </c>
      <c r="AQ853">
        <v>62.334675271722695</v>
      </c>
      <c r="AR853">
        <v>9.011790847636167</v>
      </c>
      <c r="AS853">
        <v>42.413831969636547</v>
      </c>
      <c r="AT853" t="e">
        <v>#DIV/0!</v>
      </c>
      <c r="AU853" t="e">
        <v>#DIV/0!</v>
      </c>
      <c r="AV853"/>
      <c r="AW853"/>
      <c r="FY853" s="214">
        <v>848</v>
      </c>
      <c r="FZ853">
        <v>1.2002939605070733</v>
      </c>
      <c r="GA853">
        <v>5.1099916390785785</v>
      </c>
      <c r="GB853">
        <v>2.3520477784073845</v>
      </c>
      <c r="GC853">
        <v>0.91973306310798164</v>
      </c>
      <c r="GD853">
        <v>10.173646179149841</v>
      </c>
      <c r="GE853">
        <v>21.332481780665784</v>
      </c>
      <c r="GF853">
        <v>10.148006167425944</v>
      </c>
      <c r="GG853">
        <v>9.6757131910812113</v>
      </c>
      <c r="GH853">
        <v>6.3896783880372032</v>
      </c>
      <c r="GI853">
        <v>9.9597681403330007</v>
      </c>
      <c r="GJ853"/>
      <c r="GK853"/>
      <c r="GL853"/>
      <c r="GM853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66.655978859910746</v>
      </c>
      <c r="AO854">
        <v>11.786754726558856</v>
      </c>
      <c r="AP854">
        <v>122.2755667296797</v>
      </c>
      <c r="AQ854">
        <v>75.869159108753706</v>
      </c>
      <c r="AR854">
        <v>10.918514796863509</v>
      </c>
      <c r="AS854">
        <v>55.386813635560671</v>
      </c>
      <c r="AT854" t="e">
        <v>#DIV/0!</v>
      </c>
      <c r="AU854" t="e">
        <v>#DIV/0!</v>
      </c>
      <c r="AV854"/>
      <c r="AW854"/>
      <c r="FY854" s="214">
        <v>849</v>
      </c>
      <c r="FZ854">
        <v>0.80800965324025142</v>
      </c>
      <c r="GA854">
        <v>16.917120450675327</v>
      </c>
      <c r="GB854">
        <v>12.872864951115174</v>
      </c>
      <c r="GC854">
        <v>3.1404399094535931</v>
      </c>
      <c r="GD854">
        <v>1.844553625202388</v>
      </c>
      <c r="GE854">
        <v>5.4951868595032369</v>
      </c>
      <c r="GF854">
        <v>6.8848659515881181</v>
      </c>
      <c r="GG854">
        <v>2.4567387177018389</v>
      </c>
      <c r="GH854">
        <v>1.955018855704995</v>
      </c>
      <c r="GI854">
        <v>6.0146977768390375</v>
      </c>
      <c r="GJ854"/>
      <c r="GK854"/>
      <c r="GL854"/>
      <c r="GM854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73.185170557018949</v>
      </c>
      <c r="AO855">
        <v>16.576585893772478</v>
      </c>
      <c r="AP855">
        <v>60.620101751031569</v>
      </c>
      <c r="AQ855">
        <v>89.095040323842653</v>
      </c>
      <c r="AR855">
        <v>15.106573485831085</v>
      </c>
      <c r="AS855">
        <v>71.881976906573101</v>
      </c>
      <c r="AT855" t="e">
        <v>#DIV/0!</v>
      </c>
      <c r="AU855" t="e">
        <v>#DIV/0!</v>
      </c>
      <c r="AV855"/>
      <c r="AW855"/>
      <c r="FY855" s="214">
        <v>850</v>
      </c>
      <c r="FZ855">
        <v>0.81383488063544696</v>
      </c>
      <c r="GA855">
        <v>10.928613261345021</v>
      </c>
      <c r="GB855">
        <v>7.1619953136761056</v>
      </c>
      <c r="GC855">
        <v>1.6959011049496868</v>
      </c>
      <c r="GD855">
        <v>4.0273729121309039</v>
      </c>
      <c r="GE855">
        <v>13.754992724631457</v>
      </c>
      <c r="GF855">
        <v>22.395367419597441</v>
      </c>
      <c r="GG855">
        <v>12.018847810473421</v>
      </c>
      <c r="GH855">
        <v>2.9842986029364886</v>
      </c>
      <c r="GI855">
        <v>9.1841793323851348</v>
      </c>
      <c r="GJ855"/>
      <c r="GK855"/>
      <c r="GL855"/>
      <c r="GM85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69.857842066532243</v>
      </c>
      <c r="AO856">
        <v>16.539253513001505</v>
      </c>
      <c r="AP856">
        <v>74.929353325002154</v>
      </c>
      <c r="AQ856">
        <v>89.529703650566091</v>
      </c>
      <c r="AR856">
        <v>15.036007066743794</v>
      </c>
      <c r="AS856">
        <v>75.318866491277106</v>
      </c>
      <c r="AT856" t="e">
        <v>#DIV/0!</v>
      </c>
      <c r="AU856" t="e">
        <v>#DIV/0!</v>
      </c>
      <c r="AV856"/>
      <c r="AW856"/>
      <c r="FY856" s="214">
        <v>851</v>
      </c>
      <c r="FZ856">
        <v>1.2573903637923616</v>
      </c>
      <c r="GA856">
        <v>9.1766188804348552</v>
      </c>
      <c r="GB856">
        <v>9.6336331786868694</v>
      </c>
      <c r="GC856">
        <v>3.8202699423150923</v>
      </c>
      <c r="GD856">
        <v>2.778889080061032</v>
      </c>
      <c r="GE856">
        <v>4.5582530482747323</v>
      </c>
      <c r="GF856">
        <v>9.9690948430225408</v>
      </c>
      <c r="GG856">
        <v>12.033505108247688</v>
      </c>
      <c r="GH856">
        <v>4.1293904744246639</v>
      </c>
      <c r="GI856">
        <v>6.930481795166016</v>
      </c>
      <c r="GJ856"/>
      <c r="GK856"/>
      <c r="GL856"/>
      <c r="GM856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71.58343964953346</v>
      </c>
      <c r="AO857">
        <v>15.97888993341191</v>
      </c>
      <c r="AP857">
        <v>94.997954375748989</v>
      </c>
      <c r="AQ857">
        <v>90.353037155943397</v>
      </c>
      <c r="AR857">
        <v>14.895880084320183</v>
      </c>
      <c r="AS857">
        <v>73.245579362395233</v>
      </c>
      <c r="AT857">
        <v>8.055124676997961</v>
      </c>
      <c r="AU857">
        <v>28.330468520249028</v>
      </c>
      <c r="AV857"/>
      <c r="AW857"/>
      <c r="FY857" s="214">
        <v>852</v>
      </c>
      <c r="FZ857">
        <v>0.95785121973907872</v>
      </c>
      <c r="GA857">
        <v>10.048221314583024</v>
      </c>
      <c r="GB857">
        <v>13.104183283643303</v>
      </c>
      <c r="GC857">
        <v>5.1316442702309875</v>
      </c>
      <c r="GD857">
        <v>5.9955900885957032</v>
      </c>
      <c r="GE857">
        <v>16.335272458793277</v>
      </c>
      <c r="GF857">
        <v>26.133404946436734</v>
      </c>
      <c r="GG857">
        <v>27.715578101510673</v>
      </c>
      <c r="GH857">
        <v>17.615305178096126</v>
      </c>
      <c r="GI857">
        <v>15.290448978188088</v>
      </c>
      <c r="GJ857"/>
      <c r="GK857"/>
      <c r="GL857"/>
      <c r="GM857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49.119258964343416</v>
      </c>
      <c r="AO858">
        <v>10.228873717103266</v>
      </c>
      <c r="AP858">
        <v>51.175766554101784</v>
      </c>
      <c r="AQ858">
        <v>56.240182346577988</v>
      </c>
      <c r="AR858">
        <v>9.3115074584196496</v>
      </c>
      <c r="AS858">
        <v>45.685161619100896</v>
      </c>
      <c r="AT858" t="e">
        <v>#DIV/0!</v>
      </c>
      <c r="AU858" t="e">
        <v>#DIV/0!</v>
      </c>
      <c r="AV858"/>
      <c r="AW858"/>
      <c r="FY858" s="214">
        <v>853</v>
      </c>
      <c r="FZ858">
        <v>0.74069343922831865</v>
      </c>
      <c r="GA858">
        <v>22.376941237073492</v>
      </c>
      <c r="GB858">
        <v>11.591598473883412</v>
      </c>
      <c r="GC858">
        <v>1.089030985782677</v>
      </c>
      <c r="GD858">
        <v>6.1637458587119074</v>
      </c>
      <c r="GE858">
        <v>18.316073133133987</v>
      </c>
      <c r="GF858">
        <v>19.274887862117538</v>
      </c>
      <c r="GG858">
        <v>12.674230632418871</v>
      </c>
      <c r="GH858">
        <v>8.7657784259064222</v>
      </c>
      <c r="GI858">
        <v>11.918526254986727</v>
      </c>
      <c r="GJ858"/>
      <c r="GK858"/>
      <c r="GL858"/>
      <c r="GM858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73.65488855095002</v>
      </c>
      <c r="AO859">
        <v>14.086747433780634</v>
      </c>
      <c r="AP859">
        <v>65.029676173435917</v>
      </c>
      <c r="AQ859">
        <v>84.00122499584441</v>
      </c>
      <c r="AR859">
        <v>12.984676608974189</v>
      </c>
      <c r="AS859">
        <v>66.27007721563416</v>
      </c>
      <c r="AT859" t="e">
        <v>#DIV/0!</v>
      </c>
      <c r="AU859" t="e">
        <v>#DIV/0!</v>
      </c>
      <c r="AV859"/>
      <c r="AW859"/>
      <c r="FY859" s="214">
        <v>854</v>
      </c>
      <c r="FZ859">
        <v>1.2769940855987723</v>
      </c>
      <c r="GA859">
        <v>9.3704208272768117</v>
      </c>
      <c r="GB859">
        <v>5.9129153176634777</v>
      </c>
      <c r="GC859">
        <v>1.7906908057609043</v>
      </c>
      <c r="GD859">
        <v>6.9931392188949077</v>
      </c>
      <c r="GE859">
        <v>19.568556519410414</v>
      </c>
      <c r="GF859">
        <v>21.782673124196222</v>
      </c>
      <c r="GG859">
        <v>10.009624800939813</v>
      </c>
      <c r="GH859">
        <v>8.3748326283281188E-2</v>
      </c>
      <c r="GI859">
        <v>10.076528334567723</v>
      </c>
      <c r="GJ859"/>
      <c r="GK859"/>
      <c r="GL859"/>
      <c r="GM859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66.125879870035789</v>
      </c>
      <c r="AO860">
        <v>10.636235508280659</v>
      </c>
      <c r="AP860">
        <v>35.782711123997359</v>
      </c>
      <c r="AQ860">
        <v>72.944690483294053</v>
      </c>
      <c r="AR860">
        <v>9.8607009926787708</v>
      </c>
      <c r="AS860">
        <v>53.266489847450295</v>
      </c>
      <c r="AT860">
        <v>5.6956759449269816</v>
      </c>
      <c r="AU860">
        <v>-4.3832672886477368</v>
      </c>
      <c r="AV860"/>
      <c r="AW860"/>
      <c r="FY860" s="214">
        <v>855</v>
      </c>
      <c r="FZ860">
        <v>1.0756027099942262</v>
      </c>
      <c r="GA860">
        <v>5.2437388197485113</v>
      </c>
      <c r="GB860">
        <v>2.6707815032504509</v>
      </c>
      <c r="GC860">
        <v>0.87656963099127416</v>
      </c>
      <c r="GD860">
        <v>11.053450594609684</v>
      </c>
      <c r="GE860">
        <v>26.054117083202566</v>
      </c>
      <c r="GF860">
        <v>15.007613443285519</v>
      </c>
      <c r="GG860">
        <v>13.140029673855192</v>
      </c>
      <c r="GH860">
        <v>7.062004549051272</v>
      </c>
      <c r="GI860">
        <v>11.959426334589889</v>
      </c>
      <c r="GJ860"/>
      <c r="GK860"/>
      <c r="GL860"/>
      <c r="GM860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117.61877468353978</v>
      </c>
      <c r="AO861">
        <v>20.213760457733748</v>
      </c>
      <c r="AP861">
        <v>77.563964675257537</v>
      </c>
      <c r="AQ861">
        <v>136.5046451178471</v>
      </c>
      <c r="AR861">
        <v>18.389321332477664</v>
      </c>
      <c r="AS861">
        <v>102.10671595773279</v>
      </c>
      <c r="AT861" t="e">
        <v>#DIV/0!</v>
      </c>
      <c r="AU861" t="e">
        <v>#DIV/0!</v>
      </c>
      <c r="AV861"/>
      <c r="AW861"/>
      <c r="FY861" s="214">
        <v>856</v>
      </c>
      <c r="FZ861">
        <v>1.5887409508736983</v>
      </c>
      <c r="GA861">
        <v>10.944690488763493</v>
      </c>
      <c r="GB861">
        <v>10.504110928505909</v>
      </c>
      <c r="GC861">
        <v>3.5942678614285022</v>
      </c>
      <c r="GD861">
        <v>3.0054952894612397</v>
      </c>
      <c r="GE861">
        <v>8.8633957573364057</v>
      </c>
      <c r="GF861">
        <v>20.901462197445902</v>
      </c>
      <c r="GG861">
        <v>14.259539382171655</v>
      </c>
      <c r="GH861">
        <v>4.2153067693175341</v>
      </c>
      <c r="GI861">
        <v>9.4090982668359882</v>
      </c>
      <c r="GJ861"/>
      <c r="GK861"/>
      <c r="GL861"/>
      <c r="GM861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71.247819391938279</v>
      </c>
      <c r="AO862">
        <v>14.821816420827293</v>
      </c>
      <c r="AP862">
        <v>49.91625104428455</v>
      </c>
      <c r="AQ862">
        <v>97.095827374414696</v>
      </c>
      <c r="AR862">
        <v>13.486909916350584</v>
      </c>
      <c r="AS862">
        <v>69.587271361822189</v>
      </c>
      <c r="AT862" t="e">
        <v>#DIV/0!</v>
      </c>
      <c r="AU862" t="e">
        <v>#DIV/0!</v>
      </c>
      <c r="AV862"/>
      <c r="AW862"/>
      <c r="FY862" s="214">
        <v>857</v>
      </c>
      <c r="FZ862">
        <v>0.46926306557414704</v>
      </c>
      <c r="GA862">
        <v>8.5699031419213032</v>
      </c>
      <c r="GB862">
        <v>6.7131484218138171</v>
      </c>
      <c r="GC862">
        <v>2.0572661365047189</v>
      </c>
      <c r="GD862">
        <v>4.8227176496351722</v>
      </c>
      <c r="GE862">
        <v>14.523754357642078</v>
      </c>
      <c r="GF862">
        <v>16.680779472629823</v>
      </c>
      <c r="GG862">
        <v>17.506774526676981</v>
      </c>
      <c r="GH862">
        <v>14.040260771819263</v>
      </c>
      <c r="GI862">
        <v>10.221919828408298</v>
      </c>
      <c r="GJ862"/>
      <c r="GK862"/>
      <c r="GL862"/>
      <c r="GM862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52.57548135163735</v>
      </c>
      <c r="AO863">
        <v>11.50011199405516</v>
      </c>
      <c r="AP863">
        <v>57.870199224917492</v>
      </c>
      <c r="AQ863">
        <v>66.079172743736933</v>
      </c>
      <c r="AR863">
        <v>10.812698588624642</v>
      </c>
      <c r="AS863">
        <v>51.868800592432692</v>
      </c>
      <c r="AT863">
        <v>5.9838609987983409</v>
      </c>
      <c r="AU863">
        <v>9.4318220497060565</v>
      </c>
      <c r="AV863"/>
      <c r="AW863"/>
      <c r="FY863" s="214">
        <v>858</v>
      </c>
      <c r="FZ863">
        <v>0.66043463045204864</v>
      </c>
      <c r="GA863">
        <v>18.230748020389477</v>
      </c>
      <c r="GB863">
        <v>15.146188021795961</v>
      </c>
      <c r="GC863">
        <v>4.203196523191834</v>
      </c>
      <c r="GD863">
        <v>8.2798154366168184</v>
      </c>
      <c r="GE863">
        <v>19.844232050791337</v>
      </c>
      <c r="GF863">
        <v>14.795721365634943</v>
      </c>
      <c r="GG863">
        <v>7.5067191422455917</v>
      </c>
      <c r="GH863">
        <v>1.7875222031384326</v>
      </c>
      <c r="GI863">
        <v>12.185418622383233</v>
      </c>
      <c r="GJ863"/>
      <c r="GK863"/>
      <c r="GL863"/>
      <c r="GM863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72.558611866277701</v>
      </c>
      <c r="AO864">
        <v>15.066750243633482</v>
      </c>
      <c r="AP864">
        <v>97.818387876759402</v>
      </c>
      <c r="AQ864">
        <v>77.261360287794005</v>
      </c>
      <c r="AR864">
        <v>13.912538200332879</v>
      </c>
      <c r="AS864">
        <v>68.449242208594441</v>
      </c>
      <c r="AT864">
        <v>7.5269093106103115</v>
      </c>
      <c r="AU864">
        <v>18.062254211681577</v>
      </c>
      <c r="AV864"/>
      <c r="AW864"/>
      <c r="FY864" s="214">
        <v>859</v>
      </c>
      <c r="FZ864">
        <v>0.41188802907323274</v>
      </c>
      <c r="GA864">
        <v>15.782153754466945</v>
      </c>
      <c r="GB864">
        <v>10.890335750890234</v>
      </c>
      <c r="GC864">
        <v>2.3806744745599016</v>
      </c>
      <c r="GD864">
        <v>8.8099800980613576</v>
      </c>
      <c r="GE864">
        <v>18.2795654057939</v>
      </c>
      <c r="GF864">
        <v>13.255076602987046</v>
      </c>
      <c r="GG864">
        <v>12.565446021122266</v>
      </c>
      <c r="GH864">
        <v>4.1293904744246639</v>
      </c>
      <c r="GI864">
        <v>11.319379972450372</v>
      </c>
      <c r="GJ864"/>
      <c r="GK864"/>
      <c r="GL864"/>
      <c r="GM864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61.878323545802253</v>
      </c>
      <c r="AO865">
        <v>8.9191763404227622</v>
      </c>
      <c r="AP865">
        <v>33.220203261813346</v>
      </c>
      <c r="AQ865">
        <v>58.389496751023948</v>
      </c>
      <c r="AR865">
        <v>8.2872067608458213</v>
      </c>
      <c r="AS865">
        <v>51.791331557941632</v>
      </c>
      <c r="AT865">
        <v>4.8065693403634446</v>
      </c>
      <c r="AU865">
        <v>0.76133635292019253</v>
      </c>
      <c r="AV865"/>
      <c r="AW865"/>
      <c r="FY865" s="214">
        <v>860</v>
      </c>
      <c r="FZ865">
        <v>0.86154737284096894</v>
      </c>
      <c r="GA865">
        <v>5.7767492963223246</v>
      </c>
      <c r="GB865">
        <v>8.1577097486387551</v>
      </c>
      <c r="GC865">
        <v>3.613100481745489</v>
      </c>
      <c r="GD865">
        <v>4.2619810982479098</v>
      </c>
      <c r="GE865">
        <v>13.814416393273627</v>
      </c>
      <c r="GF865">
        <v>17.650005131511541</v>
      </c>
      <c r="GG865">
        <v>13.281721369674981</v>
      </c>
      <c r="GH865">
        <v>11.750077028842911</v>
      </c>
      <c r="GI865">
        <v>9.9782569111861505</v>
      </c>
      <c r="GJ865"/>
      <c r="GK865"/>
      <c r="GL865"/>
      <c r="GM86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71.495881449999132</v>
      </c>
      <c r="AO866">
        <v>13.966675716050144</v>
      </c>
      <c r="AP866">
        <v>67.365703489864387</v>
      </c>
      <c r="AQ866">
        <v>84.965403362761123</v>
      </c>
      <c r="AR866">
        <v>12.875520501946474</v>
      </c>
      <c r="AS866">
        <v>67.776291748438794</v>
      </c>
      <c r="AT866" t="e">
        <v>#DIV/0!</v>
      </c>
      <c r="AU866" t="e">
        <v>#DIV/0!</v>
      </c>
      <c r="AV866"/>
      <c r="AW866"/>
      <c r="FY866" s="214">
        <v>861</v>
      </c>
      <c r="FZ866">
        <v>0.93214363732184624</v>
      </c>
      <c r="GA866">
        <v>9.5509137791658318</v>
      </c>
      <c r="GB866">
        <v>8.6966304537606192</v>
      </c>
      <c r="GC866">
        <v>3.0825385971888597</v>
      </c>
      <c r="GD866">
        <v>1.7480613180362607</v>
      </c>
      <c r="GE866">
        <v>10.822366469346164</v>
      </c>
      <c r="GF866">
        <v>32.285971959458656</v>
      </c>
      <c r="GG866">
        <v>20.371448994837777</v>
      </c>
      <c r="GH866">
        <v>3.4891281113839954</v>
      </c>
      <c r="GI866">
        <v>10.456275830999127</v>
      </c>
      <c r="GJ866"/>
      <c r="GK866"/>
      <c r="GL866"/>
      <c r="GM866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54.163649091362039</v>
      </c>
      <c r="AO867">
        <v>10.6741328387432</v>
      </c>
      <c r="AP867">
        <v>64.855924108307477</v>
      </c>
      <c r="AQ867">
        <v>64.287526714425852</v>
      </c>
      <c r="AR867">
        <v>9.7284977751302115</v>
      </c>
      <c r="AS867">
        <v>52.219098360332296</v>
      </c>
      <c r="AT867" t="e">
        <v>#DIV/0!</v>
      </c>
      <c r="AU867" t="e">
        <v>#DIV/0!</v>
      </c>
      <c r="AV867"/>
      <c r="AW867"/>
      <c r="FY867" s="214">
        <v>862</v>
      </c>
      <c r="FZ867">
        <v>0.61300077146215293</v>
      </c>
      <c r="GA867">
        <v>9.3038761209831549</v>
      </c>
      <c r="GB867">
        <v>7.1169092001611496</v>
      </c>
      <c r="GC867">
        <v>2.1546558521626431</v>
      </c>
      <c r="GD867">
        <v>6.1700454248556396</v>
      </c>
      <c r="GE867">
        <v>13.85689538310818</v>
      </c>
      <c r="GF867">
        <v>12.571808765875511</v>
      </c>
      <c r="GG867">
        <v>8.5274125968336616</v>
      </c>
      <c r="GH867">
        <v>4.2153067693175341</v>
      </c>
      <c r="GI867">
        <v>8.8357639125515632</v>
      </c>
      <c r="GJ867"/>
      <c r="GK867"/>
      <c r="GL867"/>
      <c r="GM867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88.677106573763069</v>
      </c>
      <c r="AO868">
        <v>23.482229975961296</v>
      </c>
      <c r="AP868">
        <v>126.87061979116601</v>
      </c>
      <c r="AQ868">
        <v>138.32749983981699</v>
      </c>
      <c r="AR868">
        <v>21.716776249895389</v>
      </c>
      <c r="AS868">
        <v>104.04900637201685</v>
      </c>
      <c r="AT868">
        <v>12.287885566680183</v>
      </c>
      <c r="AU868">
        <v>41.4626195852926</v>
      </c>
      <c r="AV868"/>
      <c r="AW868"/>
      <c r="FY868" s="214">
        <v>863</v>
      </c>
      <c r="FZ868">
        <v>0.94180618161723872</v>
      </c>
      <c r="GA868">
        <v>11.187639243591638</v>
      </c>
      <c r="GB868">
        <v>7.1277949058352714</v>
      </c>
      <c r="GC868">
        <v>1.7586831453402008</v>
      </c>
      <c r="GD868">
        <v>8.0126672629896962</v>
      </c>
      <c r="GE868">
        <v>15.336813966105089</v>
      </c>
      <c r="GF868">
        <v>14.550422401201049</v>
      </c>
      <c r="GG868">
        <v>18.269966234835998</v>
      </c>
      <c r="GH868">
        <v>11.193562992085525</v>
      </c>
      <c r="GI868">
        <v>11.341846215852941</v>
      </c>
      <c r="GJ868"/>
      <c r="GK868"/>
      <c r="GL868"/>
      <c r="GM868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103.65830543984991</v>
      </c>
      <c r="AO869">
        <v>18.093223277636291</v>
      </c>
      <c r="AP869">
        <v>87.92391085308499</v>
      </c>
      <c r="AQ869">
        <v>112.91150630324336</v>
      </c>
      <c r="AR869">
        <v>16.651668025115718</v>
      </c>
      <c r="AS869">
        <v>94.902716298453655</v>
      </c>
      <c r="AT869">
        <v>9.5568422304665273</v>
      </c>
      <c r="AU869">
        <v>6.4246133537196917</v>
      </c>
      <c r="AV869"/>
      <c r="AW869"/>
      <c r="FY869" s="214">
        <v>864</v>
      </c>
      <c r="FZ869">
        <v>0.76640102164555124</v>
      </c>
      <c r="GA869">
        <v>2.6750018067459047</v>
      </c>
      <c r="GB869">
        <v>3.8034084400842607</v>
      </c>
      <c r="GC869">
        <v>2.4170049617943965</v>
      </c>
      <c r="GD869">
        <v>8.5229789294680298</v>
      </c>
      <c r="GE869">
        <v>16.769231175021712</v>
      </c>
      <c r="GF869">
        <v>11.239639470359506</v>
      </c>
      <c r="GG869">
        <v>11.878547073927363</v>
      </c>
      <c r="GH869">
        <v>5.9169126775630962</v>
      </c>
      <c r="GI869">
        <v>9.3393381454201858</v>
      </c>
      <c r="GJ869"/>
      <c r="GK869"/>
      <c r="GL869"/>
      <c r="GM869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84.213515882701955</v>
      </c>
      <c r="AO870">
        <v>15.396494860136267</v>
      </c>
      <c r="AP870">
        <v>86.183132299241066</v>
      </c>
      <c r="AQ870">
        <v>86.865291360592337</v>
      </c>
      <c r="AR870">
        <v>14.009344861176924</v>
      </c>
      <c r="AS870">
        <v>77.261793620506694</v>
      </c>
      <c r="AT870" t="e">
        <v>#DIV/0!</v>
      </c>
      <c r="AU870" t="e">
        <v>#DIV/0!</v>
      </c>
      <c r="AV870"/>
      <c r="AW870"/>
      <c r="FY870" s="214">
        <v>865</v>
      </c>
      <c r="FZ870">
        <v>1.2632155911875571</v>
      </c>
      <c r="GA870">
        <v>4.1510538145171587</v>
      </c>
      <c r="GB870">
        <v>8.4948076783400666</v>
      </c>
      <c r="GC870">
        <v>4.2717232596116101</v>
      </c>
      <c r="GD870">
        <v>7.9360517371157249</v>
      </c>
      <c r="GE870">
        <v>18.652505280100044</v>
      </c>
      <c r="GF870">
        <v>15.903693334148915</v>
      </c>
      <c r="GG870">
        <v>9.4706823444786181</v>
      </c>
      <c r="GH870">
        <v>8.3748326283281188E-2</v>
      </c>
      <c r="GI870">
        <v>10.163238195610456</v>
      </c>
      <c r="GJ870"/>
      <c r="GK870"/>
      <c r="GL870"/>
      <c r="GM870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77.694062098210011</v>
      </c>
      <c r="AO871">
        <v>18.739566907789499</v>
      </c>
      <c r="AP871">
        <v>159.82831635632473</v>
      </c>
      <c r="AQ871">
        <v>94.143334342578584</v>
      </c>
      <c r="AR871">
        <v>17.036291971096514</v>
      </c>
      <c r="AS871">
        <v>81.854924001668891</v>
      </c>
      <c r="AT871" t="e">
        <v>#DIV/0!</v>
      </c>
      <c r="AU871" t="e">
        <v>#DIV/0!</v>
      </c>
      <c r="AV871"/>
      <c r="AW871"/>
      <c r="FY871" s="214">
        <v>866</v>
      </c>
      <c r="FZ871">
        <v>0.86838610699448437</v>
      </c>
      <c r="GA871">
        <v>13.764857483129321</v>
      </c>
      <c r="GB871">
        <v>9.2595479170460795</v>
      </c>
      <c r="GC871">
        <v>1.8166074237929997</v>
      </c>
      <c r="GD871">
        <v>6.6775485255160607</v>
      </c>
      <c r="GE871">
        <v>22.955166943429045</v>
      </c>
      <c r="GF871">
        <v>25.10732065962393</v>
      </c>
      <c r="GG871">
        <v>9.497215342634453</v>
      </c>
      <c r="GH871">
        <v>4.7718208060749214</v>
      </c>
      <c r="GI871">
        <v>12.178375361939304</v>
      </c>
      <c r="GJ871"/>
      <c r="GK871"/>
      <c r="GL871"/>
      <c r="GM871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61.567859761607657</v>
      </c>
      <c r="AO872">
        <v>14.052366292406779</v>
      </c>
      <c r="AP872">
        <v>47.033275808793924</v>
      </c>
      <c r="AQ872">
        <v>87.286107892140322</v>
      </c>
      <c r="AR872">
        <v>13.168591495285247</v>
      </c>
      <c r="AS872">
        <v>72.31386734140942</v>
      </c>
      <c r="AT872">
        <v>7.9387040323911711</v>
      </c>
      <c r="AU872">
        <v>1.8500572807681237</v>
      </c>
      <c r="AV872"/>
      <c r="AW872"/>
      <c r="FY872" s="214">
        <v>867</v>
      </c>
      <c r="FZ872">
        <v>1.129697696026196</v>
      </c>
      <c r="GA872">
        <v>4.7139734096683634</v>
      </c>
      <c r="GB872">
        <v>5.3886530420205911</v>
      </c>
      <c r="GC872">
        <v>2.4060096633023882</v>
      </c>
      <c r="GD872">
        <v>6.0048952326486287</v>
      </c>
      <c r="GE872">
        <v>11.409830873514359</v>
      </c>
      <c r="GF872">
        <v>16.456617814105776</v>
      </c>
      <c r="GG872">
        <v>20.361153152654147</v>
      </c>
      <c r="GH872">
        <v>7.6185185858086601</v>
      </c>
      <c r="GI872">
        <v>9.6344330360001855</v>
      </c>
      <c r="GJ872"/>
      <c r="GK872"/>
      <c r="GL872"/>
      <c r="GM872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78.776906840092508</v>
      </c>
      <c r="AO873">
        <v>15.776390053792849</v>
      </c>
      <c r="AP873">
        <v>66.727992882661255</v>
      </c>
      <c r="AQ873">
        <v>95.605787372625613</v>
      </c>
      <c r="AR873">
        <v>14.354382073213213</v>
      </c>
      <c r="AS873">
        <v>74.574227710722369</v>
      </c>
      <c r="AT873" t="e">
        <v>#DIV/0!</v>
      </c>
      <c r="AU873" t="e">
        <v>#DIV/0!</v>
      </c>
      <c r="AV873"/>
      <c r="AW873"/>
      <c r="FY873" s="214">
        <v>868</v>
      </c>
      <c r="FZ873">
        <v>0.8516061953299503</v>
      </c>
      <c r="GA873">
        <v>4.7972070492852543</v>
      </c>
      <c r="GB873">
        <v>6.0133254471568902</v>
      </c>
      <c r="GC873">
        <v>3.4406044787229</v>
      </c>
      <c r="GD873">
        <v>5.5010392588166592</v>
      </c>
      <c r="GE873">
        <v>13.455310385065754</v>
      </c>
      <c r="GF873">
        <v>17.914850267510516</v>
      </c>
      <c r="GG873">
        <v>15.528166495167769</v>
      </c>
      <c r="GH873">
        <v>7.5347702595253789</v>
      </c>
      <c r="GI873">
        <v>9.5511721316862523</v>
      </c>
      <c r="GJ873"/>
      <c r="GK873"/>
      <c r="GL873"/>
      <c r="GM873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95.79554733286453</v>
      </c>
      <c r="AO874">
        <v>18.577862274647099</v>
      </c>
      <c r="AP874">
        <v>134.29590949272341</v>
      </c>
      <c r="AQ874">
        <v>102.63999601663969</v>
      </c>
      <c r="AR874">
        <v>17.067508282489158</v>
      </c>
      <c r="AS874">
        <v>91.378436665462871</v>
      </c>
      <c r="AT874" t="e">
        <v>#DIV/0!</v>
      </c>
      <c r="AU874" t="e">
        <v>#DIV/0!</v>
      </c>
      <c r="AV874"/>
      <c r="AW874"/>
      <c r="FY874" s="214">
        <v>869</v>
      </c>
      <c r="FZ874">
        <v>0.41188802907323274</v>
      </c>
      <c r="GA874">
        <v>7.3125477841868483</v>
      </c>
      <c r="GB874">
        <v>9.3540028252271981</v>
      </c>
      <c r="GC874">
        <v>4.2201726377256197</v>
      </c>
      <c r="GD874">
        <v>8.458298630453104</v>
      </c>
      <c r="GE874">
        <v>22.043253691092186</v>
      </c>
      <c r="GF874">
        <v>19.398443510057653</v>
      </c>
      <c r="GG874">
        <v>11.55820032578818</v>
      </c>
      <c r="GH874">
        <v>7.7881832069848107</v>
      </c>
      <c r="GI874">
        <v>12.690501716759229</v>
      </c>
      <c r="GJ874"/>
      <c r="GK874"/>
      <c r="GL874"/>
      <c r="GM874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84.148304442450353</v>
      </c>
      <c r="AO875">
        <v>17.290813801543109</v>
      </c>
      <c r="AP875">
        <v>80.777803618562274</v>
      </c>
      <c r="AQ875">
        <v>97.823890583829936</v>
      </c>
      <c r="AR875">
        <v>15.731130934804359</v>
      </c>
      <c r="AS875">
        <v>85.085746102825851</v>
      </c>
      <c r="AT875" t="e">
        <v>#DIV/0!</v>
      </c>
      <c r="AU875" t="e">
        <v>#DIV/0!</v>
      </c>
      <c r="AV875"/>
      <c r="AW875"/>
      <c r="FY875" s="214">
        <v>870</v>
      </c>
      <c r="FZ875">
        <v>7.4154948165448376E-2</v>
      </c>
      <c r="GA875">
        <v>23.28116211264491</v>
      </c>
      <c r="GB875">
        <v>13.99198107529231</v>
      </c>
      <c r="GC875">
        <v>1.90709557078546</v>
      </c>
      <c r="GD875">
        <v>8.0018481863620874</v>
      </c>
      <c r="GE875">
        <v>19.137615533414273</v>
      </c>
      <c r="GF875">
        <v>16.906888356505259</v>
      </c>
      <c r="GG875">
        <v>9.369186981624857</v>
      </c>
      <c r="GH875">
        <v>1.8712705294217138</v>
      </c>
      <c r="GI875">
        <v>11.846654482377931</v>
      </c>
      <c r="GJ875"/>
      <c r="GK875"/>
      <c r="GL875"/>
      <c r="GM87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69.106780611535058</v>
      </c>
      <c r="AO876">
        <v>14.875643511456399</v>
      </c>
      <c r="AP876">
        <v>54.037027428144903</v>
      </c>
      <c r="AQ876">
        <v>89.145564832284649</v>
      </c>
      <c r="AR876">
        <v>13.892606736709116</v>
      </c>
      <c r="AS876">
        <v>71.205204185526313</v>
      </c>
      <c r="AT876">
        <v>8.1047223498092222</v>
      </c>
      <c r="AU876">
        <v>13.76059365882195</v>
      </c>
      <c r="AV876"/>
      <c r="AW876"/>
      <c r="FY876" s="214">
        <v>871</v>
      </c>
      <c r="FZ876">
        <v>1.2038526441916442</v>
      </c>
      <c r="GA876">
        <v>4.9896883252382143</v>
      </c>
      <c r="GB876">
        <v>10.628840049284811</v>
      </c>
      <c r="GC876">
        <v>5.3264001344442145</v>
      </c>
      <c r="GD876">
        <v>13.223973694765968</v>
      </c>
      <c r="GE876">
        <v>29.623028436500789</v>
      </c>
      <c r="GF876">
        <v>12.939372900974799</v>
      </c>
      <c r="GG876">
        <v>6.8274976994637928</v>
      </c>
      <c r="GH876">
        <v>4.3828034218840966</v>
      </c>
      <c r="GI876">
        <v>14.163665650846122</v>
      </c>
      <c r="GJ876"/>
      <c r="GK876"/>
      <c r="GL876"/>
      <c r="GM876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75.962218891042696</v>
      </c>
      <c r="AO877">
        <v>16.401878984729745</v>
      </c>
      <c r="AP877">
        <v>83.402076830768024</v>
      </c>
      <c r="AQ877">
        <v>101.43547915149914</v>
      </c>
      <c r="AR877">
        <v>14.93553972602707</v>
      </c>
      <c r="AS877">
        <v>77.816162521240983</v>
      </c>
      <c r="AT877" t="e">
        <v>#DIV/0!</v>
      </c>
      <c r="AU877" t="e">
        <v>#DIV/0!</v>
      </c>
      <c r="AV877"/>
      <c r="AW877"/>
      <c r="FY877" s="214">
        <v>872</v>
      </c>
      <c r="FZ877">
        <v>0.87476860082093211</v>
      </c>
      <c r="GA877">
        <v>16.910676572731557</v>
      </c>
      <c r="GB877">
        <v>14.750803241268528</v>
      </c>
      <c r="GC877">
        <v>4.1910184059131694</v>
      </c>
      <c r="GD877">
        <v>2.0529277177805838</v>
      </c>
      <c r="GE877">
        <v>7.3644235660764243</v>
      </c>
      <c r="GF877">
        <v>16.272396000219359</v>
      </c>
      <c r="GG877">
        <v>14.890850548206458</v>
      </c>
      <c r="GH877">
        <v>11.193562992085525</v>
      </c>
      <c r="GI877">
        <v>10.191533068430019</v>
      </c>
      <c r="GJ877"/>
      <c r="GK877"/>
      <c r="GL877"/>
      <c r="GM877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60.433199710850275</v>
      </c>
      <c r="AO878">
        <v>13.268054865719733</v>
      </c>
      <c r="AP878">
        <v>49.177355893828889</v>
      </c>
      <c r="AQ878">
        <v>73.365674797311186</v>
      </c>
      <c r="AR878">
        <v>12.431162513312145</v>
      </c>
      <c r="AS878">
        <v>60.614410266242885</v>
      </c>
      <c r="AT878">
        <v>6.7025717057635958</v>
      </c>
      <c r="AU878">
        <v>9.1778976696833645</v>
      </c>
      <c r="AV878"/>
      <c r="AW878"/>
      <c r="FY878" s="214">
        <v>873</v>
      </c>
      <c r="FZ878">
        <v>0.59695573334031282</v>
      </c>
      <c r="GA878">
        <v>11.241397851138345</v>
      </c>
      <c r="GB878">
        <v>7.3728777508996703</v>
      </c>
      <c r="GC878">
        <v>1.5804673849623303</v>
      </c>
      <c r="GD878">
        <v>3.880173983504839</v>
      </c>
      <c r="GE878">
        <v>17.736906454642995</v>
      </c>
      <c r="GF878">
        <v>28.183770423229539</v>
      </c>
      <c r="GG878">
        <v>15.289798923507242</v>
      </c>
      <c r="GH878">
        <v>7.1457528753345532</v>
      </c>
      <c r="GI878">
        <v>10.710331248386508</v>
      </c>
      <c r="GJ878"/>
      <c r="GK878"/>
      <c r="GL878"/>
      <c r="GM878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70.391550217543141</v>
      </c>
      <c r="AO879">
        <v>16.929458473104983</v>
      </c>
      <c r="AP879">
        <v>100.61013718148028</v>
      </c>
      <c r="AQ879">
        <v>99.721202549454659</v>
      </c>
      <c r="AR879">
        <v>15.760033302222984</v>
      </c>
      <c r="AS879">
        <v>77.104564193289306</v>
      </c>
      <c r="AT879">
        <v>9.5458564666617036</v>
      </c>
      <c r="AU879">
        <v>11.68412616812283</v>
      </c>
      <c r="AV879"/>
      <c r="AW879"/>
      <c r="FY879" s="214">
        <v>874</v>
      </c>
      <c r="FZ879">
        <v>1.4072319302911891</v>
      </c>
      <c r="GA879">
        <v>5.1101393583970411</v>
      </c>
      <c r="GB879">
        <v>3.7397594447384543</v>
      </c>
      <c r="GC879">
        <v>1.8554762910306013</v>
      </c>
      <c r="GD879">
        <v>2.7910296556536922</v>
      </c>
      <c r="GE879">
        <v>11.709564219239976</v>
      </c>
      <c r="GF879">
        <v>24.486285109262496</v>
      </c>
      <c r="GG879">
        <v>17.787073680714762</v>
      </c>
      <c r="GH879">
        <v>9.962554825704478</v>
      </c>
      <c r="GI879">
        <v>9.1608777925967679</v>
      </c>
      <c r="GJ879"/>
      <c r="GK879"/>
      <c r="GL879"/>
      <c r="GM879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65.182241078694275</v>
      </c>
      <c r="AO880">
        <v>14.113720672837008</v>
      </c>
      <c r="AP880">
        <v>95.093177643907666</v>
      </c>
      <c r="AQ880">
        <v>73.328463702030007</v>
      </c>
      <c r="AR880">
        <v>13.009197735389073</v>
      </c>
      <c r="AS880">
        <v>66.597710042173333</v>
      </c>
      <c r="AT880" t="e">
        <v>#DIV/0!</v>
      </c>
      <c r="AU880" t="e">
        <v>#DIV/0!</v>
      </c>
      <c r="AV880"/>
      <c r="AW880"/>
      <c r="FY880" s="214">
        <v>875</v>
      </c>
      <c r="FZ880">
        <v>0.46926306557414704</v>
      </c>
      <c r="GA880">
        <v>6.1525125852607569</v>
      </c>
      <c r="GB880">
        <v>4.6412066644796113</v>
      </c>
      <c r="GC880">
        <v>1.9811319714996665</v>
      </c>
      <c r="GD880">
        <v>10.436767673434595</v>
      </c>
      <c r="GE880">
        <v>23.579581142783013</v>
      </c>
      <c r="GF880">
        <v>23.45117600748064</v>
      </c>
      <c r="GG880">
        <v>15.670473921647748</v>
      </c>
      <c r="GH880">
        <v>2.038767181988276</v>
      </c>
      <c r="GI880">
        <v>12.540345256982519</v>
      </c>
      <c r="GJ880"/>
      <c r="GK880"/>
      <c r="GL880"/>
      <c r="GM880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73.924661122007564</v>
      </c>
      <c r="AO881">
        <v>15.547652750737138</v>
      </c>
      <c r="AP881">
        <v>84.112843281142204</v>
      </c>
      <c r="AQ881">
        <v>80.390719561393439</v>
      </c>
      <c r="AR881">
        <v>14.146439070435287</v>
      </c>
      <c r="AS881">
        <v>74.33748114606685</v>
      </c>
      <c r="AT881" t="e">
        <v>#DIV/0!</v>
      </c>
      <c r="AU881" t="e">
        <v>#DIV/0!</v>
      </c>
      <c r="AV881"/>
      <c r="AW881"/>
      <c r="FY881" s="214">
        <v>876</v>
      </c>
      <c r="FZ881">
        <v>0.54924324113479095</v>
      </c>
      <c r="GA881">
        <v>16.041850352238008</v>
      </c>
      <c r="GB881">
        <v>13.302962552825534</v>
      </c>
      <c r="GC881">
        <v>3.3816364880004581</v>
      </c>
      <c r="GD881">
        <v>5.0310604281925437</v>
      </c>
      <c r="GE881">
        <v>16.797965059117015</v>
      </c>
      <c r="GF881">
        <v>19.06216444624128</v>
      </c>
      <c r="GG881">
        <v>9.6629428255059242</v>
      </c>
      <c r="GH881">
        <v>7.6206865544182483</v>
      </c>
      <c r="GI881">
        <v>11.295310304402552</v>
      </c>
      <c r="GJ881"/>
      <c r="GK881"/>
      <c r="GL881"/>
      <c r="GM881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98.910443024738143</v>
      </c>
      <c r="AO882">
        <v>18.387586134047464</v>
      </c>
      <c r="AP882">
        <v>102.65406491172443</v>
      </c>
      <c r="AQ882">
        <v>106.89684657018059</v>
      </c>
      <c r="AR882">
        <v>17.085925958004022</v>
      </c>
      <c r="AS882">
        <v>87.709190434112557</v>
      </c>
      <c r="AT882">
        <v>9.159340790527116</v>
      </c>
      <c r="AU882">
        <v>36.84562758304898</v>
      </c>
      <c r="AV882"/>
      <c r="AW882"/>
      <c r="FY882" s="214">
        <v>877</v>
      </c>
      <c r="FZ882">
        <v>1.2198976823134842</v>
      </c>
      <c r="GA882">
        <v>17.829970272100283</v>
      </c>
      <c r="GB882">
        <v>15.613307649820666</v>
      </c>
      <c r="GC882">
        <v>4.555627790378975</v>
      </c>
      <c r="GD882">
        <v>8.0246518835041751</v>
      </c>
      <c r="GE882">
        <v>15.21102108515548</v>
      </c>
      <c r="GF882">
        <v>11.747047990548666</v>
      </c>
      <c r="GG882">
        <v>10.910307105471047</v>
      </c>
      <c r="GH882">
        <v>5.5300632619818613</v>
      </c>
      <c r="GI882">
        <v>12.252835937625157</v>
      </c>
      <c r="GJ882"/>
      <c r="GK882"/>
      <c r="GL882"/>
      <c r="GM882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59.080594971038934</v>
      </c>
      <c r="AO883">
        <v>14.816875895062202</v>
      </c>
      <c r="AP883">
        <v>108.46030560256766</v>
      </c>
      <c r="AQ883">
        <v>85.12378250574929</v>
      </c>
      <c r="AR883">
        <v>13.530933662518738</v>
      </c>
      <c r="AS883">
        <v>64.050417864758643</v>
      </c>
      <c r="AT883" t="e">
        <v>#DIV/0!</v>
      </c>
      <c r="AU883" t="e">
        <v>#DIV/0!</v>
      </c>
      <c r="AV883"/>
      <c r="AW883"/>
      <c r="FY883" s="214">
        <v>878</v>
      </c>
      <c r="FZ883">
        <v>0.98641623046525795</v>
      </c>
      <c r="GA883">
        <v>2.9390955939502539</v>
      </c>
      <c r="GB883">
        <v>5.9127346875863953</v>
      </c>
      <c r="GC883">
        <v>3.1706807376169537</v>
      </c>
      <c r="GD883">
        <v>4.2027730642444991</v>
      </c>
      <c r="GE883">
        <v>8.5059461219023085</v>
      </c>
      <c r="GF883">
        <v>11.453515822813269</v>
      </c>
      <c r="GG883">
        <v>12.485549649270226</v>
      </c>
      <c r="GH883">
        <v>3.5728764376672766</v>
      </c>
      <c r="GI883">
        <v>7.2317662083538172</v>
      </c>
      <c r="GJ883"/>
      <c r="GK883"/>
      <c r="GL883"/>
      <c r="GM883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66.875498874313593</v>
      </c>
      <c r="AO884">
        <v>14.611342556216993</v>
      </c>
      <c r="AP884">
        <v>62.911588311012579</v>
      </c>
      <c r="AQ884">
        <v>84.588051968267322</v>
      </c>
      <c r="AR884">
        <v>13.283038687469995</v>
      </c>
      <c r="AS884">
        <v>70.82597872281012</v>
      </c>
      <c r="AT884" t="e">
        <v>#DIV/0!</v>
      </c>
      <c r="AU884" t="e">
        <v>#DIV/0!</v>
      </c>
      <c r="AV884"/>
      <c r="AW884"/>
      <c r="FY884" s="214">
        <v>879</v>
      </c>
      <c r="FZ884">
        <v>0.86154737284096894</v>
      </c>
      <c r="GA884">
        <v>16.753737671174925</v>
      </c>
      <c r="GB884">
        <v>8.6532719092915844</v>
      </c>
      <c r="GC884">
        <v>1.1589663746035905</v>
      </c>
      <c r="GD884">
        <v>1.1398265061525108</v>
      </c>
      <c r="GE884">
        <v>7.3577399120283378</v>
      </c>
      <c r="GF884">
        <v>15.357194130822746</v>
      </c>
      <c r="GG884">
        <v>7.9739406754832913</v>
      </c>
      <c r="GH884">
        <v>4.6021561848987709</v>
      </c>
      <c r="GI884">
        <v>6.5598480722054351</v>
      </c>
      <c r="GJ884"/>
      <c r="GK884"/>
      <c r="GL884"/>
      <c r="GM884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80.332059220635145</v>
      </c>
      <c r="AO885">
        <v>19.257410696744117</v>
      </c>
      <c r="AP885">
        <v>94.065544746681866</v>
      </c>
      <c r="AQ885">
        <v>103.23549235734805</v>
      </c>
      <c r="AR885">
        <v>17.863822153569149</v>
      </c>
      <c r="AS885">
        <v>90.212512885224342</v>
      </c>
      <c r="AT885" t="e">
        <v>#DIV/0!</v>
      </c>
      <c r="AU885" t="e">
        <v>#DIV/0!</v>
      </c>
      <c r="AV885"/>
      <c r="AW885"/>
      <c r="FY885" s="214">
        <v>880</v>
      </c>
      <c r="FZ885">
        <v>0.60689691085133135</v>
      </c>
      <c r="GA885">
        <v>5.67985231349589</v>
      </c>
      <c r="GB885">
        <v>5.8535002959262616</v>
      </c>
      <c r="GC885">
        <v>2.5237355315528855</v>
      </c>
      <c r="GD885">
        <v>8.2762073940376109</v>
      </c>
      <c r="GE885">
        <v>19.593994157480427</v>
      </c>
      <c r="GF885">
        <v>15.55776853792268</v>
      </c>
      <c r="GG885">
        <v>14.52568865442846</v>
      </c>
      <c r="GH885">
        <v>13.453850905698063</v>
      </c>
      <c r="GI885">
        <v>11.89543073218986</v>
      </c>
      <c r="GJ885"/>
      <c r="GK885"/>
      <c r="GL885"/>
      <c r="GM88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96.138063434323556</v>
      </c>
      <c r="AO886">
        <v>17.835534660947793</v>
      </c>
      <c r="AP886">
        <v>77.302821288586742</v>
      </c>
      <c r="AQ886">
        <v>106.38785777659423</v>
      </c>
      <c r="AR886">
        <v>16.393309107156455</v>
      </c>
      <c r="AS886">
        <v>91.420797695816177</v>
      </c>
      <c r="AT886">
        <v>9.5496750629333516</v>
      </c>
      <c r="AU886">
        <v>0.42513765079267868</v>
      </c>
      <c r="AV886"/>
      <c r="AW886"/>
      <c r="FY886" s="214">
        <v>881</v>
      </c>
      <c r="FZ886">
        <v>0.48248429355411027</v>
      </c>
      <c r="GA886">
        <v>4.4811773929982648</v>
      </c>
      <c r="GB886">
        <v>2.5865488378518542</v>
      </c>
      <c r="GC886">
        <v>0.93066563444235095</v>
      </c>
      <c r="GD886">
        <v>9.3722209793930684</v>
      </c>
      <c r="GE886">
        <v>22.714144170896123</v>
      </c>
      <c r="GF886">
        <v>16.279318342923183</v>
      </c>
      <c r="GG886">
        <v>8.9120744126532294</v>
      </c>
      <c r="GH886">
        <v>2.5952812187456633</v>
      </c>
      <c r="GI886">
        <v>10.099140529965467</v>
      </c>
      <c r="GJ886"/>
      <c r="GK886"/>
      <c r="GL886"/>
      <c r="GM886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95.95786151285661</v>
      </c>
      <c r="AO887">
        <v>21.346945342728041</v>
      </c>
      <c r="AP887">
        <v>120.00510575984354</v>
      </c>
      <c r="AQ887">
        <v>103.30912295759445</v>
      </c>
      <c r="AR887">
        <v>19.788461808387893</v>
      </c>
      <c r="AS887">
        <v>100.36504007979568</v>
      </c>
      <c r="AT887">
        <v>10.221723591016483</v>
      </c>
      <c r="AU887">
        <v>-1.1903617709253871</v>
      </c>
      <c r="AV887"/>
      <c r="AW887"/>
      <c r="FY887" s="214">
        <v>882</v>
      </c>
      <c r="FZ887">
        <v>1.2160603654132871</v>
      </c>
      <c r="GA887">
        <v>17.860174829314598</v>
      </c>
      <c r="GB887">
        <v>12.535946385603228</v>
      </c>
      <c r="GC887">
        <v>2.8304571322109258</v>
      </c>
      <c r="GD887">
        <v>9.0650024034526311</v>
      </c>
      <c r="GE887">
        <v>22.064900546701455</v>
      </c>
      <c r="GF887">
        <v>14.821958789509605</v>
      </c>
      <c r="GG887">
        <v>6.7103820858014309</v>
      </c>
      <c r="GH887">
        <v>3.6587927325601464</v>
      </c>
      <c r="GI887">
        <v>12.230107416458228</v>
      </c>
      <c r="GJ887"/>
      <c r="GK887"/>
      <c r="GL887"/>
      <c r="GM887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71.121055913037608</v>
      </c>
      <c r="AO888">
        <v>15.432345250788348</v>
      </c>
      <c r="AP888">
        <v>57.544275729830005</v>
      </c>
      <c r="AQ888">
        <v>98.692960713532571</v>
      </c>
      <c r="AR888">
        <v>14.411230578973022</v>
      </c>
      <c r="AS888">
        <v>72.194021536471283</v>
      </c>
      <c r="AT888">
        <v>8.1030547406279272</v>
      </c>
      <c r="AU888">
        <v>12.53661939330744</v>
      </c>
      <c r="AV888"/>
      <c r="AW888"/>
      <c r="FY888" s="214">
        <v>883</v>
      </c>
      <c r="FZ888">
        <v>0.67009717474744113</v>
      </c>
      <c r="GA888">
        <v>17.215502832195785</v>
      </c>
      <c r="GB888">
        <v>11.163976378113752</v>
      </c>
      <c r="GC888">
        <v>2.1285987935024075</v>
      </c>
      <c r="GD888">
        <v>5.5457987277886458</v>
      </c>
      <c r="GE888">
        <v>12.650533936929728</v>
      </c>
      <c r="GF888">
        <v>14.051986091678101</v>
      </c>
      <c r="GG888">
        <v>15.109701933491877</v>
      </c>
      <c r="GH888">
        <v>11.109814665802244</v>
      </c>
      <c r="GI888">
        <v>10.809710663813339</v>
      </c>
      <c r="GJ888"/>
      <c r="GK888"/>
      <c r="GL888"/>
      <c r="GM888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94.409610559030938</v>
      </c>
      <c r="AO889">
        <v>16.307265819579609</v>
      </c>
      <c r="AP889">
        <v>69.497803591537163</v>
      </c>
      <c r="AQ889">
        <v>103.73843262894634</v>
      </c>
      <c r="AR889">
        <v>14.837318460670867</v>
      </c>
      <c r="AS889">
        <v>85.33538133614806</v>
      </c>
      <c r="AT889" t="e">
        <v>#DIV/0!</v>
      </c>
      <c r="AU889" t="e">
        <v>#DIV/0!</v>
      </c>
      <c r="AV889"/>
      <c r="AW889"/>
      <c r="FY889" s="214">
        <v>884</v>
      </c>
      <c r="FZ889">
        <v>0.47966048341223344</v>
      </c>
      <c r="GA889">
        <v>16.55993572433297</v>
      </c>
      <c r="GB889">
        <v>19.078762062018981</v>
      </c>
      <c r="GC889">
        <v>6.6582368072894118</v>
      </c>
      <c r="GD889">
        <v>6.1293484502830555</v>
      </c>
      <c r="GE889">
        <v>15.485427017913381</v>
      </c>
      <c r="GF889">
        <v>18.481896295220047</v>
      </c>
      <c r="GG889">
        <v>11.740382161654423</v>
      </c>
      <c r="GH889">
        <v>2.5952812187456633</v>
      </c>
      <c r="GI889">
        <v>12.801551321489008</v>
      </c>
      <c r="GJ889"/>
      <c r="GK889"/>
      <c r="GL889"/>
      <c r="GM889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70.60180501539233</v>
      </c>
      <c r="AO890">
        <v>13.91491623582562</v>
      </c>
      <c r="AP890">
        <v>64.392823197946214</v>
      </c>
      <c r="AQ890">
        <v>88.009992307629446</v>
      </c>
      <c r="AR890">
        <v>12.852885023090872</v>
      </c>
      <c r="AS890">
        <v>68.089649229527282</v>
      </c>
      <c r="AT890">
        <v>7.7778474224045402</v>
      </c>
      <c r="AU890">
        <v>41.629784303650375</v>
      </c>
      <c r="AV890"/>
      <c r="AW890"/>
      <c r="FY890" s="214">
        <v>885</v>
      </c>
      <c r="FZ890">
        <v>1.4146279308759568</v>
      </c>
      <c r="GA890">
        <v>11.68510734576912</v>
      </c>
      <c r="GB890">
        <v>7.9631741043786235</v>
      </c>
      <c r="GC890">
        <v>2.2041777342201003</v>
      </c>
      <c r="GD890">
        <v>4.3925276994580784</v>
      </c>
      <c r="GE890">
        <v>10.004907284391683</v>
      </c>
      <c r="GF890">
        <v>10.132301121044389</v>
      </c>
      <c r="GG890">
        <v>12.30790378228564</v>
      </c>
      <c r="GH890">
        <v>8.0912842962827654</v>
      </c>
      <c r="GI890">
        <v>8.2212664652415413</v>
      </c>
      <c r="GJ890"/>
      <c r="GK890"/>
      <c r="GL890"/>
      <c r="GM890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77.23328418497087</v>
      </c>
      <c r="AO891">
        <v>19.160290530682666</v>
      </c>
      <c r="AP891">
        <v>98.91905461786537</v>
      </c>
      <c r="AQ891">
        <v>100.96122547113099</v>
      </c>
      <c r="AR891">
        <v>17.609197812286656</v>
      </c>
      <c r="AS891">
        <v>87.544517407504429</v>
      </c>
      <c r="AT891">
        <v>9.9575593346022728</v>
      </c>
      <c r="AU891">
        <v>13.83322404240001</v>
      </c>
      <c r="AV891"/>
      <c r="AW891"/>
      <c r="FY891" s="214">
        <v>886</v>
      </c>
      <c r="FZ891">
        <v>0.75063461673933718</v>
      </c>
      <c r="GA891">
        <v>11.772779370744413</v>
      </c>
      <c r="GB891">
        <v>7.5721401596674713</v>
      </c>
      <c r="GC891">
        <v>1.6675991594873072</v>
      </c>
      <c r="GD891">
        <v>2.7330253748078199</v>
      </c>
      <c r="GE891">
        <v>10.355310029444796</v>
      </c>
      <c r="GF891">
        <v>19.272502101831044</v>
      </c>
      <c r="GG891">
        <v>9.2998038859953844</v>
      </c>
      <c r="GH891">
        <v>0</v>
      </c>
      <c r="GI891">
        <v>7.3990177567243931</v>
      </c>
      <c r="GJ891"/>
      <c r="GK891"/>
      <c r="GL891"/>
      <c r="GM891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87.667490169573455</v>
      </c>
      <c r="AO892">
        <v>16.87081418158655</v>
      </c>
      <c r="AP892">
        <v>62.337615283291186</v>
      </c>
      <c r="AQ892">
        <v>102.74582225207635</v>
      </c>
      <c r="AR892">
        <v>15.694511012895605</v>
      </c>
      <c r="AS892">
        <v>84.5806274468016</v>
      </c>
      <c r="AT892">
        <v>8.654397029478492</v>
      </c>
      <c r="AU892">
        <v>-3.3713580992350267</v>
      </c>
      <c r="AV892"/>
      <c r="AW892"/>
      <c r="FY892" s="214">
        <v>887</v>
      </c>
      <c r="FZ892">
        <v>0.54924324113479095</v>
      </c>
      <c r="GA892">
        <v>18.72680177572645</v>
      </c>
      <c r="GB892">
        <v>9.9933735049121104</v>
      </c>
      <c r="GC892">
        <v>1.3387008085315488</v>
      </c>
      <c r="GD892">
        <v>11.539014669836178</v>
      </c>
      <c r="GE892">
        <v>30.687328048838427</v>
      </c>
      <c r="GF892">
        <v>22.060078926479015</v>
      </c>
      <c r="GG892">
        <v>7.7048975169674403</v>
      </c>
      <c r="GH892">
        <v>0</v>
      </c>
      <c r="GI892">
        <v>14.007752097010036</v>
      </c>
      <c r="GJ892"/>
      <c r="GK892"/>
      <c r="GL892"/>
      <c r="GM892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81.235341814226032</v>
      </c>
      <c r="AO893">
        <v>18.258683425545478</v>
      </c>
      <c r="AP893">
        <v>296.51748712027904</v>
      </c>
      <c r="AQ893">
        <v>102.89473065889979</v>
      </c>
      <c r="AR893">
        <v>17.159171497925847</v>
      </c>
      <c r="AS893">
        <v>86.590032513398853</v>
      </c>
      <c r="AT893" t="e">
        <v>#DIV/0!</v>
      </c>
      <c r="AU893" t="e">
        <v>#DIV/0!</v>
      </c>
      <c r="AV893"/>
      <c r="AW893"/>
      <c r="FY893" s="214">
        <v>888</v>
      </c>
      <c r="FZ893">
        <v>0.76029716103472955</v>
      </c>
      <c r="GA893">
        <v>22.696169704810593</v>
      </c>
      <c r="GB893">
        <v>11.936444433932508</v>
      </c>
      <c r="GC893">
        <v>1.325887083436359</v>
      </c>
      <c r="GD893">
        <v>5.4107211892469236</v>
      </c>
      <c r="GE893">
        <v>9.7326228583289183</v>
      </c>
      <c r="GF893">
        <v>8.2004316372714676</v>
      </c>
      <c r="GG893">
        <v>10.512419547923317</v>
      </c>
      <c r="GH893">
        <v>4.2131388007079451</v>
      </c>
      <c r="GI893">
        <v>8.7153287680920979</v>
      </c>
      <c r="GJ893"/>
      <c r="GK893"/>
      <c r="GL893"/>
      <c r="GM893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45.335373815622049</v>
      </c>
      <c r="AO894">
        <v>11.386667109105435</v>
      </c>
      <c r="AP894">
        <v>90.423885889491359</v>
      </c>
      <c r="AQ894">
        <v>60.461354553870258</v>
      </c>
      <c r="AR894">
        <v>10.36469101554283</v>
      </c>
      <c r="AS894">
        <v>46.983738440113427</v>
      </c>
      <c r="AT894" t="e">
        <v>#DIV/0!</v>
      </c>
      <c r="AU894" t="e">
        <v>#DIV/0!</v>
      </c>
      <c r="AV894"/>
      <c r="AW894"/>
      <c r="FY894" s="214">
        <v>889</v>
      </c>
      <c r="FZ894">
        <v>1.0152262562399934</v>
      </c>
      <c r="GA894">
        <v>5.5209221255258196</v>
      </c>
      <c r="GB894">
        <v>2.5253854909670101</v>
      </c>
      <c r="GC894">
        <v>0.98457623137971439</v>
      </c>
      <c r="GD894">
        <v>4.1070904349627027</v>
      </c>
      <c r="GE894">
        <v>15.588953890812233</v>
      </c>
      <c r="GF894">
        <v>27.096237262909295</v>
      </c>
      <c r="GG894">
        <v>15.875489500056226</v>
      </c>
      <c r="GH894">
        <v>4.1293904744246639</v>
      </c>
      <c r="GI894">
        <v>9.3782682558772592</v>
      </c>
      <c r="GJ894"/>
      <c r="GK894"/>
      <c r="GL894"/>
      <c r="GM894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69.341548929006507</v>
      </c>
      <c r="AO895">
        <v>9.9340626104790726</v>
      </c>
      <c r="AP895">
        <v>28.45498947103443</v>
      </c>
      <c r="AQ895">
        <v>70.418228809502168</v>
      </c>
      <c r="AR895">
        <v>9.0553846036022154</v>
      </c>
      <c r="AS895">
        <v>54.518188060139487</v>
      </c>
      <c r="AT895" t="e">
        <v>#DIV/0!</v>
      </c>
      <c r="AU895" t="e">
        <v>#DIV/0!</v>
      </c>
      <c r="AV895"/>
      <c r="AW895"/>
      <c r="FY895" s="214">
        <v>890</v>
      </c>
      <c r="FZ895">
        <v>1.1528601015171778</v>
      </c>
      <c r="GA895">
        <v>5.0236145901086271</v>
      </c>
      <c r="GB895">
        <v>10.468508216828461</v>
      </c>
      <c r="GC895">
        <v>5.4311543306269199</v>
      </c>
      <c r="GD895">
        <v>7.1271606489172061</v>
      </c>
      <c r="GE895">
        <v>19.550480898730516</v>
      </c>
      <c r="GF895">
        <v>15.835646785655307</v>
      </c>
      <c r="GG895">
        <v>5.7798593033708787</v>
      </c>
      <c r="GH895">
        <v>4.2153067693175341</v>
      </c>
      <c r="GI895">
        <v>11.046260665476522</v>
      </c>
      <c r="GJ895"/>
      <c r="GK895"/>
      <c r="GL895"/>
      <c r="GM89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69.238703022283133</v>
      </c>
      <c r="AO896">
        <v>17.805341679945354</v>
      </c>
      <c r="AP896">
        <v>82.30036580572434</v>
      </c>
      <c r="AQ896">
        <v>97.966925433583484</v>
      </c>
      <c r="AR896">
        <v>16.747042638289372</v>
      </c>
      <c r="AS896">
        <v>77.46916088973758</v>
      </c>
      <c r="AT896">
        <v>9.4303639511334278</v>
      </c>
      <c r="AU896">
        <v>24.51982034710835</v>
      </c>
      <c r="AV896"/>
      <c r="AW896"/>
      <c r="FY896" s="214">
        <v>891</v>
      </c>
      <c r="FZ896">
        <v>0.81128970370919617</v>
      </c>
      <c r="GA896">
        <v>17.567859790120291</v>
      </c>
      <c r="GB896">
        <v>15.581193531725429</v>
      </c>
      <c r="GC896">
        <v>4.3200960310381467</v>
      </c>
      <c r="GD896">
        <v>2.8915613325196636</v>
      </c>
      <c r="GE896">
        <v>5.79275872114441</v>
      </c>
      <c r="GF896">
        <v>14.474952171299213</v>
      </c>
      <c r="GG896">
        <v>15.093741758860402</v>
      </c>
      <c r="GH896">
        <v>5.5278952933722714</v>
      </c>
      <c r="GI896">
        <v>9.4557644649873804</v>
      </c>
      <c r="GJ896"/>
      <c r="GK896"/>
      <c r="GL896"/>
      <c r="GM896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74.185220156540794</v>
      </c>
      <c r="AO897">
        <v>15.438277967493301</v>
      </c>
      <c r="AP897">
        <v>103.39653090067097</v>
      </c>
      <c r="AQ897">
        <v>78.453055813423319</v>
      </c>
      <c r="AR897">
        <v>14.2136627854554</v>
      </c>
      <c r="AS897">
        <v>68.632288747670046</v>
      </c>
      <c r="AT897">
        <v>7.6758470246792854</v>
      </c>
      <c r="AU897">
        <v>17.199262810655565</v>
      </c>
      <c r="AV897"/>
      <c r="AW897"/>
      <c r="FY897" s="214">
        <v>892</v>
      </c>
      <c r="FZ897">
        <v>1.2634942244031833</v>
      </c>
      <c r="GA897">
        <v>5.257503820098659</v>
      </c>
      <c r="GB897">
        <v>6.6837901723976243</v>
      </c>
      <c r="GC897">
        <v>3.2557939304751975</v>
      </c>
      <c r="GD897">
        <v>2.9155910862193366</v>
      </c>
      <c r="GE897">
        <v>7.4687298812211633</v>
      </c>
      <c r="GF897">
        <v>10.793855618349387</v>
      </c>
      <c r="GG897">
        <v>11.506656119048248</v>
      </c>
      <c r="GH897">
        <v>12.42457115846657</v>
      </c>
      <c r="GI897">
        <v>7.7736494721979135</v>
      </c>
      <c r="GJ897"/>
      <c r="GK897"/>
      <c r="GL897"/>
      <c r="GM897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94.711883288090405</v>
      </c>
      <c r="AO898">
        <v>18.271280693180461</v>
      </c>
      <c r="AP898">
        <v>78.759384306960811</v>
      </c>
      <c r="AQ898">
        <v>102.99378268702553</v>
      </c>
      <c r="AR898">
        <v>16.979549629185534</v>
      </c>
      <c r="AS898">
        <v>87.772986171340719</v>
      </c>
      <c r="AT898">
        <v>9.1802682862437894</v>
      </c>
      <c r="AU898">
        <v>-1.7181732411542292</v>
      </c>
      <c r="AV898"/>
      <c r="AW898"/>
      <c r="FY898" s="214">
        <v>893</v>
      </c>
      <c r="FZ898">
        <v>0.40934285214698191</v>
      </c>
      <c r="GA898">
        <v>11.017551913842365</v>
      </c>
      <c r="GB898">
        <v>11.690336530710097</v>
      </c>
      <c r="GC898">
        <v>3.8867866054635369</v>
      </c>
      <c r="GD898">
        <v>1.0278760996902316</v>
      </c>
      <c r="GE898">
        <v>1.7023308143490148</v>
      </c>
      <c r="GF898">
        <v>8.5872235190528556</v>
      </c>
      <c r="GG898">
        <v>7.5340788230692155</v>
      </c>
      <c r="GH898">
        <v>8.3748326283281188E-2</v>
      </c>
      <c r="GI898">
        <v>5.3282142707080835</v>
      </c>
      <c r="GJ898"/>
      <c r="GK898"/>
      <c r="GL898"/>
      <c r="GM898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78.05504081411587</v>
      </c>
      <c r="AO899">
        <v>16.25022768528834</v>
      </c>
      <c r="AP899">
        <v>81.587731801220002</v>
      </c>
      <c r="AQ899">
        <v>100.45572119806332</v>
      </c>
      <c r="AR899">
        <v>15.130019415882078</v>
      </c>
      <c r="AS899">
        <v>77.582593119648365</v>
      </c>
      <c r="AT899" t="e">
        <v>#DIV/0!</v>
      </c>
      <c r="AU899" t="e">
        <v>#DIV/0!</v>
      </c>
      <c r="AV899"/>
      <c r="AW899"/>
      <c r="FY899" s="214">
        <v>894</v>
      </c>
      <c r="FZ899">
        <v>1.203574010976018</v>
      </c>
      <c r="GA899">
        <v>5.9216998738150153</v>
      </c>
      <c r="GB899">
        <v>2.9273588800002148</v>
      </c>
      <c r="GC899">
        <v>0.91213309532296294</v>
      </c>
      <c r="GD899">
        <v>6.0727602758363339</v>
      </c>
      <c r="GE899">
        <v>14.173805132577028</v>
      </c>
      <c r="GF899">
        <v>7.616242146015602</v>
      </c>
      <c r="GG899">
        <v>6.2251364358920638</v>
      </c>
      <c r="GH899">
        <v>4.6859045111820521</v>
      </c>
      <c r="GI899">
        <v>6.8048963211116318</v>
      </c>
      <c r="GJ899"/>
      <c r="GK899"/>
      <c r="GL899"/>
      <c r="GM899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85.85183750855353</v>
      </c>
      <c r="AO900">
        <v>19.70563486142829</v>
      </c>
      <c r="AP900">
        <v>90.889205056387496</v>
      </c>
      <c r="AQ900">
        <v>110.01048154235917</v>
      </c>
      <c r="AR900">
        <v>18.093722253426602</v>
      </c>
      <c r="AS900">
        <v>90.428604501294998</v>
      </c>
      <c r="AT900">
        <v>9.4227407943249748</v>
      </c>
      <c r="AU900">
        <v>3.4758794424837793</v>
      </c>
      <c r="AV900"/>
      <c r="AW900"/>
      <c r="FY900" s="214">
        <v>895</v>
      </c>
      <c r="FZ900">
        <v>1.2734354019142018</v>
      </c>
      <c r="GA900">
        <v>6.0284875637642976</v>
      </c>
      <c r="GB900">
        <v>8.0069264571464664</v>
      </c>
      <c r="GC900">
        <v>3.5468401112904662</v>
      </c>
      <c r="GD900">
        <v>5.8785516304142016</v>
      </c>
      <c r="GE900">
        <v>20.391358455331805</v>
      </c>
      <c r="GF900">
        <v>26.635269252470223</v>
      </c>
      <c r="GG900">
        <v>17.009703888008033</v>
      </c>
      <c r="GH900">
        <v>9.4060407889470916</v>
      </c>
      <c r="GI900">
        <v>12.642190666628332</v>
      </c>
      <c r="GJ900"/>
      <c r="GK900"/>
      <c r="GL900"/>
      <c r="GM900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63.274711498168109</v>
      </c>
      <c r="AO901">
        <v>12.71128565392098</v>
      </c>
      <c r="AP901">
        <v>58.715895738516096</v>
      </c>
      <c r="AQ901">
        <v>76.417277763947908</v>
      </c>
      <c r="AR901">
        <v>11.568567637723632</v>
      </c>
      <c r="AS901">
        <v>58.682487546247813</v>
      </c>
      <c r="AT901" t="e">
        <v>#DIV/0!</v>
      </c>
      <c r="AU901" t="e">
        <v>#DIV/0!</v>
      </c>
      <c r="AV901"/>
      <c r="AW901"/>
      <c r="FY901" s="214">
        <v>896</v>
      </c>
      <c r="FZ901">
        <v>0.83417347598455194</v>
      </c>
      <c r="GA901">
        <v>4.7590902239197046</v>
      </c>
      <c r="GB901">
        <v>7.0274817361786903</v>
      </c>
      <c r="GC901">
        <v>3.4967631728804864</v>
      </c>
      <c r="GD901">
        <v>2.0022861321287375</v>
      </c>
      <c r="GE901">
        <v>4.4070671748054302</v>
      </c>
      <c r="GF901">
        <v>6.5358891478808543</v>
      </c>
      <c r="GG901">
        <v>6.2351452858678522</v>
      </c>
      <c r="GH901">
        <v>3.5728764376672766</v>
      </c>
      <c r="GI901">
        <v>4.8838827445516113</v>
      </c>
      <c r="GJ901"/>
      <c r="GK901"/>
      <c r="GL901"/>
      <c r="GM901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71.759966429186562</v>
      </c>
      <c r="AO902">
        <v>11.367942352457701</v>
      </c>
      <c r="AP902">
        <v>58.810944357635918</v>
      </c>
      <c r="AQ902">
        <v>70.822812455441962</v>
      </c>
      <c r="AR902">
        <v>10.359233696688849</v>
      </c>
      <c r="AS902">
        <v>58.479518160825045</v>
      </c>
      <c r="AT902" t="e">
        <v>#DIV/0!</v>
      </c>
      <c r="AU902" t="e">
        <v>#DIV/0!</v>
      </c>
      <c r="AV902"/>
      <c r="AW902"/>
      <c r="FY902" s="214">
        <v>897</v>
      </c>
      <c r="FZ902">
        <v>1.3144867670776499</v>
      </c>
      <c r="GA902">
        <v>4.5803611008750655</v>
      </c>
      <c r="GB902">
        <v>5.6934197734288254</v>
      </c>
      <c r="GC902">
        <v>2.74583356704587</v>
      </c>
      <c r="GD902">
        <v>9.9772234839691709</v>
      </c>
      <c r="GE902">
        <v>22.012199992526426</v>
      </c>
      <c r="GF902">
        <v>14.970162968249058</v>
      </c>
      <c r="GG902">
        <v>11.140772032143285</v>
      </c>
      <c r="GH902">
        <v>1.1967763997980561</v>
      </c>
      <c r="GI902">
        <v>11.131893607365457</v>
      </c>
      <c r="GJ902"/>
      <c r="GK902"/>
      <c r="GL902"/>
      <c r="GM902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111.86620901246076</v>
      </c>
      <c r="AO903">
        <v>21.627208436892296</v>
      </c>
      <c r="AP903">
        <v>130.03334060320782</v>
      </c>
      <c r="AQ903">
        <v>116.60719058943599</v>
      </c>
      <c r="AR903">
        <v>19.661420633917238</v>
      </c>
      <c r="AS903">
        <v>108.82082339966472</v>
      </c>
      <c r="AT903" t="e">
        <v>#DIV/0!</v>
      </c>
      <c r="AU903" t="e">
        <v>#DIV/0!</v>
      </c>
      <c r="AV903"/>
      <c r="AW903"/>
      <c r="FY903" s="214">
        <v>898</v>
      </c>
      <c r="FZ903">
        <v>0.54596319066584609</v>
      </c>
      <c r="GA903">
        <v>3.2617708908664262</v>
      </c>
      <c r="GB903">
        <v>6.9111988349656706</v>
      </c>
      <c r="GC903">
        <v>3.8747642392332402</v>
      </c>
      <c r="GD903">
        <v>6.2049222651864948</v>
      </c>
      <c r="GE903">
        <v>18.772568342912034</v>
      </c>
      <c r="GF903">
        <v>25.410597207995778</v>
      </c>
      <c r="GG903">
        <v>13.07737555355269</v>
      </c>
      <c r="GH903">
        <v>1.1967763997980561</v>
      </c>
      <c r="GI903">
        <v>10.75855068419424</v>
      </c>
      <c r="GJ903"/>
      <c r="GK903"/>
      <c r="GL903"/>
      <c r="GM903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74.505168728987869</v>
      </c>
      <c r="AO904">
        <v>13.381819526617397</v>
      </c>
      <c r="AP904">
        <v>70.409700416634848</v>
      </c>
      <c r="AQ904">
        <v>83.50346118478484</v>
      </c>
      <c r="AR904">
        <v>12.177821830705224</v>
      </c>
      <c r="AS904">
        <v>64.297929350729703</v>
      </c>
      <c r="AT904" t="e">
        <v>#DIV/0!</v>
      </c>
      <c r="AU904" t="e">
        <v>#DIV/0!</v>
      </c>
      <c r="AV904"/>
      <c r="AW904"/>
      <c r="FY904" s="214">
        <v>899</v>
      </c>
      <c r="FZ904">
        <v>0.67365585843201192</v>
      </c>
      <c r="GA904">
        <v>4.1098192746822022</v>
      </c>
      <c r="GB904">
        <v>5.263279907329065</v>
      </c>
      <c r="GC904">
        <v>2.7395740736895715</v>
      </c>
      <c r="GD904">
        <v>7.0212910913574005</v>
      </c>
      <c r="GE904">
        <v>19.651717095901194</v>
      </c>
      <c r="GF904">
        <v>21.173249757000423</v>
      </c>
      <c r="GG904">
        <v>12.555330783172158</v>
      </c>
      <c r="GH904">
        <v>6.0006610038463775</v>
      </c>
      <c r="GI904">
        <v>10.685471384446728</v>
      </c>
      <c r="GJ904"/>
      <c r="GK904"/>
      <c r="GL904"/>
      <c r="GM904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72.536940122413384</v>
      </c>
      <c r="AO905">
        <v>14.682528188622609</v>
      </c>
      <c r="AP905">
        <v>114.30336927828486</v>
      </c>
      <c r="AQ905">
        <v>86.221539923154921</v>
      </c>
      <c r="AR905">
        <v>13.347752898747828</v>
      </c>
      <c r="AS905">
        <v>66.926069675135423</v>
      </c>
      <c r="AT905" t="e">
        <v>#DIV/0!</v>
      </c>
      <c r="AU905" t="e">
        <v>#DIV/0!</v>
      </c>
      <c r="AV905"/>
      <c r="AW905"/>
      <c r="FY905" s="214">
        <v>900</v>
      </c>
      <c r="FZ905">
        <v>0.74679729983914023</v>
      </c>
      <c r="GA905">
        <v>5.2807495843523</v>
      </c>
      <c r="GB905">
        <v>8.6777779099201187</v>
      </c>
      <c r="GC905">
        <v>4.123045208934415</v>
      </c>
      <c r="GD905">
        <v>7.9556303169617246</v>
      </c>
      <c r="GE905">
        <v>22.62691564832561</v>
      </c>
      <c r="GF905">
        <v>16.989646912637731</v>
      </c>
      <c r="GG905">
        <v>7.8530881427864108</v>
      </c>
      <c r="GH905">
        <v>6.3896783880372032</v>
      </c>
      <c r="GI905">
        <v>11.410046619378425</v>
      </c>
      <c r="GJ905"/>
      <c r="GK905"/>
      <c r="GL905"/>
      <c r="GM9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76.703201999051061</v>
      </c>
      <c r="AO906">
        <v>16.711325110757745</v>
      </c>
      <c r="AP906">
        <v>90.345506351395358</v>
      </c>
      <c r="AQ906">
        <v>85.630852310549159</v>
      </c>
      <c r="AR906">
        <v>15.586148839619456</v>
      </c>
      <c r="AS906">
        <v>87.159639995859848</v>
      </c>
      <c r="AT906">
        <v>7.7137818793349338</v>
      </c>
      <c r="AU906">
        <v>11.165617905292644</v>
      </c>
      <c r="AV906"/>
      <c r="AW906"/>
      <c r="FY906" s="214">
        <v>901</v>
      </c>
      <c r="FZ906">
        <v>0.66399331413661955</v>
      </c>
      <c r="GA906">
        <v>17.170225451184155</v>
      </c>
      <c r="GB906">
        <v>10.746523725666043</v>
      </c>
      <c r="GC906">
        <v>2.1399978423656556</v>
      </c>
      <c r="GD906">
        <v>1.9062220294271066</v>
      </c>
      <c r="GE906">
        <v>8.4045807330878972</v>
      </c>
      <c r="GF906">
        <v>17.226132492961611</v>
      </c>
      <c r="GG906">
        <v>7.5067191422455917</v>
      </c>
      <c r="GH906">
        <v>1.7875222031384326</v>
      </c>
      <c r="GI906">
        <v>7.5637200024404612</v>
      </c>
      <c r="GJ906"/>
      <c r="GK906"/>
      <c r="GL906"/>
      <c r="GM906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68.082382275670057</v>
      </c>
      <c r="AO907">
        <v>14.300025921586103</v>
      </c>
      <c r="AP907">
        <v>61.21643318847515</v>
      </c>
      <c r="AQ907">
        <v>91.517112798776409</v>
      </c>
      <c r="AR907">
        <v>13.179210253191282</v>
      </c>
      <c r="AS907">
        <v>67.128417784045695</v>
      </c>
      <c r="AT907">
        <v>7.6877699492854275</v>
      </c>
      <c r="AU907">
        <v>-0.92220713971781898</v>
      </c>
      <c r="AV907"/>
      <c r="AW907"/>
      <c r="FY907" s="214">
        <v>902</v>
      </c>
      <c r="FZ907">
        <v>0.66399331413661955</v>
      </c>
      <c r="GA907">
        <v>17.341452249296918</v>
      </c>
      <c r="GB907">
        <v>8.9843007045151744</v>
      </c>
      <c r="GC907">
        <v>1.2447562655285618</v>
      </c>
      <c r="GD907">
        <v>4.1838560956859023</v>
      </c>
      <c r="GE907">
        <v>9.4855119494869502</v>
      </c>
      <c r="GF907">
        <v>11.580163064479178</v>
      </c>
      <c r="GG907">
        <v>7.2980427594952895</v>
      </c>
      <c r="GH907">
        <v>3.7425410588434276</v>
      </c>
      <c r="GI907">
        <v>7.8088968109856189</v>
      </c>
      <c r="GJ907"/>
      <c r="GK907"/>
      <c r="GL907"/>
      <c r="GM907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50.228340805746512</v>
      </c>
      <c r="AO908">
        <v>11.442416808104344</v>
      </c>
      <c r="AP908">
        <v>58.17734832813963</v>
      </c>
      <c r="AQ908">
        <v>69.343635482877275</v>
      </c>
      <c r="AR908">
        <v>10.937824833070241</v>
      </c>
      <c r="AS908">
        <v>53.771759332191827</v>
      </c>
      <c r="AT908" t="e">
        <v>#DIV/0!</v>
      </c>
      <c r="AU908" t="e">
        <v>#DIV/0!</v>
      </c>
      <c r="AV908"/>
      <c r="AW908"/>
      <c r="FY908" s="214">
        <v>903</v>
      </c>
      <c r="FZ908">
        <v>1.1326991132795146</v>
      </c>
      <c r="GA908">
        <v>12.200470547576399</v>
      </c>
      <c r="GB908">
        <v>6.3806219271688214</v>
      </c>
      <c r="GC908">
        <v>1.1611700580344149</v>
      </c>
      <c r="GD908">
        <v>4.8769209456773126</v>
      </c>
      <c r="GE908">
        <v>13.518795249435053</v>
      </c>
      <c r="GF908">
        <v>16.092592221728321</v>
      </c>
      <c r="GG908">
        <v>11.509656393281615</v>
      </c>
      <c r="GH908">
        <v>7.0299407510778718</v>
      </c>
      <c r="GI908">
        <v>8.8742781734540248</v>
      </c>
      <c r="GJ908"/>
      <c r="GK908"/>
      <c r="GL908"/>
      <c r="GM908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48.1279515515916</v>
      </c>
      <c r="AO909">
        <v>8.228505958493999</v>
      </c>
      <c r="AP909">
        <v>48.6944713913594</v>
      </c>
      <c r="AQ909">
        <v>51.267489755315658</v>
      </c>
      <c r="AR909">
        <v>7.4811040721157571</v>
      </c>
      <c r="AS909">
        <v>39.323643865652635</v>
      </c>
      <c r="AT909" t="e">
        <v>#DIV/0!</v>
      </c>
      <c r="AU909" t="e">
        <v>#DIV/0!</v>
      </c>
      <c r="AV909"/>
      <c r="AW909"/>
      <c r="FY909" s="214">
        <v>904</v>
      </c>
      <c r="FZ909">
        <v>0.7980684757292329</v>
      </c>
      <c r="GA909">
        <v>10.645362613241563</v>
      </c>
      <c r="GB909">
        <v>11.37280242304028</v>
      </c>
      <c r="GC909">
        <v>3.9197342086215379</v>
      </c>
      <c r="GD909">
        <v>5.9246862340401414</v>
      </c>
      <c r="GE909">
        <v>18.735014028827436</v>
      </c>
      <c r="GF909">
        <v>19.457967248618488</v>
      </c>
      <c r="GG909">
        <v>7.8259243343904199</v>
      </c>
      <c r="GH909">
        <v>4.6880724797916402</v>
      </c>
      <c r="GI909">
        <v>11.156440869865758</v>
      </c>
      <c r="GJ909"/>
      <c r="GK909"/>
      <c r="GL909"/>
      <c r="GM909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60.890159082272966</v>
      </c>
      <c r="AO910">
        <v>10.400470966917847</v>
      </c>
      <c r="AP910">
        <v>60.445560694052517</v>
      </c>
      <c r="AQ910">
        <v>56.543510682728922</v>
      </c>
      <c r="AR910">
        <v>9.4800363102132188</v>
      </c>
      <c r="AS910">
        <v>51.665424787011311</v>
      </c>
      <c r="AT910" t="e">
        <v>#DIV/0!</v>
      </c>
      <c r="AU910" t="e">
        <v>#DIV/0!</v>
      </c>
      <c r="AV910"/>
      <c r="AW910"/>
      <c r="FY910" s="214">
        <v>905</v>
      </c>
      <c r="FZ910">
        <v>1.1233152021997481</v>
      </c>
      <c r="GA910">
        <v>11.457070847978001</v>
      </c>
      <c r="GB910">
        <v>5.5777916888703372</v>
      </c>
      <c r="GC910">
        <v>0.98016733159345071</v>
      </c>
      <c r="GD910">
        <v>4.9028137858589087</v>
      </c>
      <c r="GE910">
        <v>11.347633870413668</v>
      </c>
      <c r="GF910">
        <v>7.4368544744151164</v>
      </c>
      <c r="GG910">
        <v>3.7606508442223641</v>
      </c>
      <c r="GH910">
        <v>1.1967763997980561</v>
      </c>
      <c r="GI910">
        <v>6.1524617049298165</v>
      </c>
      <c r="GJ910"/>
      <c r="GK910"/>
      <c r="GL910"/>
      <c r="GM910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91.919464501390308</v>
      </c>
      <c r="AO911">
        <v>19.472316124045104</v>
      </c>
      <c r="AP911">
        <v>105.68076940840461</v>
      </c>
      <c r="AQ911">
        <v>110.81880421591512</v>
      </c>
      <c r="AR911">
        <v>17.905066739654036</v>
      </c>
      <c r="AS911">
        <v>92.137995830743932</v>
      </c>
      <c r="AT911">
        <v>9.2945607145971252</v>
      </c>
      <c r="AU911">
        <v>43.460467511598516</v>
      </c>
      <c r="AV911"/>
      <c r="AW911"/>
      <c r="FY911" s="214">
        <v>906</v>
      </c>
      <c r="FZ911">
        <v>0.74069343922831865</v>
      </c>
      <c r="GA911">
        <v>3.0471911073467033</v>
      </c>
      <c r="GB911">
        <v>4.0015472175675662</v>
      </c>
      <c r="GC911">
        <v>2.3768905357105616</v>
      </c>
      <c r="GD911">
        <v>8.3371278607171142</v>
      </c>
      <c r="GE911">
        <v>21.663955126785705</v>
      </c>
      <c r="GF911">
        <v>16.737669818981551</v>
      </c>
      <c r="GG911">
        <v>11.823580821479478</v>
      </c>
      <c r="GH911">
        <v>11.109814665802244</v>
      </c>
      <c r="GI911">
        <v>11.152521445878035</v>
      </c>
      <c r="GJ911"/>
      <c r="GK911"/>
      <c r="GL911"/>
      <c r="GM911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41.405489565134495</v>
      </c>
      <c r="AO912">
        <v>7.4501525033370886</v>
      </c>
      <c r="AP912">
        <v>17.342154092790157</v>
      </c>
      <c r="AQ912">
        <v>43.754655531865197</v>
      </c>
      <c r="AR912">
        <v>6.7860413739352454</v>
      </c>
      <c r="AS912">
        <v>35.608852534050847</v>
      </c>
      <c r="AT912" t="e">
        <v>#DIV/0!</v>
      </c>
      <c r="AU912" t="e">
        <v>#DIV/0!</v>
      </c>
      <c r="AV912"/>
      <c r="AW912"/>
      <c r="FY912" s="214">
        <v>907</v>
      </c>
      <c r="FZ912">
        <v>0.86154737284096894</v>
      </c>
      <c r="GA912">
        <v>22.637596176287857</v>
      </c>
      <c r="GB912">
        <v>20.382709258368688</v>
      </c>
      <c r="GC912">
        <v>5.6874203570341422</v>
      </c>
      <c r="GD912">
        <v>5.9656172813414834</v>
      </c>
      <c r="GE912">
        <v>15.268005334005938</v>
      </c>
      <c r="GF912">
        <v>15.966277515119522</v>
      </c>
      <c r="GG912">
        <v>8.9241521163557014</v>
      </c>
      <c r="GH912">
        <v>0.55651403675738742</v>
      </c>
      <c r="GI912">
        <v>12.096472488275438</v>
      </c>
      <c r="GJ912"/>
      <c r="GK912"/>
      <c r="GL912"/>
      <c r="GM912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67.229555340599802</v>
      </c>
      <c r="AO913">
        <v>17.427413110153157</v>
      </c>
      <c r="AP913">
        <v>133.54434181772177</v>
      </c>
      <c r="AQ913">
        <v>84.763129692478856</v>
      </c>
      <c r="AR913">
        <v>15.867843476411988</v>
      </c>
      <c r="AS913">
        <v>75.985153210698513</v>
      </c>
      <c r="AT913" t="e">
        <v>#DIV/0!</v>
      </c>
      <c r="AU913" t="e">
        <v>#DIV/0!</v>
      </c>
      <c r="AV913"/>
      <c r="AW913"/>
      <c r="FY913" s="214">
        <v>908</v>
      </c>
      <c r="FZ913">
        <v>0.27781286748061929</v>
      </c>
      <c r="GA913">
        <v>9.8778256987549984</v>
      </c>
      <c r="GB913">
        <v>10.499145512997632</v>
      </c>
      <c r="GC913">
        <v>3.7031275100863708</v>
      </c>
      <c r="GD913">
        <v>1.8639675209715145</v>
      </c>
      <c r="GE913">
        <v>9.7206154365509772</v>
      </c>
      <c r="GF913">
        <v>28.321392129039079</v>
      </c>
      <c r="GG913">
        <v>16.273062184277389</v>
      </c>
      <c r="GH913">
        <v>2.038767181988276</v>
      </c>
      <c r="GI913">
        <v>9.7190142824140526</v>
      </c>
      <c r="GJ913"/>
      <c r="GK913"/>
      <c r="GL913"/>
      <c r="GM913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75.871556541297366</v>
      </c>
      <c r="AO914">
        <v>16.641818120854865</v>
      </c>
      <c r="AP914">
        <v>83.253451434174593</v>
      </c>
      <c r="AQ914">
        <v>90.014487609370462</v>
      </c>
      <c r="AR914">
        <v>15.141134861451407</v>
      </c>
      <c r="AS914">
        <v>79.291388731415111</v>
      </c>
      <c r="AT914" t="e">
        <v>#DIV/0!</v>
      </c>
      <c r="AU914" t="e">
        <v>#DIV/0!</v>
      </c>
      <c r="AV914"/>
      <c r="AW914"/>
      <c r="FY914" s="214">
        <v>909</v>
      </c>
      <c r="FZ914">
        <v>0.67037580796306706</v>
      </c>
      <c r="GA914">
        <v>16.260460129492579</v>
      </c>
      <c r="GB914">
        <v>8.5756138577268519</v>
      </c>
      <c r="GC914">
        <v>1.1819858170428383</v>
      </c>
      <c r="GD914">
        <v>0.90847106453543758</v>
      </c>
      <c r="GE914">
        <v>2.8984009307403156</v>
      </c>
      <c r="GF914">
        <v>16.531887122825282</v>
      </c>
      <c r="GG914">
        <v>17.393358168628222</v>
      </c>
      <c r="GH914">
        <v>8.9332750784729846</v>
      </c>
      <c r="GI914">
        <v>7.5694314648548868</v>
      </c>
      <c r="GJ914"/>
      <c r="GK914"/>
      <c r="GL914"/>
      <c r="GM914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75.805707041781858</v>
      </c>
      <c r="AO915">
        <v>16.176561239194168</v>
      </c>
      <c r="AP915">
        <v>67.154128503586207</v>
      </c>
      <c r="AQ915">
        <v>89.874050229857119</v>
      </c>
      <c r="AR915">
        <v>14.884829396092554</v>
      </c>
      <c r="AS915">
        <v>78.398841036014161</v>
      </c>
      <c r="AT915">
        <v>8.3630097412252784</v>
      </c>
      <c r="AU915">
        <v>23.947719103591812</v>
      </c>
      <c r="AV915"/>
      <c r="AW915"/>
      <c r="FY915" s="214">
        <v>910</v>
      </c>
      <c r="FZ915">
        <v>1.0152262562399934</v>
      </c>
      <c r="GA915">
        <v>10.040262984253934</v>
      </c>
      <c r="GB915">
        <v>9.0386158072367841</v>
      </c>
      <c r="GC915">
        <v>2.8937458180415359</v>
      </c>
      <c r="GD915">
        <v>5.9761712867685093</v>
      </c>
      <c r="GE915">
        <v>20.43490815489141</v>
      </c>
      <c r="GF915">
        <v>24.94568631141027</v>
      </c>
      <c r="GG915">
        <v>16.110037250842943</v>
      </c>
      <c r="GH915">
        <v>11.66632870255963</v>
      </c>
      <c r="GI915">
        <v>12.964474509827433</v>
      </c>
      <c r="GJ915"/>
      <c r="GK915"/>
      <c r="GL915"/>
      <c r="GM91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87.903627933262712</v>
      </c>
      <c r="AO916">
        <v>17.312509871999517</v>
      </c>
      <c r="AP916">
        <v>94.424054432658906</v>
      </c>
      <c r="AQ916">
        <v>92.053376031173059</v>
      </c>
      <c r="AR916">
        <v>15.929397213483792</v>
      </c>
      <c r="AS916">
        <v>83.57907027391569</v>
      </c>
      <c r="AT916">
        <v>8.5206380897871892</v>
      </c>
      <c r="AU916">
        <v>22.577008618063399</v>
      </c>
      <c r="AV916"/>
      <c r="AW916"/>
      <c r="FY916" s="214">
        <v>911</v>
      </c>
      <c r="FZ916">
        <v>0.68970089655385203</v>
      </c>
      <c r="GA916">
        <v>10.094967085802113</v>
      </c>
      <c r="GB916">
        <v>11.245315025786621</v>
      </c>
      <c r="GC916">
        <v>4.344706458687206</v>
      </c>
      <c r="GD916">
        <v>0.91160217674859334</v>
      </c>
      <c r="GE916">
        <v>2.9585559363446556</v>
      </c>
      <c r="GF916">
        <v>14.056053451668921</v>
      </c>
      <c r="GG916">
        <v>15.110753965082154</v>
      </c>
      <c r="GH916">
        <v>13.064833521507239</v>
      </c>
      <c r="GI916">
        <v>8.299983595131355</v>
      </c>
      <c r="GJ916"/>
      <c r="GK916"/>
      <c r="GL916"/>
      <c r="GM916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73.424705931245029</v>
      </c>
      <c r="AO917">
        <v>11.422625148196365</v>
      </c>
      <c r="AP917">
        <v>76.151898547106285</v>
      </c>
      <c r="AQ917">
        <v>75.115636936653573</v>
      </c>
      <c r="AR917">
        <v>10.563069313367278</v>
      </c>
      <c r="AS917">
        <v>62.168375382278285</v>
      </c>
      <c r="AT917" t="e">
        <v>#DIV/0!</v>
      </c>
      <c r="AU917" t="e">
        <v>#DIV/0!</v>
      </c>
      <c r="AV917"/>
      <c r="AW917"/>
      <c r="FY917" s="214">
        <v>912</v>
      </c>
      <c r="FZ917">
        <v>0.8622822463836628</v>
      </c>
      <c r="GA917">
        <v>3.4511676670860103</v>
      </c>
      <c r="GB917">
        <v>5.6887456649384536</v>
      </c>
      <c r="GC917">
        <v>3.3410423642260456</v>
      </c>
      <c r="GD917">
        <v>4.1384860154739922</v>
      </c>
      <c r="GE917">
        <v>11.142404962526927</v>
      </c>
      <c r="GF917">
        <v>13.582898970511192</v>
      </c>
      <c r="GG917">
        <v>11.364061843151191</v>
      </c>
      <c r="GH917">
        <v>10.553300629044855</v>
      </c>
      <c r="GI917">
        <v>8.2823465871866429</v>
      </c>
      <c r="GJ917"/>
      <c r="GK917"/>
      <c r="GL917"/>
      <c r="GM917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55.674002896365984</v>
      </c>
      <c r="AO918">
        <v>11.650441381115659</v>
      </c>
      <c r="AP918">
        <v>48.829617668839226</v>
      </c>
      <c r="AQ918">
        <v>72.333514272453627</v>
      </c>
      <c r="AR918">
        <v>10.948717557922068</v>
      </c>
      <c r="AS918">
        <v>55.296467013796594</v>
      </c>
      <c r="AT918">
        <v>6.511936181995857</v>
      </c>
      <c r="AU918">
        <v>0.78327282342086246</v>
      </c>
      <c r="AV918"/>
      <c r="AW918"/>
      <c r="FY918" s="214">
        <v>913</v>
      </c>
      <c r="FZ918">
        <v>0.67009717474744113</v>
      </c>
      <c r="GA918">
        <v>10.463763600590784</v>
      </c>
      <c r="GB918">
        <v>8.3781118727438191</v>
      </c>
      <c r="GC918">
        <v>2.1690202922903925</v>
      </c>
      <c r="GD918">
        <v>3.7717089060988029</v>
      </c>
      <c r="GE918">
        <v>8.4189589754962117</v>
      </c>
      <c r="GF918">
        <v>7.4035729377913544</v>
      </c>
      <c r="GG918">
        <v>12.53532020115054</v>
      </c>
      <c r="GH918">
        <v>12.254906537290418</v>
      </c>
      <c r="GI918">
        <v>7.8231760739859766</v>
      </c>
      <c r="GJ918"/>
      <c r="GK918"/>
      <c r="GL918"/>
      <c r="GM918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69.788473309392629</v>
      </c>
      <c r="AO919">
        <v>13.353943450475617</v>
      </c>
      <c r="AP919">
        <v>62.692546727824414</v>
      </c>
      <c r="AQ919">
        <v>82.77714538071335</v>
      </c>
      <c r="AR919">
        <v>12.318813224530235</v>
      </c>
      <c r="AS919">
        <v>65.466400731154664</v>
      </c>
      <c r="AT919">
        <v>7.4772465525800635</v>
      </c>
      <c r="AU919">
        <v>9.6222837147028351</v>
      </c>
      <c r="AV919"/>
      <c r="AW919"/>
      <c r="FY919" s="214">
        <v>914</v>
      </c>
      <c r="FZ919">
        <v>1.330810438415116</v>
      </c>
      <c r="GA919">
        <v>15.738130153535542</v>
      </c>
      <c r="GB919">
        <v>8.0133580588171593</v>
      </c>
      <c r="GC919">
        <v>1.2950594871022791</v>
      </c>
      <c r="GD919">
        <v>1.005276779804718</v>
      </c>
      <c r="GE919">
        <v>7.7819663753989712</v>
      </c>
      <c r="GF919">
        <v>26.537684358951747</v>
      </c>
      <c r="GG919">
        <v>17.483098337907677</v>
      </c>
      <c r="GH919">
        <v>4.6021561848987709</v>
      </c>
      <c r="GI919">
        <v>8.8009706426676146</v>
      </c>
      <c r="GJ919"/>
      <c r="GK919"/>
      <c r="GL919"/>
      <c r="GM919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84.500680929172972</v>
      </c>
      <c r="AO920">
        <v>16.812137787439791</v>
      </c>
      <c r="AP920">
        <v>96.259628402324026</v>
      </c>
      <c r="AQ920">
        <v>94.524072916166503</v>
      </c>
      <c r="AR920">
        <v>15.665587430474334</v>
      </c>
      <c r="AS920">
        <v>82.101134183811979</v>
      </c>
      <c r="AT920">
        <v>8.3272995129122886</v>
      </c>
      <c r="AU920">
        <v>37.239460301130549</v>
      </c>
      <c r="AV920"/>
      <c r="AW920"/>
      <c r="FY920" s="214">
        <v>915</v>
      </c>
      <c r="FZ920">
        <v>0.39584299095139264</v>
      </c>
      <c r="GA920">
        <v>2.6276188276040968</v>
      </c>
      <c r="GB920">
        <v>3.9318645994769135</v>
      </c>
      <c r="GC920">
        <v>2.4137170043740284</v>
      </c>
      <c r="GD920">
        <v>7.2527434714807031</v>
      </c>
      <c r="GE920">
        <v>16.923741705031862</v>
      </c>
      <c r="GF920">
        <v>14.0573454995176</v>
      </c>
      <c r="GG920">
        <v>7.8506886521738828</v>
      </c>
      <c r="GH920">
        <v>0.72401068932394974</v>
      </c>
      <c r="GI920">
        <v>8.2721107894112755</v>
      </c>
      <c r="GJ920"/>
      <c r="GK920"/>
      <c r="GL920"/>
      <c r="GM920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52.499537683588436</v>
      </c>
      <c r="AO921">
        <v>9.3937804282129527</v>
      </c>
      <c r="AP921">
        <v>33.17238963703759</v>
      </c>
      <c r="AQ921">
        <v>53.935536150279461</v>
      </c>
      <c r="AR921">
        <v>8.5523317412466344</v>
      </c>
      <c r="AS921">
        <v>44.875408296987139</v>
      </c>
      <c r="AT921" t="e">
        <v>#DIV/0!</v>
      </c>
      <c r="AU921" t="e">
        <v>#DIV/0!</v>
      </c>
      <c r="AV921"/>
      <c r="AW921"/>
      <c r="FY921" s="214">
        <v>916</v>
      </c>
      <c r="FZ921">
        <v>1.4008494364647412</v>
      </c>
      <c r="GA921">
        <v>12.538062967782341</v>
      </c>
      <c r="GB921">
        <v>9.8159696110555945</v>
      </c>
      <c r="GC921">
        <v>2.9878015037302657</v>
      </c>
      <c r="GD921">
        <v>11.321578724159234</v>
      </c>
      <c r="GE921">
        <v>26.840589912426285</v>
      </c>
      <c r="GF921">
        <v>17.335004649043331</v>
      </c>
      <c r="GG921">
        <v>8.9503067394168845</v>
      </c>
      <c r="GH921">
        <v>2.5115328924623825</v>
      </c>
      <c r="GI921">
        <v>13.314662674842287</v>
      </c>
      <c r="GJ921"/>
      <c r="GK921"/>
      <c r="GL921"/>
      <c r="GM921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85.643869501759369</v>
      </c>
      <c r="AO922">
        <v>16.682006840850566</v>
      </c>
      <c r="AP922">
        <v>94.426523987505135</v>
      </c>
      <c r="AQ922">
        <v>90.990992039497286</v>
      </c>
      <c r="AR922">
        <v>15.547286569938677</v>
      </c>
      <c r="AS922">
        <v>83.818981834454178</v>
      </c>
      <c r="AT922">
        <v>8.8398191724163606</v>
      </c>
      <c r="AU922">
        <v>26.126205937213026</v>
      </c>
      <c r="AV922"/>
      <c r="AW922"/>
      <c r="FY922" s="214">
        <v>917</v>
      </c>
      <c r="FZ922">
        <v>0.93824749793266793</v>
      </c>
      <c r="GA922">
        <v>5.2263537688828716</v>
      </c>
      <c r="GB922">
        <v>9.3205689153373346</v>
      </c>
      <c r="GC922">
        <v>4.5240708132291516</v>
      </c>
      <c r="GD922">
        <v>6.9465981103692291</v>
      </c>
      <c r="GE922">
        <v>21.032984795342838</v>
      </c>
      <c r="GF922">
        <v>23.075143768941643</v>
      </c>
      <c r="GG922">
        <v>9.7140060063599591</v>
      </c>
      <c r="GH922">
        <v>3.7425410588434276</v>
      </c>
      <c r="GI922">
        <v>11.841668926058908</v>
      </c>
      <c r="GJ922"/>
      <c r="GK922"/>
      <c r="GL922"/>
      <c r="GM922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95.039122663074451</v>
      </c>
      <c r="AO923">
        <v>18.573578699575855</v>
      </c>
      <c r="AP923">
        <v>92.118897623125761</v>
      </c>
      <c r="AQ923">
        <v>108.34631193638714</v>
      </c>
      <c r="AR923">
        <v>16.909490139144744</v>
      </c>
      <c r="AS923">
        <v>92.592831990354455</v>
      </c>
      <c r="AT923" t="e">
        <v>#DIV/0!</v>
      </c>
      <c r="AU923" t="e">
        <v>#DIV/0!</v>
      </c>
      <c r="AV923"/>
      <c r="AW923"/>
      <c r="FY923" s="214">
        <v>918</v>
      </c>
      <c r="FZ923">
        <v>0.81383488063544696</v>
      </c>
      <c r="GA923">
        <v>17.183032110091006</v>
      </c>
      <c r="GB923">
        <v>14.728320415821091</v>
      </c>
      <c r="GC923">
        <v>4.1010463550678331</v>
      </c>
      <c r="GD923">
        <v>10.226071381721322</v>
      </c>
      <c r="GE923">
        <v>29.584793680922612</v>
      </c>
      <c r="GF923">
        <v>25.480509995215918</v>
      </c>
      <c r="GG923">
        <v>10.422099091411541</v>
      </c>
      <c r="GH923">
        <v>1.6695421102721626</v>
      </c>
      <c r="GI923">
        <v>15.310223619511257</v>
      </c>
      <c r="GJ923"/>
      <c r="GK923"/>
      <c r="GL923"/>
      <c r="GM923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78.963976830548376</v>
      </c>
      <c r="AO924">
        <v>14.911752059256111</v>
      </c>
      <c r="AP924">
        <v>84.445459664601302</v>
      </c>
      <c r="AQ924">
        <v>92.294730324560916</v>
      </c>
      <c r="AR924">
        <v>13.734680813951893</v>
      </c>
      <c r="AS924">
        <v>72.068329875815522</v>
      </c>
      <c r="AT924" t="e">
        <v>#DIV/0!</v>
      </c>
      <c r="AU924" t="e">
        <v>#DIV/0!</v>
      </c>
      <c r="AV924"/>
      <c r="AW924"/>
      <c r="FY924" s="214">
        <v>919</v>
      </c>
      <c r="FZ924">
        <v>0.87120991713636131</v>
      </c>
      <c r="GA924">
        <v>3.624500063328949</v>
      </c>
      <c r="GB924">
        <v>8.9891578731732622</v>
      </c>
      <c r="GC924">
        <v>4.835573520366113</v>
      </c>
      <c r="GD924">
        <v>5.0465000022596538</v>
      </c>
      <c r="GE924">
        <v>13.424476165838938</v>
      </c>
      <c r="GF924">
        <v>13.622622037723762</v>
      </c>
      <c r="GG924">
        <v>6.9325062278057175</v>
      </c>
      <c r="GH924">
        <v>4.2153067693175341</v>
      </c>
      <c r="GI924">
        <v>8.8745140180632198</v>
      </c>
      <c r="GJ924"/>
      <c r="GK924"/>
      <c r="GL924"/>
      <c r="GM924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62.200295623309785</v>
      </c>
      <c r="AO925">
        <v>11.577889410153421</v>
      </c>
      <c r="AP925">
        <v>53.458853872102516</v>
      </c>
      <c r="AQ925">
        <v>80.923259442282472</v>
      </c>
      <c r="AR925">
        <v>10.716105884532798</v>
      </c>
      <c r="AS925">
        <v>54.082220549543202</v>
      </c>
      <c r="AT925">
        <v>6.5969452379234896</v>
      </c>
      <c r="AU925">
        <v>13.62148594544729</v>
      </c>
      <c r="AV925"/>
      <c r="AW925"/>
      <c r="FY925" s="214">
        <v>920</v>
      </c>
      <c r="FZ925">
        <v>0.55308055803498779</v>
      </c>
      <c r="GA925">
        <v>8.3759534757608876</v>
      </c>
      <c r="GB925">
        <v>6.7628855688962854</v>
      </c>
      <c r="GC925">
        <v>2.4072037429741826</v>
      </c>
      <c r="GD925">
        <v>6.2552432908808093</v>
      </c>
      <c r="GE925">
        <v>13.061645896180108</v>
      </c>
      <c r="GF925">
        <v>4.2807475429529127</v>
      </c>
      <c r="GG925">
        <v>4.4125436379339327</v>
      </c>
      <c r="GH925">
        <v>5.9169126775630962</v>
      </c>
      <c r="GI925">
        <v>7.3518815622294085</v>
      </c>
      <c r="GJ925"/>
      <c r="GK925"/>
      <c r="GL925"/>
      <c r="GM92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92.202397264159117</v>
      </c>
      <c r="AO926">
        <v>19.762772300577524</v>
      </c>
      <c r="AP926">
        <v>91.424959511181214</v>
      </c>
      <c r="AQ926">
        <v>115.08545708207245</v>
      </c>
      <c r="AR926">
        <v>18.347660387493491</v>
      </c>
      <c r="AS926">
        <v>89.113094336917442</v>
      </c>
      <c r="AT926">
        <v>9.7927761158128153</v>
      </c>
      <c r="AU926">
        <v>39.124076204013051</v>
      </c>
      <c r="AV926"/>
      <c r="AW926"/>
      <c r="FY926" s="214">
        <v>921</v>
      </c>
      <c r="FZ926">
        <v>1.0733361662836014</v>
      </c>
      <c r="GA926">
        <v>10.680904987637897</v>
      </c>
      <c r="GB926">
        <v>9.0657301982276213</v>
      </c>
      <c r="GC926">
        <v>3.1087819547961715</v>
      </c>
      <c r="GD926">
        <v>3.8889762535591816</v>
      </c>
      <c r="GE926">
        <v>11.877541456892624</v>
      </c>
      <c r="GF926">
        <v>19.063553811775218</v>
      </c>
      <c r="GG926">
        <v>10.185047360471469</v>
      </c>
      <c r="GH926">
        <v>2.9842986029364886</v>
      </c>
      <c r="GI926">
        <v>8.8252458160127674</v>
      </c>
      <c r="GJ926"/>
      <c r="GK926"/>
      <c r="GL926"/>
      <c r="GM926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55.573764313945254</v>
      </c>
      <c r="AO927">
        <v>12.190605676264763</v>
      </c>
      <c r="AP927">
        <v>28.931800756624909</v>
      </c>
      <c r="AQ927">
        <v>80.776472113312707</v>
      </c>
      <c r="AR927">
        <v>11.630205828435788</v>
      </c>
      <c r="AS927">
        <v>57.661961846266152</v>
      </c>
      <c r="AT927">
        <v>7.2430370200309468</v>
      </c>
      <c r="AU927">
        <v>0.97849811537303066</v>
      </c>
      <c r="AV927"/>
      <c r="AW927"/>
      <c r="FY927" s="214">
        <v>922</v>
      </c>
      <c r="FZ927">
        <v>0.88826846201652143</v>
      </c>
      <c r="GA927">
        <v>3.5032512554871129</v>
      </c>
      <c r="GB927">
        <v>11.290912084589388</v>
      </c>
      <c r="GC927">
        <v>6.3031322287223572</v>
      </c>
      <c r="GD927">
        <v>4.1222727288449326</v>
      </c>
      <c r="GE927">
        <v>12.811464869364078</v>
      </c>
      <c r="GF927">
        <v>16.862233099144671</v>
      </c>
      <c r="GG927">
        <v>7.5786976009152269</v>
      </c>
      <c r="GH927">
        <v>0.55651403675738742</v>
      </c>
      <c r="GI927">
        <v>8.8788201546630372</v>
      </c>
      <c r="GJ927"/>
      <c r="GK927"/>
      <c r="GL927"/>
      <c r="GM927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67.804005331177976</v>
      </c>
      <c r="AO928">
        <v>12.242383451177998</v>
      </c>
      <c r="AP928">
        <v>57.351149422813066</v>
      </c>
      <c r="AQ928">
        <v>72.406736950528966</v>
      </c>
      <c r="AR928">
        <v>11.487490822372679</v>
      </c>
      <c r="AS928">
        <v>64.076712696917014</v>
      </c>
      <c r="AT928">
        <v>6.9648646599172688</v>
      </c>
      <c r="AU928">
        <v>12.50248081752525</v>
      </c>
      <c r="AV928"/>
      <c r="AW928"/>
      <c r="FY928" s="214">
        <v>923</v>
      </c>
      <c r="FZ928">
        <v>0.5263594688594353</v>
      </c>
      <c r="GA928">
        <v>10.994212473637205</v>
      </c>
      <c r="GB928">
        <v>11.624543229766715</v>
      </c>
      <c r="GC928">
        <v>4.1802997193277474</v>
      </c>
      <c r="GD928">
        <v>3.8623062055805151</v>
      </c>
      <c r="GE928">
        <v>9.5753059622432222</v>
      </c>
      <c r="GF928">
        <v>15.769087784316733</v>
      </c>
      <c r="GG928">
        <v>12.822832488938465</v>
      </c>
      <c r="GH928">
        <v>4.1293904744246639</v>
      </c>
      <c r="GI928">
        <v>8.9414080217149152</v>
      </c>
      <c r="GJ928"/>
      <c r="GK928"/>
      <c r="GL928"/>
      <c r="GM928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53.649562042680017</v>
      </c>
      <c r="AO929">
        <v>11.705418532892622</v>
      </c>
      <c r="AP929">
        <v>36.934465528758707</v>
      </c>
      <c r="AQ929">
        <v>73.888636572185732</v>
      </c>
      <c r="AR929">
        <v>10.844250747697236</v>
      </c>
      <c r="AS929">
        <v>57.087796938309332</v>
      </c>
      <c r="AT929">
        <v>6.7046658680342262</v>
      </c>
      <c r="AU929">
        <v>2.7457192127349526</v>
      </c>
      <c r="AV929"/>
      <c r="AW929"/>
      <c r="FY929" s="214">
        <v>924</v>
      </c>
      <c r="FZ929">
        <v>1.4485619286702631</v>
      </c>
      <c r="GA929">
        <v>32.500349051245536</v>
      </c>
      <c r="GB929">
        <v>18.428076475195102</v>
      </c>
      <c r="GC929">
        <v>1.8910552256993276</v>
      </c>
      <c r="GD929">
        <v>1.8232056889809747</v>
      </c>
      <c r="GE929">
        <v>7.3449134182159304</v>
      </c>
      <c r="GF929">
        <v>15.123445685296998</v>
      </c>
      <c r="GG929">
        <v>8.5601941255698843</v>
      </c>
      <c r="GH929">
        <v>0.80775901560723096</v>
      </c>
      <c r="GI929">
        <v>9.1634190016577275</v>
      </c>
      <c r="GJ929"/>
      <c r="GK929"/>
      <c r="GL929"/>
      <c r="GM929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82.504336415157297</v>
      </c>
      <c r="AO930">
        <v>13.659082126517925</v>
      </c>
      <c r="AP930">
        <v>69.160811185322586</v>
      </c>
      <c r="AQ930">
        <v>92.588510817499611</v>
      </c>
      <c r="AR930">
        <v>12.453975278857243</v>
      </c>
      <c r="AS930">
        <v>66.917722346530994</v>
      </c>
      <c r="AT930" t="e">
        <v>#DIV/0!</v>
      </c>
      <c r="AU930" t="e">
        <v>#DIV/0!</v>
      </c>
      <c r="AV930"/>
      <c r="AW930"/>
      <c r="FY930" s="214">
        <v>925</v>
      </c>
      <c r="FZ930">
        <v>1.0091223956291719</v>
      </c>
      <c r="GA930">
        <v>8.7964712495049646</v>
      </c>
      <c r="GB930">
        <v>10.232129621465063</v>
      </c>
      <c r="GC930">
        <v>4.3023152083810983</v>
      </c>
      <c r="GD930">
        <v>11.296886131090586</v>
      </c>
      <c r="GE930">
        <v>28.603691085885448</v>
      </c>
      <c r="GF930">
        <v>24.652630007565779</v>
      </c>
      <c r="GG930">
        <v>13.814129878990919</v>
      </c>
      <c r="GH930">
        <v>2.9005502766532074</v>
      </c>
      <c r="GI930">
        <v>15.286657669259412</v>
      </c>
      <c r="GJ930"/>
      <c r="GK930"/>
      <c r="GL930"/>
      <c r="GM930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55.866423148394915</v>
      </c>
      <c r="AO931">
        <v>12.698879276554877</v>
      </c>
      <c r="AP931">
        <v>44.149931091854029</v>
      </c>
      <c r="AQ931">
        <v>64.449684229345692</v>
      </c>
      <c r="AR931">
        <v>11.544757760883222</v>
      </c>
      <c r="AS931">
        <v>57.829644930544248</v>
      </c>
      <c r="AT931" t="e">
        <v>#DIV/0!</v>
      </c>
      <c r="AU931" t="e">
        <v>#DIV/0!</v>
      </c>
      <c r="AV931"/>
      <c r="AW931"/>
      <c r="FY931" s="214">
        <v>926</v>
      </c>
      <c r="FZ931">
        <v>1.2670529080877539</v>
      </c>
      <c r="GA931">
        <v>3.5675297968903035</v>
      </c>
      <c r="GB931">
        <v>3.8834406716766217</v>
      </c>
      <c r="GC931">
        <v>2.5171844878386116</v>
      </c>
      <c r="GD931">
        <v>2.116066126913188</v>
      </c>
      <c r="GE931">
        <v>4.766887045707211</v>
      </c>
      <c r="GF931">
        <v>19.17854100372881</v>
      </c>
      <c r="GG931">
        <v>18.427068879592213</v>
      </c>
      <c r="GH931">
        <v>8.344697243742198</v>
      </c>
      <c r="GI931">
        <v>7.6592509830162765</v>
      </c>
      <c r="GJ931"/>
      <c r="GK931"/>
      <c r="GL931"/>
      <c r="GM931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84.755545188574615</v>
      </c>
      <c r="AO932">
        <v>20.228700573947215</v>
      </c>
      <c r="AP932">
        <v>94.699298531229459</v>
      </c>
      <c r="AQ932">
        <v>107.01635911138334</v>
      </c>
      <c r="AR932">
        <v>18.568592427686234</v>
      </c>
      <c r="AS932">
        <v>95.633898516881331</v>
      </c>
      <c r="AT932">
        <v>10.224075066168446</v>
      </c>
      <c r="AU932">
        <v>16.510596523048505</v>
      </c>
      <c r="AV932"/>
      <c r="AW932"/>
      <c r="FY932" s="214">
        <v>927</v>
      </c>
      <c r="FZ932">
        <v>0.81128970370919617</v>
      </c>
      <c r="GA932">
        <v>3.47875171115325</v>
      </c>
      <c r="GB932">
        <v>2.1816532287476966</v>
      </c>
      <c r="GC932">
        <v>1.4607476317054895</v>
      </c>
      <c r="GD932">
        <v>10.439413845336514</v>
      </c>
      <c r="GE932">
        <v>22.133178066533254</v>
      </c>
      <c r="GF932">
        <v>13.335800627206329</v>
      </c>
      <c r="GG932">
        <v>12.38474694828928</v>
      </c>
      <c r="GH932">
        <v>9.7432020626898037</v>
      </c>
      <c r="GI932">
        <v>11.463330538850267</v>
      </c>
      <c r="GJ932"/>
      <c r="GK932"/>
      <c r="GL932"/>
      <c r="GM932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89.16675198698826</v>
      </c>
      <c r="AO933">
        <v>17.868261113045087</v>
      </c>
      <c r="AP933">
        <v>105.24786828702402</v>
      </c>
      <c r="AQ933">
        <v>96.362183661298047</v>
      </c>
      <c r="AR933">
        <v>16.625377489736724</v>
      </c>
      <c r="AS933">
        <v>89.005674481345039</v>
      </c>
      <c r="AT933">
        <v>8.9368589158303884</v>
      </c>
      <c r="AU933">
        <v>12.445005302644276</v>
      </c>
      <c r="AV933"/>
      <c r="AW933"/>
      <c r="FY933" s="214">
        <v>928</v>
      </c>
      <c r="FZ933">
        <v>0.42155057336862511</v>
      </c>
      <c r="GA933">
        <v>16.041850352238008</v>
      </c>
      <c r="GB933">
        <v>12.280499973760328</v>
      </c>
      <c r="GC933">
        <v>2.9623951275790112</v>
      </c>
      <c r="GD933">
        <v>1.9885673576029999</v>
      </c>
      <c r="GE933">
        <v>3.7318078690699661</v>
      </c>
      <c r="GF933">
        <v>14.345260439931829</v>
      </c>
      <c r="GG933">
        <v>12.669445364129382</v>
      </c>
      <c r="GH933">
        <v>0.64026236304066864</v>
      </c>
      <c r="GI933">
        <v>7.2255371979073262</v>
      </c>
      <c r="GJ933"/>
      <c r="GK933"/>
      <c r="GL933"/>
      <c r="GM933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119.61936952341395</v>
      </c>
      <c r="AO934">
        <v>23.61169365150959</v>
      </c>
      <c r="AP934">
        <v>150.00676257637778</v>
      </c>
      <c r="AQ934">
        <v>129.51947364067018</v>
      </c>
      <c r="AR934">
        <v>21.465176046826908</v>
      </c>
      <c r="AS934">
        <v>112.19420433958244</v>
      </c>
      <c r="AT934" t="e">
        <v>#DIV/0!</v>
      </c>
      <c r="AU934" t="e">
        <v>#DIV/0!</v>
      </c>
      <c r="AV934"/>
      <c r="AW934"/>
      <c r="FY934" s="214">
        <v>929</v>
      </c>
      <c r="FZ934">
        <v>1.775523417274723</v>
      </c>
      <c r="GA934">
        <v>3.2896169659688632</v>
      </c>
      <c r="GB934">
        <v>1.5779380794151185</v>
      </c>
      <c r="GC934">
        <v>0.76357214510444216</v>
      </c>
      <c r="GD934">
        <v>3.8452187199522179</v>
      </c>
      <c r="GE934">
        <v>10.992460277165089</v>
      </c>
      <c r="GF934">
        <v>12.019412453268657</v>
      </c>
      <c r="GG934">
        <v>10.893892853883484</v>
      </c>
      <c r="GH934">
        <v>6.9782562227679907</v>
      </c>
      <c r="GI934">
        <v>6.5274450495327283</v>
      </c>
      <c r="GJ934"/>
      <c r="GK934"/>
      <c r="GL934"/>
      <c r="GM934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61.903737987707565</v>
      </c>
      <c r="AO935">
        <v>13.371834581352683</v>
      </c>
      <c r="AP935">
        <v>67.925113040831448</v>
      </c>
      <c r="AQ935">
        <v>70.436366595013524</v>
      </c>
      <c r="AR935">
        <v>12.513298412304209</v>
      </c>
      <c r="AS935">
        <v>62.776401513020765</v>
      </c>
      <c r="AT935" t="e">
        <v>#DIV/0!</v>
      </c>
      <c r="AU935" t="e">
        <v>#DIV/0!</v>
      </c>
      <c r="AV935"/>
      <c r="AW935"/>
      <c r="FY935" s="214">
        <v>930</v>
      </c>
      <c r="FZ935">
        <v>0.27170900686979771</v>
      </c>
      <c r="GA935">
        <v>9.4939563601690118</v>
      </c>
      <c r="GB935">
        <v>6.8660648538812801</v>
      </c>
      <c r="GC935">
        <v>2.1250984263664865</v>
      </c>
      <c r="GD935">
        <v>7.3514672610733811</v>
      </c>
      <c r="GE935">
        <v>16.115757771229571</v>
      </c>
      <c r="GF935">
        <v>20.17793305033145</v>
      </c>
      <c r="GG935">
        <v>15.740550265698435</v>
      </c>
      <c r="GH935">
        <v>1.1130280735147748</v>
      </c>
      <c r="GI935">
        <v>10.52490429942033</v>
      </c>
      <c r="GJ935"/>
      <c r="GK935"/>
      <c r="GL935"/>
      <c r="GM93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62.446006016542228</v>
      </c>
      <c r="AO936">
        <v>11.06413524430919</v>
      </c>
      <c r="AP936">
        <v>52.462477374735975</v>
      </c>
      <c r="AQ936">
        <v>59.378097953406616</v>
      </c>
      <c r="AR936">
        <v>10.237491455666815</v>
      </c>
      <c r="AS936">
        <v>56.294170877616054</v>
      </c>
      <c r="AT936">
        <v>5.3171973039194844</v>
      </c>
      <c r="AU936">
        <v>5.3089877164221893</v>
      </c>
      <c r="AV936"/>
      <c r="AW936"/>
      <c r="FY936" s="214">
        <v>931</v>
      </c>
      <c r="FZ936">
        <v>1.588740950873698</v>
      </c>
      <c r="GA936">
        <v>6.0244575700294485</v>
      </c>
      <c r="GB936">
        <v>9.2525179015099326</v>
      </c>
      <c r="GC936">
        <v>4.0188954999140174</v>
      </c>
      <c r="GD936">
        <v>8.988416375754678</v>
      </c>
      <c r="GE936">
        <v>24.81474234071143</v>
      </c>
      <c r="GF936">
        <v>18.894298245667532</v>
      </c>
      <c r="GG936">
        <v>9.787368288275978</v>
      </c>
      <c r="GH936">
        <v>9.4082087575566788</v>
      </c>
      <c r="GI936">
        <v>13.142480681804766</v>
      </c>
      <c r="GJ936"/>
      <c r="GK936"/>
      <c r="GL936"/>
      <c r="GM936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80.239659151230725</v>
      </c>
      <c r="AO937">
        <v>13.218802882609822</v>
      </c>
      <c r="AP937">
        <v>62.221376225411149</v>
      </c>
      <c r="AQ937">
        <v>80.753416608593042</v>
      </c>
      <c r="AR937">
        <v>12.221020866758327</v>
      </c>
      <c r="AS937">
        <v>70.809507341654708</v>
      </c>
      <c r="AT937">
        <v>7.2389482865742414</v>
      </c>
      <c r="AU937">
        <v>19.433665400271448</v>
      </c>
      <c r="AV937"/>
      <c r="AW937"/>
      <c r="FY937" s="214">
        <v>932</v>
      </c>
      <c r="FZ937">
        <v>0.62367682251586543</v>
      </c>
      <c r="GA937">
        <v>17.104626238891971</v>
      </c>
      <c r="GB937">
        <v>11.160154137314183</v>
      </c>
      <c r="GC937">
        <v>2.1481069413930207</v>
      </c>
      <c r="GD937">
        <v>3.9858681038684041</v>
      </c>
      <c r="GE937">
        <v>12.352776017149942</v>
      </c>
      <c r="GF937">
        <v>27.943639334086818</v>
      </c>
      <c r="GG937">
        <v>21.032725977275643</v>
      </c>
      <c r="GH937">
        <v>8.1772005911756356</v>
      </c>
      <c r="GI937">
        <v>11.951454170036719</v>
      </c>
      <c r="GJ937"/>
      <c r="GK937"/>
      <c r="GL937"/>
      <c r="GM937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70.378304096111293</v>
      </c>
      <c r="AO938">
        <v>13.701634482905083</v>
      </c>
      <c r="AP938">
        <v>74.96561559483095</v>
      </c>
      <c r="AQ938">
        <v>72.795566520504707</v>
      </c>
      <c r="AR938">
        <v>12.468884754981909</v>
      </c>
      <c r="AS938">
        <v>65.15740576338051</v>
      </c>
      <c r="AT938" t="e">
        <v>#DIV/0!</v>
      </c>
      <c r="AU938" t="e">
        <v>#DIV/0!</v>
      </c>
      <c r="AV938"/>
      <c r="AW938"/>
      <c r="FY938" s="214">
        <v>933</v>
      </c>
      <c r="FZ938">
        <v>1.1493014178326069</v>
      </c>
      <c r="GA938">
        <v>3.8866105453089417</v>
      </c>
      <c r="GB938">
        <v>9.3607145812183035</v>
      </c>
      <c r="GC938">
        <v>5.2456146776361159</v>
      </c>
      <c r="GD938">
        <v>4.1528873088161626</v>
      </c>
      <c r="GE938">
        <v>15.010486509664931</v>
      </c>
      <c r="GF938">
        <v>18.956882426638142</v>
      </c>
      <c r="GG938">
        <v>11.695726791019366</v>
      </c>
      <c r="GH938">
        <v>9.573537441513654</v>
      </c>
      <c r="GI938">
        <v>10.324706760594665</v>
      </c>
      <c r="GJ938"/>
      <c r="GK938"/>
      <c r="GL938"/>
      <c r="GM938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71.38563761095989</v>
      </c>
      <c r="AO939">
        <v>13.62816399531987</v>
      </c>
      <c r="AP939">
        <v>61.236844322371134</v>
      </c>
      <c r="AQ939">
        <v>82.425745828809625</v>
      </c>
      <c r="AR939">
        <v>12.401449292783226</v>
      </c>
      <c r="AS939">
        <v>65.133267116855919</v>
      </c>
      <c r="AT939" t="e">
        <v>#DIV/0!</v>
      </c>
      <c r="AU939" t="e">
        <v>#DIV/0!</v>
      </c>
      <c r="AV939"/>
      <c r="AW939"/>
      <c r="FY939" s="214">
        <v>934</v>
      </c>
      <c r="FZ939">
        <v>1.5068158276582437</v>
      </c>
      <c r="GA939">
        <v>3.5526046924114505</v>
      </c>
      <c r="GB939">
        <v>5.8769792954512852</v>
      </c>
      <c r="GC939">
        <v>3.4720274571701326</v>
      </c>
      <c r="GD939">
        <v>5.9873772886629713</v>
      </c>
      <c r="GE939">
        <v>13.001607476287662</v>
      </c>
      <c r="GF939">
        <v>15.687429533016655</v>
      </c>
      <c r="GG939">
        <v>15.182845131233531</v>
      </c>
      <c r="GH939">
        <v>7.7044348807015295</v>
      </c>
      <c r="GI939">
        <v>10.035613830381411</v>
      </c>
      <c r="GJ939"/>
      <c r="GK939"/>
      <c r="GL939"/>
      <c r="GM939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87.722550405251951</v>
      </c>
      <c r="AO940">
        <v>14.192317219074274</v>
      </c>
      <c r="AP940">
        <v>65.518465011667089</v>
      </c>
      <c r="AQ940">
        <v>97.090979616138981</v>
      </c>
      <c r="AR940">
        <v>12.926847211794819</v>
      </c>
      <c r="AS940">
        <v>73.100998577174749</v>
      </c>
      <c r="AT940" t="e">
        <v>#DIV/0!</v>
      </c>
      <c r="AU940" t="e">
        <v>#DIV/0!</v>
      </c>
      <c r="AV940"/>
      <c r="AW940"/>
      <c r="FY940" s="214">
        <v>935</v>
      </c>
      <c r="FZ940">
        <v>1.2573903637923616</v>
      </c>
      <c r="GA940">
        <v>11.318770777367238</v>
      </c>
      <c r="GB940">
        <v>7.8790305395934723</v>
      </c>
      <c r="GC940">
        <v>2.3148270517558256</v>
      </c>
      <c r="GD940">
        <v>7.1483392737425255</v>
      </c>
      <c r="GE940">
        <v>18.1857333740775</v>
      </c>
      <c r="GF940">
        <v>19.738581433201112</v>
      </c>
      <c r="GG940">
        <v>14.479159544022584</v>
      </c>
      <c r="GH940">
        <v>6.4734267143204844</v>
      </c>
      <c r="GI940">
        <v>11.451552304221558</v>
      </c>
      <c r="GJ940"/>
      <c r="GK940"/>
      <c r="GL940"/>
      <c r="GM940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98.509830854180066</v>
      </c>
      <c r="AO941">
        <v>23.759376978447403</v>
      </c>
      <c r="AP941">
        <v>148.51657405366657</v>
      </c>
      <c r="AQ941">
        <v>120.89458352442564</v>
      </c>
      <c r="AR941">
        <v>21.790507546997027</v>
      </c>
      <c r="AS941">
        <v>106.52987298187239</v>
      </c>
      <c r="AT941">
        <v>11.062152425617798</v>
      </c>
      <c r="AU941">
        <v>84.56125773141855</v>
      </c>
      <c r="AV941"/>
      <c r="AW941"/>
      <c r="FY941" s="214">
        <v>936</v>
      </c>
      <c r="FZ941">
        <v>0.99890258490252704</v>
      </c>
      <c r="GA941">
        <v>24.5316043542758</v>
      </c>
      <c r="GB941">
        <v>20.627935281038194</v>
      </c>
      <c r="GC941">
        <v>5.1438752778579433</v>
      </c>
      <c r="GD941">
        <v>2.9429431217642357</v>
      </c>
      <c r="GE941">
        <v>10.27769270002281</v>
      </c>
      <c r="GF941">
        <v>12.013168709970239</v>
      </c>
      <c r="GG941">
        <v>6.6198152338541858</v>
      </c>
      <c r="GH941">
        <v>7.2316691702274234</v>
      </c>
      <c r="GI941">
        <v>10.648111351462697</v>
      </c>
      <c r="GJ941"/>
      <c r="GK941"/>
      <c r="GL941"/>
      <c r="GM941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45.528153591676094</v>
      </c>
      <c r="AO942">
        <v>11.610738117469808</v>
      </c>
      <c r="AP942">
        <v>39.461458053195955</v>
      </c>
      <c r="AQ942">
        <v>71.727719147193184</v>
      </c>
      <c r="AR942">
        <v>10.912623681880383</v>
      </c>
      <c r="AS942">
        <v>51.339845754625884</v>
      </c>
      <c r="AT942">
        <v>6.453363738492917</v>
      </c>
      <c r="AU942">
        <v>8.0426722268466762</v>
      </c>
      <c r="AV942"/>
      <c r="AW942"/>
      <c r="FY942" s="214">
        <v>937</v>
      </c>
      <c r="FZ942">
        <v>0.1411925289617551</v>
      </c>
      <c r="GA942">
        <v>17.92708186505395</v>
      </c>
      <c r="GB942">
        <v>12.233268025488126</v>
      </c>
      <c r="GC942">
        <v>2.393606034647803</v>
      </c>
      <c r="GD942">
        <v>6.1129908003978244</v>
      </c>
      <c r="GE942">
        <v>21.63022796777911</v>
      </c>
      <c r="GF942">
        <v>26.868871139367549</v>
      </c>
      <c r="GG942">
        <v>12.605823453686979</v>
      </c>
      <c r="GH942">
        <v>3.740373090233839</v>
      </c>
      <c r="GI942">
        <v>12.601718700385943</v>
      </c>
      <c r="GJ942"/>
      <c r="GK942"/>
      <c r="GL942"/>
      <c r="GM942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72.165809999196256</v>
      </c>
      <c r="AO943">
        <v>17.32327572779446</v>
      </c>
      <c r="AP943">
        <v>114.4301758188644</v>
      </c>
      <c r="AQ943">
        <v>87.432114364221079</v>
      </c>
      <c r="AR943">
        <v>16.284704324455198</v>
      </c>
      <c r="AS943">
        <v>79.816076407963862</v>
      </c>
      <c r="AT943">
        <v>8.720171311446089</v>
      </c>
      <c r="AU943">
        <v>28.837132071154741</v>
      </c>
      <c r="AV943"/>
      <c r="AW943"/>
      <c r="FY943" s="214">
        <v>938</v>
      </c>
      <c r="FZ943">
        <v>0.42155057336862511</v>
      </c>
      <c r="GA943">
        <v>11.783674481488418</v>
      </c>
      <c r="GB943">
        <v>11.202675499454234</v>
      </c>
      <c r="GC943">
        <v>3.5434856115562292</v>
      </c>
      <c r="GD943">
        <v>7.948219870659285</v>
      </c>
      <c r="GE943">
        <v>21.42404500407164</v>
      </c>
      <c r="GF943">
        <v>19.388681122832772</v>
      </c>
      <c r="GG943">
        <v>11.78590373686092</v>
      </c>
      <c r="GH943">
        <v>3.5728764376672766</v>
      </c>
      <c r="GI943">
        <v>12.311299826840425</v>
      </c>
      <c r="GJ943"/>
      <c r="GK943"/>
      <c r="GL943"/>
      <c r="GM943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56.734944845900962</v>
      </c>
      <c r="AO944">
        <v>11.105586697447221</v>
      </c>
      <c r="AP944">
        <v>54.271658083607399</v>
      </c>
      <c r="AQ944">
        <v>72.307176618628148</v>
      </c>
      <c r="AR944">
        <v>10.095987906770203</v>
      </c>
      <c r="AS944">
        <v>50.294833664977162</v>
      </c>
      <c r="AT944" t="e">
        <v>#DIV/0!</v>
      </c>
      <c r="AU944" t="e">
        <v>#DIV/0!</v>
      </c>
      <c r="AV944"/>
      <c r="AW944"/>
      <c r="FY944" s="214">
        <v>939</v>
      </c>
      <c r="FZ944">
        <v>0.41188802907323274</v>
      </c>
      <c r="GA944">
        <v>11.177119309735154</v>
      </c>
      <c r="GB944">
        <v>11.869585756301426</v>
      </c>
      <c r="GC944">
        <v>4.2039193747481498</v>
      </c>
      <c r="GD944">
        <v>1.8510233377155796</v>
      </c>
      <c r="GE944">
        <v>7.8380770014335912</v>
      </c>
      <c r="GF944">
        <v>20.617514974178036</v>
      </c>
      <c r="GG944">
        <v>17.378768853379881</v>
      </c>
      <c r="GH944">
        <v>11.193562992085525</v>
      </c>
      <c r="GI944">
        <v>10.085528433982059</v>
      </c>
      <c r="GJ944"/>
      <c r="GK944"/>
      <c r="GL944"/>
      <c r="GM944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61.429769063712776</v>
      </c>
      <c r="AO945">
        <v>10.073901956483274</v>
      </c>
      <c r="AP945">
        <v>64.319655541715903</v>
      </c>
      <c r="AQ945">
        <v>58.663336184333318</v>
      </c>
      <c r="AR945">
        <v>9.2072519307878835</v>
      </c>
      <c r="AS945">
        <v>51.447916929993838</v>
      </c>
      <c r="AT945" t="e">
        <v>#DIV/0!</v>
      </c>
      <c r="AU945" t="e">
        <v>#DIV/0!</v>
      </c>
      <c r="AV945"/>
      <c r="AW945"/>
      <c r="FY945" s="214">
        <v>940</v>
      </c>
      <c r="FZ945">
        <v>1.1034328471777111</v>
      </c>
      <c r="GA945">
        <v>13.155365530961145</v>
      </c>
      <c r="GB945">
        <v>6.7123829216798665</v>
      </c>
      <c r="GC945">
        <v>1.4003625434186224</v>
      </c>
      <c r="GD945">
        <v>7.3324261648034987</v>
      </c>
      <c r="GE945">
        <v>17.209891807943816</v>
      </c>
      <c r="GF945">
        <v>17.564006258857702</v>
      </c>
      <c r="GG945">
        <v>13.109759261299672</v>
      </c>
      <c r="GH945">
        <v>5.9169126775630962</v>
      </c>
      <c r="GI945">
        <v>10.556297143929847</v>
      </c>
      <c r="GJ945"/>
      <c r="GK945"/>
      <c r="GL945"/>
      <c r="GM94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70.776782894952447</v>
      </c>
      <c r="AO946">
        <v>16.406894722772641</v>
      </c>
      <c r="AP946">
        <v>103.01222001347847</v>
      </c>
      <c r="AQ946">
        <v>89.780469368554506</v>
      </c>
      <c r="AR946">
        <v>14.91568089380846</v>
      </c>
      <c r="AS946">
        <v>70.532372733964777</v>
      </c>
      <c r="AT946" t="e">
        <v>#DIV/0!</v>
      </c>
      <c r="AU946" t="e">
        <v>#DIV/0!</v>
      </c>
      <c r="AV946"/>
      <c r="AW946"/>
      <c r="FY946" s="214">
        <v>941</v>
      </c>
      <c r="FZ946">
        <v>0.41544671275780354</v>
      </c>
      <c r="GA946">
        <v>3.0812650915355779</v>
      </c>
      <c r="GB946">
        <v>5.7482351302405377</v>
      </c>
      <c r="GC946">
        <v>3.14631641469746</v>
      </c>
      <c r="GD946">
        <v>4.2220014088261077</v>
      </c>
      <c r="GE946">
        <v>8.8468705961938703</v>
      </c>
      <c r="GF946">
        <v>8.9826209341994989</v>
      </c>
      <c r="GG946">
        <v>9.3063180841886801</v>
      </c>
      <c r="GH946">
        <v>4.1293904744246639</v>
      </c>
      <c r="GI946">
        <v>6.5285871670768767</v>
      </c>
      <c r="GJ946"/>
      <c r="GK946"/>
      <c r="GL946"/>
      <c r="GM946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86.713567958570124</v>
      </c>
      <c r="AO947">
        <v>19.502736208436279</v>
      </c>
      <c r="AP947">
        <v>69.184065842022449</v>
      </c>
      <c r="AQ947">
        <v>105.92012661209817</v>
      </c>
      <c r="AR947">
        <v>18.314225112432663</v>
      </c>
      <c r="AS947">
        <v>91.080562106474531</v>
      </c>
      <c r="AT947">
        <v>9.9066127134024153</v>
      </c>
      <c r="AU947">
        <v>15.770665583256141</v>
      </c>
      <c r="AV947"/>
      <c r="AW947"/>
      <c r="FY947" s="214">
        <v>942</v>
      </c>
      <c r="FZ947">
        <v>0.80773102002462538</v>
      </c>
      <c r="GA947">
        <v>11.174182529320243</v>
      </c>
      <c r="GB947">
        <v>7.3789877155213839</v>
      </c>
      <c r="GC947">
        <v>1.933819362681368</v>
      </c>
      <c r="GD947">
        <v>7.3636631399194288</v>
      </c>
      <c r="GE947">
        <v>21.113972223275155</v>
      </c>
      <c r="GF947">
        <v>18.017814467179196</v>
      </c>
      <c r="GG947">
        <v>8.5968636749890628</v>
      </c>
      <c r="GH947">
        <v>5.9169126775630962</v>
      </c>
      <c r="GI947">
        <v>10.847548434973099</v>
      </c>
      <c r="GJ947"/>
      <c r="GK947"/>
      <c r="GL947"/>
      <c r="GM947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90.76064646733667</v>
      </c>
      <c r="AO948">
        <v>17.928801946504219</v>
      </c>
      <c r="AP948">
        <v>77.264177829651175</v>
      </c>
      <c r="AQ948">
        <v>116.4802283337082</v>
      </c>
      <c r="AR948">
        <v>16.669171478798042</v>
      </c>
      <c r="AS948">
        <v>89.694122058474235</v>
      </c>
      <c r="AT948">
        <v>10.131032554157345</v>
      </c>
      <c r="AU948">
        <v>35.327825848358259</v>
      </c>
      <c r="AV948"/>
      <c r="AW948"/>
      <c r="FY948" s="214">
        <v>943</v>
      </c>
      <c r="FZ948">
        <v>1.468165650476674</v>
      </c>
      <c r="GA948">
        <v>5.4759530305929403</v>
      </c>
      <c r="GB948">
        <v>9.0972538056391556</v>
      </c>
      <c r="GC948">
        <v>4.6085544647029826</v>
      </c>
      <c r="GD948">
        <v>2.7583423959474342</v>
      </c>
      <c r="GE948">
        <v>10.021911559643106</v>
      </c>
      <c r="GF948">
        <v>11.870869614167669</v>
      </c>
      <c r="GG948">
        <v>3.0860922550898509</v>
      </c>
      <c r="GH948">
        <v>0.55651403675738742</v>
      </c>
      <c r="GI948">
        <v>6.4828329311043085</v>
      </c>
      <c r="GJ948"/>
      <c r="GK948"/>
      <c r="GL948"/>
      <c r="GM948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76.408094007996894</v>
      </c>
      <c r="AO949">
        <v>15.77525655112721</v>
      </c>
      <c r="AP949">
        <v>70.588705629981646</v>
      </c>
      <c r="AQ949">
        <v>89.35646846024288</v>
      </c>
      <c r="AR949">
        <v>14.531894194508968</v>
      </c>
      <c r="AS949">
        <v>74.49123867801876</v>
      </c>
      <c r="AT949">
        <v>7.7671942246456886</v>
      </c>
      <c r="AU949">
        <v>28.019311952247282</v>
      </c>
      <c r="AV949"/>
      <c r="AW949"/>
      <c r="FY949" s="214">
        <v>944</v>
      </c>
      <c r="FZ949">
        <v>0.8516061953299503</v>
      </c>
      <c r="GA949">
        <v>19.266462759182183</v>
      </c>
      <c r="GB949">
        <v>9.8815259296374496</v>
      </c>
      <c r="GC949">
        <v>0.88722129392112969</v>
      </c>
      <c r="GD949">
        <v>0.6936688334034109</v>
      </c>
      <c r="GE949">
        <v>3.3937077353968399</v>
      </c>
      <c r="GF949">
        <v>19.336164707985024</v>
      </c>
      <c r="GG949">
        <v>13.982811012706449</v>
      </c>
      <c r="GH949">
        <v>3.0680469292197698</v>
      </c>
      <c r="GI949">
        <v>7.0402818297962364</v>
      </c>
      <c r="GJ949"/>
      <c r="GK949"/>
      <c r="GL949"/>
      <c r="GM949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57.676001984614118</v>
      </c>
      <c r="AO950">
        <v>15.492840373715676</v>
      </c>
      <c r="AP950">
        <v>109.81986138804986</v>
      </c>
      <c r="AQ950">
        <v>82.007735412974867</v>
      </c>
      <c r="AR950">
        <v>14.441807551194808</v>
      </c>
      <c r="AS950">
        <v>71.42743339658935</v>
      </c>
      <c r="AT950">
        <v>7.799900060993779</v>
      </c>
      <c r="AU950">
        <v>30.192477892769041</v>
      </c>
      <c r="AV950"/>
      <c r="AW950"/>
      <c r="FY950" s="214">
        <v>945</v>
      </c>
      <c r="FZ950">
        <v>1.2074113278762151</v>
      </c>
      <c r="GA950">
        <v>9.4251249288249888</v>
      </c>
      <c r="GB950">
        <v>5.1184033986008606</v>
      </c>
      <c r="GC950">
        <v>1.1106331978340627</v>
      </c>
      <c r="GD950">
        <v>11.32831641106544</v>
      </c>
      <c r="GE950">
        <v>24.912115595349537</v>
      </c>
      <c r="GF950">
        <v>17.719430185542748</v>
      </c>
      <c r="GG950">
        <v>17.290003754694197</v>
      </c>
      <c r="GH950">
        <v>7.6185185858086601</v>
      </c>
      <c r="GI950">
        <v>12.988996915831184</v>
      </c>
      <c r="GJ950"/>
      <c r="GK950"/>
      <c r="GL950"/>
      <c r="GM950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78.914776382301369</v>
      </c>
      <c r="AO951">
        <v>17.498893008489883</v>
      </c>
      <c r="AP951">
        <v>90.859698240157428</v>
      </c>
      <c r="AQ951">
        <v>100.24681137609466</v>
      </c>
      <c r="AR951">
        <v>16.086949186361387</v>
      </c>
      <c r="AS951">
        <v>81.022260334831756</v>
      </c>
      <c r="AT951">
        <v>9.062644584982948</v>
      </c>
      <c r="AU951">
        <v>25.023475043854713</v>
      </c>
      <c r="AV951"/>
      <c r="AW951"/>
      <c r="FY951" s="214">
        <v>946</v>
      </c>
      <c r="FZ951">
        <v>0.82733474183103617</v>
      </c>
      <c r="GA951">
        <v>16.938260616798793</v>
      </c>
      <c r="GB951">
        <v>15.962030535067139</v>
      </c>
      <c r="GC951">
        <v>4.7489333335702462</v>
      </c>
      <c r="GD951">
        <v>4.8450895717464011</v>
      </c>
      <c r="GE951">
        <v>13.293236485949929</v>
      </c>
      <c r="GF951">
        <v>15.209831616959988</v>
      </c>
      <c r="GG951">
        <v>10.964794230466534</v>
      </c>
      <c r="GH951">
        <v>5.9169126775630962</v>
      </c>
      <c r="GI951">
        <v>11.024179488169656</v>
      </c>
      <c r="GJ951"/>
      <c r="GK951"/>
      <c r="GL951"/>
      <c r="GM951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84.413041179584866</v>
      </c>
      <c r="AO952">
        <v>15.982515186507943</v>
      </c>
      <c r="AP952">
        <v>72.623806481974029</v>
      </c>
      <c r="AQ952">
        <v>101.03571778537606</v>
      </c>
      <c r="AR952">
        <v>14.899175768952942</v>
      </c>
      <c r="AS952">
        <v>83.140438349864354</v>
      </c>
      <c r="AT952">
        <v>8.0306341438894275</v>
      </c>
      <c r="AU952">
        <v>20.323294660875341</v>
      </c>
      <c r="AV952"/>
      <c r="AW952"/>
      <c r="FY952" s="214">
        <v>947</v>
      </c>
      <c r="FZ952">
        <v>1.220353922640552</v>
      </c>
      <c r="GA952">
        <v>10.597671348021006</v>
      </c>
      <c r="GB952">
        <v>11.193205068988071</v>
      </c>
      <c r="GC952">
        <v>4.3491374542015535</v>
      </c>
      <c r="GD952">
        <v>11.549164425239461</v>
      </c>
      <c r="GE952">
        <v>25.138313936961332</v>
      </c>
      <c r="GF952">
        <v>12.841769307093749</v>
      </c>
      <c r="GG952">
        <v>13.048717445703319</v>
      </c>
      <c r="GH952">
        <v>7.062004549051272</v>
      </c>
      <c r="GI952">
        <v>13.971623566655369</v>
      </c>
      <c r="GJ952"/>
      <c r="GK952"/>
      <c r="GL952"/>
      <c r="GM952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106.39236500074962</v>
      </c>
      <c r="AO953">
        <v>19.376419408957943</v>
      </c>
      <c r="AP953">
        <v>87.828695343132637</v>
      </c>
      <c r="AQ953">
        <v>116.25515360600288</v>
      </c>
      <c r="AR953">
        <v>17.615570845264799</v>
      </c>
      <c r="AS953">
        <v>96.980774446841139</v>
      </c>
      <c r="AT953" t="e">
        <v>#DIV/0!</v>
      </c>
      <c r="AU953" t="e">
        <v>#DIV/0!</v>
      </c>
      <c r="AV953"/>
      <c r="AW953"/>
      <c r="FY953" s="214">
        <v>948</v>
      </c>
      <c r="FZ953">
        <v>0.67393449164763797</v>
      </c>
      <c r="GA953">
        <v>36.445579765441515</v>
      </c>
      <c r="GB953">
        <v>23.869881820492648</v>
      </c>
      <c r="GC953">
        <v>3.8615451827468057</v>
      </c>
      <c r="GD953">
        <v>4.2219396072813264</v>
      </c>
      <c r="GE953">
        <v>12.65635120203695</v>
      </c>
      <c r="GF953">
        <v>15.236829041135042</v>
      </c>
      <c r="GG953">
        <v>14.087579930701613</v>
      </c>
      <c r="GH953">
        <v>11.107646697192655</v>
      </c>
      <c r="GI953">
        <v>13.210765075875862</v>
      </c>
      <c r="GJ953"/>
      <c r="GK953"/>
      <c r="GL953"/>
      <c r="GM953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81.899206932873398</v>
      </c>
      <c r="AO954">
        <v>19.18677076605039</v>
      </c>
      <c r="AP954">
        <v>118.07098926577335</v>
      </c>
      <c r="AQ954">
        <v>103.38241216479982</v>
      </c>
      <c r="AR954">
        <v>17.454728175265519</v>
      </c>
      <c r="AS954">
        <v>85.841226065121631</v>
      </c>
      <c r="AT954" t="e">
        <v>#DIV/0!</v>
      </c>
      <c r="AU954" t="e">
        <v>#DIV/0!</v>
      </c>
      <c r="AV954"/>
      <c r="AW954"/>
      <c r="FY954" s="214">
        <v>949</v>
      </c>
      <c r="FZ954">
        <v>0.75419330042390809</v>
      </c>
      <c r="GA954">
        <v>4.8786640126159364</v>
      </c>
      <c r="GB954">
        <v>6.5983816497217891</v>
      </c>
      <c r="GC954">
        <v>3.368287265097849</v>
      </c>
      <c r="GD954">
        <v>4.9418831946753308</v>
      </c>
      <c r="GE954">
        <v>14.006880842278486</v>
      </c>
      <c r="GF954">
        <v>22.324097019008541</v>
      </c>
      <c r="GG954">
        <v>18.269591596924418</v>
      </c>
      <c r="GH954">
        <v>11.193562992085525</v>
      </c>
      <c r="GI954">
        <v>10.932477008180596</v>
      </c>
      <c r="GJ954"/>
      <c r="GK954"/>
      <c r="GL954"/>
      <c r="GM954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77.675950519434949</v>
      </c>
      <c r="AO955">
        <v>15.30000472878076</v>
      </c>
      <c r="AP955">
        <v>73.551613116232403</v>
      </c>
      <c r="AQ955">
        <v>96.626988062632648</v>
      </c>
      <c r="AR955">
        <v>14.266180364511555</v>
      </c>
      <c r="AS955">
        <v>73.474790067469641</v>
      </c>
      <c r="AT955" t="e">
        <v>#DIV/0!</v>
      </c>
      <c r="AU955" t="e">
        <v>#DIV/0!</v>
      </c>
      <c r="AV955"/>
      <c r="AW955"/>
      <c r="FY955" s="214">
        <v>950</v>
      </c>
      <c r="FZ955">
        <v>0.94208481483286488</v>
      </c>
      <c r="GA955">
        <v>11.381749476512343</v>
      </c>
      <c r="GB955">
        <v>14.295125643973236</v>
      </c>
      <c r="GC955">
        <v>5.4878297559109361</v>
      </c>
      <c r="GD955">
        <v>1.074009196407935</v>
      </c>
      <c r="GE955">
        <v>1.6663276131569043</v>
      </c>
      <c r="GF955">
        <v>6.9985196182106577</v>
      </c>
      <c r="GG955">
        <v>11.146865008986465</v>
      </c>
      <c r="GH955">
        <v>11.109814665802244</v>
      </c>
      <c r="GI955">
        <v>7.3777829988304626</v>
      </c>
      <c r="GJ955"/>
      <c r="GK955"/>
      <c r="GL955"/>
      <c r="GM95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82.709105086005067</v>
      </c>
      <c r="AO956">
        <v>15.923256481749394</v>
      </c>
      <c r="AP956">
        <v>87.243654932040883</v>
      </c>
      <c r="AQ956">
        <v>94.060837157634978</v>
      </c>
      <c r="AR956">
        <v>14.654552343870035</v>
      </c>
      <c r="AS956">
        <v>78.394357253975798</v>
      </c>
      <c r="AT956">
        <v>8.7448397686589292</v>
      </c>
      <c r="AU956">
        <v>4.90736932724014</v>
      </c>
      <c r="AV956"/>
      <c r="AW956"/>
      <c r="FY956" s="214">
        <v>951</v>
      </c>
      <c r="FZ956">
        <v>0.81484838739376697</v>
      </c>
      <c r="GA956">
        <v>10.690331708174446</v>
      </c>
      <c r="GB956">
        <v>5.5331377626530287</v>
      </c>
      <c r="GC956">
        <v>1.1151763512045307</v>
      </c>
      <c r="GD956">
        <v>8.1051169981345534</v>
      </c>
      <c r="GE956">
        <v>18.28248885785597</v>
      </c>
      <c r="GF956">
        <v>16.304384291046315</v>
      </c>
      <c r="GG956">
        <v>14.333932599647936</v>
      </c>
      <c r="GH956">
        <v>5.7151842584135455</v>
      </c>
      <c r="GI956">
        <v>10.458365183765679</v>
      </c>
      <c r="GJ956"/>
      <c r="GK956"/>
      <c r="GL956"/>
      <c r="GM956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48.68805957882735</v>
      </c>
      <c r="AO957">
        <v>10.095583210707217</v>
      </c>
      <c r="AP957">
        <v>45.851020559337002</v>
      </c>
      <c r="AQ957">
        <v>54.407052014141087</v>
      </c>
      <c r="AR957">
        <v>9.1903342707868791</v>
      </c>
      <c r="AS957">
        <v>46.200080568933032</v>
      </c>
      <c r="AT957" t="e">
        <v>#DIV/0!</v>
      </c>
      <c r="AU957" t="e">
        <v>#DIV/0!</v>
      </c>
      <c r="AV957"/>
      <c r="AW957"/>
      <c r="FY957" s="214">
        <v>952</v>
      </c>
      <c r="FZ957">
        <v>0.79423115882903605</v>
      </c>
      <c r="GA957">
        <v>9.1058964610878892</v>
      </c>
      <c r="GB957">
        <v>7.0678647417891804</v>
      </c>
      <c r="GC957">
        <v>2.0654972290482974</v>
      </c>
      <c r="GD957">
        <v>5.7891850496343373</v>
      </c>
      <c r="GE957">
        <v>14.382875175729309</v>
      </c>
      <c r="GF957">
        <v>16.50535370917131</v>
      </c>
      <c r="GG957">
        <v>13.14628584123718</v>
      </c>
      <c r="GH957">
        <v>5.2766503145224277</v>
      </c>
      <c r="GI957">
        <v>9.6902572001853748</v>
      </c>
      <c r="GJ957"/>
      <c r="GK957"/>
      <c r="GL957"/>
      <c r="GM957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81.670174698281343</v>
      </c>
      <c r="AO958">
        <v>16.4174709823494</v>
      </c>
      <c r="AP958">
        <v>70.697428709221114</v>
      </c>
      <c r="AQ958">
        <v>93.151495245446654</v>
      </c>
      <c r="AR958">
        <v>15.116047550544295</v>
      </c>
      <c r="AS958">
        <v>79.9016024630739</v>
      </c>
      <c r="AT958">
        <v>8.5053916047666629</v>
      </c>
      <c r="AU958">
        <v>15.890633639270531</v>
      </c>
      <c r="AV958"/>
      <c r="AW958"/>
      <c r="FY958" s="214">
        <v>953</v>
      </c>
      <c r="FZ958">
        <v>0.68331840272740441</v>
      </c>
      <c r="GA958">
        <v>10.10359603165565</v>
      </c>
      <c r="GB958">
        <v>12.07094903018219</v>
      </c>
      <c r="GC958">
        <v>4.3967648096743686</v>
      </c>
      <c r="GD958">
        <v>8.9233315093189898</v>
      </c>
      <c r="GE958">
        <v>23.76606796868381</v>
      </c>
      <c r="GF958">
        <v>22.128977327408386</v>
      </c>
      <c r="GG958">
        <v>13.906096317743831</v>
      </c>
      <c r="GH958">
        <v>5.833164351279815</v>
      </c>
      <c r="GI958">
        <v>13.881630609130504</v>
      </c>
      <c r="GJ958"/>
      <c r="GK958"/>
      <c r="GL958"/>
      <c r="GM958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56.233599950396822</v>
      </c>
      <c r="AO959">
        <v>9.9125656533781026</v>
      </c>
      <c r="AP959">
        <v>37.561159929266701</v>
      </c>
      <c r="AQ959">
        <v>55.426489744121511</v>
      </c>
      <c r="AR959">
        <v>9.0117453761770605</v>
      </c>
      <c r="AS959">
        <v>50.32977366427663</v>
      </c>
      <c r="AT959" t="e">
        <v>#DIV/0!</v>
      </c>
      <c r="AU959" t="e">
        <v>#DIV/0!</v>
      </c>
      <c r="AV959"/>
      <c r="AW959"/>
      <c r="FY959" s="214">
        <v>954</v>
      </c>
      <c r="FZ959">
        <v>1.1294190628105696</v>
      </c>
      <c r="GA959">
        <v>2.3252064523487928</v>
      </c>
      <c r="GB959">
        <v>1.0675073209567043</v>
      </c>
      <c r="GC959">
        <v>1.2767126315672197</v>
      </c>
      <c r="GD959">
        <v>9.2638705778675732</v>
      </c>
      <c r="GE959">
        <v>25.040135539935566</v>
      </c>
      <c r="GF959">
        <v>19.965650873189418</v>
      </c>
      <c r="GG959">
        <v>12.381550306263112</v>
      </c>
      <c r="GH959">
        <v>7.062004549051272</v>
      </c>
      <c r="GI959">
        <v>11.196793202537604</v>
      </c>
      <c r="GJ959"/>
      <c r="GK959"/>
      <c r="GL959"/>
      <c r="GM959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64.617654985591017</v>
      </c>
      <c r="AO960">
        <v>10.426850178078398</v>
      </c>
      <c r="AP960">
        <v>46.604645935824465</v>
      </c>
      <c r="AQ960">
        <v>78.401497226578456</v>
      </c>
      <c r="AR960">
        <v>9.6574972856085175</v>
      </c>
      <c r="AS960">
        <v>57.067918265529855</v>
      </c>
      <c r="AT960" t="e">
        <v>#DIV/0!</v>
      </c>
      <c r="AU960" t="e">
        <v>#DIV/0!</v>
      </c>
      <c r="AV960"/>
      <c r="AW960"/>
      <c r="FY960" s="214">
        <v>955</v>
      </c>
      <c r="FZ960">
        <v>0.78812729821821448</v>
      </c>
      <c r="GA960">
        <v>25.004264626040662</v>
      </c>
      <c r="GB960">
        <v>19.340215554694467</v>
      </c>
      <c r="GC960">
        <v>4.3523398099547475</v>
      </c>
      <c r="GD960">
        <v>3.6449445730185572</v>
      </c>
      <c r="GE960">
        <v>14.823733480723318</v>
      </c>
      <c r="GF960">
        <v>27.386098762539902</v>
      </c>
      <c r="GG960">
        <v>19.459772636496144</v>
      </c>
      <c r="GH960">
        <v>7.6185185858086601</v>
      </c>
      <c r="GI960">
        <v>14.02836451461601</v>
      </c>
      <c r="GJ960"/>
      <c r="GK960"/>
      <c r="GL960"/>
      <c r="GM960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85.511549780439253</v>
      </c>
      <c r="AO961">
        <v>19.893839099259747</v>
      </c>
      <c r="AP961">
        <v>103.83378706997208</v>
      </c>
      <c r="AQ961">
        <v>108.71895430142789</v>
      </c>
      <c r="AR961">
        <v>18.11069303090283</v>
      </c>
      <c r="AS961">
        <v>93.494945860302707</v>
      </c>
      <c r="AT961" t="e">
        <v>#DIV/0!</v>
      </c>
      <c r="AU961" t="e">
        <v>#DIV/0!</v>
      </c>
      <c r="AV961"/>
      <c r="AW961"/>
      <c r="FY961" s="214">
        <v>956</v>
      </c>
      <c r="FZ961">
        <v>1.0055637119446008</v>
      </c>
      <c r="GA961">
        <v>2.5666996644113071</v>
      </c>
      <c r="GB961">
        <v>7.2475627728772558</v>
      </c>
      <c r="GC961">
        <v>3.9835937550698568</v>
      </c>
      <c r="GD961">
        <v>1.7568149238464312</v>
      </c>
      <c r="GE961">
        <v>7.0887115938858081</v>
      </c>
      <c r="GF961">
        <v>21.342305095699906</v>
      </c>
      <c r="GG961">
        <v>20.391214584492261</v>
      </c>
      <c r="GH961">
        <v>12.779356776074405</v>
      </c>
      <c r="GI961">
        <v>9.3433251849394718</v>
      </c>
      <c r="GJ961"/>
      <c r="GK961"/>
      <c r="GL961"/>
      <c r="GM961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86.039715549864894</v>
      </c>
      <c r="AO962">
        <v>16.757099052683149</v>
      </c>
      <c r="AP962">
        <v>65.130624699037213</v>
      </c>
      <c r="AQ962">
        <v>99.730603298122816</v>
      </c>
      <c r="AR962">
        <v>15.424800341756793</v>
      </c>
      <c r="AS962">
        <v>81.070462738151718</v>
      </c>
      <c r="AT962">
        <v>8.2166471422759919</v>
      </c>
      <c r="AU962">
        <v>8.5932274187418098</v>
      </c>
      <c r="AV962"/>
      <c r="AW962"/>
      <c r="FY962" s="214">
        <v>957</v>
      </c>
      <c r="FZ962">
        <v>1.3437530331794529</v>
      </c>
      <c r="GA962">
        <v>11.151299094512297</v>
      </c>
      <c r="GB962">
        <v>7.3614777605016917</v>
      </c>
      <c r="GC962">
        <v>2.0701784689409033</v>
      </c>
      <c r="GD962">
        <v>4.8724182938598943</v>
      </c>
      <c r="GE962">
        <v>14.825892063931564</v>
      </c>
      <c r="GF962">
        <v>22.398311207192194</v>
      </c>
      <c r="GG962">
        <v>14.514430002001262</v>
      </c>
      <c r="GH962">
        <v>5.833164351279815</v>
      </c>
      <c r="GI962">
        <v>10.306671026152744</v>
      </c>
      <c r="GJ962"/>
      <c r="GK962"/>
      <c r="GL962"/>
      <c r="GM962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88.748252736148146</v>
      </c>
      <c r="AO963">
        <v>21.749872443838786</v>
      </c>
      <c r="AP963">
        <v>118.88064701734565</v>
      </c>
      <c r="AQ963">
        <v>110.97196102455568</v>
      </c>
      <c r="AR963">
        <v>19.798318126353468</v>
      </c>
      <c r="AS963">
        <v>91.352592611684528</v>
      </c>
      <c r="AT963" t="e">
        <v>#DIV/0!</v>
      </c>
      <c r="AU963" t="e">
        <v>#DIV/0!</v>
      </c>
      <c r="AV963"/>
      <c r="AW963"/>
      <c r="FY963" s="214">
        <v>958</v>
      </c>
      <c r="FZ963">
        <v>0.67009717474744113</v>
      </c>
      <c r="GA963">
        <v>4.9626271773769588</v>
      </c>
      <c r="GB963">
        <v>10.069644355659126</v>
      </c>
      <c r="GC963">
        <v>5.0840830674016804</v>
      </c>
      <c r="GD963">
        <v>4.0153357526695501</v>
      </c>
      <c r="GE963">
        <v>11.298957490033427</v>
      </c>
      <c r="GF963">
        <v>14.812060031215351</v>
      </c>
      <c r="GG963">
        <v>9.5954618444953983</v>
      </c>
      <c r="GH963">
        <v>5.4441469670889902</v>
      </c>
      <c r="GI963">
        <v>8.7186688462081978</v>
      </c>
      <c r="GJ963"/>
      <c r="GK963"/>
      <c r="GL963"/>
      <c r="GM963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117.95180457948577</v>
      </c>
      <c r="AO964">
        <v>20.021466583091119</v>
      </c>
      <c r="AP964">
        <v>57.953281823947705</v>
      </c>
      <c r="AQ964">
        <v>135.37205281455203</v>
      </c>
      <c r="AR964">
        <v>18.238283203393483</v>
      </c>
      <c r="AS964">
        <v>102.67206227452564</v>
      </c>
      <c r="AT964" t="e">
        <v>#DIV/0!</v>
      </c>
      <c r="AU964" t="e">
        <v>#DIV/0!</v>
      </c>
      <c r="AV964"/>
      <c r="AW964"/>
      <c r="FY964" s="214">
        <v>959</v>
      </c>
      <c r="FZ964">
        <v>1.2328402770778215</v>
      </c>
      <c r="GA964">
        <v>17.803056843557489</v>
      </c>
      <c r="GB964">
        <v>12.505057421653948</v>
      </c>
      <c r="GC964">
        <v>3.164419977328695</v>
      </c>
      <c r="GD964">
        <v>0.95308621213771672</v>
      </c>
      <c r="GE964">
        <v>4.2796686301819635</v>
      </c>
      <c r="GF964">
        <v>12.809522875152151</v>
      </c>
      <c r="GG964">
        <v>9.5509575867904761</v>
      </c>
      <c r="GH964">
        <v>4.1293904744246639</v>
      </c>
      <c r="GI964">
        <v>7.0364989313354629</v>
      </c>
      <c r="GJ964"/>
      <c r="GK964"/>
      <c r="GL964"/>
      <c r="GM964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69.911977794404578</v>
      </c>
      <c r="AO965">
        <v>16.492922065250106</v>
      </c>
      <c r="AP965">
        <v>63.292025002240123</v>
      </c>
      <c r="AQ965">
        <v>97.268018881012381</v>
      </c>
      <c r="AR965">
        <v>15.351294780241261</v>
      </c>
      <c r="AS965">
        <v>76.660849055582901</v>
      </c>
      <c r="AT965">
        <v>8.6838812024536676</v>
      </c>
      <c r="AU965">
        <v>22.663054673988558</v>
      </c>
      <c r="AV965"/>
      <c r="AW965"/>
      <c r="FY965" s="214">
        <v>960</v>
      </c>
      <c r="FZ965">
        <v>0.48604297723868106</v>
      </c>
      <c r="GA965">
        <v>4.1621094920214539</v>
      </c>
      <c r="GB965">
        <v>3.9743763590768104</v>
      </c>
      <c r="GC965">
        <v>1.7547366417973842</v>
      </c>
      <c r="GD965">
        <v>11.178161878435699</v>
      </c>
      <c r="GE965">
        <v>26.521137082294242</v>
      </c>
      <c r="GF965">
        <v>18.20412588989959</v>
      </c>
      <c r="GG965">
        <v>13.133705028582108</v>
      </c>
      <c r="GH965">
        <v>4.6859045111820521</v>
      </c>
      <c r="GI965">
        <v>12.316280366760296</v>
      </c>
      <c r="GJ965"/>
      <c r="GK965"/>
      <c r="GL965"/>
      <c r="GM96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47.755667300492846</v>
      </c>
      <c r="AO966">
        <v>10.786881066525254</v>
      </c>
      <c r="AP966">
        <v>24.197618262411595</v>
      </c>
      <c r="AQ966">
        <v>71.480108792624051</v>
      </c>
      <c r="AR966">
        <v>10.175872023514135</v>
      </c>
      <c r="AS966">
        <v>50.983366992449845</v>
      </c>
      <c r="AT966">
        <v>6.5522781724264894</v>
      </c>
      <c r="AU966">
        <v>5.9491918274590816</v>
      </c>
      <c r="AV966"/>
      <c r="AW966"/>
      <c r="FY966" s="214">
        <v>961</v>
      </c>
      <c r="FZ966">
        <v>1.4046867533649383</v>
      </c>
      <c r="GA966">
        <v>17.000923048676064</v>
      </c>
      <c r="GB966">
        <v>12.099386285350253</v>
      </c>
      <c r="GC966">
        <v>3.0641437170126307</v>
      </c>
      <c r="GD966">
        <v>4.5690848796750299</v>
      </c>
      <c r="GE966">
        <v>12.945774955329837</v>
      </c>
      <c r="GF966">
        <v>13.349421179984157</v>
      </c>
      <c r="GG966">
        <v>13.01225884829174</v>
      </c>
      <c r="GH966">
        <v>12.895168900331086</v>
      </c>
      <c r="GI966">
        <v>10.542592814058999</v>
      </c>
      <c r="GJ966"/>
      <c r="GK966"/>
      <c r="GL966"/>
      <c r="GM966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70.86999751669498</v>
      </c>
      <c r="AO967">
        <v>16.024195986752812</v>
      </c>
      <c r="AP967">
        <v>78.892971638069611</v>
      </c>
      <c r="AQ967">
        <v>91.35296639828978</v>
      </c>
      <c r="AR967">
        <v>14.568417061820741</v>
      </c>
      <c r="AS967">
        <v>74.197538016391007</v>
      </c>
      <c r="AT967" t="e">
        <v>#DIV/0!</v>
      </c>
      <c r="AU967" t="e">
        <v>#DIV/0!</v>
      </c>
      <c r="AV967"/>
      <c r="AW967"/>
      <c r="FY967" s="214">
        <v>962</v>
      </c>
      <c r="FZ967">
        <v>1.3305318051994897</v>
      </c>
      <c r="GA967">
        <v>18.951901493102653</v>
      </c>
      <c r="GB967">
        <v>11.720727428079835</v>
      </c>
      <c r="GC967">
        <v>2.1007258774868278</v>
      </c>
      <c r="GD967">
        <v>0.91105902985444698</v>
      </c>
      <c r="GE967">
        <v>3.4921312058823779</v>
      </c>
      <c r="GF967">
        <v>23.936201185059815</v>
      </c>
      <c r="GG967">
        <v>21.335632370162909</v>
      </c>
      <c r="GH967">
        <v>6.4734267143204844</v>
      </c>
      <c r="GI967">
        <v>9.2975741237191087</v>
      </c>
      <c r="GJ967"/>
      <c r="GK967"/>
      <c r="GL967"/>
      <c r="GM967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71.141855167104296</v>
      </c>
      <c r="AO968">
        <v>14.9362126945326</v>
      </c>
      <c r="AP968">
        <v>90.653058221899599</v>
      </c>
      <c r="AQ968">
        <v>83.82409688123434</v>
      </c>
      <c r="AR968">
        <v>13.769127052150232</v>
      </c>
      <c r="AS968">
        <v>68.238678970543006</v>
      </c>
      <c r="AT968">
        <v>7.2083096928231951</v>
      </c>
      <c r="AU968">
        <v>14.778550272484232</v>
      </c>
      <c r="AV968"/>
      <c r="AW968"/>
      <c r="FY968" s="214">
        <v>963</v>
      </c>
      <c r="FZ968">
        <v>1.1964566436068762</v>
      </c>
      <c r="GA968">
        <v>16.458646418325991</v>
      </c>
      <c r="GB968">
        <v>11.221172211018143</v>
      </c>
      <c r="GC968">
        <v>2.7696061646035774</v>
      </c>
      <c r="GD968">
        <v>10.597681956819525</v>
      </c>
      <c r="GE968">
        <v>24.455822390642172</v>
      </c>
      <c r="GF968">
        <v>16.526665417356206</v>
      </c>
      <c r="GG968">
        <v>9.6680340365326778</v>
      </c>
      <c r="GH968">
        <v>1.1130280735147748</v>
      </c>
      <c r="GI968">
        <v>12.955666453445669</v>
      </c>
      <c r="GJ968"/>
      <c r="GK968"/>
      <c r="GL968"/>
      <c r="GM968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92.936810188668886</v>
      </c>
      <c r="AO969">
        <v>21.247541076021321</v>
      </c>
      <c r="AP969">
        <v>113.14202512774636</v>
      </c>
      <c r="AQ969">
        <v>115.69389635780496</v>
      </c>
      <c r="AR969">
        <v>19.507020362973314</v>
      </c>
      <c r="AS969">
        <v>96.787049004235982</v>
      </c>
      <c r="AT969">
        <v>10.373324154105383</v>
      </c>
      <c r="AU969">
        <v>22.153204926743467</v>
      </c>
      <c r="AV969"/>
      <c r="AW969"/>
      <c r="FY969" s="214">
        <v>964</v>
      </c>
      <c r="FZ969">
        <v>0.96113127020802369</v>
      </c>
      <c r="GA969">
        <v>17.658106266064802</v>
      </c>
      <c r="GB969">
        <v>10.480421876893891</v>
      </c>
      <c r="GC969">
        <v>1.7773273194077073</v>
      </c>
      <c r="GD969">
        <v>3.8387458169102016</v>
      </c>
      <c r="GE969">
        <v>14.162697631631607</v>
      </c>
      <c r="GF969">
        <v>17.256470241990616</v>
      </c>
      <c r="GG969">
        <v>7.9267427989306487</v>
      </c>
      <c r="GH969">
        <v>3.4891281113839954</v>
      </c>
      <c r="GI969">
        <v>9.0588818268683209</v>
      </c>
      <c r="GJ969"/>
      <c r="GK969"/>
      <c r="GL969"/>
      <c r="GM969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79.530149314880873</v>
      </c>
      <c r="AO970">
        <v>17.345383297325863</v>
      </c>
      <c r="AP970">
        <v>91.770334244436626</v>
      </c>
      <c r="AQ970">
        <v>90.708850516527832</v>
      </c>
      <c r="AR970">
        <v>15.780739567334134</v>
      </c>
      <c r="AS970">
        <v>81.148976569646791</v>
      </c>
      <c r="AT970" t="e">
        <v>#DIV/0!</v>
      </c>
      <c r="AU970" t="e">
        <v>#DIV/0!</v>
      </c>
      <c r="AV970"/>
      <c r="AW970"/>
      <c r="FY970" s="214">
        <v>965</v>
      </c>
      <c r="FZ970">
        <v>0.68331840272740441</v>
      </c>
      <c r="GA970">
        <v>18.08322299192757</v>
      </c>
      <c r="GB970">
        <v>11.422944975142014</v>
      </c>
      <c r="GC970">
        <v>1.9462200740761229</v>
      </c>
      <c r="GD970">
        <v>3.6811640943028801</v>
      </c>
      <c r="GE970">
        <v>15.69082380577462</v>
      </c>
      <c r="GF970">
        <v>24.440085772026976</v>
      </c>
      <c r="GG970">
        <v>9.3255838711449908</v>
      </c>
      <c r="GH970">
        <v>0.16749665256656238</v>
      </c>
      <c r="GI970">
        <v>9.9902738801974067</v>
      </c>
      <c r="GJ970"/>
      <c r="GK970"/>
      <c r="GL970"/>
      <c r="GM970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97.166019727829195</v>
      </c>
      <c r="AO971">
        <v>21.888337135943235</v>
      </c>
      <c r="AP971">
        <v>101.5300946063671</v>
      </c>
      <c r="AQ971">
        <v>136.44637984211067</v>
      </c>
      <c r="AR971">
        <v>19.911019657365074</v>
      </c>
      <c r="AS971">
        <v>96.801599464942612</v>
      </c>
      <c r="AT971" t="e">
        <v>#DIV/0!</v>
      </c>
      <c r="AU971" t="e">
        <v>#DIV/0!</v>
      </c>
      <c r="AV971"/>
      <c r="AW971"/>
      <c r="FY971" s="214">
        <v>966</v>
      </c>
      <c r="FZ971">
        <v>0.59695573334031282</v>
      </c>
      <c r="GA971">
        <v>16.211300474064561</v>
      </c>
      <c r="GB971">
        <v>13.536912501980064</v>
      </c>
      <c r="GC971">
        <v>4.009901743790377</v>
      </c>
      <c r="GD971">
        <v>9.5007240669714506</v>
      </c>
      <c r="GE971">
        <v>18.624836245394832</v>
      </c>
      <c r="GF971">
        <v>9.2036266596278118</v>
      </c>
      <c r="GG971">
        <v>10.283648837066185</v>
      </c>
      <c r="GH971">
        <v>5.833164351279815</v>
      </c>
      <c r="GI971">
        <v>12.102953267366123</v>
      </c>
      <c r="GJ971"/>
      <c r="GK971"/>
      <c r="GL971"/>
      <c r="GM971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61.359690125420869</v>
      </c>
      <c r="AO972">
        <v>14.158120894287141</v>
      </c>
      <c r="AP972">
        <v>67.265767928286138</v>
      </c>
      <c r="AQ972">
        <v>87.505148063241307</v>
      </c>
      <c r="AR972">
        <v>13.252522745411319</v>
      </c>
      <c r="AS972">
        <v>66.979345837831744</v>
      </c>
      <c r="AT972">
        <v>7.9493793026089401</v>
      </c>
      <c r="AU972">
        <v>36.530562556049354</v>
      </c>
      <c r="AV972"/>
      <c r="AW972"/>
      <c r="FY972" s="214">
        <v>967</v>
      </c>
      <c r="FZ972">
        <v>0.80417233634005458</v>
      </c>
      <c r="GA972">
        <v>12.000815868535531</v>
      </c>
      <c r="GB972">
        <v>11.758860056789771</v>
      </c>
      <c r="GC972">
        <v>4.2604520370321133</v>
      </c>
      <c r="GD972">
        <v>2.8639208162574841</v>
      </c>
      <c r="GE972">
        <v>11.896950965973296</v>
      </c>
      <c r="GF972">
        <v>22.721070764551683</v>
      </c>
      <c r="GG972">
        <v>13.262874945586063</v>
      </c>
      <c r="GH972">
        <v>8.1772005911756356</v>
      </c>
      <c r="GI972">
        <v>10.542492953271521</v>
      </c>
      <c r="GJ972"/>
      <c r="GK972"/>
      <c r="GL972"/>
      <c r="GM972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83.909336764691275</v>
      </c>
      <c r="AO973">
        <v>15.669922468362003</v>
      </c>
      <c r="AP973">
        <v>84.768860151534014</v>
      </c>
      <c r="AQ973">
        <v>94.677595301551818</v>
      </c>
      <c r="AR973">
        <v>14.44866728941183</v>
      </c>
      <c r="AS973">
        <v>76.216436564939826</v>
      </c>
      <c r="AT973">
        <v>8.3811309587944169</v>
      </c>
      <c r="AU973">
        <v>33.287009112650992</v>
      </c>
      <c r="AV973"/>
      <c r="AW973"/>
      <c r="FY973" s="214">
        <v>968</v>
      </c>
      <c r="FZ973">
        <v>0.91864377612625703</v>
      </c>
      <c r="GA973">
        <v>4.6498297401418087</v>
      </c>
      <c r="GB973">
        <v>5.304875135508901</v>
      </c>
      <c r="GC973">
        <v>2.9148041429285145</v>
      </c>
      <c r="GD973">
        <v>2.1444770065705057</v>
      </c>
      <c r="GE973">
        <v>5.8685214927905047</v>
      </c>
      <c r="GF973">
        <v>12.26158622088022</v>
      </c>
      <c r="GG973">
        <v>6.9373104466246271</v>
      </c>
      <c r="GH973">
        <v>4.2990550956008153</v>
      </c>
      <c r="GI973">
        <v>5.7340789995043897</v>
      </c>
      <c r="GJ973"/>
      <c r="GK973"/>
      <c r="GL973"/>
      <c r="GM973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67.927107256111299</v>
      </c>
      <c r="AO974">
        <v>13.119464632421762</v>
      </c>
      <c r="AP974">
        <v>50.962823746397085</v>
      </c>
      <c r="AQ974">
        <v>74.671082706896129</v>
      </c>
      <c r="AR974">
        <v>12.117537904776743</v>
      </c>
      <c r="AS974">
        <v>65.954620967972502</v>
      </c>
      <c r="AT974">
        <v>6.8053887042135166</v>
      </c>
      <c r="AU974">
        <v>6.2585155471561622</v>
      </c>
      <c r="AV974"/>
      <c r="AW974"/>
      <c r="FY974" s="214">
        <v>969</v>
      </c>
      <c r="FZ974">
        <v>0.6797597190428335</v>
      </c>
      <c r="GA974">
        <v>10.611798677816846</v>
      </c>
      <c r="GB974">
        <v>5.6996785777563845</v>
      </c>
      <c r="GC974">
        <v>1.0914572631244088</v>
      </c>
      <c r="GD974">
        <v>3.808298472019445</v>
      </c>
      <c r="GE974">
        <v>14.791348148604008</v>
      </c>
      <c r="GF974">
        <v>22.330132883635265</v>
      </c>
      <c r="GG974">
        <v>11.761191051495702</v>
      </c>
      <c r="GH974">
        <v>4.2131388007079451</v>
      </c>
      <c r="GI974">
        <v>8.8663701502723367</v>
      </c>
      <c r="GJ974"/>
      <c r="GK974"/>
      <c r="GL974"/>
      <c r="GM974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64.98715477303665</v>
      </c>
      <c r="AO975">
        <v>10.813343267483328</v>
      </c>
      <c r="AP975">
        <v>34.372663814109579</v>
      </c>
      <c r="AQ975">
        <v>73.464499229640396</v>
      </c>
      <c r="AR975">
        <v>9.8309561711969646</v>
      </c>
      <c r="AS975">
        <v>54.30932995698339</v>
      </c>
      <c r="AT975" t="e">
        <v>#DIV/0!</v>
      </c>
      <c r="AU975" t="e">
        <v>#DIV/0!</v>
      </c>
      <c r="AV975"/>
      <c r="AW975"/>
      <c r="FY975" s="214">
        <v>970</v>
      </c>
      <c r="FZ975">
        <v>0.93214363732184624</v>
      </c>
      <c r="GA975">
        <v>3.8049930152179696</v>
      </c>
      <c r="GB975">
        <v>5.0856370210490995</v>
      </c>
      <c r="GC975">
        <v>2.8000233023414447</v>
      </c>
      <c r="GD975">
        <v>0.92421843425162553</v>
      </c>
      <c r="GE975">
        <v>2.8076895228832632</v>
      </c>
      <c r="GF975">
        <v>11.2719614941917</v>
      </c>
      <c r="GG975">
        <v>9.944168672630239</v>
      </c>
      <c r="GH975">
        <v>3.5728764376672766</v>
      </c>
      <c r="GI975">
        <v>4.7749120967104597</v>
      </c>
      <c r="GJ975"/>
      <c r="GK975"/>
      <c r="GL975"/>
      <c r="GM97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78.484490251556082</v>
      </c>
      <c r="AO976">
        <v>19.072670101831168</v>
      </c>
      <c r="AP976">
        <v>93.159874198869019</v>
      </c>
      <c r="AQ976">
        <v>96.416580227288321</v>
      </c>
      <c r="AR976">
        <v>17.363853705588969</v>
      </c>
      <c r="AS976">
        <v>83.366158680351873</v>
      </c>
      <c r="AT976" t="e">
        <v>#DIV/0!</v>
      </c>
      <c r="AU976" t="e">
        <v>#DIV/0!</v>
      </c>
      <c r="AV976"/>
      <c r="AW976"/>
      <c r="FY976" s="214">
        <v>971</v>
      </c>
      <c r="FZ976">
        <v>0.26815032318522686</v>
      </c>
      <c r="GA976">
        <v>8.9102717757818688</v>
      </c>
      <c r="GB976">
        <v>8.4522593331770359</v>
      </c>
      <c r="GC976">
        <v>2.9776414505280853</v>
      </c>
      <c r="GD976">
        <v>5.0827686808811627</v>
      </c>
      <c r="GE976">
        <v>11.055403250770604</v>
      </c>
      <c r="GF976">
        <v>8.5519965996118774</v>
      </c>
      <c r="GG976">
        <v>5.5365590418504196</v>
      </c>
      <c r="GH976">
        <v>2.9005502766532074</v>
      </c>
      <c r="GI976">
        <v>7.3285857406258454</v>
      </c>
      <c r="GJ976"/>
      <c r="GK976"/>
      <c r="GL976"/>
      <c r="GM976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86.798504125060987</v>
      </c>
      <c r="AO977">
        <v>15.823021317134785</v>
      </c>
      <c r="AP977">
        <v>58.834863531143633</v>
      </c>
      <c r="AQ977">
        <v>100.88344138207475</v>
      </c>
      <c r="AR977">
        <v>14.60037941298558</v>
      </c>
      <c r="AS977">
        <v>83.787989564989758</v>
      </c>
      <c r="AT977">
        <v>8.7050902104228722</v>
      </c>
      <c r="AU977">
        <v>12.307185331916887</v>
      </c>
      <c r="AV977"/>
      <c r="AW977"/>
      <c r="FY977" s="214">
        <v>972</v>
      </c>
      <c r="FZ977">
        <v>1.0794400268944231</v>
      </c>
      <c r="GA977">
        <v>1.8523984612654631</v>
      </c>
      <c r="GB977">
        <v>1.1028435955758087</v>
      </c>
      <c r="GC977">
        <v>1.061350727044722</v>
      </c>
      <c r="GD977">
        <v>5.1353162542303634</v>
      </c>
      <c r="GE977">
        <v>12.969697633214365</v>
      </c>
      <c r="GF977">
        <v>9.8027321206718412</v>
      </c>
      <c r="GG977">
        <v>8.8389839292433905</v>
      </c>
      <c r="GH977">
        <v>8.7657784259064222</v>
      </c>
      <c r="GI977">
        <v>6.8330993261482291</v>
      </c>
      <c r="GJ977"/>
      <c r="GK977"/>
      <c r="GL977"/>
      <c r="GM977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64.214917866488136</v>
      </c>
      <c r="AO978">
        <v>14.051292493750889</v>
      </c>
      <c r="AP978">
        <v>39.3813406779338</v>
      </c>
      <c r="AQ978">
        <v>99.549911232867942</v>
      </c>
      <c r="AR978">
        <v>12.976863439386571</v>
      </c>
      <c r="AS978">
        <v>70.420051307771871</v>
      </c>
      <c r="AT978">
        <v>8.3091609162522033</v>
      </c>
      <c r="AU978">
        <v>10.185778798900239</v>
      </c>
      <c r="AV978"/>
      <c r="AW978"/>
      <c r="FY978" s="214">
        <v>973</v>
      </c>
      <c r="FZ978">
        <v>0.98568135692256376</v>
      </c>
      <c r="GA978">
        <v>10.134746082871439</v>
      </c>
      <c r="GB978">
        <v>11.100301711948843</v>
      </c>
      <c r="GC978">
        <v>4.4025817683881439</v>
      </c>
      <c r="GD978">
        <v>0.76665961168121388</v>
      </c>
      <c r="GE978">
        <v>2.5858550208490971</v>
      </c>
      <c r="GF978">
        <v>18.687591867355543</v>
      </c>
      <c r="GG978">
        <v>16.453620754284067</v>
      </c>
      <c r="GH978">
        <v>4.6021561848987709</v>
      </c>
      <c r="GI978">
        <v>7.5679804042094636</v>
      </c>
      <c r="GJ978"/>
      <c r="GK978"/>
      <c r="GL978"/>
      <c r="GM978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94.757395118221197</v>
      </c>
      <c r="AO979">
        <v>19.980863680462544</v>
      </c>
      <c r="AP979">
        <v>120.17840082951363</v>
      </c>
      <c r="AQ979">
        <v>106.96277976586559</v>
      </c>
      <c r="AR979">
        <v>18.188840121769012</v>
      </c>
      <c r="AS979">
        <v>96.773552830165059</v>
      </c>
      <c r="AT979" t="e">
        <v>#DIV/0!</v>
      </c>
      <c r="AU979" t="e">
        <v>#DIV/0!</v>
      </c>
      <c r="AV979"/>
      <c r="AW979"/>
      <c r="FY979" s="214">
        <v>974</v>
      </c>
      <c r="FZ979">
        <v>0.80800965324025131</v>
      </c>
      <c r="GA979">
        <v>3.3633350753504283</v>
      </c>
      <c r="GB979">
        <v>6.8158239553617612</v>
      </c>
      <c r="GC979">
        <v>3.6315270655157148</v>
      </c>
      <c r="GD979">
        <v>3.0830546614388901</v>
      </c>
      <c r="GE979">
        <v>7.2085593071430036</v>
      </c>
      <c r="GF979">
        <v>12.780981371102168</v>
      </c>
      <c r="GG979">
        <v>11.832094078214183</v>
      </c>
      <c r="GH979">
        <v>5.833164351279815</v>
      </c>
      <c r="GI979">
        <v>7.1547140375282963</v>
      </c>
      <c r="GJ979"/>
      <c r="GK979"/>
      <c r="GL979"/>
      <c r="GM979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79.277844414256109</v>
      </c>
      <c r="AO980">
        <v>13.967500386019797</v>
      </c>
      <c r="AP980">
        <v>60.752483028585857</v>
      </c>
      <c r="AQ980">
        <v>86.60965316028981</v>
      </c>
      <c r="AR980">
        <v>12.698049678578601</v>
      </c>
      <c r="AS980">
        <v>72.555844585143646</v>
      </c>
      <c r="AT980" t="e">
        <v>#DIV/0!</v>
      </c>
      <c r="AU980" t="e">
        <v>#DIV/0!</v>
      </c>
      <c r="AV980"/>
      <c r="AW980"/>
      <c r="FY980" s="214">
        <v>975</v>
      </c>
      <c r="FZ980">
        <v>0.87120991713636131</v>
      </c>
      <c r="GA980">
        <v>12.293801523254288</v>
      </c>
      <c r="GB980">
        <v>8.621776460227883</v>
      </c>
      <c r="GC980">
        <v>2.1267000148384394</v>
      </c>
      <c r="GD980">
        <v>4.0739713046412902</v>
      </c>
      <c r="GE980">
        <v>13.085813935627097</v>
      </c>
      <c r="GF980">
        <v>20.433921664260225</v>
      </c>
      <c r="GG980">
        <v>18.936826718890558</v>
      </c>
      <c r="GH980">
        <v>14.598942777186238</v>
      </c>
      <c r="GI980">
        <v>11.236386788018674</v>
      </c>
      <c r="GJ980"/>
      <c r="GK980"/>
      <c r="GL980"/>
      <c r="GM980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87.632112147594157</v>
      </c>
      <c r="AO981">
        <v>15.391207237795374</v>
      </c>
      <c r="AP981">
        <v>72.595767273745338</v>
      </c>
      <c r="AQ981">
        <v>95.431134519886541</v>
      </c>
      <c r="AR981">
        <v>14.004537931776115</v>
      </c>
      <c r="AS981">
        <v>78.252630811605982</v>
      </c>
      <c r="AT981" t="e">
        <v>#DIV/0!</v>
      </c>
      <c r="AU981" t="e">
        <v>#DIV/0!</v>
      </c>
      <c r="AV981"/>
      <c r="AW981"/>
      <c r="FY981" s="214">
        <v>976</v>
      </c>
      <c r="FZ981">
        <v>0.61300077146215293</v>
      </c>
      <c r="GA981">
        <v>24.963017238763879</v>
      </c>
      <c r="GB981">
        <v>16.53694672081992</v>
      </c>
      <c r="GC981">
        <v>2.8316409198372527</v>
      </c>
      <c r="GD981">
        <v>4.7054141428883929</v>
      </c>
      <c r="GE981">
        <v>14.43006899183767</v>
      </c>
      <c r="GF981">
        <v>17.242641643534949</v>
      </c>
      <c r="GG981">
        <v>7.8316697560182096</v>
      </c>
      <c r="GH981">
        <v>1.1130280735147748</v>
      </c>
      <c r="GI981">
        <v>10.500596707948556</v>
      </c>
      <c r="GJ981"/>
      <c r="GK981"/>
      <c r="GL981"/>
      <c r="GM981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75.971608664273376</v>
      </c>
      <c r="AO982">
        <v>18.454451096547047</v>
      </c>
      <c r="AP982">
        <v>38.446061147673113</v>
      </c>
      <c r="AQ982">
        <v>99.904023880881525</v>
      </c>
      <c r="AR982">
        <v>16.967847654360334</v>
      </c>
      <c r="AS982">
        <v>84.03224729288938</v>
      </c>
      <c r="AT982">
        <v>9.0976809378066452</v>
      </c>
      <c r="AU982">
        <v>19.747647576392414</v>
      </c>
      <c r="AV982"/>
      <c r="AW982"/>
      <c r="FY982" s="214">
        <v>977</v>
      </c>
      <c r="FZ982">
        <v>0.89765237309628776</v>
      </c>
      <c r="GA982">
        <v>17.407038614147275</v>
      </c>
      <c r="GB982">
        <v>15.48499532278012</v>
      </c>
      <c r="GC982">
        <v>4.6814114331387389</v>
      </c>
      <c r="GD982">
        <v>5.1475173343971869</v>
      </c>
      <c r="GE982">
        <v>19.566303157757311</v>
      </c>
      <c r="GF982">
        <v>20.612292574934827</v>
      </c>
      <c r="GG982">
        <v>7.409895627551192</v>
      </c>
      <c r="GH982">
        <v>6.3896783880372032</v>
      </c>
      <c r="GI982">
        <v>12.212307421576776</v>
      </c>
      <c r="GJ982"/>
      <c r="GK982"/>
      <c r="GL982"/>
      <c r="GM982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78.902521775423764</v>
      </c>
      <c r="AO983">
        <v>15.889843565107824</v>
      </c>
      <c r="AP983">
        <v>63.535803159133593</v>
      </c>
      <c r="AQ983">
        <v>98.288811335513145</v>
      </c>
      <c r="AR983">
        <v>14.802397488445248</v>
      </c>
      <c r="AS983">
        <v>76.594055490289733</v>
      </c>
      <c r="AT983" t="e">
        <v>#DIV/0!</v>
      </c>
      <c r="AU983" t="e">
        <v>#DIV/0!</v>
      </c>
      <c r="AV983"/>
      <c r="AW983"/>
      <c r="FY983" s="214">
        <v>978</v>
      </c>
      <c r="FZ983">
        <v>0.83671865291080261</v>
      </c>
      <c r="GA983">
        <v>17.711704306851214</v>
      </c>
      <c r="GB983">
        <v>16.996997839510964</v>
      </c>
      <c r="GC983">
        <v>5.5091451432357328</v>
      </c>
      <c r="GD983">
        <v>5.0147795278862999</v>
      </c>
      <c r="GE983">
        <v>9.33599897684614</v>
      </c>
      <c r="GF983">
        <v>16.374834058019317</v>
      </c>
      <c r="GG983">
        <v>20.161260898939382</v>
      </c>
      <c r="GH983">
        <v>7.1457528753345532</v>
      </c>
      <c r="GI983">
        <v>12.132115342947628</v>
      </c>
      <c r="GJ983"/>
      <c r="GK983"/>
      <c r="GL983"/>
      <c r="GM983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48.553304292433914</v>
      </c>
      <c r="AO984">
        <v>8.3279139881025745</v>
      </c>
      <c r="AP984">
        <v>20.697797129746878</v>
      </c>
      <c r="AQ984">
        <v>51.033182056676544</v>
      </c>
      <c r="AR984">
        <v>7.9401253518420045</v>
      </c>
      <c r="AS984">
        <v>42.55948226025594</v>
      </c>
      <c r="AT984">
        <v>4.7345783593353739</v>
      </c>
      <c r="AU984">
        <v>-3.9253104256341973</v>
      </c>
      <c r="AV984"/>
      <c r="AW984"/>
      <c r="FY984" s="214">
        <v>979</v>
      </c>
      <c r="FZ984">
        <v>1.3373705393530053</v>
      </c>
      <c r="GA984">
        <v>12.437135991221057</v>
      </c>
      <c r="GB984">
        <v>13.374226632505822</v>
      </c>
      <c r="GC984">
        <v>5.0706301947983272</v>
      </c>
      <c r="GD984">
        <v>1.7845854425928134</v>
      </c>
      <c r="GE984">
        <v>6.0295124325445606</v>
      </c>
      <c r="GF984">
        <v>10.44288845161836</v>
      </c>
      <c r="GG984">
        <v>4.4591772378806329</v>
      </c>
      <c r="GH984">
        <v>1.955018855704995</v>
      </c>
      <c r="GI984">
        <v>7.045586765089066</v>
      </c>
      <c r="GJ984"/>
      <c r="GK984"/>
      <c r="GL984"/>
      <c r="GM984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81.233324917018791</v>
      </c>
      <c r="AO985">
        <v>13.672559243460501</v>
      </c>
      <c r="AP985">
        <v>73.703876662252725</v>
      </c>
      <c r="AQ985">
        <v>83.853173744475185</v>
      </c>
      <c r="AR985">
        <v>12.441808609274716</v>
      </c>
      <c r="AS985">
        <v>70.443243571233239</v>
      </c>
      <c r="AT985" t="e">
        <v>#DIV/0!</v>
      </c>
      <c r="AU985" t="e">
        <v>#DIV/0!</v>
      </c>
      <c r="AV985"/>
      <c r="AW985"/>
      <c r="FY985" s="214">
        <v>980</v>
      </c>
      <c r="FZ985">
        <v>0.72747221124835537</v>
      </c>
      <c r="GA985">
        <v>10.793397690467632</v>
      </c>
      <c r="GB985">
        <v>14.257809136643797</v>
      </c>
      <c r="GC985">
        <v>5.7326117351512398</v>
      </c>
      <c r="GD985">
        <v>5.1033480244518676</v>
      </c>
      <c r="GE985">
        <v>17.144073148916529</v>
      </c>
      <c r="GF985">
        <v>22.500235524116306</v>
      </c>
      <c r="GG985">
        <v>16.778473693388445</v>
      </c>
      <c r="GH985">
        <v>15.829950943567283</v>
      </c>
      <c r="GI985">
        <v>13.748434582168535</v>
      </c>
      <c r="GJ985"/>
      <c r="GK985"/>
      <c r="GL985"/>
      <c r="GM98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40.314000215563247</v>
      </c>
      <c r="AO986">
        <v>7.3943324197387623</v>
      </c>
      <c r="AP986">
        <v>28.017132764694551</v>
      </c>
      <c r="AQ986">
        <v>45.918623634264918</v>
      </c>
      <c r="AR986">
        <v>6.7346517335428278</v>
      </c>
      <c r="AS986">
        <v>36.700703705853712</v>
      </c>
      <c r="AT986" t="e">
        <v>#DIV/0!</v>
      </c>
      <c r="AU986" t="e">
        <v>#DIV/0!</v>
      </c>
      <c r="AV986"/>
      <c r="AW986"/>
      <c r="FY986" s="214">
        <v>981</v>
      </c>
      <c r="FZ986">
        <v>0.88087246143175368</v>
      </c>
      <c r="GA986">
        <v>19.811823889265629</v>
      </c>
      <c r="GB986">
        <v>15.876772070451338</v>
      </c>
      <c r="GC986">
        <v>4.0180237430624519</v>
      </c>
      <c r="GD986">
        <v>0.79011341024840687</v>
      </c>
      <c r="GE986">
        <v>1.5562226431512494</v>
      </c>
      <c r="GF986">
        <v>18.249673601347816</v>
      </c>
      <c r="GG986">
        <v>22.167625891072912</v>
      </c>
      <c r="GH986">
        <v>8.1750326225660466</v>
      </c>
      <c r="GI986">
        <v>9.725065077461629</v>
      </c>
      <c r="GJ986"/>
      <c r="GK986"/>
      <c r="GL986"/>
      <c r="GM986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55.616244344653275</v>
      </c>
      <c r="AO987">
        <v>10.997477884282253</v>
      </c>
      <c r="AP987">
        <v>47.182611936663569</v>
      </c>
      <c r="AQ987">
        <v>61.064186473065327</v>
      </c>
      <c r="AR987">
        <v>10.188459042831735</v>
      </c>
      <c r="AS987">
        <v>54.285253415128828</v>
      </c>
      <c r="AT987">
        <v>5.6247426042221598</v>
      </c>
      <c r="AU987">
        <v>27.321499741130037</v>
      </c>
      <c r="AV987"/>
      <c r="AW987"/>
      <c r="FY987" s="214">
        <v>982</v>
      </c>
      <c r="FZ987">
        <v>0.28747541177601171</v>
      </c>
      <c r="GA987">
        <v>11.726717062491598</v>
      </c>
      <c r="GB987">
        <v>10.020652620171512</v>
      </c>
      <c r="GC987">
        <v>2.9333866752075517</v>
      </c>
      <c r="GD987">
        <v>4.1399651995852196</v>
      </c>
      <c r="GE987">
        <v>13.229740592810026</v>
      </c>
      <c r="GF987">
        <v>25.010239479929623</v>
      </c>
      <c r="GG987">
        <v>14.87673222824375</v>
      </c>
      <c r="GH987">
        <v>0.80775901560723096</v>
      </c>
      <c r="GI987">
        <v>10.054530217808301</v>
      </c>
      <c r="GJ987"/>
      <c r="GK987"/>
      <c r="GL987"/>
      <c r="GM987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51.727105176366379</v>
      </c>
      <c r="AO988">
        <v>10.267518480509626</v>
      </c>
      <c r="AP988">
        <v>50.0163067854755</v>
      </c>
      <c r="AQ988">
        <v>57.441640500195035</v>
      </c>
      <c r="AR988">
        <v>9.5255036947051028</v>
      </c>
      <c r="AS988">
        <v>52.21200460573727</v>
      </c>
      <c r="AT988">
        <v>5.6982853107305358</v>
      </c>
      <c r="AU988">
        <v>20.52338331085992</v>
      </c>
      <c r="AV988"/>
      <c r="AW988"/>
      <c r="FY988" s="214">
        <v>983</v>
      </c>
      <c r="FZ988">
        <v>0.93186500410622031</v>
      </c>
      <c r="GA988">
        <v>18.941676997883093</v>
      </c>
      <c r="GB988">
        <v>11.075208632095723</v>
      </c>
      <c r="GC988">
        <v>1.5976010458340493</v>
      </c>
      <c r="GD988">
        <v>4.9201546844959836</v>
      </c>
      <c r="GE988">
        <v>12.42459504800614</v>
      </c>
      <c r="GF988">
        <v>24.100811948863893</v>
      </c>
      <c r="GG988">
        <v>17.535851997393742</v>
      </c>
      <c r="GH988">
        <v>4.2153067693175341</v>
      </c>
      <c r="GI988">
        <v>11.220413196160285</v>
      </c>
      <c r="GJ988"/>
      <c r="GK988"/>
      <c r="GL988"/>
      <c r="GM988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58.483415058103944</v>
      </c>
      <c r="AO989">
        <v>11.483169429036014</v>
      </c>
      <c r="AP989">
        <v>28.618908056696085</v>
      </c>
      <c r="AQ989">
        <v>77.287174763409155</v>
      </c>
      <c r="AR989">
        <v>10.451454232525178</v>
      </c>
      <c r="AS989">
        <v>59.029370960616191</v>
      </c>
      <c r="AT989" t="e">
        <v>#DIV/0!</v>
      </c>
      <c r="AU989" t="e">
        <v>#DIV/0!</v>
      </c>
      <c r="AV989"/>
      <c r="AW989"/>
      <c r="FY989" s="214">
        <v>984</v>
      </c>
      <c r="FZ989">
        <v>0.39228430726682184</v>
      </c>
      <c r="GA989">
        <v>2.6535867621454168</v>
      </c>
      <c r="GB989">
        <v>6.8378586570476747</v>
      </c>
      <c r="GC989">
        <v>3.7107718028946008</v>
      </c>
      <c r="GD989">
        <v>0.94701022032665305</v>
      </c>
      <c r="GE989">
        <v>15.212794213010675</v>
      </c>
      <c r="GF989">
        <v>37.468297729753296</v>
      </c>
      <c r="GG989">
        <v>15.204706281230006</v>
      </c>
      <c r="GH989">
        <v>4.2153067693175341</v>
      </c>
      <c r="GI989">
        <v>10.669096316297106</v>
      </c>
      <c r="GJ989"/>
      <c r="GK989"/>
      <c r="GL989"/>
      <c r="GM989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46.817963568242135</v>
      </c>
      <c r="AO990">
        <v>10.84449997989654</v>
      </c>
      <c r="AP990">
        <v>30.790037221070772</v>
      </c>
      <c r="AQ990">
        <v>62.511263556174505</v>
      </c>
      <c r="AR990">
        <v>10.06191957262504</v>
      </c>
      <c r="AS990">
        <v>48.170055229623308</v>
      </c>
      <c r="AT990">
        <v>5.7186555947992401</v>
      </c>
      <c r="AU990">
        <v>11.023833680560831</v>
      </c>
      <c r="AV990"/>
      <c r="AW990"/>
      <c r="FY990" s="214">
        <v>985</v>
      </c>
      <c r="FZ990">
        <v>0.54952187435041699</v>
      </c>
      <c r="GA990">
        <v>9.5974989836246305</v>
      </c>
      <c r="GB990">
        <v>6.7749182961240102</v>
      </c>
      <c r="GC990">
        <v>1.5139406669175137</v>
      </c>
      <c r="GD990">
        <v>5.6907878680859341</v>
      </c>
      <c r="GE990">
        <v>13.030172098826617</v>
      </c>
      <c r="GF990">
        <v>16.217621683350977</v>
      </c>
      <c r="GG990">
        <v>17.908867416220524</v>
      </c>
      <c r="GH990">
        <v>13.453850905698063</v>
      </c>
      <c r="GI990">
        <v>10.598820258830374</v>
      </c>
      <c r="GJ990"/>
      <c r="GK990"/>
      <c r="GL990"/>
      <c r="GM990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70.301894614075565</v>
      </c>
      <c r="AO991">
        <v>17.081687410232114</v>
      </c>
      <c r="AP991">
        <v>62.130678956864983</v>
      </c>
      <c r="AQ991">
        <v>106.27935110408106</v>
      </c>
      <c r="AR991">
        <v>15.898101190141585</v>
      </c>
      <c r="AS991">
        <v>77.419668164391481</v>
      </c>
      <c r="AT991">
        <v>9.1748127993226305</v>
      </c>
      <c r="AU991">
        <v>21.88635527409199</v>
      </c>
      <c r="AV991"/>
      <c r="AW991"/>
      <c r="FY991" s="214">
        <v>986</v>
      </c>
      <c r="FZ991">
        <v>0.68970089655385203</v>
      </c>
      <c r="GA991">
        <v>10.137522296526063</v>
      </c>
      <c r="GB991">
        <v>6.9882188779134919</v>
      </c>
      <c r="GC991">
        <v>1.5843364608947919</v>
      </c>
      <c r="GD991">
        <v>0.58924955670465495</v>
      </c>
      <c r="GE991">
        <v>7.3929379708327865</v>
      </c>
      <c r="GF991">
        <v>16.45482322883209</v>
      </c>
      <c r="GG991">
        <v>11.40432594135993</v>
      </c>
      <c r="GH991">
        <v>11.750077028842911</v>
      </c>
      <c r="GI991">
        <v>7.3150377491281606</v>
      </c>
      <c r="GJ991"/>
      <c r="GK991"/>
      <c r="GL991"/>
      <c r="GM991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90.888838477350802</v>
      </c>
      <c r="AO992">
        <v>15.982702686042504</v>
      </c>
      <c r="AP992">
        <v>67.214430086814971</v>
      </c>
      <c r="AQ992">
        <v>100.76802496662576</v>
      </c>
      <c r="AR992">
        <v>14.54193901162199</v>
      </c>
      <c r="AS992">
        <v>81.620614938607076</v>
      </c>
      <c r="AT992" t="e">
        <v>#DIV/0!</v>
      </c>
      <c r="AU992" t="e">
        <v>#DIV/0!</v>
      </c>
      <c r="AV992"/>
      <c r="AW992"/>
      <c r="FY992" s="214">
        <v>987</v>
      </c>
      <c r="FZ992">
        <v>0.27781286748061929</v>
      </c>
      <c r="GA992">
        <v>8.9078578915729398</v>
      </c>
      <c r="GB992">
        <v>7.7615989268192696</v>
      </c>
      <c r="GC992">
        <v>2.8771601238310209</v>
      </c>
      <c r="GD992">
        <v>2.0605147126093146</v>
      </c>
      <c r="GE992">
        <v>9.5302547318703024</v>
      </c>
      <c r="GF992">
        <v>20.000600796526353</v>
      </c>
      <c r="GG992">
        <v>11.337762267432234</v>
      </c>
      <c r="GH992">
        <v>8.1772005911756356</v>
      </c>
      <c r="GI992">
        <v>8.2346141021591883</v>
      </c>
      <c r="GJ992"/>
      <c r="GK992"/>
      <c r="GL992"/>
      <c r="GM992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105.08730179807742</v>
      </c>
      <c r="AO993">
        <v>18.615426397085738</v>
      </c>
      <c r="AP993">
        <v>106.8212385113267</v>
      </c>
      <c r="AQ993">
        <v>109.80909224741693</v>
      </c>
      <c r="AR993">
        <v>17.114510891592477</v>
      </c>
      <c r="AS993">
        <v>86.009673743869641</v>
      </c>
      <c r="AT993">
        <v>9.1483457058087403</v>
      </c>
      <c r="AU993">
        <v>83.006124450289008</v>
      </c>
      <c r="AV993"/>
      <c r="AW993"/>
      <c r="FY993" s="214">
        <v>988</v>
      </c>
      <c r="FZ993">
        <v>1.4648856000077293</v>
      </c>
      <c r="GA993">
        <v>5.0341473714069362</v>
      </c>
      <c r="GB993">
        <v>5.1678744915515482</v>
      </c>
      <c r="GC993">
        <v>2.6744940992084354</v>
      </c>
      <c r="GD993">
        <v>5.0172686126259345</v>
      </c>
      <c r="GE993">
        <v>11.119053679400892</v>
      </c>
      <c r="GF993">
        <v>13.52666986195581</v>
      </c>
      <c r="GG993">
        <v>8.9263691043012123</v>
      </c>
      <c r="GH993">
        <v>8.3748326283281188E-2</v>
      </c>
      <c r="GI993">
        <v>7.1212627458863205</v>
      </c>
      <c r="GJ993"/>
      <c r="GK993"/>
      <c r="GL993"/>
      <c r="GM993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74.835653601229609</v>
      </c>
      <c r="AO994">
        <v>19.030336530094779</v>
      </c>
      <c r="AP994">
        <v>101.07401943893591</v>
      </c>
      <c r="AQ994">
        <v>111.21930762248203</v>
      </c>
      <c r="AR994">
        <v>17.300627991374043</v>
      </c>
      <c r="AS994">
        <v>78.604994291990167</v>
      </c>
      <c r="AT994" t="e">
        <v>#DIV/0!</v>
      </c>
      <c r="AU994" t="e">
        <v>#DIV/0!</v>
      </c>
      <c r="AV994"/>
      <c r="AW994"/>
      <c r="FY994" s="214">
        <v>989</v>
      </c>
      <c r="FZ994">
        <v>1.2737140351298277</v>
      </c>
      <c r="GA994">
        <v>19.050207956516857</v>
      </c>
      <c r="GB994">
        <v>15.477209109963525</v>
      </c>
      <c r="GC994">
        <v>4.0550310971818009</v>
      </c>
      <c r="GD994">
        <v>0.73560310825994324</v>
      </c>
      <c r="GE994">
        <v>1.5081435397530243</v>
      </c>
      <c r="GF994">
        <v>12.644277615834056</v>
      </c>
      <c r="GG994">
        <v>13.783927944326496</v>
      </c>
      <c r="GH994">
        <v>4.1293904744246639</v>
      </c>
      <c r="GI994">
        <v>7.7883310082591963</v>
      </c>
      <c r="GJ994"/>
      <c r="GK994"/>
      <c r="GL994"/>
      <c r="GM994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55.178023540876211</v>
      </c>
      <c r="AO995">
        <v>10.690643564718194</v>
      </c>
      <c r="AP995">
        <v>44.136570002767073</v>
      </c>
      <c r="AQ995">
        <v>63.936132543308631</v>
      </c>
      <c r="AR995">
        <v>9.9101628621674394</v>
      </c>
      <c r="AS995">
        <v>57.440487078154582</v>
      </c>
      <c r="AT995">
        <v>5.166867603212534</v>
      </c>
      <c r="AU995">
        <v>3.9859859592391134</v>
      </c>
      <c r="AV995"/>
      <c r="AW995"/>
      <c r="FY995" s="214">
        <v>990</v>
      </c>
      <c r="FZ995">
        <v>1.1329777464951405</v>
      </c>
      <c r="GA995">
        <v>5.0309357125149976</v>
      </c>
      <c r="GB995">
        <v>6.2090800534408279</v>
      </c>
      <c r="GC995">
        <v>3.1662721743472773</v>
      </c>
      <c r="GD995">
        <v>5.1679960303733656</v>
      </c>
      <c r="GE995">
        <v>21.790621630551151</v>
      </c>
      <c r="GF995">
        <v>23.200760643681541</v>
      </c>
      <c r="GG995">
        <v>3.2614084266471837</v>
      </c>
      <c r="GH995">
        <v>0.64026236304066864</v>
      </c>
      <c r="GI995">
        <v>9.3473781769966138</v>
      </c>
      <c r="GJ995"/>
      <c r="GK995"/>
      <c r="GL995"/>
      <c r="GM99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84.950575788256543</v>
      </c>
      <c r="AO996">
        <v>20.620809282272482</v>
      </c>
      <c r="AP996">
        <v>68.464180140773266</v>
      </c>
      <c r="AQ996">
        <v>122.61580669012</v>
      </c>
      <c r="AR996">
        <v>19.294027288442802</v>
      </c>
      <c r="AS996">
        <v>91.409353084429156</v>
      </c>
      <c r="AT996">
        <v>10.854994646199883</v>
      </c>
      <c r="AU996">
        <v>23.762752697452303</v>
      </c>
      <c r="AV996"/>
      <c r="AW996"/>
      <c r="FY996" s="214">
        <v>991</v>
      </c>
      <c r="FZ996">
        <v>1.1467562409063559</v>
      </c>
      <c r="GA996">
        <v>10.015092824395623</v>
      </c>
      <c r="GB996">
        <v>10.048358818878595</v>
      </c>
      <c r="GC996">
        <v>3.7586683459726506</v>
      </c>
      <c r="GD996">
        <v>3.7417856597195063</v>
      </c>
      <c r="GE996">
        <v>11.041007534094033</v>
      </c>
      <c r="GF996">
        <v>17.895924319612114</v>
      </c>
      <c r="GG996">
        <v>9.9383471363097566</v>
      </c>
      <c r="GH996">
        <v>0.25124497884984359</v>
      </c>
      <c r="GI996">
        <v>8.5292448212683425</v>
      </c>
      <c r="GJ996"/>
      <c r="GK996"/>
      <c r="GL996"/>
      <c r="GM996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60.968828784788798</v>
      </c>
      <c r="AO997">
        <v>15.275765915330322</v>
      </c>
      <c r="AP997">
        <v>48.270983032771525</v>
      </c>
      <c r="AQ997">
        <v>101.25122541005925</v>
      </c>
      <c r="AR997">
        <v>13.887059923027564</v>
      </c>
      <c r="AS997">
        <v>64.114411336309459</v>
      </c>
      <c r="AT997" t="e">
        <v>#DIV/0!</v>
      </c>
      <c r="AU997" t="e">
        <v>#DIV/0!</v>
      </c>
      <c r="AV997"/>
      <c r="AW997"/>
      <c r="FY997" s="214">
        <v>992</v>
      </c>
      <c r="FZ997">
        <v>1.5120408257819993</v>
      </c>
      <c r="GA997">
        <v>3.7340559857437712</v>
      </c>
      <c r="GB997">
        <v>5.8941171652199449</v>
      </c>
      <c r="GC997">
        <v>3.4053112289307492</v>
      </c>
      <c r="GD997">
        <v>4.1798458375121088</v>
      </c>
      <c r="GE997">
        <v>14.656662024238155</v>
      </c>
      <c r="GF997">
        <v>20.391002713097024</v>
      </c>
      <c r="GG997">
        <v>8.4765218880463831</v>
      </c>
      <c r="GH997">
        <v>0.55651403675738742</v>
      </c>
      <c r="GI997">
        <v>8.3401527314156869</v>
      </c>
      <c r="GJ997"/>
      <c r="GK997"/>
      <c r="GL997"/>
      <c r="GM997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75.369721749739909</v>
      </c>
      <c r="AO998">
        <v>15.507897272906021</v>
      </c>
      <c r="AP998">
        <v>59.269015178678174</v>
      </c>
      <c r="AQ998">
        <v>93.08719850363083</v>
      </c>
      <c r="AR998">
        <v>14.098088429914569</v>
      </c>
      <c r="AS998">
        <v>71.570469700753492</v>
      </c>
      <c r="AT998" t="e">
        <v>#DIV/0!</v>
      </c>
      <c r="AU998" t="e">
        <v>#DIV/0!</v>
      </c>
      <c r="AV998"/>
      <c r="AW998"/>
      <c r="FY998" s="214">
        <v>993</v>
      </c>
      <c r="FZ998">
        <v>0.42510925705319597</v>
      </c>
      <c r="GA998">
        <v>11.35614387141672</v>
      </c>
      <c r="GB998">
        <v>11.999376351898343</v>
      </c>
      <c r="GC998">
        <v>4.1876930388731992</v>
      </c>
      <c r="GD998">
        <v>4.8575169562615867</v>
      </c>
      <c r="GE998">
        <v>16.266280788164881</v>
      </c>
      <c r="GF998">
        <v>21.537775812251787</v>
      </c>
      <c r="GG998">
        <v>11.524079555970621</v>
      </c>
      <c r="GH998">
        <v>3.5728764376672766</v>
      </c>
      <c r="GI998">
        <v>10.815217036084981</v>
      </c>
      <c r="GJ998"/>
      <c r="GK998"/>
      <c r="GL998"/>
      <c r="GM998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82.859493087775775</v>
      </c>
      <c r="AO999">
        <v>16.818931839576461</v>
      </c>
      <c r="AP999">
        <v>89.754925749425809</v>
      </c>
      <c r="AQ999">
        <v>106.96348532415665</v>
      </c>
      <c r="AR999">
        <v>15.659554544469779</v>
      </c>
      <c r="AS999">
        <v>82.704036706702482</v>
      </c>
      <c r="AT999">
        <v>9.5281746485105661</v>
      </c>
      <c r="AU999">
        <v>-2.7931500186473368</v>
      </c>
      <c r="AV999"/>
      <c r="AW999"/>
      <c r="FY999" s="214">
        <v>994</v>
      </c>
      <c r="FZ999">
        <v>1.0726012927409077</v>
      </c>
      <c r="GA999">
        <v>3.3563222390228091</v>
      </c>
      <c r="GB999">
        <v>3.9038551719307542</v>
      </c>
      <c r="GC999">
        <v>2.163619700822955</v>
      </c>
      <c r="GD999">
        <v>3.1323032564296938</v>
      </c>
      <c r="GE999">
        <v>9.5566140980398746</v>
      </c>
      <c r="GF999">
        <v>13.646963991676992</v>
      </c>
      <c r="GG999">
        <v>6.9408388803069041</v>
      </c>
      <c r="GH999">
        <v>1.1967763997980561</v>
      </c>
      <c r="GI999">
        <v>5.7684030868977043</v>
      </c>
      <c r="GJ999"/>
      <c r="GK999"/>
      <c r="GL999"/>
      <c r="GM999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86.664174628573406</v>
      </c>
      <c r="AO1000">
        <v>16.520231739287276</v>
      </c>
      <c r="AP1000">
        <v>154.61921908502512</v>
      </c>
      <c r="AQ1000">
        <v>97.311713059289772</v>
      </c>
      <c r="AR1000">
        <v>15.387686943828097</v>
      </c>
      <c r="AS1000">
        <v>81.316589216223747</v>
      </c>
      <c r="AT1000">
        <v>8.958748163441058</v>
      </c>
      <c r="AU1000">
        <v>248.55155474910407</v>
      </c>
      <c r="AV1000"/>
      <c r="AW1000"/>
      <c r="FY1000" s="214">
        <v>995</v>
      </c>
      <c r="FZ1000">
        <v>0.92858495363727545</v>
      </c>
      <c r="GA1000">
        <v>11.230355021075876</v>
      </c>
      <c r="GB1000">
        <v>8.4062065475228618</v>
      </c>
      <c r="GC1000">
        <v>2.439745110071879</v>
      </c>
      <c r="GD1000">
        <v>1.9883874090619851</v>
      </c>
      <c r="GE1000">
        <v>8.1903460409691018</v>
      </c>
      <c r="GF1000">
        <v>17.263883568833641</v>
      </c>
      <c r="GG1000">
        <v>13.179218471621841</v>
      </c>
      <c r="GH1000">
        <v>9.3222924626638104</v>
      </c>
      <c r="GI1000">
        <v>8.1181835518211258</v>
      </c>
      <c r="GJ1000"/>
      <c r="GK1000"/>
      <c r="GL1000"/>
      <c r="GM1000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65.682121430220292</v>
      </c>
      <c r="AO1001">
        <v>15.755612621170684</v>
      </c>
      <c r="AP1001">
        <v>58.569114569141526</v>
      </c>
      <c r="AQ1001">
        <v>95.336000052029064</v>
      </c>
      <c r="AR1001">
        <v>14.871443287819957</v>
      </c>
      <c r="AS1001">
        <v>71.06239029760448</v>
      </c>
      <c r="AT1001">
        <v>8.8430858526557738</v>
      </c>
      <c r="AU1001">
        <v>18.479952111762461</v>
      </c>
      <c r="AV1001"/>
      <c r="AW1001"/>
      <c r="FY1001" s="214">
        <v>996</v>
      </c>
      <c r="FZ1001">
        <v>0.22501002142259591</v>
      </c>
      <c r="GA1001">
        <v>16.468073138862543</v>
      </c>
      <c r="GB1001">
        <v>14.452125003840525</v>
      </c>
      <c r="GC1001">
        <v>4.0100789114874162</v>
      </c>
      <c r="GD1001">
        <v>4.9803338033089259</v>
      </c>
      <c r="GE1001">
        <v>10.396749251079877</v>
      </c>
      <c r="GF1001">
        <v>5.7572957964357965</v>
      </c>
      <c r="GG1001">
        <v>9.7356666603801916</v>
      </c>
      <c r="GH1001">
        <v>11.750077028842911</v>
      </c>
      <c r="GI1001">
        <v>9.7881917597107648</v>
      </c>
      <c r="GJ1001"/>
      <c r="GK1001"/>
      <c r="GL1001"/>
      <c r="GM1001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58.366707763545854</v>
      </c>
      <c r="AO1002">
        <v>10.895611491951177</v>
      </c>
      <c r="AP1002">
        <v>37.536017743036098</v>
      </c>
      <c r="AQ1002">
        <v>74.306230007588738</v>
      </c>
      <c r="AR1002">
        <v>10.28660510692408</v>
      </c>
      <c r="AS1002">
        <v>55.404009349377255</v>
      </c>
      <c r="AT1002">
        <v>6.0711411559356536</v>
      </c>
      <c r="AU1002">
        <v>18.284999081295915</v>
      </c>
      <c r="AV1002"/>
      <c r="AW1002"/>
      <c r="FY1002" s="214">
        <v>997</v>
      </c>
      <c r="FZ1002">
        <v>1.2002939605070733</v>
      </c>
      <c r="GA1002">
        <v>4.2216413619874897</v>
      </c>
      <c r="GB1002">
        <v>4.8386367261276426</v>
      </c>
      <c r="GC1002">
        <v>2.646319460067994</v>
      </c>
      <c r="GD1002">
        <v>2.903608203869406</v>
      </c>
      <c r="GE1002">
        <v>5.7844070803892507</v>
      </c>
      <c r="GF1002">
        <v>4.2948767422441501</v>
      </c>
      <c r="GG1002">
        <v>3.0279595939466555</v>
      </c>
      <c r="GH1002">
        <v>1.2805247260813373</v>
      </c>
      <c r="GI1002">
        <v>4.1301079907525606</v>
      </c>
      <c r="GJ1002"/>
      <c r="GK1002"/>
      <c r="GL1002"/>
      <c r="GM1002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73.455937938154449</v>
      </c>
      <c r="AO1003">
        <v>12.115837900411337</v>
      </c>
      <c r="AP1003">
        <v>46.334225228403284</v>
      </c>
      <c r="AQ1003">
        <v>79.165377011476878</v>
      </c>
      <c r="AR1003">
        <v>11.371483247812078</v>
      </c>
      <c r="AS1003">
        <v>64.794451792417334</v>
      </c>
      <c r="AT1003" t="e">
        <v>#DIV/0!</v>
      </c>
      <c r="AU1003" t="e">
        <v>#DIV/0!</v>
      </c>
      <c r="AV1003"/>
      <c r="AW1003"/>
      <c r="FY1003" s="214">
        <v>998</v>
      </c>
      <c r="FZ1003">
        <v>0.6030595939511344</v>
      </c>
      <c r="GA1003">
        <v>17.371496239750943</v>
      </c>
      <c r="GB1003">
        <v>9.2008025113649001</v>
      </c>
      <c r="GC1003">
        <v>1.106617780978572</v>
      </c>
      <c r="GD1003">
        <v>3.3816995819581965</v>
      </c>
      <c r="GE1003">
        <v>14.176310301290242</v>
      </c>
      <c r="GF1003">
        <v>23.883344604484208</v>
      </c>
      <c r="GG1003">
        <v>12.617526519477874</v>
      </c>
      <c r="GH1003">
        <v>7.064172517660861</v>
      </c>
      <c r="GI1003">
        <v>10.305821259136071</v>
      </c>
      <c r="GJ1003"/>
      <c r="GK1003"/>
      <c r="GL1003"/>
      <c r="GM1003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55.676686316341502</v>
      </c>
      <c r="AO1004">
        <v>10.854353527711988</v>
      </c>
      <c r="AP1004">
        <v>51.175324589343624</v>
      </c>
      <c r="AQ1004">
        <v>60.135773892628094</v>
      </c>
      <c r="AR1004">
        <v>9.8798034131396992</v>
      </c>
      <c r="AS1004">
        <v>53.883808255612095</v>
      </c>
      <c r="AT1004" t="e">
        <v>#DIV/0!</v>
      </c>
      <c r="AU1004" t="e">
        <v>#DIV/0!</v>
      </c>
      <c r="AV1004"/>
      <c r="AW1004"/>
      <c r="FY1004" s="214">
        <v>999</v>
      </c>
      <c r="FZ1004">
        <v>0.6637146809209935</v>
      </c>
      <c r="GA1004">
        <v>17.032743715416299</v>
      </c>
      <c r="GB1004">
        <v>10.367567319674098</v>
      </c>
      <c r="GC1004">
        <v>2.1262879120621183</v>
      </c>
      <c r="GD1004">
        <v>1.1086042963294149</v>
      </c>
      <c r="GE1004">
        <v>1.1723632205503558</v>
      </c>
      <c r="GF1004">
        <v>16.076748989670165</v>
      </c>
      <c r="GG1004">
        <v>17.76085107512765</v>
      </c>
      <c r="GH1004">
        <v>6.3896783880372032</v>
      </c>
      <c r="GI1004">
        <v>7.6244002237897677</v>
      </c>
      <c r="GJ1004"/>
      <c r="GK1004"/>
      <c r="GL1004"/>
      <c r="GM1004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53.185829954914972</v>
      </c>
      <c r="AO1005">
        <v>12.119616151075158</v>
      </c>
      <c r="AP1005">
        <v>31.267233779647171</v>
      </c>
      <c r="AQ1005">
        <v>80.445835889649388</v>
      </c>
      <c r="AR1005">
        <v>11.030042161651672</v>
      </c>
      <c r="AS1005">
        <v>56.875023404532193</v>
      </c>
      <c r="AT1005" t="e">
        <v>#DIV/0!</v>
      </c>
      <c r="AU1005" t="e">
        <v>#DIV/0!</v>
      </c>
      <c r="AV1005"/>
      <c r="AW1005"/>
      <c r="FY1005" s="214">
        <v>1000</v>
      </c>
      <c r="FZ1005">
        <v>1.2331189102934474</v>
      </c>
      <c r="GA1005">
        <v>6.7712166478382478</v>
      </c>
      <c r="GB1005">
        <v>3.4938284579326182</v>
      </c>
      <c r="GC1005">
        <v>0.59666793218222358</v>
      </c>
      <c r="GD1005">
        <v>7.6221981722117764</v>
      </c>
      <c r="GE1005">
        <v>15.510685950452922</v>
      </c>
      <c r="GF1005">
        <v>6.9369357337398592</v>
      </c>
      <c r="GG1005">
        <v>11.711595582764032</v>
      </c>
      <c r="GH1005">
        <v>9.4060407889470916</v>
      </c>
      <c r="GI1005">
        <v>8.7236745152287067</v>
      </c>
      <c r="GJ1005"/>
      <c r="GK1005"/>
      <c r="GL1005"/>
      <c r="GM10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96.943473695999757</v>
      </c>
      <c r="AO1006">
        <v>14.284393449020721</v>
      </c>
      <c r="AP1006">
        <v>57.195102493028116</v>
      </c>
      <c r="AQ1006">
        <v>78.947692958088766</v>
      </c>
      <c r="AR1006">
        <v>12.998343578344608</v>
      </c>
      <c r="AS1006">
        <v>78.256442871261484</v>
      </c>
      <c r="AT1006" t="e">
        <v>#DIV/0!</v>
      </c>
      <c r="AU1006" t="e">
        <v>#DIV/0!</v>
      </c>
      <c r="AV1006"/>
      <c r="AW1006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74.59665130129855</v>
      </c>
      <c r="AO1007">
        <v>13.15955949427333</v>
      </c>
      <c r="AP1007">
        <v>66.592387319370943</v>
      </c>
      <c r="AQ1007">
        <v>76.366430680006829</v>
      </c>
      <c r="AR1007">
        <v>11.976089310771224</v>
      </c>
      <c r="AS1007">
        <v>62.200504834838071</v>
      </c>
      <c r="AT1007" t="e">
        <v>#DIV/0!</v>
      </c>
      <c r="AU1007" t="e">
        <v>#DIV/0!</v>
      </c>
      <c r="AV1007"/>
      <c r="AW1007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67.305067020658896</v>
      </c>
      <c r="AO1008">
        <v>12.933604232319933</v>
      </c>
      <c r="AP1008">
        <v>106.09208325665998</v>
      </c>
      <c r="AQ1008">
        <v>71.146224436743211</v>
      </c>
      <c r="AR1008">
        <v>11.757822029381757</v>
      </c>
      <c r="AS1008">
        <v>63.913451544930588</v>
      </c>
      <c r="AT1008" t="e">
        <v>#DIV/0!</v>
      </c>
      <c r="AU1008" t="e">
        <v>#DIV/0!</v>
      </c>
      <c r="AV1008"/>
      <c r="AW1008"/>
    </row>
    <row r="1009" spans="1:49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86.077653058672766</v>
      </c>
      <c r="AO1009">
        <v>16.681992770307311</v>
      </c>
      <c r="AP1009">
        <v>78.911252023780065</v>
      </c>
      <c r="AQ1009">
        <v>96.542069105642582</v>
      </c>
      <c r="AR1009">
        <v>15.177979324968783</v>
      </c>
      <c r="AS1009">
        <v>79.68133774367864</v>
      </c>
      <c r="AT1009" t="e">
        <v>#DIV/0!</v>
      </c>
      <c r="AU1009" t="e">
        <v>#DIV/0!</v>
      </c>
      <c r="AV1009"/>
      <c r="AW1009"/>
    </row>
    <row r="1010" spans="1:49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54.829966494925749</v>
      </c>
      <c r="AO1010">
        <v>8.7821499148675972</v>
      </c>
      <c r="AP1010">
        <v>34.312181649099038</v>
      </c>
      <c r="AQ1010">
        <v>50.738298117666652</v>
      </c>
      <c r="AR1010">
        <v>7.9959819469175253</v>
      </c>
      <c r="AS1010">
        <v>45.776846847217598</v>
      </c>
      <c r="AT1010" t="e">
        <v>#DIV/0!</v>
      </c>
      <c r="AU1010" t="e">
        <v>#DIV/0!</v>
      </c>
      <c r="AV1010"/>
      <c r="AW1010"/>
    </row>
    <row r="1011" spans="1:49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72.316899973912172</v>
      </c>
      <c r="AO1011">
        <v>12.088242715662979</v>
      </c>
      <c r="AP1011">
        <v>41.274314530271518</v>
      </c>
      <c r="AQ1011">
        <v>81.067203137279392</v>
      </c>
      <c r="AR1011">
        <v>11.216691326109709</v>
      </c>
      <c r="AS1011">
        <v>66.931010465448736</v>
      </c>
      <c r="AT1011">
        <v>7.0365032346870615</v>
      </c>
      <c r="AU1011">
        <v>22.651666540855683</v>
      </c>
      <c r="AV1011"/>
      <c r="AW1011"/>
    </row>
    <row r="1012" spans="1:49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63.993675875474196</v>
      </c>
      <c r="AO1012">
        <v>14.720792247912382</v>
      </c>
      <c r="AP1012">
        <v>58.715332448536273</v>
      </c>
      <c r="AQ1012">
        <v>87.563601375371547</v>
      </c>
      <c r="AR1012">
        <v>13.74091178341909</v>
      </c>
      <c r="AS1012">
        <v>68.486091564253528</v>
      </c>
      <c r="AT1012">
        <v>7.9473669862599179</v>
      </c>
      <c r="AU1012">
        <v>-5.2849844806828354</v>
      </c>
      <c r="AV1012"/>
      <c r="AW1012"/>
    </row>
    <row r="1013" spans="1:49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45.381041425237392</v>
      </c>
      <c r="AO1013">
        <v>6.2505401124077675</v>
      </c>
      <c r="AP1013">
        <v>21.581084953183037</v>
      </c>
      <c r="AQ1013">
        <v>34.328375845973561</v>
      </c>
      <c r="AR1013">
        <v>5.7070498420979989</v>
      </c>
      <c r="AS1013">
        <v>33.297424265977263</v>
      </c>
      <c r="AT1013" t="e">
        <v>#DIV/0!</v>
      </c>
      <c r="AU1013" t="e">
        <v>#DIV/0!</v>
      </c>
      <c r="AV1013"/>
      <c r="AW1013"/>
    </row>
    <row r="1014" spans="1:49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88.060257886951746</v>
      </c>
      <c r="AO1014">
        <v>15.566747195160428</v>
      </c>
      <c r="AP1014">
        <v>84.320557234582935</v>
      </c>
      <c r="AQ1014">
        <v>99.710850910052997</v>
      </c>
      <c r="AR1014">
        <v>14.520882812803688</v>
      </c>
      <c r="AS1014">
        <v>78.316795118812493</v>
      </c>
      <c r="AT1014">
        <v>8.5939469810029951</v>
      </c>
      <c r="AU1014">
        <v>35.643001740764191</v>
      </c>
      <c r="AV1014"/>
      <c r="AW1014"/>
    </row>
    <row r="1015" spans="1:49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58.897417569905599</v>
      </c>
      <c r="AO1015">
        <v>11.661570562395902</v>
      </c>
      <c r="AP1015">
        <v>24.18919524609862</v>
      </c>
      <c r="AQ1015">
        <v>80.322959821578053</v>
      </c>
      <c r="AR1015">
        <v>10.780292417185038</v>
      </c>
      <c r="AS1015">
        <v>52.363654280570387</v>
      </c>
      <c r="AT1015">
        <v>6.8087030381452793</v>
      </c>
      <c r="AU1015">
        <v>-25.576347078090169</v>
      </c>
      <c r="AV1015"/>
      <c r="AW1015"/>
    </row>
    <row r="1016" spans="1:49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55.472956691041176</v>
      </c>
      <c r="AO1016">
        <v>13.345662731278045</v>
      </c>
      <c r="AP1016">
        <v>100.61655432292527</v>
      </c>
      <c r="AQ1016">
        <v>72.005962691590923</v>
      </c>
      <c r="AR1016">
        <v>12.323816649949126</v>
      </c>
      <c r="AS1016">
        <v>60.386387856457603</v>
      </c>
      <c r="AT1016">
        <v>6.8271015845714169</v>
      </c>
      <c r="AU1016">
        <v>4.8736805091395441</v>
      </c>
      <c r="AV1016"/>
      <c r="AW1016"/>
    </row>
    <row r="1017" spans="1:49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49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49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49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49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49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49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49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CW86:CX86"/>
    <mergeCell ref="O455:R455"/>
    <mergeCell ref="GC2:GI2"/>
    <mergeCell ref="FJ4:FM4"/>
    <mergeCell ref="FI6:FJ6"/>
    <mergeCell ref="FK6:FL6"/>
    <mergeCell ref="FM6:FN6"/>
    <mergeCell ref="FI7:FJ7"/>
    <mergeCell ref="FK7:FL7"/>
    <mergeCell ref="FM7:FN7"/>
    <mergeCell ref="FI8:FJ8"/>
    <mergeCell ref="FK8:FL8"/>
    <mergeCell ref="FM8:FN8"/>
    <mergeCell ref="FI9:FJ9"/>
    <mergeCell ref="FK9:FL9"/>
    <mergeCell ref="FM9:FN9"/>
    <mergeCell ref="FI10:FJ10"/>
    <mergeCell ref="FK10:FL10"/>
    <mergeCell ref="FM10:FN10"/>
    <mergeCell ref="FI11:FJ11"/>
    <mergeCell ref="FK11:FL11"/>
    <mergeCell ref="FM11:FN11"/>
    <mergeCell ref="FI12:FJ12"/>
    <mergeCell ref="FK12:FL12"/>
    <mergeCell ref="FM12:FN12"/>
    <mergeCell ref="FI13:FJ13"/>
    <mergeCell ref="FK13:FL13"/>
    <mergeCell ref="FM13:FN13"/>
    <mergeCell ref="FI16:FJ16"/>
    <mergeCell ref="FK16:FL16"/>
    <mergeCell ref="FM16:FN16"/>
    <mergeCell ref="FI14:FJ14"/>
    <mergeCell ref="FK14:FL14"/>
    <mergeCell ref="FM14:FN14"/>
    <mergeCell ref="FI15:FJ15"/>
    <mergeCell ref="FK15:FL15"/>
    <mergeCell ref="FM15:FN15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2011-08-25T13:31:13Z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