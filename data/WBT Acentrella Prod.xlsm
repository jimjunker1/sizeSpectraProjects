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165" yWindow="-15" windowWidth="12660" windowHeight="541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FM16" i="1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C551"/>
  <c r="C549"/>
  <c r="C547"/>
  <c r="C545"/>
  <c r="C543"/>
  <c r="C541"/>
  <c r="C539"/>
  <c r="C537"/>
  <c r="C535"/>
  <c r="C533"/>
  <c r="C531"/>
  <c r="G36"/>
  <c r="H36"/>
  <c r="A438"/>
  <c r="I36"/>
  <c r="I372" s="1"/>
  <c r="I422" s="1"/>
  <c r="J36"/>
  <c r="E463" s="1"/>
  <c r="K36"/>
  <c r="E465"/>
  <c r="L36"/>
  <c r="M36"/>
  <c r="E469" s="1"/>
  <c r="N36"/>
  <c r="N372" s="1"/>
  <c r="N422" s="1"/>
  <c r="E471"/>
  <c r="O36"/>
  <c r="O372" s="1"/>
  <c r="P36"/>
  <c r="E475" s="1"/>
  <c r="Q36"/>
  <c r="R36"/>
  <c r="E479" s="1"/>
  <c r="S36"/>
  <c r="T36"/>
  <c r="U36"/>
  <c r="E485" s="1"/>
  <c r="V36"/>
  <c r="W36"/>
  <c r="E489" s="1"/>
  <c r="X36"/>
  <c r="Y36"/>
  <c r="Y372" s="1"/>
  <c r="Z36"/>
  <c r="AA36"/>
  <c r="AB36"/>
  <c r="E499" s="1"/>
  <c r="AC36"/>
  <c r="AD36"/>
  <c r="E503" s="1"/>
  <c r="AE36"/>
  <c r="AF36"/>
  <c r="AG36"/>
  <c r="FP101" s="1"/>
  <c r="AH36"/>
  <c r="AI36"/>
  <c r="AJ36"/>
  <c r="E515" s="1"/>
  <c r="AK36"/>
  <c r="E517" s="1"/>
  <c r="H518" s="1"/>
  <c r="E21"/>
  <c r="E22"/>
  <c r="E23"/>
  <c r="E24"/>
  <c r="E25"/>
  <c r="E26"/>
  <c r="E27"/>
  <c r="E28"/>
  <c r="E29"/>
  <c r="B405"/>
  <c r="B414"/>
  <c r="B413"/>
  <c r="B412"/>
  <c r="B411"/>
  <c r="B410"/>
  <c r="B409"/>
  <c r="B408"/>
  <c r="B407"/>
  <c r="B406"/>
  <c r="H398"/>
  <c r="F398"/>
  <c r="H397"/>
  <c r="F397"/>
  <c r="H372"/>
  <c r="H378" s="1"/>
  <c r="J372"/>
  <c r="M372"/>
  <c r="M375" s="1"/>
  <c r="P372"/>
  <c r="AB372"/>
  <c r="AB422" s="1"/>
  <c r="N381"/>
  <c r="H380"/>
  <c r="H375"/>
  <c r="B382"/>
  <c r="B381"/>
  <c r="B380"/>
  <c r="B379"/>
  <c r="B378"/>
  <c r="B377"/>
  <c r="B376"/>
  <c r="B375"/>
  <c r="B374"/>
  <c r="B373"/>
  <c r="BA178"/>
  <c r="CM178"/>
  <c r="BA168"/>
  <c r="CM168" s="1"/>
  <c r="BA159"/>
  <c r="CM159" s="1"/>
  <c r="BA148"/>
  <c r="CM148" s="1"/>
  <c r="BA158"/>
  <c r="CM158" s="1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 s="1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 s="1"/>
  <c r="EF206"/>
  <c r="FP206" s="1"/>
  <c r="EE206"/>
  <c r="FO206" s="1"/>
  <c r="ED206"/>
  <c r="FN206" s="1"/>
  <c r="EC206"/>
  <c r="FM206" s="1"/>
  <c r="EB206"/>
  <c r="FL206" s="1"/>
  <c r="EA206"/>
  <c r="FK206"/>
  <c r="DZ206"/>
  <c r="FJ206" s="1"/>
  <c r="DY206"/>
  <c r="FI206" s="1"/>
  <c r="DX206"/>
  <c r="FH206" s="1"/>
  <c r="DW206"/>
  <c r="FG206" s="1"/>
  <c r="DV206"/>
  <c r="FF206" s="1"/>
  <c r="DU206"/>
  <c r="FE206"/>
  <c r="DT206"/>
  <c r="FD206" s="1"/>
  <c r="DS206"/>
  <c r="FC206"/>
  <c r="DR206"/>
  <c r="FB206" s="1"/>
  <c r="DQ206"/>
  <c r="FA206" s="1"/>
  <c r="DP206"/>
  <c r="EZ206" s="1"/>
  <c r="DO206"/>
  <c r="EY206" s="1"/>
  <c r="DN206"/>
  <c r="EX206" s="1"/>
  <c r="DM206"/>
  <c r="EW206" s="1"/>
  <c r="DL206"/>
  <c r="EV206" s="1"/>
  <c r="DK206"/>
  <c r="EU206"/>
  <c r="DJ206"/>
  <c r="ET206" s="1"/>
  <c r="DI206"/>
  <c r="ES206" s="1"/>
  <c r="DH206"/>
  <c r="ER206" s="1"/>
  <c r="DG206"/>
  <c r="EQ206" s="1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 s="1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 s="1"/>
  <c r="DT205"/>
  <c r="FD205" s="1"/>
  <c r="DS205"/>
  <c r="FC205" s="1"/>
  <c r="DR205"/>
  <c r="FB205" s="1"/>
  <c r="DQ205"/>
  <c r="FA205" s="1"/>
  <c r="DP205"/>
  <c r="EZ205" s="1"/>
  <c r="DO205"/>
  <c r="EY205" s="1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 s="1"/>
  <c r="EI204"/>
  <c r="FS204" s="1"/>
  <c r="EH204"/>
  <c r="FR204" s="1"/>
  <c r="EG204"/>
  <c r="FQ204" s="1"/>
  <c r="EF204"/>
  <c r="FP204" s="1"/>
  <c r="EE204"/>
  <c r="FO204"/>
  <c r="ED204"/>
  <c r="FN204" s="1"/>
  <c r="EC204"/>
  <c r="FM204" s="1"/>
  <c r="EB204"/>
  <c r="FL204" s="1"/>
  <c r="EA204"/>
  <c r="FK204" s="1"/>
  <c r="DZ204"/>
  <c r="FJ204" s="1"/>
  <c r="DY204"/>
  <c r="FI204" s="1"/>
  <c r="DX204"/>
  <c r="FH204" s="1"/>
  <c r="DW204"/>
  <c r="FG204"/>
  <c r="DV204"/>
  <c r="FF204" s="1"/>
  <c r="DU204"/>
  <c r="FE204"/>
  <c r="DT204"/>
  <c r="FD204" s="1"/>
  <c r="DS204"/>
  <c r="FC204" s="1"/>
  <c r="DR204"/>
  <c r="FB204" s="1"/>
  <c r="DQ204"/>
  <c r="FA204" s="1"/>
  <c r="DP204"/>
  <c r="EZ204" s="1"/>
  <c r="DO204"/>
  <c r="EY204"/>
  <c r="DN204"/>
  <c r="EX204" s="1"/>
  <c r="DM204"/>
  <c r="EW204"/>
  <c r="DL204"/>
  <c r="EV204" s="1"/>
  <c r="DK204"/>
  <c r="EU204" s="1"/>
  <c r="DJ204"/>
  <c r="ET204" s="1"/>
  <c r="DI204"/>
  <c r="ES204" s="1"/>
  <c r="DH204"/>
  <c r="ER204" s="1"/>
  <c r="DG204"/>
  <c r="EQ204"/>
  <c r="DD204"/>
  <c r="DE204" s="1"/>
  <c r="CZ204"/>
  <c r="CM204"/>
  <c r="CL204"/>
  <c r="CK204"/>
  <c r="AY204"/>
  <c r="B204"/>
  <c r="DF203"/>
  <c r="EP203" s="1"/>
  <c r="FU203" s="1"/>
  <c r="EJ203"/>
  <c r="FT203" s="1"/>
  <c r="EI203"/>
  <c r="FS203" s="1"/>
  <c r="EH203"/>
  <c r="FR203" s="1"/>
  <c r="EG203"/>
  <c r="FQ203" s="1"/>
  <c r="EF203"/>
  <c r="FP203" s="1"/>
  <c r="EE203"/>
  <c r="FO203" s="1"/>
  <c r="ED203"/>
  <c r="FN203" s="1"/>
  <c r="EC203"/>
  <c r="FM203" s="1"/>
  <c r="EB203"/>
  <c r="FL203" s="1"/>
  <c r="EA203"/>
  <c r="FK203" s="1"/>
  <c r="DZ203"/>
  <c r="FJ203" s="1"/>
  <c r="DY203"/>
  <c r="FI203" s="1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 s="1"/>
  <c r="DJ203"/>
  <c r="ET203" s="1"/>
  <c r="DI203"/>
  <c r="ES203" s="1"/>
  <c r="DH203"/>
  <c r="ER203" s="1"/>
  <c r="DG203"/>
  <c r="EQ203" s="1"/>
  <c r="EK203"/>
  <c r="DD203"/>
  <c r="DE203" s="1"/>
  <c r="DC203"/>
  <c r="CZ203"/>
  <c r="CM203"/>
  <c r="CL203"/>
  <c r="CK203"/>
  <c r="AY203"/>
  <c r="B203"/>
  <c r="DF202"/>
  <c r="EJ202"/>
  <c r="FT202"/>
  <c r="EI202"/>
  <c r="FS202" s="1"/>
  <c r="EH202"/>
  <c r="FR202"/>
  <c r="EG202"/>
  <c r="FQ202" s="1"/>
  <c r="EF202"/>
  <c r="FP202" s="1"/>
  <c r="EE202"/>
  <c r="FO202" s="1"/>
  <c r="ED202"/>
  <c r="FN202" s="1"/>
  <c r="EC202"/>
  <c r="FM202" s="1"/>
  <c r="EB202"/>
  <c r="FL202"/>
  <c r="EA202"/>
  <c r="FK202" s="1"/>
  <c r="DZ202"/>
  <c r="FJ202"/>
  <c r="DY202"/>
  <c r="FI202" s="1"/>
  <c r="DX202"/>
  <c r="FH202" s="1"/>
  <c r="DW202"/>
  <c r="FG202" s="1"/>
  <c r="DV202"/>
  <c r="FF202" s="1"/>
  <c r="DU202"/>
  <c r="FE202" s="1"/>
  <c r="DT202"/>
  <c r="FD202"/>
  <c r="DS202"/>
  <c r="FC202" s="1"/>
  <c r="DR202"/>
  <c r="FB202"/>
  <c r="DQ202"/>
  <c r="FA202" s="1"/>
  <c r="DP202"/>
  <c r="EZ202" s="1"/>
  <c r="DO202"/>
  <c r="EY202" s="1"/>
  <c r="DN202"/>
  <c r="EX202" s="1"/>
  <c r="DM202"/>
  <c r="EW202" s="1"/>
  <c r="DL202"/>
  <c r="EV202"/>
  <c r="DK202"/>
  <c r="EU202" s="1"/>
  <c r="DJ202"/>
  <c r="ET202"/>
  <c r="DI202"/>
  <c r="ES202" s="1"/>
  <c r="DH202"/>
  <c r="ER202" s="1"/>
  <c r="DG202"/>
  <c r="EQ202" s="1"/>
  <c r="DD202"/>
  <c r="CZ202"/>
  <c r="CM202"/>
  <c r="CL202"/>
  <c r="CK202"/>
  <c r="AY202"/>
  <c r="B202"/>
  <c r="DF20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 s="1"/>
  <c r="EA201"/>
  <c r="FK201" s="1"/>
  <c r="DZ201"/>
  <c r="FJ201" s="1"/>
  <c r="DY201"/>
  <c r="FI201" s="1"/>
  <c r="DX201"/>
  <c r="FH201" s="1"/>
  <c r="DW201"/>
  <c r="FG201" s="1"/>
  <c r="DV201"/>
  <c r="FF201" s="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 s="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 s="1"/>
  <c r="EF200"/>
  <c r="FP200" s="1"/>
  <c r="EE200"/>
  <c r="FO200" s="1"/>
  <c r="ED200"/>
  <c r="FN200" s="1"/>
  <c r="EC200"/>
  <c r="FM200"/>
  <c r="EB200"/>
  <c r="FL200" s="1"/>
  <c r="EA200"/>
  <c r="FK200"/>
  <c r="DZ200"/>
  <c r="FJ200" s="1"/>
  <c r="DY200"/>
  <c r="FI200" s="1"/>
  <c r="DX200"/>
  <c r="FH200" s="1"/>
  <c r="DW200"/>
  <c r="FG200" s="1"/>
  <c r="DV200"/>
  <c r="FF200" s="1"/>
  <c r="DU200"/>
  <c r="FE200" s="1"/>
  <c r="DT200"/>
  <c r="FD200" s="1"/>
  <c r="DS200"/>
  <c r="FC200"/>
  <c r="DR200"/>
  <c r="FB200" s="1"/>
  <c r="DQ200"/>
  <c r="FA200" s="1"/>
  <c r="DP200"/>
  <c r="EZ200" s="1"/>
  <c r="DO200"/>
  <c r="EY200" s="1"/>
  <c r="DN200"/>
  <c r="EX200" s="1"/>
  <c r="DM200"/>
  <c r="EW200"/>
  <c r="DL200"/>
  <c r="EV200" s="1"/>
  <c r="DK200"/>
  <c r="EU200"/>
  <c r="DJ200"/>
  <c r="ET200" s="1"/>
  <c r="DI200"/>
  <c r="ES200" s="1"/>
  <c r="DH200"/>
  <c r="ER200" s="1"/>
  <c r="DG200"/>
  <c r="EQ200" s="1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 s="1"/>
  <c r="ED199"/>
  <c r="FN199" s="1"/>
  <c r="EC199"/>
  <c r="FM199" s="1"/>
  <c r="EB199"/>
  <c r="FL199" s="1"/>
  <c r="EA199"/>
  <c r="FK199" s="1"/>
  <c r="DZ199"/>
  <c r="FJ199" s="1"/>
  <c r="DY199"/>
  <c r="FI199" s="1"/>
  <c r="DX199"/>
  <c r="FH199" s="1"/>
  <c r="DW199"/>
  <c r="FG199"/>
  <c r="DV199"/>
  <c r="FF199" s="1"/>
  <c r="DU199"/>
  <c r="FE199" s="1"/>
  <c r="DT199"/>
  <c r="FD199" s="1"/>
  <c r="DS199"/>
  <c r="FC199" s="1"/>
  <c r="DR199"/>
  <c r="FB199" s="1"/>
  <c r="DQ199"/>
  <c r="FA199" s="1"/>
  <c r="DP199"/>
  <c r="EZ199" s="1"/>
  <c r="DO199"/>
  <c r="EY199"/>
  <c r="DN199"/>
  <c r="EX199" s="1"/>
  <c r="DM199"/>
  <c r="EW199" s="1"/>
  <c r="DL199"/>
  <c r="EV199" s="1"/>
  <c r="DK199"/>
  <c r="EU199" s="1"/>
  <c r="DJ199"/>
  <c r="ET199" s="1"/>
  <c r="DI199"/>
  <c r="ES199" s="1"/>
  <c r="DH199"/>
  <c r="ER199" s="1"/>
  <c r="DG199"/>
  <c r="EQ199" s="1"/>
  <c r="EK199"/>
  <c r="DD199"/>
  <c r="DC199" s="1"/>
  <c r="CZ199"/>
  <c r="CM199"/>
  <c r="CL199"/>
  <c r="CK199"/>
  <c r="AY199"/>
  <c r="B199"/>
  <c r="DF198"/>
  <c r="EJ198"/>
  <c r="FT198"/>
  <c r="EI198"/>
  <c r="FS198" s="1"/>
  <c r="EH198"/>
  <c r="FR198" s="1"/>
  <c r="EG198"/>
  <c r="FQ198" s="1"/>
  <c r="EF198"/>
  <c r="FP198" s="1"/>
  <c r="EE198"/>
  <c r="FO198" s="1"/>
  <c r="ED198"/>
  <c r="FN198" s="1"/>
  <c r="EC198"/>
  <c r="FM198" s="1"/>
  <c r="EB198"/>
  <c r="FL198"/>
  <c r="EA198"/>
  <c r="FK198" s="1"/>
  <c r="DZ198"/>
  <c r="FJ198" s="1"/>
  <c r="DY198"/>
  <c r="FI198" s="1"/>
  <c r="DX198"/>
  <c r="FH198" s="1"/>
  <c r="DW198"/>
  <c r="FG198" s="1"/>
  <c r="DV198"/>
  <c r="FF198"/>
  <c r="DU198"/>
  <c r="FE198" s="1"/>
  <c r="DT198"/>
  <c r="FD198"/>
  <c r="DS198"/>
  <c r="FC198" s="1"/>
  <c r="DR198"/>
  <c r="FB198" s="1"/>
  <c r="DQ198"/>
  <c r="FA198" s="1"/>
  <c r="DP198"/>
  <c r="EZ198" s="1"/>
  <c r="DO198"/>
  <c r="EY198" s="1"/>
  <c r="DN198"/>
  <c r="EX198" s="1"/>
  <c r="DM198"/>
  <c r="EW198" s="1"/>
  <c r="DL198"/>
  <c r="EV198"/>
  <c r="DK198"/>
  <c r="EU198" s="1"/>
  <c r="DJ198"/>
  <c r="ET198" s="1"/>
  <c r="DI198"/>
  <c r="ES198" s="1"/>
  <c r="DH198"/>
  <c r="ER198" s="1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 s="1"/>
  <c r="EE197"/>
  <c r="FO197" s="1"/>
  <c r="ED197"/>
  <c r="FN197" s="1"/>
  <c r="EC197"/>
  <c r="FM197" s="1"/>
  <c r="EB197"/>
  <c r="FL197" s="1"/>
  <c r="EA197"/>
  <c r="FK197" s="1"/>
  <c r="DZ197"/>
  <c r="FJ197" s="1"/>
  <c r="DY197"/>
  <c r="FI197" s="1"/>
  <c r="DX197"/>
  <c r="FH197" s="1"/>
  <c r="DW197"/>
  <c r="FG197" s="1"/>
  <c r="DV197"/>
  <c r="FF197" s="1"/>
  <c r="DU197"/>
  <c r="FE197" s="1"/>
  <c r="DT197"/>
  <c r="FD197" s="1"/>
  <c r="DS197"/>
  <c r="FC197" s="1"/>
  <c r="DR197"/>
  <c r="FB197" s="1"/>
  <c r="DQ197"/>
  <c r="FA197" s="1"/>
  <c r="DP197"/>
  <c r="EZ197"/>
  <c r="DO197"/>
  <c r="EY197" s="1"/>
  <c r="DN197"/>
  <c r="EX197" s="1"/>
  <c r="DM197"/>
  <c r="EW197" s="1"/>
  <c r="DL197"/>
  <c r="EV197" s="1"/>
  <c r="DK197"/>
  <c r="EU197" s="1"/>
  <c r="DJ197"/>
  <c r="ET197" s="1"/>
  <c r="DI197"/>
  <c r="ES197" s="1"/>
  <c r="DH197"/>
  <c r="ER197" s="1"/>
  <c r="DG197"/>
  <c r="EQ197" s="1"/>
  <c r="EK197"/>
  <c r="DD197"/>
  <c r="CZ197"/>
  <c r="CM197"/>
  <c r="CL197"/>
  <c r="CK197"/>
  <c r="AY197"/>
  <c r="B197"/>
  <c r="DF196"/>
  <c r="EJ196"/>
  <c r="FT196"/>
  <c r="EI196"/>
  <c r="FS196" s="1"/>
  <c r="EH196"/>
  <c r="FR196"/>
  <c r="EG196"/>
  <c r="FQ196" s="1"/>
  <c r="EF196"/>
  <c r="FP196"/>
  <c r="EE196"/>
  <c r="FO196" s="1"/>
  <c r="ED196"/>
  <c r="FN196"/>
  <c r="EC196"/>
  <c r="FM196" s="1"/>
  <c r="EB196"/>
  <c r="FL196"/>
  <c r="EA196"/>
  <c r="FK196" s="1"/>
  <c r="DZ196"/>
  <c r="FJ196"/>
  <c r="DY196"/>
  <c r="FI196" s="1"/>
  <c r="DX196"/>
  <c r="FH196"/>
  <c r="DW196"/>
  <c r="FG196" s="1"/>
  <c r="DV196"/>
  <c r="FF196"/>
  <c r="DU196"/>
  <c r="FE196" s="1"/>
  <c r="DT196"/>
  <c r="FD196"/>
  <c r="DS196"/>
  <c r="FC196" s="1"/>
  <c r="DR196"/>
  <c r="FB196"/>
  <c r="DQ196"/>
  <c r="FA196" s="1"/>
  <c r="DP196"/>
  <c r="EZ196"/>
  <c r="DO196"/>
  <c r="EY196" s="1"/>
  <c r="DN196"/>
  <c r="EX196"/>
  <c r="DM196"/>
  <c r="EW196" s="1"/>
  <c r="DL196"/>
  <c r="EV196"/>
  <c r="DK196"/>
  <c r="EU196" s="1"/>
  <c r="DJ196"/>
  <c r="ET196"/>
  <c r="DI196"/>
  <c r="ES196" s="1"/>
  <c r="DH196"/>
  <c r="ER196"/>
  <c r="DG196"/>
  <c r="EQ196" s="1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 s="1"/>
  <c r="EB195"/>
  <c r="FL195" s="1"/>
  <c r="EA195"/>
  <c r="FK195" s="1"/>
  <c r="DZ195"/>
  <c r="FJ195" s="1"/>
  <c r="DY195"/>
  <c r="FI195" s="1"/>
  <c r="DX195"/>
  <c r="FH195" s="1"/>
  <c r="DW195"/>
  <c r="FG195" s="1"/>
  <c r="DV195"/>
  <c r="FF195" s="1"/>
  <c r="DU195"/>
  <c r="FE195"/>
  <c r="DT195"/>
  <c r="FD195" s="1"/>
  <c r="DS195"/>
  <c r="FC195" s="1"/>
  <c r="DR195"/>
  <c r="FB195" s="1"/>
  <c r="DQ195"/>
  <c r="FA195" s="1"/>
  <c r="DP195"/>
  <c r="EZ195" s="1"/>
  <c r="DO195"/>
  <c r="EY195" s="1"/>
  <c r="DN195"/>
  <c r="EX195" s="1"/>
  <c r="DM195"/>
  <c r="EW195" s="1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 s="1"/>
  <c r="DC195"/>
  <c r="CZ195"/>
  <c r="CM195"/>
  <c r="CL195"/>
  <c r="CK195"/>
  <c r="AY195"/>
  <c r="B195"/>
  <c r="DF194"/>
  <c r="EJ194"/>
  <c r="FT194" s="1"/>
  <c r="EI194"/>
  <c r="FS194" s="1"/>
  <c r="EH194"/>
  <c r="FR194"/>
  <c r="EG194"/>
  <c r="FQ194" s="1"/>
  <c r="EF194"/>
  <c r="FP194" s="1"/>
  <c r="EE194"/>
  <c r="FO194" s="1"/>
  <c r="ED194"/>
  <c r="FN194" s="1"/>
  <c r="EC194"/>
  <c r="FM194" s="1"/>
  <c r="EB194"/>
  <c r="FL194" s="1"/>
  <c r="EA194"/>
  <c r="FK194" s="1"/>
  <c r="DZ194"/>
  <c r="FJ194"/>
  <c r="DY194"/>
  <c r="FI194" s="1"/>
  <c r="DX194"/>
  <c r="FH194" s="1"/>
  <c r="DW194"/>
  <c r="FG194" s="1"/>
  <c r="DV194"/>
  <c r="FF194" s="1"/>
  <c r="DU194"/>
  <c r="FE194" s="1"/>
  <c r="DT194"/>
  <c r="FD194" s="1"/>
  <c r="DS194"/>
  <c r="FC194" s="1"/>
  <c r="DR194"/>
  <c r="FB194"/>
  <c r="DQ194"/>
  <c r="FA194" s="1"/>
  <c r="DP194"/>
  <c r="EZ194" s="1"/>
  <c r="DO194"/>
  <c r="EY194" s="1"/>
  <c r="DN194"/>
  <c r="EX194" s="1"/>
  <c r="DM194"/>
  <c r="EW194" s="1"/>
  <c r="DL194"/>
  <c r="EV194" s="1"/>
  <c r="DK194"/>
  <c r="EU194" s="1"/>
  <c r="DJ194"/>
  <c r="ET194"/>
  <c r="DI194"/>
  <c r="ES194" s="1"/>
  <c r="DH194"/>
  <c r="ER194" s="1"/>
  <c r="DG194"/>
  <c r="EQ194" s="1"/>
  <c r="DD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 s="1"/>
  <c r="EC193"/>
  <c r="FM193" s="1"/>
  <c r="EB193"/>
  <c r="FL193" s="1"/>
  <c r="EA193"/>
  <c r="FK193" s="1"/>
  <c r="DZ193"/>
  <c r="FJ193"/>
  <c r="DY193"/>
  <c r="FI193" s="1"/>
  <c r="DX193"/>
  <c r="FH193" s="1"/>
  <c r="DW193"/>
  <c r="FG193" s="1"/>
  <c r="DV193"/>
  <c r="FF193" s="1"/>
  <c r="DU193"/>
  <c r="FE193" s="1"/>
  <c r="DT193"/>
  <c r="FD193" s="1"/>
  <c r="DS193"/>
  <c r="FC193" s="1"/>
  <c r="DR193"/>
  <c r="FB193" s="1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 s="1"/>
  <c r="EH192"/>
  <c r="FR192" s="1"/>
  <c r="EG192"/>
  <c r="FQ192"/>
  <c r="EF192"/>
  <c r="FP192" s="1"/>
  <c r="EE192"/>
  <c r="FO192"/>
  <c r="ED192"/>
  <c r="FN192" s="1"/>
  <c r="EC192"/>
  <c r="FM192" s="1"/>
  <c r="EB192"/>
  <c r="FL192" s="1"/>
  <c r="EA192"/>
  <c r="FK192" s="1"/>
  <c r="DZ192"/>
  <c r="FJ192" s="1"/>
  <c r="DY192"/>
  <c r="FI192" s="1"/>
  <c r="DX192"/>
  <c r="FH192" s="1"/>
  <c r="DW192"/>
  <c r="FG192"/>
  <c r="DV192"/>
  <c r="FF192" s="1"/>
  <c r="DU192"/>
  <c r="FE192" s="1"/>
  <c r="DT192"/>
  <c r="FD192" s="1"/>
  <c r="DS192"/>
  <c r="FC192" s="1"/>
  <c r="DR192"/>
  <c r="FB192" s="1"/>
  <c r="DQ192"/>
  <c r="FA192"/>
  <c r="DP192"/>
  <c r="EZ192" s="1"/>
  <c r="DO192"/>
  <c r="EY192"/>
  <c r="DN192"/>
  <c r="EX192" s="1"/>
  <c r="DM192"/>
  <c r="EW192" s="1"/>
  <c r="DL192"/>
  <c r="EV192" s="1"/>
  <c r="DK192"/>
  <c r="EU192" s="1"/>
  <c r="DJ192"/>
  <c r="ET192" s="1"/>
  <c r="DI192"/>
  <c r="ES192" s="1"/>
  <c r="DH192"/>
  <c r="ER192" s="1"/>
  <c r="DG192"/>
  <c r="EQ192"/>
  <c r="DD192"/>
  <c r="CZ192"/>
  <c r="CM192"/>
  <c r="CL192"/>
  <c r="CK192"/>
  <c r="AY192"/>
  <c r="B192"/>
  <c r="DF191"/>
  <c r="EJ191"/>
  <c r="FT191" s="1"/>
  <c r="EI191"/>
  <c r="FS191" s="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 s="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 s="1"/>
  <c r="DJ191"/>
  <c r="ET191" s="1"/>
  <c r="DI191"/>
  <c r="ES191" s="1"/>
  <c r="DH191"/>
  <c r="ER191" s="1"/>
  <c r="DG191"/>
  <c r="EQ191" s="1"/>
  <c r="DD191"/>
  <c r="CZ191"/>
  <c r="CM191"/>
  <c r="CL191"/>
  <c r="CK191"/>
  <c r="AY191"/>
  <c r="B191"/>
  <c r="DF190"/>
  <c r="EK190" s="1"/>
  <c r="EJ190"/>
  <c r="FT190"/>
  <c r="EI190"/>
  <c r="FS190" s="1"/>
  <c r="EH190"/>
  <c r="FR190" s="1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 s="1"/>
  <c r="DY190"/>
  <c r="FI190" s="1"/>
  <c r="DX190"/>
  <c r="FH190" s="1"/>
  <c r="DW190"/>
  <c r="FG190" s="1"/>
  <c r="DV190"/>
  <c r="FF190"/>
  <c r="DU190"/>
  <c r="FE190" s="1"/>
  <c r="DT190"/>
  <c r="FD190"/>
  <c r="DS190"/>
  <c r="FC190" s="1"/>
  <c r="DR190"/>
  <c r="FB190" s="1"/>
  <c r="DQ190"/>
  <c r="FA190" s="1"/>
  <c r="DP190"/>
  <c r="EZ190" s="1"/>
  <c r="DO190"/>
  <c r="EY190" s="1"/>
  <c r="DN190"/>
  <c r="EX190"/>
  <c r="DM190"/>
  <c r="EW190" s="1"/>
  <c r="DL190"/>
  <c r="EV190"/>
  <c r="DK190"/>
  <c r="EU190" s="1"/>
  <c r="DJ190"/>
  <c r="ET190" s="1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 s="1"/>
  <c r="EA189"/>
  <c r="FK189" s="1"/>
  <c r="DZ189"/>
  <c r="FJ189" s="1"/>
  <c r="DY189"/>
  <c r="FI189" s="1"/>
  <c r="DX189"/>
  <c r="FH189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 s="1"/>
  <c r="DL188"/>
  <c r="EV188"/>
  <c r="DK188"/>
  <c r="EU188" s="1"/>
  <c r="DJ188"/>
  <c r="ET188"/>
  <c r="DI188"/>
  <c r="ES188" s="1"/>
  <c r="DH188"/>
  <c r="ER188"/>
  <c r="DG188"/>
  <c r="EQ188" s="1"/>
  <c r="DD188"/>
  <c r="DE188" s="1"/>
  <c r="DC188"/>
  <c r="CZ188"/>
  <c r="CM188"/>
  <c r="CL188"/>
  <c r="CK188"/>
  <c r="AY188"/>
  <c r="B188"/>
  <c r="CX187"/>
  <c r="CZ187"/>
  <c r="DD187"/>
  <c r="BA187"/>
  <c r="CM187"/>
  <c r="CL187"/>
  <c r="CK187"/>
  <c r="AY187"/>
  <c r="B183"/>
  <c r="CX186"/>
  <c r="DJ186" s="1"/>
  <c r="CZ186"/>
  <c r="DN186"/>
  <c r="EX186" s="1"/>
  <c r="DO186"/>
  <c r="EY186" s="1"/>
  <c r="DP186"/>
  <c r="DQ186"/>
  <c r="DR186"/>
  <c r="FB186" s="1"/>
  <c r="DS186"/>
  <c r="DT186"/>
  <c r="DU186"/>
  <c r="DV186"/>
  <c r="FF186" s="1"/>
  <c r="DW186"/>
  <c r="DX186"/>
  <c r="DY186"/>
  <c r="DZ186"/>
  <c r="EA186"/>
  <c r="EB186"/>
  <c r="EC186"/>
  <c r="ED186"/>
  <c r="EE186"/>
  <c r="EF186"/>
  <c r="EG186"/>
  <c r="EH186"/>
  <c r="FR186" s="1"/>
  <c r="EI186"/>
  <c r="EJ186"/>
  <c r="DD186"/>
  <c r="BA186"/>
  <c r="CM186" s="1"/>
  <c r="CL186"/>
  <c r="CK186"/>
  <c r="AY186"/>
  <c r="B182"/>
  <c r="CX185"/>
  <c r="CZ185"/>
  <c r="DS185" s="1"/>
  <c r="DK185"/>
  <c r="DO185"/>
  <c r="EY185" s="1"/>
  <c r="DW185"/>
  <c r="EA185"/>
  <c r="EC185"/>
  <c r="DD185"/>
  <c r="DE185"/>
  <c r="DC185"/>
  <c r="BA185"/>
  <c r="CM185" s="1"/>
  <c r="CL185"/>
  <c r="CK185"/>
  <c r="AY185"/>
  <c r="B187"/>
  <c r="CX184"/>
  <c r="DL184" s="1"/>
  <c r="EV184" s="1"/>
  <c r="CZ184"/>
  <c r="DT184" s="1"/>
  <c r="DF184"/>
  <c r="EA184"/>
  <c r="EI184"/>
  <c r="DD184"/>
  <c r="BA184"/>
  <c r="CM184"/>
  <c r="CL184"/>
  <c r="CK184"/>
  <c r="AY184"/>
  <c r="B181"/>
  <c r="CX183"/>
  <c r="DH183" s="1"/>
  <c r="CZ183"/>
  <c r="DL183"/>
  <c r="DP183"/>
  <c r="DR183"/>
  <c r="DT183"/>
  <c r="DZ183"/>
  <c r="EF183"/>
  <c r="EH183"/>
  <c r="EJ183"/>
  <c r="FT183" s="1"/>
  <c r="DD183"/>
  <c r="DC183" s="1"/>
  <c r="BA183"/>
  <c r="CM183" s="1"/>
  <c r="CL183"/>
  <c r="CK183"/>
  <c r="AY183"/>
  <c r="B180"/>
  <c r="CX182"/>
  <c r="CZ182"/>
  <c r="DM182" s="1"/>
  <c r="EW182" s="1"/>
  <c r="DN182"/>
  <c r="DU182"/>
  <c r="ED182"/>
  <c r="EJ182"/>
  <c r="FT182" s="1"/>
  <c r="DD182"/>
  <c r="BA182"/>
  <c r="CM182"/>
  <c r="CL182"/>
  <c r="CK182"/>
  <c r="AY182"/>
  <c r="B184"/>
  <c r="CX181"/>
  <c r="CZ181"/>
  <c r="EA181" s="1"/>
  <c r="EC181"/>
  <c r="DD181"/>
  <c r="BA181"/>
  <c r="CM181" s="1"/>
  <c r="CL181"/>
  <c r="CK181"/>
  <c r="AY181"/>
  <c r="B179"/>
  <c r="CX180"/>
  <c r="CZ180"/>
  <c r="DJ180"/>
  <c r="ET180" s="1"/>
  <c r="DN180"/>
  <c r="DP180"/>
  <c r="DQ180"/>
  <c r="DR180"/>
  <c r="DS180"/>
  <c r="DU180"/>
  <c r="DV180"/>
  <c r="DX180"/>
  <c r="FH180" s="1"/>
  <c r="DY180"/>
  <c r="DZ180"/>
  <c r="EA180"/>
  <c r="EC180"/>
  <c r="ED180"/>
  <c r="FN180" s="1"/>
  <c r="EF180"/>
  <c r="EG180"/>
  <c r="EH180"/>
  <c r="EI180"/>
  <c r="DD180"/>
  <c r="BA180"/>
  <c r="CM180" s="1"/>
  <c r="CL180"/>
  <c r="CK180"/>
  <c r="AY180"/>
  <c r="B185"/>
  <c r="CX179"/>
  <c r="CZ179"/>
  <c r="EF179" s="1"/>
  <c r="EH179"/>
  <c r="DD179"/>
  <c r="DC179" s="1"/>
  <c r="BA179"/>
  <c r="CM179"/>
  <c r="CL179"/>
  <c r="CK179"/>
  <c r="AY179"/>
  <c r="B186"/>
  <c r="CX178"/>
  <c r="CZ178"/>
  <c r="DL178"/>
  <c r="DN178"/>
  <c r="DO178"/>
  <c r="DP178"/>
  <c r="EZ178"/>
  <c r="DQ178"/>
  <c r="DR178"/>
  <c r="DS178"/>
  <c r="DT178"/>
  <c r="DU178"/>
  <c r="DV178"/>
  <c r="DW178"/>
  <c r="DX178"/>
  <c r="FH178" s="1"/>
  <c r="DY178"/>
  <c r="DZ178"/>
  <c r="EA178"/>
  <c r="EB178"/>
  <c r="EC178"/>
  <c r="ED178"/>
  <c r="EE178"/>
  <c r="EF178"/>
  <c r="EG178"/>
  <c r="EH178"/>
  <c r="EI178"/>
  <c r="EJ178"/>
  <c r="DD178"/>
  <c r="CL178"/>
  <c r="CK178"/>
  <c r="AY178"/>
  <c r="B178"/>
  <c r="CX177"/>
  <c r="CZ177"/>
  <c r="DF177"/>
  <c r="DP177"/>
  <c r="DV177"/>
  <c r="ED177"/>
  <c r="EF177"/>
  <c r="FP177" s="1"/>
  <c r="DD177"/>
  <c r="BA177"/>
  <c r="CM177"/>
  <c r="CL177"/>
  <c r="CK177"/>
  <c r="AY177"/>
  <c r="B175"/>
  <c r="CZ176"/>
  <c r="DD176"/>
  <c r="BA176"/>
  <c r="CM176" s="1"/>
  <c r="CL176"/>
  <c r="CK176"/>
  <c r="AY176"/>
  <c r="B168"/>
  <c r="CZ175"/>
  <c r="DL175" s="1"/>
  <c r="DP175"/>
  <c r="DX175"/>
  <c r="DZ175"/>
  <c r="EJ175"/>
  <c r="DD175"/>
  <c r="DC175" s="1"/>
  <c r="BA175"/>
  <c r="CM175" s="1"/>
  <c r="CL175"/>
  <c r="CK175"/>
  <c r="AY175"/>
  <c r="B170"/>
  <c r="CZ174"/>
  <c r="DK174"/>
  <c r="DM174"/>
  <c r="EW174" s="1"/>
  <c r="DR174"/>
  <c r="DS174"/>
  <c r="FC174" s="1"/>
  <c r="DV174"/>
  <c r="DW174"/>
  <c r="DZ174"/>
  <c r="EA174"/>
  <c r="ED174"/>
  <c r="EG174"/>
  <c r="FQ174" s="1"/>
  <c r="EH174"/>
  <c r="DD174"/>
  <c r="DE174" s="1"/>
  <c r="BA174"/>
  <c r="CM174" s="1"/>
  <c r="CL174"/>
  <c r="CK174"/>
  <c r="AY174"/>
  <c r="B169"/>
  <c r="CZ173"/>
  <c r="DF173"/>
  <c r="DG173"/>
  <c r="EQ173" s="1"/>
  <c r="DH173"/>
  <c r="DI173"/>
  <c r="ES173" s="1"/>
  <c r="DJ173"/>
  <c r="DK173"/>
  <c r="DL173"/>
  <c r="EV173" s="1"/>
  <c r="DM173"/>
  <c r="DN173"/>
  <c r="EX173" s="1"/>
  <c r="DO173"/>
  <c r="EY173" s="1"/>
  <c r="DP173"/>
  <c r="DQ173"/>
  <c r="DR173"/>
  <c r="FB173" s="1"/>
  <c r="DS173"/>
  <c r="DT173"/>
  <c r="DU173"/>
  <c r="DV173"/>
  <c r="FF173" s="1"/>
  <c r="DW173"/>
  <c r="DX173"/>
  <c r="DY173"/>
  <c r="DZ173"/>
  <c r="EA173"/>
  <c r="EB173"/>
  <c r="EC173"/>
  <c r="ED173"/>
  <c r="EE173"/>
  <c r="EF173"/>
  <c r="EG173"/>
  <c r="EH173"/>
  <c r="FR173" s="1"/>
  <c r="EI173"/>
  <c r="EJ173"/>
  <c r="DD173"/>
  <c r="BA173"/>
  <c r="CM173" s="1"/>
  <c r="CL173"/>
  <c r="CK173"/>
  <c r="AY173"/>
  <c r="B171"/>
  <c r="CZ172"/>
  <c r="DD172"/>
  <c r="DE172" s="1"/>
  <c r="DC172"/>
  <c r="BA172"/>
  <c r="CM172" s="1"/>
  <c r="CL172"/>
  <c r="CK172"/>
  <c r="AY172"/>
  <c r="B177"/>
  <c r="CX171"/>
  <c r="CZ171"/>
  <c r="DF171"/>
  <c r="DH171"/>
  <c r="DJ171"/>
  <c r="ET171" s="1"/>
  <c r="DL171"/>
  <c r="DN171"/>
  <c r="DP171"/>
  <c r="DR171"/>
  <c r="DT171"/>
  <c r="DV171"/>
  <c r="FF171" s="1"/>
  <c r="DX171"/>
  <c r="DZ171"/>
  <c r="EB171"/>
  <c r="ED171"/>
  <c r="EF171"/>
  <c r="FP171" s="1"/>
  <c r="EH171"/>
  <c r="EJ171"/>
  <c r="DD171"/>
  <c r="BA171"/>
  <c r="CM171" s="1"/>
  <c r="CL171"/>
  <c r="CK171"/>
  <c r="AY171"/>
  <c r="B176"/>
  <c r="CX170"/>
  <c r="CZ170"/>
  <c r="DF170"/>
  <c r="DI170"/>
  <c r="ES170" s="1"/>
  <c r="DL170"/>
  <c r="EV170" s="1"/>
  <c r="DM170"/>
  <c r="EW170" s="1"/>
  <c r="DP170"/>
  <c r="DQ170"/>
  <c r="DT170"/>
  <c r="DU170"/>
  <c r="DX170"/>
  <c r="FH170" s="1"/>
  <c r="DY170"/>
  <c r="EB170"/>
  <c r="EC170"/>
  <c r="EF170"/>
  <c r="FP170" s="1"/>
  <c r="EG170"/>
  <c r="EJ170"/>
  <c r="DD170"/>
  <c r="BA170"/>
  <c r="CM170"/>
  <c r="CL170"/>
  <c r="CK170"/>
  <c r="AY170"/>
  <c r="B174"/>
  <c r="CZ169"/>
  <c r="DO169"/>
  <c r="EY169" s="1"/>
  <c r="DS169"/>
  <c r="EE169"/>
  <c r="EI169"/>
  <c r="DD169"/>
  <c r="DE169" s="1"/>
  <c r="BA169"/>
  <c r="CM169" s="1"/>
  <c r="CL169"/>
  <c r="CK169"/>
  <c r="AY169"/>
  <c r="B173"/>
  <c r="CX168"/>
  <c r="CZ168"/>
  <c r="DZ168" s="1"/>
  <c r="DJ168"/>
  <c r="DP168"/>
  <c r="EF168"/>
  <c r="DD168"/>
  <c r="DC168" s="1"/>
  <c r="DE168"/>
  <c r="DE220" s="1"/>
  <c r="CL168"/>
  <c r="CK168"/>
  <c r="AY168"/>
  <c r="B172"/>
  <c r="CX167"/>
  <c r="DJ167" s="1"/>
  <c r="ET167" s="1"/>
  <c r="CZ167"/>
  <c r="DZ167" s="1"/>
  <c r="DK167"/>
  <c r="DP167"/>
  <c r="DU167"/>
  <c r="EA167"/>
  <c r="EF167"/>
  <c r="DD167"/>
  <c r="BA167"/>
  <c r="CM167"/>
  <c r="CL167"/>
  <c r="CK167"/>
  <c r="AY167"/>
  <c r="B164"/>
  <c r="CW166"/>
  <c r="DK166" s="1"/>
  <c r="CX166"/>
  <c r="CZ166"/>
  <c r="DV166"/>
  <c r="FF166" s="1"/>
  <c r="DD166"/>
  <c r="BA166"/>
  <c r="CM166" s="1"/>
  <c r="CL166"/>
  <c r="CK166"/>
  <c r="AY166"/>
  <c r="B166"/>
  <c r="CZ165"/>
  <c r="DF165"/>
  <c r="DG165"/>
  <c r="EQ165" s="1"/>
  <c r="DH165"/>
  <c r="DI165"/>
  <c r="ES165" s="1"/>
  <c r="DJ165"/>
  <c r="ET165" s="1"/>
  <c r="DK165"/>
  <c r="DL165"/>
  <c r="DM165"/>
  <c r="DN165"/>
  <c r="DO165"/>
  <c r="EY165" s="1"/>
  <c r="DP165"/>
  <c r="DQ165"/>
  <c r="FA165" s="1"/>
  <c r="DR165"/>
  <c r="DS165"/>
  <c r="DT165"/>
  <c r="DU165"/>
  <c r="DV165"/>
  <c r="DW165"/>
  <c r="DX165"/>
  <c r="DY165"/>
  <c r="DZ165"/>
  <c r="FJ165" s="1"/>
  <c r="EA165"/>
  <c r="EB165"/>
  <c r="EC165"/>
  <c r="ED165"/>
  <c r="EE165"/>
  <c r="EF165"/>
  <c r="EG165"/>
  <c r="FQ165" s="1"/>
  <c r="EH165"/>
  <c r="EI165"/>
  <c r="EJ165"/>
  <c r="DD165"/>
  <c r="DE165"/>
  <c r="DC165"/>
  <c r="BA165"/>
  <c r="CM165" s="1"/>
  <c r="CL165"/>
  <c r="CK165"/>
  <c r="AY165"/>
  <c r="B163"/>
  <c r="CZ164"/>
  <c r="DK164"/>
  <c r="EU164" s="1"/>
  <c r="DO164"/>
  <c r="EY164" s="1"/>
  <c r="DT164"/>
  <c r="DX164"/>
  <c r="FH164" s="1"/>
  <c r="EE164"/>
  <c r="EI164"/>
  <c r="DD164"/>
  <c r="DE164" s="1"/>
  <c r="BA164"/>
  <c r="CM164"/>
  <c r="CL164"/>
  <c r="CK164"/>
  <c r="AY164"/>
  <c r="B160"/>
  <c r="CZ163"/>
  <c r="DF163" s="1"/>
  <c r="DG163"/>
  <c r="EQ163" s="1"/>
  <c r="DH163"/>
  <c r="DI163"/>
  <c r="ES163" s="1"/>
  <c r="DJ163"/>
  <c r="ET163" s="1"/>
  <c r="DK163"/>
  <c r="DL163"/>
  <c r="DM163"/>
  <c r="DN163"/>
  <c r="DO163"/>
  <c r="EY163" s="1"/>
  <c r="DP163"/>
  <c r="DQ163"/>
  <c r="DR163"/>
  <c r="DS163"/>
  <c r="DT163"/>
  <c r="FD163" s="1"/>
  <c r="DU163"/>
  <c r="DV163"/>
  <c r="DW163"/>
  <c r="FG163" s="1"/>
  <c r="DX163"/>
  <c r="FH163" s="1"/>
  <c r="DY163"/>
  <c r="DZ163"/>
  <c r="EA163"/>
  <c r="EB163"/>
  <c r="EC163"/>
  <c r="ED163"/>
  <c r="EE163"/>
  <c r="EF163"/>
  <c r="FP163" s="1"/>
  <c r="EG163"/>
  <c r="EH163"/>
  <c r="EI163"/>
  <c r="EJ163"/>
  <c r="FT163" s="1"/>
  <c r="DD163"/>
  <c r="BA163"/>
  <c r="CM163"/>
  <c r="CL163"/>
  <c r="CK163"/>
  <c r="AY163"/>
  <c r="B158"/>
  <c r="CZ162"/>
  <c r="DH162"/>
  <c r="ER162" s="1"/>
  <c r="DM162"/>
  <c r="EW162" s="1"/>
  <c r="DT162"/>
  <c r="DW162"/>
  <c r="EB162"/>
  <c r="EE162"/>
  <c r="EJ162"/>
  <c r="DD162"/>
  <c r="DE162" s="1"/>
  <c r="DE232" s="1"/>
  <c r="BA162"/>
  <c r="CM162" s="1"/>
  <c r="CL162"/>
  <c r="CK162"/>
  <c r="AY162"/>
  <c r="B165"/>
  <c r="CX161"/>
  <c r="CZ161"/>
  <c r="DP161" s="1"/>
  <c r="DV161"/>
  <c r="FF161" s="1"/>
  <c r="DD161"/>
  <c r="BA161"/>
  <c r="CM161" s="1"/>
  <c r="CL161"/>
  <c r="CK161"/>
  <c r="AY161"/>
  <c r="B162"/>
  <c r="CW160"/>
  <c r="CX160"/>
  <c r="CZ160"/>
  <c r="DD160"/>
  <c r="BA160"/>
  <c r="CM160"/>
  <c r="CL160"/>
  <c r="CK160"/>
  <c r="AY160"/>
  <c r="B167"/>
  <c r="CX159"/>
  <c r="CZ159"/>
  <c r="DJ159"/>
  <c r="ET159" s="1"/>
  <c r="DN159"/>
  <c r="DO159"/>
  <c r="EY159" s="1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CL159"/>
  <c r="CK159"/>
  <c r="AY159"/>
  <c r="B159"/>
  <c r="CZ158"/>
  <c r="DF158" s="1"/>
  <c r="DI158"/>
  <c r="DJ158"/>
  <c r="DM158"/>
  <c r="EW158" s="1"/>
  <c r="DQ158"/>
  <c r="DR158"/>
  <c r="DU158"/>
  <c r="DY158"/>
  <c r="DZ158"/>
  <c r="EC158"/>
  <c r="EG158"/>
  <c r="EH158"/>
  <c r="DD158"/>
  <c r="DC158" s="1"/>
  <c r="CL158"/>
  <c r="CK158"/>
  <c r="AY158"/>
  <c r="B161"/>
  <c r="CZ157"/>
  <c r="DT157" s="1"/>
  <c r="DV157"/>
  <c r="EJ157"/>
  <c r="DD157"/>
  <c r="BA157"/>
  <c r="CM157" s="1"/>
  <c r="CL157"/>
  <c r="CK157"/>
  <c r="AY157"/>
  <c r="B152"/>
  <c r="CX156"/>
  <c r="CZ156"/>
  <c r="DP156" s="1"/>
  <c r="DS156"/>
  <c r="DX156"/>
  <c r="EG156"/>
  <c r="DD156"/>
  <c r="DC156" s="1"/>
  <c r="DE156"/>
  <c r="BA156"/>
  <c r="CM156"/>
  <c r="CL156"/>
  <c r="CK156"/>
  <c r="AY156"/>
  <c r="B153"/>
  <c r="CZ155"/>
  <c r="DG155"/>
  <c r="EE155"/>
  <c r="DD155"/>
  <c r="BA155"/>
  <c r="CM155" s="1"/>
  <c r="CL155"/>
  <c r="CK155"/>
  <c r="AY155"/>
  <c r="B157"/>
  <c r="CZ154"/>
  <c r="DJ154" s="1"/>
  <c r="ET154" s="1"/>
  <c r="DT154"/>
  <c r="DZ154"/>
  <c r="EJ154"/>
  <c r="DD154"/>
  <c r="DC154" s="1"/>
  <c r="BA154"/>
  <c r="CM154" s="1"/>
  <c r="CL154"/>
  <c r="CK154"/>
  <c r="AY154"/>
  <c r="B148"/>
  <c r="CZ153"/>
  <c r="DG153" s="1"/>
  <c r="EQ153" s="1"/>
  <c r="DI153"/>
  <c r="ES153" s="1"/>
  <c r="DK153"/>
  <c r="DM153"/>
  <c r="DO153"/>
  <c r="EY153" s="1"/>
  <c r="DQ153"/>
  <c r="DS153"/>
  <c r="DU153"/>
  <c r="DW153"/>
  <c r="DY153"/>
  <c r="EA153"/>
  <c r="FK153" s="1"/>
  <c r="EC153"/>
  <c r="EE153"/>
  <c r="EG153"/>
  <c r="EI153"/>
  <c r="DD153"/>
  <c r="DE153" s="1"/>
  <c r="DC153"/>
  <c r="BA153"/>
  <c r="CM153" s="1"/>
  <c r="CL153"/>
  <c r="CK153"/>
  <c r="AY153"/>
  <c r="B156"/>
  <c r="CZ152"/>
  <c r="DG152" s="1"/>
  <c r="EQ152" s="1"/>
  <c r="DF152"/>
  <c r="DH152"/>
  <c r="DJ152"/>
  <c r="ET152" s="1"/>
  <c r="DL152"/>
  <c r="DN152"/>
  <c r="EX152" s="1"/>
  <c r="DP152"/>
  <c r="DR152"/>
  <c r="DT152"/>
  <c r="FD152" s="1"/>
  <c r="DV152"/>
  <c r="DX152"/>
  <c r="DZ152"/>
  <c r="EB152"/>
  <c r="ED152"/>
  <c r="EF152"/>
  <c r="EH152"/>
  <c r="EJ152"/>
  <c r="FT152" s="1"/>
  <c r="DD152"/>
  <c r="DC152" s="1"/>
  <c r="BA152"/>
  <c r="CM152" s="1"/>
  <c r="CL152"/>
  <c r="CK152"/>
  <c r="AY152"/>
  <c r="B150"/>
  <c r="CZ151"/>
  <c r="DG151"/>
  <c r="EQ151" s="1"/>
  <c r="EE151"/>
  <c r="DD151"/>
  <c r="BA151"/>
  <c r="CM151" s="1"/>
  <c r="CL151"/>
  <c r="CK151"/>
  <c r="AY151"/>
  <c r="B154"/>
  <c r="CZ150"/>
  <c r="DT150" s="1"/>
  <c r="FD150" s="1"/>
  <c r="DX150"/>
  <c r="EH150"/>
  <c r="DD150"/>
  <c r="DC150" s="1"/>
  <c r="DE150"/>
  <c r="BA150"/>
  <c r="CM150" s="1"/>
  <c r="CL150"/>
  <c r="CK150"/>
  <c r="AY150"/>
  <c r="B155"/>
  <c r="CW149"/>
  <c r="CX149"/>
  <c r="CZ149"/>
  <c r="DZ149" s="1"/>
  <c r="FJ149" s="1"/>
  <c r="DL149"/>
  <c r="DR149"/>
  <c r="DT149"/>
  <c r="EB149"/>
  <c r="EH149"/>
  <c r="FR149" s="1"/>
  <c r="EJ149"/>
  <c r="DD149"/>
  <c r="CM149"/>
  <c r="CL149"/>
  <c r="CK149"/>
  <c r="AY149"/>
  <c r="B151"/>
  <c r="CZ148"/>
  <c r="DD148"/>
  <c r="CL148"/>
  <c r="CK148"/>
  <c r="AY148"/>
  <c r="B149"/>
  <c r="CZ147"/>
  <c r="DF147"/>
  <c r="DH147"/>
  <c r="DJ147"/>
  <c r="ET147" s="1"/>
  <c r="DL147"/>
  <c r="EV147" s="1"/>
  <c r="DN147"/>
  <c r="DP147"/>
  <c r="DR147"/>
  <c r="DT147"/>
  <c r="DV147"/>
  <c r="DX147"/>
  <c r="DZ147"/>
  <c r="EB147"/>
  <c r="ED147"/>
  <c r="EF147"/>
  <c r="EH147"/>
  <c r="EJ147"/>
  <c r="DD147"/>
  <c r="BA147"/>
  <c r="CM147" s="1"/>
  <c r="CL147"/>
  <c r="CK147"/>
  <c r="AY147"/>
  <c r="B145"/>
  <c r="CX146"/>
  <c r="DL146" s="1"/>
  <c r="CZ146"/>
  <c r="DF146"/>
  <c r="DH146"/>
  <c r="DJ146"/>
  <c r="ET146" s="1"/>
  <c r="DN146"/>
  <c r="DP146"/>
  <c r="DR146"/>
  <c r="DT146"/>
  <c r="DV146"/>
  <c r="DX146"/>
  <c r="FH146" s="1"/>
  <c r="DZ146"/>
  <c r="FJ146" s="1"/>
  <c r="EB146"/>
  <c r="ED146"/>
  <c r="EF146"/>
  <c r="EH146"/>
  <c r="EJ146"/>
  <c r="DD146"/>
  <c r="DC146" s="1"/>
  <c r="BA146"/>
  <c r="CM146" s="1"/>
  <c r="CL146"/>
  <c r="CK146"/>
  <c r="AY146"/>
  <c r="B139"/>
  <c r="CX145"/>
  <c r="CZ145"/>
  <c r="DI145"/>
  <c r="ES145" s="1"/>
  <c r="DM145"/>
  <c r="EW145" s="1"/>
  <c r="DN145"/>
  <c r="DO145"/>
  <c r="EY145" s="1"/>
  <c r="DP145"/>
  <c r="DQ145"/>
  <c r="FA145" s="1"/>
  <c r="DR145"/>
  <c r="DS145"/>
  <c r="DT145"/>
  <c r="FD145" s="1"/>
  <c r="DU145"/>
  <c r="DV145"/>
  <c r="DW145"/>
  <c r="DX145"/>
  <c r="FH145" s="1"/>
  <c r="DY145"/>
  <c r="FI145" s="1"/>
  <c r="DZ145"/>
  <c r="EA145"/>
  <c r="EB145"/>
  <c r="EC145"/>
  <c r="FM145" s="1"/>
  <c r="ED145"/>
  <c r="FN145" s="1"/>
  <c r="EE145"/>
  <c r="EF145"/>
  <c r="EG145"/>
  <c r="EH145"/>
  <c r="EI145"/>
  <c r="EJ145"/>
  <c r="FT145" s="1"/>
  <c r="DD145"/>
  <c r="DE145" s="1"/>
  <c r="DC145"/>
  <c r="BA145"/>
  <c r="CM145" s="1"/>
  <c r="CL145"/>
  <c r="CK145"/>
  <c r="AY145"/>
  <c r="B144"/>
  <c r="CX144"/>
  <c r="CZ144"/>
  <c r="DG144"/>
  <c r="EQ144" s="1"/>
  <c r="DS144"/>
  <c r="DW144"/>
  <c r="FG144" s="1"/>
  <c r="EI144"/>
  <c r="DD144"/>
  <c r="BA144"/>
  <c r="CM144" s="1"/>
  <c r="CL144"/>
  <c r="CK144"/>
  <c r="AY144"/>
  <c r="B143"/>
  <c r="CZ143"/>
  <c r="DJ143" s="1"/>
  <c r="DL143"/>
  <c r="EV143" s="1"/>
  <c r="DR143"/>
  <c r="FB143" s="1"/>
  <c r="DW143"/>
  <c r="DZ143"/>
  <c r="EA143"/>
  <c r="EE143"/>
  <c r="EH143"/>
  <c r="EI143"/>
  <c r="DD143"/>
  <c r="DC143" s="1"/>
  <c r="DE143"/>
  <c r="BA143"/>
  <c r="CM143" s="1"/>
  <c r="CL143"/>
  <c r="CK143"/>
  <c r="AY143"/>
  <c r="B141"/>
  <c r="CX142"/>
  <c r="CZ142"/>
  <c r="DI142"/>
  <c r="ES142" s="1"/>
  <c r="DO142"/>
  <c r="EY142" s="1"/>
  <c r="DP142"/>
  <c r="EZ142" s="1"/>
  <c r="DS142"/>
  <c r="FC142" s="1"/>
  <c r="DT142"/>
  <c r="DW142"/>
  <c r="DX142"/>
  <c r="FH142" s="1"/>
  <c r="EA142"/>
  <c r="EB142"/>
  <c r="EE142"/>
  <c r="EF142"/>
  <c r="FP142" s="1"/>
  <c r="EI142"/>
  <c r="EJ142"/>
  <c r="DD142"/>
  <c r="DE142" s="1"/>
  <c r="DC142"/>
  <c r="BA142"/>
  <c r="CM142" s="1"/>
  <c r="CL142"/>
  <c r="CK142"/>
  <c r="AY142"/>
  <c r="B138"/>
  <c r="CW141"/>
  <c r="CX141"/>
  <c r="CZ141"/>
  <c r="DO141" s="1"/>
  <c r="EY141" s="1"/>
  <c r="DQ141"/>
  <c r="DW141"/>
  <c r="DY141"/>
  <c r="EG141"/>
  <c r="DD141"/>
  <c r="DE141"/>
  <c r="DE230" s="1"/>
  <c r="DC141"/>
  <c r="BA141"/>
  <c r="CM141" s="1"/>
  <c r="CL141"/>
  <c r="CK141"/>
  <c r="AY141"/>
  <c r="B146"/>
  <c r="CW140"/>
  <c r="EG140" s="1"/>
  <c r="CX140"/>
  <c r="CZ140"/>
  <c r="DQ140"/>
  <c r="DS140"/>
  <c r="EI140"/>
  <c r="DD140"/>
  <c r="DE140" s="1"/>
  <c r="DC140"/>
  <c r="BA140"/>
  <c r="CM140" s="1"/>
  <c r="CL140"/>
  <c r="CK140"/>
  <c r="AY140"/>
  <c r="B140"/>
  <c r="CZ139"/>
  <c r="DJ139" s="1"/>
  <c r="ET139" s="1"/>
  <c r="DF139"/>
  <c r="DG139"/>
  <c r="EQ139" s="1"/>
  <c r="DH139"/>
  <c r="DI139"/>
  <c r="ES139" s="1"/>
  <c r="DK139"/>
  <c r="DL139"/>
  <c r="DN139"/>
  <c r="EX139" s="1"/>
  <c r="DO139"/>
  <c r="EY139" s="1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BA139"/>
  <c r="CM139"/>
  <c r="CL139"/>
  <c r="CK139"/>
  <c r="AY139"/>
  <c r="B142"/>
  <c r="CZ138"/>
  <c r="DF138" s="1"/>
  <c r="DI138"/>
  <c r="DJ138"/>
  <c r="DM138"/>
  <c r="DQ138"/>
  <c r="DR138"/>
  <c r="DU138"/>
  <c r="DY138"/>
  <c r="DZ138"/>
  <c r="EC138"/>
  <c r="EF138"/>
  <c r="FP138" s="1"/>
  <c r="EG138"/>
  <c r="EH138"/>
  <c r="DD138"/>
  <c r="CL138"/>
  <c r="CK138"/>
  <c r="AY138"/>
  <c r="B147"/>
  <c r="CZ137"/>
  <c r="DI137" s="1"/>
  <c r="ES137" s="1"/>
  <c r="DJ137"/>
  <c r="DM137"/>
  <c r="EW137" s="1"/>
  <c r="DN137"/>
  <c r="DR137"/>
  <c r="DU137"/>
  <c r="DV137"/>
  <c r="FF137" s="1"/>
  <c r="DZ137"/>
  <c r="EC137"/>
  <c r="ED137"/>
  <c r="EH137"/>
  <c r="FR137" s="1"/>
  <c r="DD137"/>
  <c r="DC137" s="1"/>
  <c r="BA137"/>
  <c r="CM137" s="1"/>
  <c r="CL137"/>
  <c r="CK137"/>
  <c r="AY137"/>
  <c r="B130"/>
  <c r="CZ136"/>
  <c r="DN136" s="1"/>
  <c r="EX136" s="1"/>
  <c r="DR136"/>
  <c r="FB136" s="1"/>
  <c r="EH136"/>
  <c r="DD136"/>
  <c r="DC136" s="1"/>
  <c r="BA136"/>
  <c r="CM136"/>
  <c r="CL136"/>
  <c r="CK136"/>
  <c r="AY136"/>
  <c r="B133"/>
  <c r="CW135"/>
  <c r="DJ135" s="1"/>
  <c r="CX135"/>
  <c r="CZ135"/>
  <c r="DF135"/>
  <c r="DL135"/>
  <c r="EV135" s="1"/>
  <c r="DN135"/>
  <c r="DT135"/>
  <c r="DZ135"/>
  <c r="EB135"/>
  <c r="EH135"/>
  <c r="EJ135"/>
  <c r="DD135"/>
  <c r="DC135" s="1"/>
  <c r="BA135"/>
  <c r="CM135"/>
  <c r="CL135"/>
  <c r="CK135"/>
  <c r="AY135"/>
  <c r="B131"/>
  <c r="CW134"/>
  <c r="DF134" s="1"/>
  <c r="CX134"/>
  <c r="CZ134"/>
  <c r="DJ134"/>
  <c r="DD134"/>
  <c r="DC134" s="1"/>
  <c r="BA134"/>
  <c r="CM134" s="1"/>
  <c r="CL134"/>
  <c r="CK134"/>
  <c r="AY134"/>
  <c r="B129"/>
  <c r="CZ133"/>
  <c r="DG133" s="1"/>
  <c r="EQ133" s="1"/>
  <c r="DD133"/>
  <c r="DC133" s="1"/>
  <c r="BA133"/>
  <c r="CM133" s="1"/>
  <c r="CL133"/>
  <c r="CK133"/>
  <c r="AY133"/>
  <c r="B137"/>
  <c r="CX132"/>
  <c r="DJ132" s="1"/>
  <c r="CZ132"/>
  <c r="DZ132" s="1"/>
  <c r="DL132"/>
  <c r="DR132"/>
  <c r="FB132" s="1"/>
  <c r="DT132"/>
  <c r="EB132"/>
  <c r="EH132"/>
  <c r="EJ132"/>
  <c r="DD132"/>
  <c r="BA132"/>
  <c r="CM132" s="1"/>
  <c r="CL132"/>
  <c r="CK132"/>
  <c r="AY132"/>
  <c r="B132"/>
  <c r="CZ131"/>
  <c r="DI131" s="1"/>
  <c r="ES131" s="1"/>
  <c r="DJ131"/>
  <c r="DM131"/>
  <c r="EW131" s="1"/>
  <c r="DR131"/>
  <c r="DU131"/>
  <c r="DZ131"/>
  <c r="EC131"/>
  <c r="EG131"/>
  <c r="EJ131"/>
  <c r="FT131" s="1"/>
  <c r="DD131"/>
  <c r="DE131" s="1"/>
  <c r="DE229" s="1"/>
  <c r="DC131"/>
  <c r="BA131"/>
  <c r="CM131" s="1"/>
  <c r="CL131"/>
  <c r="CK131"/>
  <c r="AY131"/>
  <c r="B134"/>
  <c r="CX130"/>
  <c r="CZ130"/>
  <c r="DI130"/>
  <c r="ES130" s="1"/>
  <c r="DU130"/>
  <c r="DY130"/>
  <c r="DD130"/>
  <c r="DC130" s="1"/>
  <c r="DE130"/>
  <c r="BA130"/>
  <c r="CM130" s="1"/>
  <c r="CL130"/>
  <c r="CK130"/>
  <c r="AY130"/>
  <c r="B136"/>
  <c r="CX129"/>
  <c r="CZ129"/>
  <c r="DN129"/>
  <c r="DR129"/>
  <c r="ED129"/>
  <c r="EH129"/>
  <c r="FR129" s="1"/>
  <c r="DD129"/>
  <c r="BA129"/>
  <c r="CM129" s="1"/>
  <c r="CL129"/>
  <c r="CK129"/>
  <c r="AY129"/>
  <c r="B135"/>
  <c r="CW128"/>
  <c r="EB128" s="1"/>
  <c r="CX128"/>
  <c r="CZ128"/>
  <c r="DL128"/>
  <c r="DP128"/>
  <c r="EF128"/>
  <c r="DD128"/>
  <c r="CL128"/>
  <c r="CK128"/>
  <c r="AY128"/>
  <c r="B128"/>
  <c r="CX127"/>
  <c r="CZ127"/>
  <c r="DD127"/>
  <c r="DE127" s="1"/>
  <c r="DC127"/>
  <c r="BA127"/>
  <c r="CM127" s="1"/>
  <c r="CL127"/>
  <c r="CK127"/>
  <c r="AY127"/>
  <c r="B123"/>
  <c r="CX126"/>
  <c r="DL126" s="1"/>
  <c r="CZ126"/>
  <c r="DF126"/>
  <c r="DH126"/>
  <c r="DJ126"/>
  <c r="DN126"/>
  <c r="DP126"/>
  <c r="DR126"/>
  <c r="DT126"/>
  <c r="DV126"/>
  <c r="FF126" s="1"/>
  <c r="DX126"/>
  <c r="DZ126"/>
  <c r="EB126"/>
  <c r="ED126"/>
  <c r="EF126"/>
  <c r="EH126"/>
  <c r="EJ126"/>
  <c r="FT126" s="1"/>
  <c r="DD126"/>
  <c r="BA126"/>
  <c r="CM126" s="1"/>
  <c r="CL126"/>
  <c r="CK126"/>
  <c r="AY126"/>
  <c r="B121"/>
  <c r="CX125"/>
  <c r="DL125" s="1"/>
  <c r="EV125" s="1"/>
  <c r="CZ125"/>
  <c r="DF125"/>
  <c r="DH125"/>
  <c r="DJ125"/>
  <c r="DN125"/>
  <c r="DP125"/>
  <c r="DR125"/>
  <c r="DT125"/>
  <c r="FD125" s="1"/>
  <c r="DV125"/>
  <c r="DX125"/>
  <c r="DZ125"/>
  <c r="EB125"/>
  <c r="ED125"/>
  <c r="EF125"/>
  <c r="EH125"/>
  <c r="EJ125"/>
  <c r="FT125" s="1"/>
  <c r="DD125"/>
  <c r="DC125" s="1"/>
  <c r="BA125"/>
  <c r="CM125" s="1"/>
  <c r="CL125"/>
  <c r="CK125"/>
  <c r="AY125"/>
  <c r="B126"/>
  <c r="CX124"/>
  <c r="CZ124"/>
  <c r="DN124" s="1"/>
  <c r="DQ124"/>
  <c r="DR124"/>
  <c r="FB124" s="1"/>
  <c r="DU124"/>
  <c r="DY124"/>
  <c r="DZ124"/>
  <c r="EC124"/>
  <c r="FM124" s="1"/>
  <c r="EG124"/>
  <c r="EH124"/>
  <c r="DD124"/>
  <c r="DC124" s="1"/>
  <c r="BA124"/>
  <c r="CM124"/>
  <c r="CL124"/>
  <c r="CK124"/>
  <c r="AY124"/>
  <c r="B120"/>
  <c r="CX123"/>
  <c r="CZ123"/>
  <c r="DD123"/>
  <c r="DE123"/>
  <c r="DC123"/>
  <c r="BA123"/>
  <c r="CM123" s="1"/>
  <c r="CL123"/>
  <c r="CK123"/>
  <c r="AY123"/>
  <c r="B118"/>
  <c r="CX122"/>
  <c r="CZ122"/>
  <c r="DL122" s="1"/>
  <c r="EV122" s="1"/>
  <c r="DN122"/>
  <c r="DT122"/>
  <c r="ED122"/>
  <c r="FN122" s="1"/>
  <c r="EJ122"/>
  <c r="DD122"/>
  <c r="BA122"/>
  <c r="CM122" s="1"/>
  <c r="CL122"/>
  <c r="CK122"/>
  <c r="AY122"/>
  <c r="B124"/>
  <c r="CW121"/>
  <c r="CX121"/>
  <c r="CZ121"/>
  <c r="DD121"/>
  <c r="BA121"/>
  <c r="CM121"/>
  <c r="CL121"/>
  <c r="CK121"/>
  <c r="AY121"/>
  <c r="B127"/>
  <c r="CZ120"/>
  <c r="DH120" s="1"/>
  <c r="DI120"/>
  <c r="ES120" s="1"/>
  <c r="DL120"/>
  <c r="EV120" s="1"/>
  <c r="DM120"/>
  <c r="EW120" s="1"/>
  <c r="DQ120"/>
  <c r="DT120"/>
  <c r="DU120"/>
  <c r="DY120"/>
  <c r="EA120"/>
  <c r="FK120" s="1"/>
  <c r="EB120"/>
  <c r="EF120"/>
  <c r="EI120"/>
  <c r="EJ120"/>
  <c r="FT120" s="1"/>
  <c r="DD120"/>
  <c r="DE120" s="1"/>
  <c r="DC120"/>
  <c r="BA120"/>
  <c r="CM120" s="1"/>
  <c r="CL120"/>
  <c r="CK120"/>
  <c r="AY120"/>
  <c r="B122"/>
  <c r="CW119"/>
  <c r="CX119"/>
  <c r="CZ119"/>
  <c r="DW119" s="1"/>
  <c r="DY119"/>
  <c r="DD119"/>
  <c r="DE119"/>
  <c r="DC119"/>
  <c r="BA119"/>
  <c r="CM119" s="1"/>
  <c r="CL119"/>
  <c r="CK119"/>
  <c r="AY119"/>
  <c r="B119"/>
  <c r="CX118"/>
  <c r="CZ118"/>
  <c r="EE118" s="1"/>
  <c r="EI118"/>
  <c r="DD118"/>
  <c r="DE118" s="1"/>
  <c r="DE215" s="1"/>
  <c r="DC118"/>
  <c r="CL118"/>
  <c r="CK118"/>
  <c r="AY118"/>
  <c r="B125"/>
  <c r="CZ117"/>
  <c r="DO117"/>
  <c r="EY117" s="1"/>
  <c r="DS117"/>
  <c r="EE117"/>
  <c r="FO117" s="1"/>
  <c r="EI117"/>
  <c r="DD117"/>
  <c r="DE117" s="1"/>
  <c r="DC117"/>
  <c r="BA117"/>
  <c r="CM117" s="1"/>
  <c r="CL117"/>
  <c r="CK117"/>
  <c r="AY117"/>
  <c r="B117"/>
  <c r="CZ116"/>
  <c r="DG116" s="1"/>
  <c r="DH116"/>
  <c r="DJ116"/>
  <c r="DL116"/>
  <c r="DP116"/>
  <c r="DR116"/>
  <c r="FB116" s="1"/>
  <c r="DT116"/>
  <c r="DX116"/>
  <c r="FH116" s="1"/>
  <c r="DZ116"/>
  <c r="EB116"/>
  <c r="EF116"/>
  <c r="EH116"/>
  <c r="EJ116"/>
  <c r="FT116" s="1"/>
  <c r="DD116"/>
  <c r="DC116" s="1"/>
  <c r="BA116"/>
  <c r="CM116" s="1"/>
  <c r="CL116"/>
  <c r="CK116"/>
  <c r="AY116"/>
  <c r="B112"/>
  <c r="CZ115"/>
  <c r="DI115" s="1"/>
  <c r="ES115" s="1"/>
  <c r="DM115"/>
  <c r="EW115" s="1"/>
  <c r="DQ115"/>
  <c r="DU115"/>
  <c r="EC115"/>
  <c r="EG115"/>
  <c r="DD115"/>
  <c r="DE115" s="1"/>
  <c r="DC115"/>
  <c r="BA115"/>
  <c r="CM115" s="1"/>
  <c r="CL115"/>
  <c r="CK115"/>
  <c r="AY115"/>
  <c r="B114"/>
  <c r="CZ114"/>
  <c r="DG114" s="1"/>
  <c r="EQ114" s="1"/>
  <c r="DH114"/>
  <c r="DJ114"/>
  <c r="DL114"/>
  <c r="EV114" s="1"/>
  <c r="DP114"/>
  <c r="DR114"/>
  <c r="FB114" s="1"/>
  <c r="DT114"/>
  <c r="DX114"/>
  <c r="FH114" s="1"/>
  <c r="DZ114"/>
  <c r="EB114"/>
  <c r="EF114"/>
  <c r="EH114"/>
  <c r="EJ114"/>
  <c r="FT114" s="1"/>
  <c r="DD114"/>
  <c r="DC114" s="1"/>
  <c r="DE114"/>
  <c r="BA114"/>
  <c r="CM114" s="1"/>
  <c r="CL114"/>
  <c r="CK114"/>
  <c r="AY114"/>
  <c r="B116"/>
  <c r="CZ113"/>
  <c r="DI113" s="1"/>
  <c r="ES113" s="1"/>
  <c r="DG113"/>
  <c r="EQ113" s="1"/>
  <c r="DK113"/>
  <c r="DO113"/>
  <c r="EY113" s="1"/>
  <c r="DS113"/>
  <c r="DW113"/>
  <c r="EA113"/>
  <c r="EE113"/>
  <c r="EI113"/>
  <c r="DD113"/>
  <c r="DC113" s="1"/>
  <c r="BA113"/>
  <c r="CM113" s="1"/>
  <c r="CL113"/>
  <c r="CK113"/>
  <c r="AY113"/>
  <c r="B108"/>
  <c r="CZ112"/>
  <c r="DN112" s="1"/>
  <c r="DT112"/>
  <c r="EH112"/>
  <c r="FR112" s="1"/>
  <c r="DD112"/>
  <c r="DC112" s="1"/>
  <c r="BA112"/>
  <c r="CM112"/>
  <c r="CL112"/>
  <c r="CK112"/>
  <c r="AY112"/>
  <c r="B111"/>
  <c r="CZ111"/>
  <c r="DU111" s="1"/>
  <c r="EG111"/>
  <c r="DD111"/>
  <c r="BA111"/>
  <c r="CM111" s="1"/>
  <c r="CL111"/>
  <c r="CK111"/>
  <c r="AY111"/>
  <c r="B113"/>
  <c r="CZ110"/>
  <c r="DJ110"/>
  <c r="ET110" s="1"/>
  <c r="DL110"/>
  <c r="DR110"/>
  <c r="DT110"/>
  <c r="DZ110"/>
  <c r="FJ110" s="1"/>
  <c r="EB110"/>
  <c r="EH110"/>
  <c r="EJ110"/>
  <c r="DD110"/>
  <c r="DC110" s="1"/>
  <c r="BA110"/>
  <c r="CM110" s="1"/>
  <c r="CL110"/>
  <c r="CK110"/>
  <c r="AY110"/>
  <c r="B110"/>
  <c r="CZ109"/>
  <c r="DI109" s="1"/>
  <c r="ES109" s="1"/>
  <c r="DK109"/>
  <c r="DO109"/>
  <c r="EY109" s="1"/>
  <c r="DS109"/>
  <c r="FC109" s="1"/>
  <c r="EA109"/>
  <c r="EE109"/>
  <c r="EI109"/>
  <c r="DD109"/>
  <c r="DE109"/>
  <c r="DC109"/>
  <c r="BA109"/>
  <c r="CM109" s="1"/>
  <c r="CL109"/>
  <c r="CK109"/>
  <c r="AY109"/>
  <c r="B109"/>
  <c r="CZ108"/>
  <c r="DG108" s="1"/>
  <c r="EQ108" s="1"/>
  <c r="DF108"/>
  <c r="DH108"/>
  <c r="DJ108"/>
  <c r="ET108" s="1"/>
  <c r="DL108"/>
  <c r="EV108" s="1"/>
  <c r="DN108"/>
  <c r="DP108"/>
  <c r="DR108"/>
  <c r="DT108"/>
  <c r="FD108" s="1"/>
  <c r="DV108"/>
  <c r="DX108"/>
  <c r="DZ108"/>
  <c r="EB108"/>
  <c r="ED108"/>
  <c r="EF108"/>
  <c r="EH108"/>
  <c r="EJ108"/>
  <c r="DD108"/>
  <c r="DC108" s="1"/>
  <c r="CL108"/>
  <c r="CK108"/>
  <c r="AY108"/>
  <c r="B115"/>
  <c r="CW107"/>
  <c r="DI107" s="1"/>
  <c r="ES107" s="1"/>
  <c r="CX107"/>
  <c r="CZ107"/>
  <c r="DM107"/>
  <c r="EW107" s="1"/>
  <c r="DD107"/>
  <c r="DE107"/>
  <c r="DC107"/>
  <c r="BA107"/>
  <c r="CM107" s="1"/>
  <c r="CL107"/>
  <c r="CK107"/>
  <c r="AY107"/>
  <c r="B100"/>
  <c r="CZ106"/>
  <c r="DG106" s="1"/>
  <c r="EQ106" s="1"/>
  <c r="DF106"/>
  <c r="DH106"/>
  <c r="DJ106"/>
  <c r="ET106" s="1"/>
  <c r="DL106"/>
  <c r="EV106" s="1"/>
  <c r="DN106"/>
  <c r="DP106"/>
  <c r="DR106"/>
  <c r="DT106"/>
  <c r="DV106"/>
  <c r="FF106" s="1"/>
  <c r="DX106"/>
  <c r="FH106" s="1"/>
  <c r="DZ106"/>
  <c r="EB106"/>
  <c r="ED106"/>
  <c r="EF106"/>
  <c r="FP106" s="1"/>
  <c r="EH106"/>
  <c r="EJ106"/>
  <c r="DD106"/>
  <c r="DC106" s="1"/>
  <c r="BA106"/>
  <c r="CM106" s="1"/>
  <c r="CL106"/>
  <c r="CK106"/>
  <c r="AY106"/>
  <c r="B106"/>
  <c r="CZ105"/>
  <c r="DG105"/>
  <c r="EQ105" s="1"/>
  <c r="DS105"/>
  <c r="DW105"/>
  <c r="EI105"/>
  <c r="DD105"/>
  <c r="BA105"/>
  <c r="CM105" s="1"/>
  <c r="CL105"/>
  <c r="CK105"/>
  <c r="AY105"/>
  <c r="B103"/>
  <c r="CZ104"/>
  <c r="DJ104" s="1"/>
  <c r="ET104" s="1"/>
  <c r="DL104"/>
  <c r="EV104" s="1"/>
  <c r="DR104"/>
  <c r="FB104" s="1"/>
  <c r="DT104"/>
  <c r="EB104"/>
  <c r="EH104"/>
  <c r="DD104"/>
  <c r="DC104" s="1"/>
  <c r="BA104"/>
  <c r="CM104" s="1"/>
  <c r="CL104"/>
  <c r="CK104"/>
  <c r="AY104"/>
  <c r="B101"/>
  <c r="CZ103"/>
  <c r="DI103"/>
  <c r="ES103" s="1"/>
  <c r="DM103"/>
  <c r="EW103" s="1"/>
  <c r="DQ103"/>
  <c r="DU103"/>
  <c r="DY103"/>
  <c r="EC103"/>
  <c r="FM103" s="1"/>
  <c r="EG103"/>
  <c r="DD103"/>
  <c r="DE103"/>
  <c r="DC103"/>
  <c r="BA103"/>
  <c r="CM103" s="1"/>
  <c r="CL103"/>
  <c r="CK103"/>
  <c r="AY103"/>
  <c r="B98"/>
  <c r="CZ102"/>
  <c r="DG102" s="1"/>
  <c r="EQ102" s="1"/>
  <c r="DF102"/>
  <c r="DH102"/>
  <c r="DJ102"/>
  <c r="ET102" s="1"/>
  <c r="DL102"/>
  <c r="EV102" s="1"/>
  <c r="DN102"/>
  <c r="DP102"/>
  <c r="DR102"/>
  <c r="FB102" s="1"/>
  <c r="DT102"/>
  <c r="FD102" s="1"/>
  <c r="DV102"/>
  <c r="FF102"/>
  <c r="DX102"/>
  <c r="DZ102"/>
  <c r="EB102"/>
  <c r="ED102"/>
  <c r="EF102"/>
  <c r="EH102"/>
  <c r="EJ102"/>
  <c r="FT102" s="1"/>
  <c r="DD102"/>
  <c r="BA102"/>
  <c r="CM102"/>
  <c r="CL102"/>
  <c r="CK102"/>
  <c r="AY102"/>
  <c r="B104"/>
  <c r="CX101"/>
  <c r="CZ101"/>
  <c r="DM101"/>
  <c r="EW101" s="1"/>
  <c r="DN101"/>
  <c r="DO101"/>
  <c r="EY101" s="1"/>
  <c r="DP101"/>
  <c r="DQ101"/>
  <c r="DR101"/>
  <c r="DS101"/>
  <c r="FC101" s="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BA101"/>
  <c r="CM101"/>
  <c r="CL101"/>
  <c r="CK101"/>
  <c r="AY101"/>
  <c r="B99"/>
  <c r="CX100"/>
  <c r="CZ100"/>
  <c r="DI100" s="1"/>
  <c r="ES100" s="1"/>
  <c r="DG100"/>
  <c r="EQ100" s="1"/>
  <c r="DK100"/>
  <c r="DO100"/>
  <c r="EY100" s="1"/>
  <c r="DS100"/>
  <c r="FC100" s="1"/>
  <c r="DW100"/>
  <c r="EA100"/>
  <c r="EE100"/>
  <c r="EI100"/>
  <c r="DD100"/>
  <c r="DC100" s="1"/>
  <c r="DE100"/>
  <c r="BA100"/>
  <c r="CM100" s="1"/>
  <c r="CL100"/>
  <c r="CK100"/>
  <c r="AY100"/>
  <c r="B102"/>
  <c r="CZ99"/>
  <c r="DF99" s="1"/>
  <c r="DL99"/>
  <c r="EV99" s="1"/>
  <c r="DN99"/>
  <c r="DT99"/>
  <c r="DZ99"/>
  <c r="EB99"/>
  <c r="FL99" s="1"/>
  <c r="EG99"/>
  <c r="DD99"/>
  <c r="DC99" s="1"/>
  <c r="BA99"/>
  <c r="CM99" s="1"/>
  <c r="CL99"/>
  <c r="CK99"/>
  <c r="AY99"/>
  <c r="B105"/>
  <c r="CZ98"/>
  <c r="DI98"/>
  <c r="DM98"/>
  <c r="DQ98"/>
  <c r="DU98"/>
  <c r="DY98"/>
  <c r="EC98"/>
  <c r="EG98"/>
  <c r="DD98"/>
  <c r="DE98" s="1"/>
  <c r="DE213" s="1"/>
  <c r="DC98"/>
  <c r="CL98"/>
  <c r="CK98"/>
  <c r="AY98"/>
  <c r="B107"/>
  <c r="CZ97"/>
  <c r="DG97" s="1"/>
  <c r="EQ97" s="1"/>
  <c r="DD97"/>
  <c r="DE97" s="1"/>
  <c r="DC97"/>
  <c r="BA97"/>
  <c r="CM97" s="1"/>
  <c r="CL97"/>
  <c r="CK97"/>
  <c r="AY97"/>
  <c r="B91"/>
  <c r="CZ96"/>
  <c r="DM96"/>
  <c r="EW96" s="1"/>
  <c r="DU96"/>
  <c r="EC96"/>
  <c r="DD96"/>
  <c r="DC96" s="1"/>
  <c r="BA96"/>
  <c r="CM96" s="1"/>
  <c r="CL96"/>
  <c r="CK96"/>
  <c r="AY96"/>
  <c r="B95"/>
  <c r="CZ95"/>
  <c r="DD95"/>
  <c r="BA95"/>
  <c r="CM95" s="1"/>
  <c r="CL95"/>
  <c r="CK95"/>
  <c r="AY95"/>
  <c r="B89"/>
  <c r="CZ94"/>
  <c r="DI94" s="1"/>
  <c r="ES94" s="1"/>
  <c r="DJ94"/>
  <c r="ET94" s="1"/>
  <c r="DM94"/>
  <c r="EW94" s="1"/>
  <c r="DR94"/>
  <c r="FB94" s="1"/>
  <c r="DY94"/>
  <c r="EB94"/>
  <c r="EG94"/>
  <c r="EJ94"/>
  <c r="DD94"/>
  <c r="DC94" s="1"/>
  <c r="BA94"/>
  <c r="CM94"/>
  <c r="CL94"/>
  <c r="CK94"/>
  <c r="AY94"/>
  <c r="B92"/>
  <c r="CZ93"/>
  <c r="DD93"/>
  <c r="BA93"/>
  <c r="CM93" s="1"/>
  <c r="CL93"/>
  <c r="CK93"/>
  <c r="AY93"/>
  <c r="B88"/>
  <c r="CZ92"/>
  <c r="DM92"/>
  <c r="EW92" s="1"/>
  <c r="DU92"/>
  <c r="EB92"/>
  <c r="FL92" s="1"/>
  <c r="EJ92"/>
  <c r="DD92"/>
  <c r="DC92" s="1"/>
  <c r="BA92"/>
  <c r="CM92"/>
  <c r="CL92"/>
  <c r="CK92"/>
  <c r="AY92"/>
  <c r="B90"/>
  <c r="CZ91"/>
  <c r="DG91" s="1"/>
  <c r="EQ91" s="1"/>
  <c r="DD91"/>
  <c r="BA91"/>
  <c r="CM91" s="1"/>
  <c r="CL91"/>
  <c r="CK91"/>
  <c r="AY91"/>
  <c r="B97"/>
  <c r="CZ90"/>
  <c r="DF90"/>
  <c r="DI90"/>
  <c r="ES90" s="1"/>
  <c r="DJ90"/>
  <c r="ET90" s="1"/>
  <c r="DM90"/>
  <c r="EW90" s="1"/>
  <c r="DN90"/>
  <c r="DQ90"/>
  <c r="DR90"/>
  <c r="FB90" s="1"/>
  <c r="DU90"/>
  <c r="DV90"/>
  <c r="DY90"/>
  <c r="FI90" s="1"/>
  <c r="DZ90"/>
  <c r="FJ90" s="1"/>
  <c r="EC90"/>
  <c r="ED90"/>
  <c r="EG90"/>
  <c r="FQ90" s="1"/>
  <c r="EH90"/>
  <c r="FR90" s="1"/>
  <c r="DD90"/>
  <c r="DC90" s="1"/>
  <c r="BA90"/>
  <c r="CM90" s="1"/>
  <c r="CL90"/>
  <c r="CK90"/>
  <c r="AY90"/>
  <c r="B94"/>
  <c r="CX89"/>
  <c r="CZ89"/>
  <c r="DO89" s="1"/>
  <c r="EY89" s="1"/>
  <c r="DU89"/>
  <c r="DW89"/>
  <c r="EC89"/>
  <c r="FM89" s="1"/>
  <c r="DD89"/>
  <c r="DC89" s="1"/>
  <c r="BA89"/>
  <c r="CM89" s="1"/>
  <c r="CL89"/>
  <c r="CK89"/>
  <c r="AY89"/>
  <c r="B93"/>
  <c r="CZ88"/>
  <c r="DF88"/>
  <c r="DL88"/>
  <c r="DN88"/>
  <c r="DT88"/>
  <c r="DV88"/>
  <c r="EB88"/>
  <c r="ED88"/>
  <c r="EJ88"/>
  <c r="DD88"/>
  <c r="CL88"/>
  <c r="CK88"/>
  <c r="AY88"/>
  <c r="B96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H379" l="1"/>
  <c r="FE92"/>
  <c r="FI94"/>
  <c r="FM101"/>
  <c r="FI119"/>
  <c r="FI120"/>
  <c r="FM131"/>
  <c r="FI170"/>
  <c r="FI180"/>
  <c r="AB376"/>
  <c r="FM90"/>
  <c r="FE96"/>
  <c r="FJ101"/>
  <c r="FF101"/>
  <c r="FB101"/>
  <c r="EX101"/>
  <c r="FR102"/>
  <c r="FJ102"/>
  <c r="FE103"/>
  <c r="FR114"/>
  <c r="FM115"/>
  <c r="FR116"/>
  <c r="EX122"/>
  <c r="FR124"/>
  <c r="FI124"/>
  <c r="FB129"/>
  <c r="FB131"/>
  <c r="FR136"/>
  <c r="FI141"/>
  <c r="FR143"/>
  <c r="FB149"/>
  <c r="FR150"/>
  <c r="FJ154"/>
  <c r="FF157"/>
  <c r="FN163"/>
  <c r="FJ163"/>
  <c r="FJ171"/>
  <c r="FR179"/>
  <c r="FJ180"/>
  <c r="FJ183"/>
  <c r="H516"/>
  <c r="FI101"/>
  <c r="FQ163"/>
  <c r="FA163"/>
  <c r="FA170"/>
  <c r="AD372"/>
  <c r="AD422" s="1"/>
  <c r="FF90"/>
  <c r="FM96"/>
  <c r="EX102"/>
  <c r="FI103"/>
  <c r="FR104"/>
  <c r="FR110"/>
  <c r="FB110"/>
  <c r="FQ115"/>
  <c r="FJ124"/>
  <c r="FF125"/>
  <c r="FI130"/>
  <c r="FR132"/>
  <c r="FR135"/>
  <c r="FM137"/>
  <c r="FB137"/>
  <c r="FA140"/>
  <c r="FF146"/>
  <c r="FB152"/>
  <c r="FI153"/>
  <c r="FM159"/>
  <c r="FI159"/>
  <c r="FM170"/>
  <c r="FF174"/>
  <c r="FM181"/>
  <c r="FM185"/>
  <c r="Y377"/>
  <c r="Y422"/>
  <c r="J378"/>
  <c r="J422"/>
  <c r="FS105"/>
  <c r="FK109"/>
  <c r="FS117"/>
  <c r="FH139"/>
  <c r="FH147"/>
  <c r="FH150"/>
  <c r="FD157"/>
  <c r="FK159"/>
  <c r="FO164"/>
  <c r="FK167"/>
  <c r="EZ171"/>
  <c r="FH175"/>
  <c r="FK186"/>
  <c r="EX90"/>
  <c r="FT92"/>
  <c r="EX99"/>
  <c r="FK100"/>
  <c r="EU100"/>
  <c r="FH101"/>
  <c r="FD101"/>
  <c r="EZ101"/>
  <c r="EZ102"/>
  <c r="FT106"/>
  <c r="FD106"/>
  <c r="FP108"/>
  <c r="ER108"/>
  <c r="FO109"/>
  <c r="EU109"/>
  <c r="FT110"/>
  <c r="FD110"/>
  <c r="FE111"/>
  <c r="FA115"/>
  <c r="FE120"/>
  <c r="FP125"/>
  <c r="FH125"/>
  <c r="EX126"/>
  <c r="FT132"/>
  <c r="FT135"/>
  <c r="FD135"/>
  <c r="FT139"/>
  <c r="FD139"/>
  <c r="FT142"/>
  <c r="FD142"/>
  <c r="FO143"/>
  <c r="EX145"/>
  <c r="FD146"/>
  <c r="FT149"/>
  <c r="FH152"/>
  <c r="FT159"/>
  <c r="FH159"/>
  <c r="FD159"/>
  <c r="FO162"/>
  <c r="EX163"/>
  <c r="FK165"/>
  <c r="EU166"/>
  <c r="FP167"/>
  <c r="EU167"/>
  <c r="FT170"/>
  <c r="FD170"/>
  <c r="FO173"/>
  <c r="FK173"/>
  <c r="FK174"/>
  <c r="FE180"/>
  <c r="FK181"/>
  <c r="FK185"/>
  <c r="FT186"/>
  <c r="FP186"/>
  <c r="FH186"/>
  <c r="FD186"/>
  <c r="AB380"/>
  <c r="AK372"/>
  <c r="AK374" s="1"/>
  <c r="U372"/>
  <c r="U380" s="1"/>
  <c r="O381"/>
  <c r="O422"/>
  <c r="P374"/>
  <c r="P422"/>
  <c r="H382"/>
  <c r="H422"/>
  <c r="M379"/>
  <c r="M422"/>
  <c r="FK101"/>
  <c r="FD112"/>
  <c r="FD120"/>
  <c r="FD122"/>
  <c r="FD126"/>
  <c r="FK142"/>
  <c r="FK143"/>
  <c r="FO151"/>
  <c r="FD154"/>
  <c r="FO155"/>
  <c r="FH156"/>
  <c r="FH171"/>
  <c r="FD183"/>
  <c r="FD184"/>
  <c r="E493"/>
  <c r="FA90"/>
  <c r="FT94"/>
  <c r="FD99"/>
  <c r="FT101"/>
  <c r="FE101"/>
  <c r="FA101"/>
  <c r="FP102"/>
  <c r="FH102"/>
  <c r="FA103"/>
  <c r="FD104"/>
  <c r="EX106"/>
  <c r="FK113"/>
  <c r="FD114"/>
  <c r="FD116"/>
  <c r="FT122"/>
  <c r="FE124"/>
  <c r="FP126"/>
  <c r="FH126"/>
  <c r="EZ126"/>
  <c r="EX129"/>
  <c r="FD132"/>
  <c r="FP139"/>
  <c r="FK139"/>
  <c r="FO142"/>
  <c r="FO145"/>
  <c r="FK145"/>
  <c r="FT146"/>
  <c r="EX146"/>
  <c r="FT147"/>
  <c r="FD147"/>
  <c r="FD149"/>
  <c r="FA153"/>
  <c r="FT154"/>
  <c r="EZ156"/>
  <c r="FT157"/>
  <c r="FA159"/>
  <c r="FT162"/>
  <c r="FD162"/>
  <c r="FK163"/>
  <c r="FD164"/>
  <c r="FT165"/>
  <c r="FP165"/>
  <c r="FH165"/>
  <c r="FD165"/>
  <c r="FT171"/>
  <c r="FD171"/>
  <c r="FT173"/>
  <c r="FP173"/>
  <c r="FH173"/>
  <c r="FD173"/>
  <c r="FT175"/>
  <c r="FK180"/>
  <c r="FA180"/>
  <c r="FP183"/>
  <c r="EZ183"/>
  <c r="FK184"/>
  <c r="FA186"/>
  <c r="DG92"/>
  <c r="EQ92" s="1"/>
  <c r="DK92"/>
  <c r="EU92" s="1"/>
  <c r="DO92"/>
  <c r="EY92" s="1"/>
  <c r="DS92"/>
  <c r="FC92" s="1"/>
  <c r="DW92"/>
  <c r="FG92" s="1"/>
  <c r="ED92"/>
  <c r="FN92" s="1"/>
  <c r="EH92"/>
  <c r="FR92" s="1"/>
  <c r="DH92"/>
  <c r="DL92"/>
  <c r="EV92" s="1"/>
  <c r="DP92"/>
  <c r="EZ92" s="1"/>
  <c r="DT92"/>
  <c r="FD92" s="1"/>
  <c r="DX92"/>
  <c r="FH92" s="1"/>
  <c r="EA92"/>
  <c r="FK92" s="1"/>
  <c r="EE92"/>
  <c r="FO92" s="1"/>
  <c r="EI92"/>
  <c r="FS92" s="1"/>
  <c r="DF96"/>
  <c r="DJ96"/>
  <c r="ET96" s="1"/>
  <c r="DN96"/>
  <c r="EX96" s="1"/>
  <c r="DR96"/>
  <c r="FB96" s="1"/>
  <c r="DV96"/>
  <c r="FF96" s="1"/>
  <c r="DZ96"/>
  <c r="FJ96" s="1"/>
  <c r="ED96"/>
  <c r="FN96" s="1"/>
  <c r="EH96"/>
  <c r="FR96" s="1"/>
  <c r="DG96"/>
  <c r="EQ96" s="1"/>
  <c r="DK96"/>
  <c r="EU96" s="1"/>
  <c r="DO96"/>
  <c r="EY96" s="1"/>
  <c r="DS96"/>
  <c r="DW96"/>
  <c r="EA96"/>
  <c r="FK96" s="1"/>
  <c r="EE96"/>
  <c r="FO96" s="1"/>
  <c r="EI96"/>
  <c r="FS96" s="1"/>
  <c r="DH88"/>
  <c r="DP88"/>
  <c r="DX88"/>
  <c r="EF88"/>
  <c r="DJ88"/>
  <c r="DR88"/>
  <c r="FB88" s="1"/>
  <c r="DZ88"/>
  <c r="FJ88" s="1"/>
  <c r="EH88"/>
  <c r="DG90"/>
  <c r="EQ90" s="1"/>
  <c r="DK90"/>
  <c r="EU90" s="1"/>
  <c r="DO90"/>
  <c r="EY90" s="1"/>
  <c r="DS90"/>
  <c r="FC90" s="1"/>
  <c r="DW90"/>
  <c r="FG90" s="1"/>
  <c r="EA90"/>
  <c r="FK90" s="1"/>
  <c r="EE90"/>
  <c r="FO90" s="1"/>
  <c r="EI90"/>
  <c r="FS90" s="1"/>
  <c r="DH90"/>
  <c r="DL90"/>
  <c r="EV90" s="1"/>
  <c r="DP90"/>
  <c r="EZ90" s="1"/>
  <c r="DT90"/>
  <c r="FD90" s="1"/>
  <c r="DX90"/>
  <c r="FH90" s="1"/>
  <c r="EB90"/>
  <c r="FL90" s="1"/>
  <c r="EF90"/>
  <c r="FP90" s="1"/>
  <c r="EJ90"/>
  <c r="FT90" s="1"/>
  <c r="DE95"/>
  <c r="DC95"/>
  <c r="DG101"/>
  <c r="EQ101" s="1"/>
  <c r="DI101"/>
  <c r="ES101" s="1"/>
  <c r="DI105"/>
  <c r="ES105" s="1"/>
  <c r="DK105"/>
  <c r="EU105" s="1"/>
  <c r="EA105"/>
  <c r="FK105" s="1"/>
  <c r="DO105"/>
  <c r="EY105" s="1"/>
  <c r="EE105"/>
  <c r="FO105" s="1"/>
  <c r="DG110"/>
  <c r="EQ110" s="1"/>
  <c r="DF110"/>
  <c r="EP110" s="1"/>
  <c r="DN110"/>
  <c r="EX110" s="1"/>
  <c r="DV110"/>
  <c r="FF110" s="1"/>
  <c r="ED110"/>
  <c r="FN110" s="1"/>
  <c r="DH110"/>
  <c r="ER110" s="1"/>
  <c r="DP110"/>
  <c r="EZ110" s="1"/>
  <c r="DX110"/>
  <c r="FH110" s="1"/>
  <c r="EF110"/>
  <c r="FP110" s="1"/>
  <c r="DI117"/>
  <c r="ES117" s="1"/>
  <c r="DG117"/>
  <c r="EQ117" s="1"/>
  <c r="DW117"/>
  <c r="DK117"/>
  <c r="EU117" s="1"/>
  <c r="EA117"/>
  <c r="FK117" s="1"/>
  <c r="DG118"/>
  <c r="DK118"/>
  <c r="EU118" s="1"/>
  <c r="DG119"/>
  <c r="EQ119" s="1"/>
  <c r="DI119"/>
  <c r="ES119" s="1"/>
  <c r="DM119"/>
  <c r="EW119" s="1"/>
  <c r="DH129"/>
  <c r="ER129" s="1"/>
  <c r="DV129"/>
  <c r="FF129" s="1"/>
  <c r="DZ129"/>
  <c r="FJ129" s="1"/>
  <c r="DM130"/>
  <c r="EW130" s="1"/>
  <c r="EC130"/>
  <c r="FM130" s="1"/>
  <c r="DQ130"/>
  <c r="FA130" s="1"/>
  <c r="EG130"/>
  <c r="DH135"/>
  <c r="DP135"/>
  <c r="EZ135" s="1"/>
  <c r="DV135"/>
  <c r="FF135" s="1"/>
  <c r="ED135"/>
  <c r="DE144"/>
  <c r="DC144"/>
  <c r="DE159"/>
  <c r="DC159"/>
  <c r="EB160"/>
  <c r="ED160"/>
  <c r="DF162"/>
  <c r="EK162" s="1"/>
  <c r="DJ162"/>
  <c r="ET162" s="1"/>
  <c r="DN162"/>
  <c r="EX162" s="1"/>
  <c r="DQ162"/>
  <c r="DU162"/>
  <c r="FE162" s="1"/>
  <c r="DY162"/>
  <c r="FI162" s="1"/>
  <c r="EC162"/>
  <c r="FM162" s="1"/>
  <c r="EG162"/>
  <c r="DG162"/>
  <c r="EQ162" s="1"/>
  <c r="DK162"/>
  <c r="EU162" s="1"/>
  <c r="DO162"/>
  <c r="EY162" s="1"/>
  <c r="DR162"/>
  <c r="FB162" s="1"/>
  <c r="DV162"/>
  <c r="FF162" s="1"/>
  <c r="DZ162"/>
  <c r="FJ162" s="1"/>
  <c r="ED162"/>
  <c r="EH162"/>
  <c r="FR162" s="1"/>
  <c r="DI162"/>
  <c r="ES162" s="1"/>
  <c r="DP162"/>
  <c r="EZ162" s="1"/>
  <c r="DX162"/>
  <c r="FH162" s="1"/>
  <c r="EF162"/>
  <c r="DL162"/>
  <c r="DS162"/>
  <c r="FC162" s="1"/>
  <c r="EA162"/>
  <c r="FK162" s="1"/>
  <c r="EI162"/>
  <c r="DJ164"/>
  <c r="ET164" s="1"/>
  <c r="DG164"/>
  <c r="EQ164" s="1"/>
  <c r="DL164"/>
  <c r="EV164" s="1"/>
  <c r="DQ164"/>
  <c r="FA164" s="1"/>
  <c r="DV164"/>
  <c r="FF164" s="1"/>
  <c r="EA164"/>
  <c r="FK164" s="1"/>
  <c r="EF164"/>
  <c r="DH164"/>
  <c r="DN164"/>
  <c r="EX164" s="1"/>
  <c r="DW164"/>
  <c r="EB164"/>
  <c r="EG164"/>
  <c r="DF164"/>
  <c r="EP164" s="1"/>
  <c r="DP164"/>
  <c r="DY164"/>
  <c r="FI164" s="1"/>
  <c r="EJ164"/>
  <c r="FT164" s="1"/>
  <c r="DI164"/>
  <c r="ES164" s="1"/>
  <c r="DS164"/>
  <c r="ED164"/>
  <c r="DE176"/>
  <c r="DC176"/>
  <c r="DH178"/>
  <c r="DJ178"/>
  <c r="DF178"/>
  <c r="DK178"/>
  <c r="EU178" s="1"/>
  <c r="DG178"/>
  <c r="DI178"/>
  <c r="DK180"/>
  <c r="EU180" s="1"/>
  <c r="DF180"/>
  <c r="DH180"/>
  <c r="ER180" s="1"/>
  <c r="DE194"/>
  <c r="DC194"/>
  <c r="E507"/>
  <c r="AF372"/>
  <c r="AF422" s="1"/>
  <c r="EE89"/>
  <c r="FO89" s="1"/>
  <c r="EG92"/>
  <c r="DZ92"/>
  <c r="FJ92" s="1"/>
  <c r="DR92"/>
  <c r="FB92" s="1"/>
  <c r="DJ92"/>
  <c r="ET92" s="1"/>
  <c r="EF94"/>
  <c r="FP94" s="1"/>
  <c r="DX94"/>
  <c r="FH94" s="1"/>
  <c r="DQ94"/>
  <c r="FA94" s="1"/>
  <c r="EJ96"/>
  <c r="FT96" s="1"/>
  <c r="EB96"/>
  <c r="DT96"/>
  <c r="FD96" s="1"/>
  <c r="DL96"/>
  <c r="EV96" s="1"/>
  <c r="EH99"/>
  <c r="FR99" s="1"/>
  <c r="DV99"/>
  <c r="FF99" s="1"/>
  <c r="DZ104"/>
  <c r="FJ104" s="1"/>
  <c r="ED112"/>
  <c r="EE120"/>
  <c r="FO120" s="1"/>
  <c r="DX120"/>
  <c r="FH120" s="1"/>
  <c r="DP120"/>
  <c r="EB122"/>
  <c r="DE124"/>
  <c r="ED124"/>
  <c r="FN124" s="1"/>
  <c r="DV124"/>
  <c r="FF124" s="1"/>
  <c r="EF131"/>
  <c r="DY131"/>
  <c r="FI131" s="1"/>
  <c r="DQ131"/>
  <c r="FA131" s="1"/>
  <c r="DE133"/>
  <c r="EB136"/>
  <c r="EG137"/>
  <c r="FQ137" s="1"/>
  <c r="DY137"/>
  <c r="FI137" s="1"/>
  <c r="DQ137"/>
  <c r="FA137" s="1"/>
  <c r="ED156"/>
  <c r="EC182"/>
  <c r="FM182" s="1"/>
  <c r="Y375"/>
  <c r="C406"/>
  <c r="EW98"/>
  <c r="DM213"/>
  <c r="DC102"/>
  <c r="DE102"/>
  <c r="DE105"/>
  <c r="DC105"/>
  <c r="DQ107"/>
  <c r="FA107" s="1"/>
  <c r="EG107"/>
  <c r="FQ107" s="1"/>
  <c r="DU107"/>
  <c r="FE107" s="1"/>
  <c r="DG112"/>
  <c r="EQ112" s="1"/>
  <c r="DH112"/>
  <c r="ER112" s="1"/>
  <c r="DP112"/>
  <c r="DX112"/>
  <c r="FH112" s="1"/>
  <c r="EF112"/>
  <c r="FP112" s="1"/>
  <c r="DJ112"/>
  <c r="ET112" s="1"/>
  <c r="DR112"/>
  <c r="FB112" s="1"/>
  <c r="DZ112"/>
  <c r="FJ112" s="1"/>
  <c r="DI118"/>
  <c r="ES118" s="1"/>
  <c r="DW118"/>
  <c r="FG118" s="1"/>
  <c r="EA118"/>
  <c r="DS119"/>
  <c r="EA119"/>
  <c r="FK119" s="1"/>
  <c r="EI119"/>
  <c r="FS119" s="1"/>
  <c r="DU119"/>
  <c r="EC119"/>
  <c r="FM119" s="1"/>
  <c r="DN134"/>
  <c r="EX134" s="1"/>
  <c r="ED134"/>
  <c r="FN134" s="1"/>
  <c r="DR134"/>
  <c r="FB134" s="1"/>
  <c r="EH134"/>
  <c r="FR134" s="1"/>
  <c r="DG136"/>
  <c r="EQ136" s="1"/>
  <c r="DH136"/>
  <c r="ER136" s="1"/>
  <c r="DV136"/>
  <c r="FF136" s="1"/>
  <c r="ED136"/>
  <c r="DJ136"/>
  <c r="ET136" s="1"/>
  <c r="DP136"/>
  <c r="DX136"/>
  <c r="FH136" s="1"/>
  <c r="EF136"/>
  <c r="FP136" s="1"/>
  <c r="DI141"/>
  <c r="ES141" s="1"/>
  <c r="DM141"/>
  <c r="EW141" s="1"/>
  <c r="DJ148"/>
  <c r="ET148" s="1"/>
  <c r="DZ148"/>
  <c r="DN148"/>
  <c r="EX148" s="1"/>
  <c r="ED148"/>
  <c r="DF148"/>
  <c r="DR148"/>
  <c r="DP166"/>
  <c r="EF166"/>
  <c r="FP166" s="1"/>
  <c r="DQ166"/>
  <c r="FA166" s="1"/>
  <c r="EG166"/>
  <c r="EA166"/>
  <c r="FK166" s="1"/>
  <c r="DF166"/>
  <c r="DZ187"/>
  <c r="DP187"/>
  <c r="EZ187" s="1"/>
  <c r="DV187"/>
  <c r="FF187" s="1"/>
  <c r="ED187"/>
  <c r="FN187" s="1"/>
  <c r="EH187"/>
  <c r="FR187" s="1"/>
  <c r="E467"/>
  <c r="H468" s="1"/>
  <c r="L372"/>
  <c r="L375" s="1"/>
  <c r="EV88"/>
  <c r="DE91"/>
  <c r="DC91"/>
  <c r="DG94"/>
  <c r="EQ94" s="1"/>
  <c r="DK94"/>
  <c r="EU94" s="1"/>
  <c r="DO94"/>
  <c r="EY94" s="1"/>
  <c r="DS94"/>
  <c r="FC94" s="1"/>
  <c r="DV94"/>
  <c r="FF94" s="1"/>
  <c r="DZ94"/>
  <c r="ED94"/>
  <c r="EH94"/>
  <c r="FR94" s="1"/>
  <c r="DH94"/>
  <c r="DL94"/>
  <c r="EV94" s="1"/>
  <c r="DP94"/>
  <c r="EZ94" s="1"/>
  <c r="DT94"/>
  <c r="FD94" s="1"/>
  <c r="DW94"/>
  <c r="FG94" s="1"/>
  <c r="EA94"/>
  <c r="FK94" s="1"/>
  <c r="EE94"/>
  <c r="FO94" s="1"/>
  <c r="EI94"/>
  <c r="FS94" s="1"/>
  <c r="DE111"/>
  <c r="DE227" s="1"/>
  <c r="DC111"/>
  <c r="DI111"/>
  <c r="ES111" s="1"/>
  <c r="DY111"/>
  <c r="FI111" s="1"/>
  <c r="DM111"/>
  <c r="EW111" s="1"/>
  <c r="EC111"/>
  <c r="FM111" s="1"/>
  <c r="DH122"/>
  <c r="DP122"/>
  <c r="DX122"/>
  <c r="FH122" s="1"/>
  <c r="EF122"/>
  <c r="DJ122"/>
  <c r="DR122"/>
  <c r="FB122" s="1"/>
  <c r="DZ122"/>
  <c r="FJ122" s="1"/>
  <c r="EH122"/>
  <c r="FR122" s="1"/>
  <c r="DG131"/>
  <c r="EQ131" s="1"/>
  <c r="DK131"/>
  <c r="EU131" s="1"/>
  <c r="DO131"/>
  <c r="EY131" s="1"/>
  <c r="DS131"/>
  <c r="DW131"/>
  <c r="EA131"/>
  <c r="FK131" s="1"/>
  <c r="EH131"/>
  <c r="FR131" s="1"/>
  <c r="DH131"/>
  <c r="DL131"/>
  <c r="EV131" s="1"/>
  <c r="DP131"/>
  <c r="EZ131" s="1"/>
  <c r="DT131"/>
  <c r="FD131" s="1"/>
  <c r="DX131"/>
  <c r="FH131" s="1"/>
  <c r="EB131"/>
  <c r="EE131"/>
  <c r="FO131" s="1"/>
  <c r="EI131"/>
  <c r="FS131" s="1"/>
  <c r="DF132"/>
  <c r="EP132" s="1"/>
  <c r="DH132"/>
  <c r="DG150"/>
  <c r="EQ150" s="1"/>
  <c r="DF150"/>
  <c r="DN150"/>
  <c r="DV150"/>
  <c r="FF150" s="1"/>
  <c r="EB150"/>
  <c r="FL150" s="1"/>
  <c r="EJ150"/>
  <c r="FT150" s="1"/>
  <c r="DH150"/>
  <c r="DP150"/>
  <c r="EZ150" s="1"/>
  <c r="ED150"/>
  <c r="FN150" s="1"/>
  <c r="DL150"/>
  <c r="EV150" s="1"/>
  <c r="DZ150"/>
  <c r="DR150"/>
  <c r="FB150" s="1"/>
  <c r="EF150"/>
  <c r="FP150" s="1"/>
  <c r="DQ156"/>
  <c r="FA156" s="1"/>
  <c r="DU156"/>
  <c r="DY156"/>
  <c r="FI156" s="1"/>
  <c r="EB156"/>
  <c r="FL156" s="1"/>
  <c r="EE156"/>
  <c r="FO156" s="1"/>
  <c r="EI156"/>
  <c r="DN156"/>
  <c r="EX156" s="1"/>
  <c r="DR156"/>
  <c r="FB156" s="1"/>
  <c r="DV156"/>
  <c r="FF156" s="1"/>
  <c r="DZ156"/>
  <c r="FJ156" s="1"/>
  <c r="EC156"/>
  <c r="FM156" s="1"/>
  <c r="EF156"/>
  <c r="FP156" s="1"/>
  <c r="EJ156"/>
  <c r="FT156" s="1"/>
  <c r="DJ156"/>
  <c r="ET156" s="1"/>
  <c r="DT156"/>
  <c r="FD156" s="1"/>
  <c r="EA156"/>
  <c r="FK156" s="1"/>
  <c r="EH156"/>
  <c r="FR156" s="1"/>
  <c r="DO156"/>
  <c r="EY156" s="1"/>
  <c r="DW156"/>
  <c r="DH157"/>
  <c r="DP157"/>
  <c r="DX157"/>
  <c r="FH157" s="1"/>
  <c r="EF157"/>
  <c r="DJ157"/>
  <c r="ET157" s="1"/>
  <c r="DR157"/>
  <c r="FB157" s="1"/>
  <c r="DZ157"/>
  <c r="FJ157" s="1"/>
  <c r="EH157"/>
  <c r="FR157" s="1"/>
  <c r="DL157"/>
  <c r="EV157" s="1"/>
  <c r="EB157"/>
  <c r="FL157" s="1"/>
  <c r="DN157"/>
  <c r="ED157"/>
  <c r="FN157" s="1"/>
  <c r="ES158"/>
  <c r="DE167"/>
  <c r="DC167"/>
  <c r="DC170"/>
  <c r="DE170"/>
  <c r="DK176"/>
  <c r="EU176" s="1"/>
  <c r="EA176"/>
  <c r="FK176" s="1"/>
  <c r="DM176"/>
  <c r="EW176" s="1"/>
  <c r="EC176"/>
  <c r="FM176" s="1"/>
  <c r="DU176"/>
  <c r="EI176"/>
  <c r="DG182"/>
  <c r="EQ182" s="1"/>
  <c r="DK182"/>
  <c r="EU182" s="1"/>
  <c r="DO182"/>
  <c r="EY182" s="1"/>
  <c r="DS182"/>
  <c r="DW182"/>
  <c r="FG182" s="1"/>
  <c r="EA182"/>
  <c r="FK182" s="1"/>
  <c r="EE182"/>
  <c r="FO182" s="1"/>
  <c r="DH182"/>
  <c r="DL182"/>
  <c r="EV182" s="1"/>
  <c r="DP182"/>
  <c r="EZ182" s="1"/>
  <c r="DT182"/>
  <c r="FD182" s="1"/>
  <c r="DX182"/>
  <c r="FH182" s="1"/>
  <c r="EB182"/>
  <c r="EF182"/>
  <c r="FP182" s="1"/>
  <c r="EI182"/>
  <c r="FS182" s="1"/>
  <c r="DI182"/>
  <c r="ES182" s="1"/>
  <c r="DQ182"/>
  <c r="FA182" s="1"/>
  <c r="DY182"/>
  <c r="FI182" s="1"/>
  <c r="EG182"/>
  <c r="DJ182"/>
  <c r="DR182"/>
  <c r="FB182" s="1"/>
  <c r="DZ182"/>
  <c r="EH182"/>
  <c r="FR182" s="1"/>
  <c r="EP201"/>
  <c r="FU201" s="1"/>
  <c r="EK201"/>
  <c r="EX88"/>
  <c r="DN89"/>
  <c r="EX89" s="1"/>
  <c r="DQ89"/>
  <c r="FA89" s="1"/>
  <c r="DY89"/>
  <c r="FI89" s="1"/>
  <c r="EG89"/>
  <c r="FQ89" s="1"/>
  <c r="DS89"/>
  <c r="FC89" s="1"/>
  <c r="EA89"/>
  <c r="FK89" s="1"/>
  <c r="EI89"/>
  <c r="FS89" s="1"/>
  <c r="DE93"/>
  <c r="DC93"/>
  <c r="DG99"/>
  <c r="EQ99" s="1"/>
  <c r="DH99"/>
  <c r="ER99" s="1"/>
  <c r="DP99"/>
  <c r="EZ99" s="1"/>
  <c r="DX99"/>
  <c r="FH99" s="1"/>
  <c r="ED99"/>
  <c r="FN99" s="1"/>
  <c r="EI99"/>
  <c r="FS99" s="1"/>
  <c r="DJ99"/>
  <c r="ET99" s="1"/>
  <c r="DR99"/>
  <c r="FB99" s="1"/>
  <c r="EF99"/>
  <c r="FP99" s="1"/>
  <c r="EJ99"/>
  <c r="FT99" s="1"/>
  <c r="DE101"/>
  <c r="DE226" s="1"/>
  <c r="DC101"/>
  <c r="DG104"/>
  <c r="EQ104" s="1"/>
  <c r="DF104"/>
  <c r="DN104"/>
  <c r="EX104" s="1"/>
  <c r="DV104"/>
  <c r="FF104" s="1"/>
  <c r="ED104"/>
  <c r="FN104" s="1"/>
  <c r="EJ104"/>
  <c r="FT104" s="1"/>
  <c r="DH104"/>
  <c r="DP104"/>
  <c r="EZ104" s="1"/>
  <c r="DX104"/>
  <c r="FH104" s="1"/>
  <c r="EF104"/>
  <c r="FP104" s="1"/>
  <c r="DF120"/>
  <c r="DJ120"/>
  <c r="ET120" s="1"/>
  <c r="DN120"/>
  <c r="EK120" s="1"/>
  <c r="DR120"/>
  <c r="FB120" s="1"/>
  <c r="DV120"/>
  <c r="FF120" s="1"/>
  <c r="DZ120"/>
  <c r="FJ120" s="1"/>
  <c r="EC120"/>
  <c r="FM120" s="1"/>
  <c r="EG120"/>
  <c r="DG120"/>
  <c r="EQ120" s="1"/>
  <c r="DK120"/>
  <c r="EU120" s="1"/>
  <c r="DO120"/>
  <c r="EY120" s="1"/>
  <c r="DS120"/>
  <c r="FC120" s="1"/>
  <c r="DW120"/>
  <c r="ED120"/>
  <c r="EH120"/>
  <c r="FR120" s="1"/>
  <c r="DO124"/>
  <c r="EY124" s="1"/>
  <c r="DS124"/>
  <c r="DW124"/>
  <c r="EA124"/>
  <c r="FK124" s="1"/>
  <c r="EE124"/>
  <c r="FO124" s="1"/>
  <c r="EI124"/>
  <c r="FS124" s="1"/>
  <c r="DP124"/>
  <c r="DT124"/>
  <c r="FD124" s="1"/>
  <c r="DX124"/>
  <c r="FH124" s="1"/>
  <c r="EB124"/>
  <c r="EF124"/>
  <c r="FP124" s="1"/>
  <c r="EJ124"/>
  <c r="FT124" s="1"/>
  <c r="DT128"/>
  <c r="EJ128"/>
  <c r="DH128"/>
  <c r="DX128"/>
  <c r="FH128" s="1"/>
  <c r="DF129"/>
  <c r="DJ129"/>
  <c r="DN132"/>
  <c r="EX132" s="1"/>
  <c r="DV132"/>
  <c r="FF132" s="1"/>
  <c r="ED132"/>
  <c r="FN132" s="1"/>
  <c r="DP132"/>
  <c r="EZ132" s="1"/>
  <c r="DX132"/>
  <c r="FH132" s="1"/>
  <c r="EF132"/>
  <c r="FP132" s="1"/>
  <c r="DF137"/>
  <c r="EK137" s="1"/>
  <c r="DG137"/>
  <c r="EQ137" s="1"/>
  <c r="DK137"/>
  <c r="EU137" s="1"/>
  <c r="DO137"/>
  <c r="EY137" s="1"/>
  <c r="DS137"/>
  <c r="DW137"/>
  <c r="EA137"/>
  <c r="FK137" s="1"/>
  <c r="EE137"/>
  <c r="FO137" s="1"/>
  <c r="EI137"/>
  <c r="FS137" s="1"/>
  <c r="DH137"/>
  <c r="DL137"/>
  <c r="DP137"/>
  <c r="EZ137" s="1"/>
  <c r="DT137"/>
  <c r="FD137" s="1"/>
  <c r="DX137"/>
  <c r="FH137" s="1"/>
  <c r="EB137"/>
  <c r="EF137"/>
  <c r="FP137" s="1"/>
  <c r="EJ137"/>
  <c r="FT137" s="1"/>
  <c r="DU140"/>
  <c r="EC140"/>
  <c r="FM140" s="1"/>
  <c r="DO140"/>
  <c r="EY140" s="1"/>
  <c r="DW140"/>
  <c r="EE140"/>
  <c r="FO140" s="1"/>
  <c r="DY140"/>
  <c r="FI140" s="1"/>
  <c r="EA140"/>
  <c r="FK140" s="1"/>
  <c r="DF149"/>
  <c r="DH149"/>
  <c r="DJ149"/>
  <c r="ET149" s="1"/>
  <c r="DG154"/>
  <c r="EQ154" s="1"/>
  <c r="DF154"/>
  <c r="EP154" s="1"/>
  <c r="DN154"/>
  <c r="EX154" s="1"/>
  <c r="DV154"/>
  <c r="FF154" s="1"/>
  <c r="ED154"/>
  <c r="FN154" s="1"/>
  <c r="DH154"/>
  <c r="ER154" s="1"/>
  <c r="DP154"/>
  <c r="DX154"/>
  <c r="FH154" s="1"/>
  <c r="EF154"/>
  <c r="FP154" s="1"/>
  <c r="DL154"/>
  <c r="EV154" s="1"/>
  <c r="EB154"/>
  <c r="DR154"/>
  <c r="FB154" s="1"/>
  <c r="EH154"/>
  <c r="FR154" s="1"/>
  <c r="DC157"/>
  <c r="DE157"/>
  <c r="DC160"/>
  <c r="DE160"/>
  <c r="DC178"/>
  <c r="DE178"/>
  <c r="DE221" s="1"/>
  <c r="DO181"/>
  <c r="EY181" s="1"/>
  <c r="DW181"/>
  <c r="FG181" s="1"/>
  <c r="EE181"/>
  <c r="FO181" s="1"/>
  <c r="DQ181"/>
  <c r="DY181"/>
  <c r="FI181" s="1"/>
  <c r="EG181"/>
  <c r="FQ181" s="1"/>
  <c r="DS181"/>
  <c r="FC181" s="1"/>
  <c r="EI181"/>
  <c r="FS181" s="1"/>
  <c r="DU181"/>
  <c r="DC191"/>
  <c r="DE191"/>
  <c r="DC197"/>
  <c r="DE197"/>
  <c r="DC202"/>
  <c r="DE202"/>
  <c r="C414"/>
  <c r="C410"/>
  <c r="E513"/>
  <c r="AI372"/>
  <c r="DE89"/>
  <c r="EC92"/>
  <c r="FM92" s="1"/>
  <c r="DV92"/>
  <c r="FF92" s="1"/>
  <c r="DN92"/>
  <c r="EX92" s="1"/>
  <c r="DF92"/>
  <c r="EK92" s="1"/>
  <c r="EF96"/>
  <c r="FP96" s="1"/>
  <c r="DX96"/>
  <c r="FH96" s="1"/>
  <c r="DP96"/>
  <c r="DH96"/>
  <c r="ER96" s="1"/>
  <c r="DE106"/>
  <c r="ER106"/>
  <c r="DY107"/>
  <c r="FI107" s="1"/>
  <c r="EJ112"/>
  <c r="FT112" s="1"/>
  <c r="DV112"/>
  <c r="FF112" s="1"/>
  <c r="DF112"/>
  <c r="ER114"/>
  <c r="DO118"/>
  <c r="EY118" s="1"/>
  <c r="EE119"/>
  <c r="FO119" s="1"/>
  <c r="DO119"/>
  <c r="EY119" s="1"/>
  <c r="DV134"/>
  <c r="FF134" s="1"/>
  <c r="EJ136"/>
  <c r="FT136" s="1"/>
  <c r="DT136"/>
  <c r="FD136" s="1"/>
  <c r="DF136"/>
  <c r="DV148"/>
  <c r="EU174"/>
  <c r="DH187"/>
  <c r="ER187" s="1"/>
  <c r="EF92"/>
  <c r="FP92" s="1"/>
  <c r="DY92"/>
  <c r="FI92" s="1"/>
  <c r="DQ92"/>
  <c r="FA92" s="1"/>
  <c r="DI92"/>
  <c r="ES92" s="1"/>
  <c r="EC94"/>
  <c r="FM94" s="1"/>
  <c r="DU94"/>
  <c r="FE94" s="1"/>
  <c r="DN94"/>
  <c r="EX94" s="1"/>
  <c r="DF94"/>
  <c r="EG96"/>
  <c r="DY96"/>
  <c r="FI96" s="1"/>
  <c r="DQ96"/>
  <c r="FA96" s="1"/>
  <c r="DI96"/>
  <c r="ES96" s="1"/>
  <c r="EC107"/>
  <c r="FM107" s="1"/>
  <c r="DQ111"/>
  <c r="EB112"/>
  <c r="FL112" s="1"/>
  <c r="DL112"/>
  <c r="EV112" s="1"/>
  <c r="DE113"/>
  <c r="EU113"/>
  <c r="DS118"/>
  <c r="FC118" s="1"/>
  <c r="EG119"/>
  <c r="FQ119" s="1"/>
  <c r="DQ119"/>
  <c r="FA119" s="1"/>
  <c r="DV122"/>
  <c r="FF122" s="1"/>
  <c r="DF122"/>
  <c r="EP122" s="1"/>
  <c r="ER126"/>
  <c r="ED131"/>
  <c r="FN131" s="1"/>
  <c r="DV131"/>
  <c r="FF131" s="1"/>
  <c r="DN131"/>
  <c r="EX131" s="1"/>
  <c r="DF131"/>
  <c r="EP131" s="1"/>
  <c r="DZ134"/>
  <c r="DZ136"/>
  <c r="DL136"/>
  <c r="EV136" s="1"/>
  <c r="DE137"/>
  <c r="EH148"/>
  <c r="DJ150"/>
  <c r="DE152"/>
  <c r="DH156"/>
  <c r="DF157"/>
  <c r="ER171"/>
  <c r="EU173"/>
  <c r="DC174"/>
  <c r="DS176"/>
  <c r="DV182"/>
  <c r="FF182" s="1"/>
  <c r="DF182"/>
  <c r="EP182" s="1"/>
  <c r="DE183"/>
  <c r="EU185"/>
  <c r="DM142"/>
  <c r="EW142" s="1"/>
  <c r="DQ142"/>
  <c r="FA142" s="1"/>
  <c r="DU142"/>
  <c r="DY142"/>
  <c r="FI142" s="1"/>
  <c r="EC142"/>
  <c r="FM142" s="1"/>
  <c r="EG142"/>
  <c r="EG217" s="1"/>
  <c r="DN142"/>
  <c r="EX142" s="1"/>
  <c r="DR142"/>
  <c r="FB142" s="1"/>
  <c r="DV142"/>
  <c r="FF142" s="1"/>
  <c r="DZ142"/>
  <c r="FJ142" s="1"/>
  <c r="ED142"/>
  <c r="EH142"/>
  <c r="FR142" s="1"/>
  <c r="DK144"/>
  <c r="EU144" s="1"/>
  <c r="EA144"/>
  <c r="FK144" s="1"/>
  <c r="DO144"/>
  <c r="EY144" s="1"/>
  <c r="EE144"/>
  <c r="FO144" s="1"/>
  <c r="DK151"/>
  <c r="EU151" s="1"/>
  <c r="DO151"/>
  <c r="EY151" s="1"/>
  <c r="DW151"/>
  <c r="DK155"/>
  <c r="EU155" s="1"/>
  <c r="DO155"/>
  <c r="EY155" s="1"/>
  <c r="DW155"/>
  <c r="DI156"/>
  <c r="ES156" s="1"/>
  <c r="DF156"/>
  <c r="DL156"/>
  <c r="DG156"/>
  <c r="EQ156" s="1"/>
  <c r="DH159"/>
  <c r="ER159" s="1"/>
  <c r="DG159"/>
  <c r="EQ159" s="1"/>
  <c r="DI169"/>
  <c r="ES169" s="1"/>
  <c r="DG169"/>
  <c r="EQ169" s="1"/>
  <c r="DW169"/>
  <c r="FG169" s="1"/>
  <c r="DK169"/>
  <c r="EU169" s="1"/>
  <c r="EA169"/>
  <c r="FK169" s="1"/>
  <c r="DG170"/>
  <c r="EQ170" s="1"/>
  <c r="DJ170"/>
  <c r="ET170" s="1"/>
  <c r="DN170"/>
  <c r="EX170" s="1"/>
  <c r="DR170"/>
  <c r="FB170" s="1"/>
  <c r="DV170"/>
  <c r="FF170" s="1"/>
  <c r="DZ170"/>
  <c r="ED170"/>
  <c r="EH170"/>
  <c r="FR170" s="1"/>
  <c r="DH170"/>
  <c r="ER170" s="1"/>
  <c r="DK170"/>
  <c r="EU170" s="1"/>
  <c r="DO170"/>
  <c r="EY170" s="1"/>
  <c r="DS170"/>
  <c r="DW170"/>
  <c r="EA170"/>
  <c r="FK170" s="1"/>
  <c r="EE170"/>
  <c r="FO170" s="1"/>
  <c r="EI170"/>
  <c r="FS170" s="1"/>
  <c r="DG174"/>
  <c r="EQ174" s="1"/>
  <c r="DO174"/>
  <c r="EY174" s="1"/>
  <c r="DT174"/>
  <c r="FD174" s="1"/>
  <c r="DX174"/>
  <c r="FH174" s="1"/>
  <c r="EB174"/>
  <c r="FL174" s="1"/>
  <c r="EE174"/>
  <c r="FO174" s="1"/>
  <c r="EI174"/>
  <c r="DI174"/>
  <c r="ES174" s="1"/>
  <c r="DQ174"/>
  <c r="FA174" s="1"/>
  <c r="DU174"/>
  <c r="FE174" s="1"/>
  <c r="DY174"/>
  <c r="FI174" s="1"/>
  <c r="EC174"/>
  <c r="FM174" s="1"/>
  <c r="EF174"/>
  <c r="EJ174"/>
  <c r="FT174" s="1"/>
  <c r="DH177"/>
  <c r="DX177"/>
  <c r="FH177" s="1"/>
  <c r="DN177"/>
  <c r="EX177" s="1"/>
  <c r="DE180"/>
  <c r="DC180"/>
  <c r="DE181"/>
  <c r="DE234" s="1"/>
  <c r="DC181"/>
  <c r="DE192"/>
  <c r="DC192"/>
  <c r="EP196"/>
  <c r="FU196" s="1"/>
  <c r="EK196"/>
  <c r="FS100"/>
  <c r="FS101"/>
  <c r="DO107"/>
  <c r="EY107" s="1"/>
  <c r="DW109"/>
  <c r="FG109" s="1"/>
  <c r="DG109"/>
  <c r="EQ109" s="1"/>
  <c r="DE110"/>
  <c r="ED114"/>
  <c r="DV114"/>
  <c r="FF114" s="1"/>
  <c r="DN114"/>
  <c r="DF114"/>
  <c r="DY115"/>
  <c r="FI115" s="1"/>
  <c r="ED116"/>
  <c r="FN116" s="1"/>
  <c r="DV116"/>
  <c r="FF116" s="1"/>
  <c r="DN116"/>
  <c r="EX116" s="1"/>
  <c r="DF116"/>
  <c r="DI124"/>
  <c r="ES124" s="1"/>
  <c r="DG125"/>
  <c r="EQ125" s="1"/>
  <c r="DG130"/>
  <c r="EQ130" s="1"/>
  <c r="EF135"/>
  <c r="FP135" s="1"/>
  <c r="DX135"/>
  <c r="FH135" s="1"/>
  <c r="DR135"/>
  <c r="FB135" s="1"/>
  <c r="DE136"/>
  <c r="EJ138"/>
  <c r="FT138" s="1"/>
  <c r="ED138"/>
  <c r="FN138" s="1"/>
  <c r="DV138"/>
  <c r="DN138"/>
  <c r="DC139"/>
  <c r="EE141"/>
  <c r="FO141" s="1"/>
  <c r="FS142"/>
  <c r="ED143"/>
  <c r="FS144"/>
  <c r="DE158"/>
  <c r="DE219" s="1"/>
  <c r="ED158"/>
  <c r="FN158" s="1"/>
  <c r="DV158"/>
  <c r="FF158" s="1"/>
  <c r="DN158"/>
  <c r="EX158" s="1"/>
  <c r="FS163"/>
  <c r="FO163"/>
  <c r="EU163"/>
  <c r="FS165"/>
  <c r="FO165"/>
  <c r="EU165"/>
  <c r="FR174"/>
  <c r="EH175"/>
  <c r="FR175" s="1"/>
  <c r="W372"/>
  <c r="W377" s="1"/>
  <c r="C409"/>
  <c r="C412"/>
  <c r="EK198"/>
  <c r="EP198"/>
  <c r="FU198" s="1"/>
  <c r="J376"/>
  <c r="J373"/>
  <c r="E481"/>
  <c r="H480" s="1"/>
  <c r="S372"/>
  <c r="S382" s="1"/>
  <c r="FA98"/>
  <c r="DG138"/>
  <c r="DK138"/>
  <c r="DO138"/>
  <c r="DS138"/>
  <c r="DW138"/>
  <c r="EA138"/>
  <c r="FK138" s="1"/>
  <c r="EE138"/>
  <c r="EI138"/>
  <c r="DH138"/>
  <c r="DH217" s="1"/>
  <c r="DL138"/>
  <c r="DP138"/>
  <c r="DT138"/>
  <c r="FD138" s="1"/>
  <c r="DX138"/>
  <c r="FH138" s="1"/>
  <c r="EB138"/>
  <c r="FL138" s="1"/>
  <c r="DS141"/>
  <c r="EA141"/>
  <c r="FK141" s="1"/>
  <c r="EI141"/>
  <c r="FS141" s="1"/>
  <c r="DU141"/>
  <c r="EC141"/>
  <c r="FM141" s="1"/>
  <c r="DG143"/>
  <c r="EQ143" s="1"/>
  <c r="DF143"/>
  <c r="EP143" s="1"/>
  <c r="DN143"/>
  <c r="DT143"/>
  <c r="FD143" s="1"/>
  <c r="DX143"/>
  <c r="FH143" s="1"/>
  <c r="EB143"/>
  <c r="FL143" s="1"/>
  <c r="EF143"/>
  <c r="EJ143"/>
  <c r="FT143" s="1"/>
  <c r="DH143"/>
  <c r="DP143"/>
  <c r="EZ143" s="1"/>
  <c r="DV143"/>
  <c r="FF143" s="1"/>
  <c r="DY143"/>
  <c r="FI143" s="1"/>
  <c r="EC143"/>
  <c r="FM143" s="1"/>
  <c r="EG143"/>
  <c r="FQ143" s="1"/>
  <c r="DN149"/>
  <c r="EX149" s="1"/>
  <c r="DV149"/>
  <c r="FF149" s="1"/>
  <c r="ED149"/>
  <c r="DP149"/>
  <c r="EZ149" s="1"/>
  <c r="DX149"/>
  <c r="FH149" s="1"/>
  <c r="EF149"/>
  <c r="FP149" s="1"/>
  <c r="DE151"/>
  <c r="DE231" s="1"/>
  <c r="DC151"/>
  <c r="DE155"/>
  <c r="DC155"/>
  <c r="DG158"/>
  <c r="DK158"/>
  <c r="EU158" s="1"/>
  <c r="DO158"/>
  <c r="DS158"/>
  <c r="DW158"/>
  <c r="EA158"/>
  <c r="FK158" s="1"/>
  <c r="EE158"/>
  <c r="FO158" s="1"/>
  <c r="EI158"/>
  <c r="DH158"/>
  <c r="DL158"/>
  <c r="EV158" s="1"/>
  <c r="DP158"/>
  <c r="EZ158" s="1"/>
  <c r="DT158"/>
  <c r="FD158" s="1"/>
  <c r="DX158"/>
  <c r="EB158"/>
  <c r="FL158" s="1"/>
  <c r="EF158"/>
  <c r="EJ158"/>
  <c r="FT158" s="1"/>
  <c r="DH175"/>
  <c r="DR175"/>
  <c r="FB175" s="1"/>
  <c r="EB175"/>
  <c r="DJ175"/>
  <c r="ET175" s="1"/>
  <c r="DT175"/>
  <c r="FD175" s="1"/>
  <c r="EF175"/>
  <c r="FP175" s="1"/>
  <c r="DP179"/>
  <c r="EZ179" s="1"/>
  <c r="DR179"/>
  <c r="FB179" s="1"/>
  <c r="EP191"/>
  <c r="FU191" s="1"/>
  <c r="EK191"/>
  <c r="AD381"/>
  <c r="E495"/>
  <c r="H494" s="1"/>
  <c r="Z372"/>
  <c r="N382"/>
  <c r="N380"/>
  <c r="N377"/>
  <c r="N374"/>
  <c r="N373"/>
  <c r="I552"/>
  <c r="FO100"/>
  <c r="FR101"/>
  <c r="FO101"/>
  <c r="FR106"/>
  <c r="FB106"/>
  <c r="DG107"/>
  <c r="EQ107" s="1"/>
  <c r="FS109"/>
  <c r="FO113"/>
  <c r="FL114"/>
  <c r="FL116"/>
  <c r="FR125"/>
  <c r="FB125"/>
  <c r="FR126"/>
  <c r="FB126"/>
  <c r="FF139"/>
  <c r="EU139"/>
  <c r="FS143"/>
  <c r="FB146"/>
  <c r="FR147"/>
  <c r="FB147"/>
  <c r="EU153"/>
  <c r="FF159"/>
  <c r="FB159"/>
  <c r="FR165"/>
  <c r="FF165"/>
  <c r="FB165"/>
  <c r="FO169"/>
  <c r="FB174"/>
  <c r="FF177"/>
  <c r="FS184"/>
  <c r="FO186"/>
  <c r="DE199"/>
  <c r="J377"/>
  <c r="C413"/>
  <c r="FO139"/>
  <c r="FI139"/>
  <c r="FR145"/>
  <c r="DE146"/>
  <c r="FR146"/>
  <c r="DG146"/>
  <c r="EQ146" s="1"/>
  <c r="FF147"/>
  <c r="FF152"/>
  <c r="FO153"/>
  <c r="DE154"/>
  <c r="FO159"/>
  <c r="DC162"/>
  <c r="FR163"/>
  <c r="FF163"/>
  <c r="FB163"/>
  <c r="DC164"/>
  <c r="FM165"/>
  <c r="FI165"/>
  <c r="EW165"/>
  <c r="DC169"/>
  <c r="FM173"/>
  <c r="FI173"/>
  <c r="EW173"/>
  <c r="DE175"/>
  <c r="FR180"/>
  <c r="FM180"/>
  <c r="FM186"/>
  <c r="FI186"/>
  <c r="DC204"/>
  <c r="C407"/>
  <c r="FF145"/>
  <c r="FB145"/>
  <c r="FL147"/>
  <c r="FR152"/>
  <c r="FM153"/>
  <c r="EW153"/>
  <c r="FR159"/>
  <c r="FM163"/>
  <c r="FI163"/>
  <c r="EZ165"/>
  <c r="ER165"/>
  <c r="FR171"/>
  <c r="FB171"/>
  <c r="FF180"/>
  <c r="FB180"/>
  <c r="FR183"/>
  <c r="FB183"/>
  <c r="EE185"/>
  <c r="FO185" s="1"/>
  <c r="C408"/>
  <c r="C411"/>
  <c r="FF108"/>
  <c r="FB108"/>
  <c r="FS118"/>
  <c r="FD128"/>
  <c r="FO138"/>
  <c r="FF148"/>
  <c r="EQ158"/>
  <c r="FR88"/>
  <c r="ET88"/>
  <c r="FM98"/>
  <c r="FJ108"/>
  <c r="EX108"/>
  <c r="FK118"/>
  <c r="EV128"/>
  <c r="FS138"/>
  <c r="FM138"/>
  <c r="FI138"/>
  <c r="FF138"/>
  <c r="FM158"/>
  <c r="FI158"/>
  <c r="EY158"/>
  <c r="FJ168"/>
  <c r="FS178"/>
  <c r="FB178"/>
  <c r="EY178"/>
  <c r="FO118"/>
  <c r="FP128"/>
  <c r="EZ128"/>
  <c r="EW138"/>
  <c r="ES138"/>
  <c r="FR148"/>
  <c r="FB148"/>
  <c r="ET168"/>
  <c r="FT178"/>
  <c r="FM178"/>
  <c r="FI178"/>
  <c r="FC178"/>
  <c r="FP178"/>
  <c r="FF178"/>
  <c r="FT88"/>
  <c r="FD88"/>
  <c r="FR108"/>
  <c r="FF88"/>
  <c r="FE98"/>
  <c r="FN108"/>
  <c r="FT128"/>
  <c r="EX138"/>
  <c r="FJ178"/>
  <c r="FD178"/>
  <c r="EV178"/>
  <c r="FP88"/>
  <c r="FH88"/>
  <c r="ER88"/>
  <c r="FI98"/>
  <c r="ES98"/>
  <c r="FE138"/>
  <c r="EY138"/>
  <c r="EU138"/>
  <c r="FJ148"/>
  <c r="FH158"/>
  <c r="FE158"/>
  <c r="FB158"/>
  <c r="FR178"/>
  <c r="FO178"/>
  <c r="FK178"/>
  <c r="ES178"/>
  <c r="FT108"/>
  <c r="FH108"/>
  <c r="FR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B427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AB424" s="1"/>
  <c r="X22"/>
  <c r="X38" s="1"/>
  <c r="T22"/>
  <c r="T38" s="1"/>
  <c r="P22"/>
  <c r="P38" s="1"/>
  <c r="L22"/>
  <c r="L38" s="1"/>
  <c r="P25"/>
  <c r="P41" s="1"/>
  <c r="AJ26"/>
  <c r="AJ42" s="1"/>
  <c r="AB26"/>
  <c r="AB42" s="1"/>
  <c r="AB428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B431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I428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I427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AB425" s="1"/>
  <c r="P23"/>
  <c r="P39" s="1"/>
  <c r="H23"/>
  <c r="H39" s="1"/>
  <c r="AG22"/>
  <c r="AG38" s="1"/>
  <c r="AC22"/>
  <c r="AC38" s="1"/>
  <c r="U30"/>
  <c r="U46" s="1"/>
  <c r="U61" s="1"/>
  <c r="M22"/>
  <c r="M38" s="1"/>
  <c r="I22"/>
  <c r="I38" s="1"/>
  <c r="I424" s="1"/>
  <c r="Q23"/>
  <c r="Q39" s="1"/>
  <c r="D72"/>
  <c r="D535" s="1"/>
  <c r="Y22"/>
  <c r="Y38" s="1"/>
  <c r="AI30"/>
  <c r="AI46" s="1"/>
  <c r="AI61" s="1"/>
  <c r="AA30"/>
  <c r="AA46" s="1"/>
  <c r="O30"/>
  <c r="O46" s="1"/>
  <c r="G21"/>
  <c r="G37" s="1"/>
  <c r="X30"/>
  <c r="X46" s="1"/>
  <c r="T30"/>
  <c r="T46" s="1"/>
  <c r="H30"/>
  <c r="H46" s="1"/>
  <c r="AK30"/>
  <c r="AK46" s="1"/>
  <c r="AK61" s="1"/>
  <c r="AG21"/>
  <c r="AG37" s="1"/>
  <c r="AC30"/>
  <c r="AC46" s="1"/>
  <c r="Y30"/>
  <c r="Y46" s="1"/>
  <c r="U21"/>
  <c r="U37" s="1"/>
  <c r="Q30"/>
  <c r="Q46" s="1"/>
  <c r="M21"/>
  <c r="M37" s="1"/>
  <c r="I21"/>
  <c r="I37" s="1"/>
  <c r="I423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W61" s="1"/>
  <c r="S30"/>
  <c r="S46" s="1"/>
  <c r="S61" s="1"/>
  <c r="K30"/>
  <c r="K46" s="1"/>
  <c r="G30"/>
  <c r="G46" s="1"/>
  <c r="AD29"/>
  <c r="AD45" s="1"/>
  <c r="V29"/>
  <c r="V45" s="1"/>
  <c r="N29"/>
  <c r="N45" s="1"/>
  <c r="N431" s="1"/>
  <c r="AD27"/>
  <c r="AD43" s="1"/>
  <c r="V27"/>
  <c r="V43" s="1"/>
  <c r="N27"/>
  <c r="N43" s="1"/>
  <c r="N429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M30"/>
  <c r="M46" s="1"/>
  <c r="M61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N427" s="1"/>
  <c r="I30"/>
  <c r="I46" s="1"/>
  <c r="I61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Y379"/>
  <c r="FQ156"/>
  <c r="FN143"/>
  <c r="FN120"/>
  <c r="E505"/>
  <c r="FN178"/>
  <c r="FN173"/>
  <c r="FN165"/>
  <c r="FN137"/>
  <c r="FN114"/>
  <c r="FL186"/>
  <c r="FL173"/>
  <c r="FL165"/>
  <c r="FL163"/>
  <c r="FL152"/>
  <c r="FL124"/>
  <c r="FL175"/>
  <c r="FL154"/>
  <c r="FL149"/>
  <c r="FL146"/>
  <c r="FL142"/>
  <c r="FL137"/>
  <c r="FG174"/>
  <c r="E491"/>
  <c r="X372"/>
  <c r="X381" s="1"/>
  <c r="FG162"/>
  <c r="FG156"/>
  <c r="ER152"/>
  <c r="ER149"/>
  <c r="ER131"/>
  <c r="ER157"/>
  <c r="ER156"/>
  <c r="ER146"/>
  <c r="ER135"/>
  <c r="ER125"/>
  <c r="ER120"/>
  <c r="EP165"/>
  <c r="EP150"/>
  <c r="EP120"/>
  <c r="EP178"/>
  <c r="EP173"/>
  <c r="EP158"/>
  <c r="EP136"/>
  <c r="Z381"/>
  <c r="Z374"/>
  <c r="O376"/>
  <c r="O373"/>
  <c r="O380"/>
  <c r="J380"/>
  <c r="J374"/>
  <c r="J382"/>
  <c r="J381"/>
  <c r="AA372"/>
  <c r="AA382" s="1"/>
  <c r="FJ182"/>
  <c r="FJ158"/>
  <c r="FJ150"/>
  <c r="FJ143"/>
  <c r="FJ114"/>
  <c r="FJ159"/>
  <c r="FJ145"/>
  <c r="FJ137"/>
  <c r="FJ131"/>
  <c r="E487"/>
  <c r="H488" s="1"/>
  <c r="FE156"/>
  <c r="FC164"/>
  <c r="T372"/>
  <c r="T422" s="1"/>
  <c r="FC169"/>
  <c r="FC156"/>
  <c r="FC153"/>
  <c r="EZ186"/>
  <c r="EZ177"/>
  <c r="EZ170"/>
  <c r="EZ152"/>
  <c r="EZ145"/>
  <c r="EZ116"/>
  <c r="E477"/>
  <c r="H478" s="1"/>
  <c r="Q372"/>
  <c r="Q374" s="1"/>
  <c r="EZ154"/>
  <c r="EZ146"/>
  <c r="EZ120"/>
  <c r="AK378"/>
  <c r="AB378"/>
  <c r="AB374"/>
  <c r="AB375"/>
  <c r="R372"/>
  <c r="FA181"/>
  <c r="FA162"/>
  <c r="EX157"/>
  <c r="EX150"/>
  <c r="EX143"/>
  <c r="E473"/>
  <c r="H474" s="1"/>
  <c r="EX178"/>
  <c r="EX165"/>
  <c r="EX159"/>
  <c r="EX137"/>
  <c r="EX124"/>
  <c r="EX114"/>
  <c r="EV165"/>
  <c r="EV163"/>
  <c r="EV152"/>
  <c r="EV156"/>
  <c r="EV149"/>
  <c r="EV146"/>
  <c r="EV138"/>
  <c r="EV137"/>
  <c r="H476"/>
  <c r="FN90"/>
  <c r="ER90"/>
  <c r="FQ92"/>
  <c r="FQ101"/>
  <c r="FL102"/>
  <c r="FL104"/>
  <c r="FL131"/>
  <c r="FL135"/>
  <c r="FN136"/>
  <c r="FG143"/>
  <c r="FN152"/>
  <c r="FQ153"/>
  <c r="FN156"/>
  <c r="ER158"/>
  <c r="EP170"/>
  <c r="ER178"/>
  <c r="ER182"/>
  <c r="AE372"/>
  <c r="AE422" s="1"/>
  <c r="E511"/>
  <c r="E501"/>
  <c r="H502" s="1"/>
  <c r="E461"/>
  <c r="E457"/>
  <c r="FL88"/>
  <c r="FE89"/>
  <c r="FE90"/>
  <c r="ER92"/>
  <c r="FQ94"/>
  <c r="FJ94"/>
  <c r="FL96"/>
  <c r="FC96"/>
  <c r="EZ96"/>
  <c r="FQ98"/>
  <c r="FJ99"/>
  <c r="FG100"/>
  <c r="FL101"/>
  <c r="FG101"/>
  <c r="ER102"/>
  <c r="FQ103"/>
  <c r="ER104"/>
  <c r="FC105"/>
  <c r="FJ106"/>
  <c r="EZ106"/>
  <c r="EZ108"/>
  <c r="EZ112"/>
  <c r="ER116"/>
  <c r="FC117"/>
  <c r="FC124"/>
  <c r="EZ124"/>
  <c r="EZ125"/>
  <c r="FG131"/>
  <c r="FJ136"/>
  <c r="EZ136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FE181"/>
  <c r="FC185"/>
  <c r="FQ186"/>
  <c r="FN186"/>
  <c r="FJ186"/>
  <c r="FG186"/>
  <c r="Y373"/>
  <c r="Y374"/>
  <c r="O375"/>
  <c r="O377"/>
  <c r="V372"/>
  <c r="V374" s="1"/>
  <c r="G372"/>
  <c r="G422" s="1"/>
  <c r="E497"/>
  <c r="H498" s="1"/>
  <c r="E483"/>
  <c r="H484" s="1"/>
  <c r="M378"/>
  <c r="M377"/>
  <c r="AJ372"/>
  <c r="AJ373" s="1"/>
  <c r="FS164"/>
  <c r="FS162"/>
  <c r="FS139"/>
  <c r="FS180"/>
  <c r="FS169"/>
  <c r="FS156"/>
  <c r="FS153"/>
  <c r="AG372"/>
  <c r="FP152"/>
  <c r="FP145"/>
  <c r="FP143"/>
  <c r="FP131"/>
  <c r="FP116"/>
  <c r="E509"/>
  <c r="FP157"/>
  <c r="FP146"/>
  <c r="FP120"/>
  <c r="K372"/>
  <c r="ET182"/>
  <c r="ET150"/>
  <c r="ET143"/>
  <c r="ET138"/>
  <c r="ET137"/>
  <c r="ET114"/>
  <c r="ET131"/>
  <c r="FL94"/>
  <c r="FQ99"/>
  <c r="FN101"/>
  <c r="EP102"/>
  <c r="FN106"/>
  <c r="FG119"/>
  <c r="ER132"/>
  <c r="FL145"/>
  <c r="EP152"/>
  <c r="FQ162"/>
  <c r="FQ166"/>
  <c r="EP166"/>
  <c r="FQ173"/>
  <c r="FG178"/>
  <c r="FN88"/>
  <c r="EP88"/>
  <c r="FG89"/>
  <c r="FN94"/>
  <c r="ER94"/>
  <c r="FQ96"/>
  <c r="FG96"/>
  <c r="FN102"/>
  <c r="FG105"/>
  <c r="FL106"/>
  <c r="EP106"/>
  <c r="FL108"/>
  <c r="FG113"/>
  <c r="EP114"/>
  <c r="FL120"/>
  <c r="FG120"/>
  <c r="FL122"/>
  <c r="FL125"/>
  <c r="EP125"/>
  <c r="FN126"/>
  <c r="EP126"/>
  <c r="FL128"/>
  <c r="FN129"/>
  <c r="FE130"/>
  <c r="FQ131"/>
  <c r="FQ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G155"/>
  <c r="EP157"/>
  <c r="FQ158"/>
  <c r="FL159"/>
  <c r="FC159"/>
  <c r="EZ159"/>
  <c r="FQ164"/>
  <c r="FN164"/>
  <c r="FQ170"/>
  <c r="FN170"/>
  <c r="FJ170"/>
  <c r="FE170"/>
  <c r="FE173"/>
  <c r="FN174"/>
  <c r="FC176"/>
  <c r="ER177"/>
  <c r="EZ180"/>
  <c r="FL182"/>
  <c r="FE182"/>
  <c r="FE186"/>
  <c r="Z373"/>
  <c r="O379"/>
  <c r="AH372"/>
  <c r="AH422" s="1"/>
  <c r="AC372"/>
  <c r="FL110"/>
  <c r="EV110"/>
  <c r="FE115"/>
  <c r="FJ116"/>
  <c r="ET116"/>
  <c r="FG117"/>
  <c r="FC119"/>
  <c r="FS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FC138"/>
  <c r="EZ138"/>
  <c r="FN139"/>
  <c r="EZ139"/>
  <c r="FS140"/>
  <c r="FC140"/>
  <c r="FQ141"/>
  <c r="FA141"/>
  <c r="FG142"/>
  <c r="FE145"/>
  <c r="FN147"/>
  <c r="EX147"/>
  <c r="EP147"/>
  <c r="FN148"/>
  <c r="ET158"/>
  <c r="FS159"/>
  <c r="FP159"/>
  <c r="FG159"/>
  <c r="FL160"/>
  <c r="EZ161"/>
  <c r="FP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FQ111"/>
  <c r="FA111"/>
  <c r="FN112"/>
  <c r="EX112"/>
  <c r="FS113"/>
  <c r="FC113"/>
  <c r="FP114"/>
  <c r="EZ114"/>
  <c r="FE119"/>
  <c r="FQ120"/>
  <c r="FA120"/>
  <c r="ET122"/>
  <c r="FG124"/>
  <c r="FJ125"/>
  <c r="ET125"/>
  <c r="FL126"/>
  <c r="EV126"/>
  <c r="ER128"/>
  <c r="ET129"/>
  <c r="FQ130"/>
  <c r="FC131"/>
  <c r="FL132"/>
  <c r="EV132"/>
  <c r="FJ134"/>
  <c r="ET134"/>
  <c r="FJ135"/>
  <c r="ET135"/>
  <c r="FG138"/>
  <c r="FA138"/>
  <c r="FA139"/>
  <c r="EV139"/>
  <c r="ER139"/>
  <c r="FE140"/>
  <c r="FC141"/>
  <c r="FE142"/>
  <c r="FS145"/>
  <c r="FC145"/>
  <c r="FP147"/>
  <c r="EZ147"/>
  <c r="ER147"/>
  <c r="FN149"/>
  <c r="FG151"/>
  <c r="FE153"/>
  <c r="FS158"/>
  <c r="FP158"/>
  <c r="FG158"/>
  <c r="FA158"/>
  <c r="FQ159"/>
  <c r="FE159"/>
  <c r="FN160"/>
  <c r="FN162"/>
  <c r="EV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EZ175"/>
  <c r="FN177"/>
  <c r="FL178"/>
  <c r="FQ180"/>
  <c r="FC180"/>
  <c r="EX180"/>
  <c r="FN182"/>
  <c r="EX182"/>
  <c r="EV183"/>
  <c r="FS186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DE218" s="1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E228" s="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E216" s="1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I91"/>
  <c r="FS91" s="1"/>
  <c r="EE91"/>
  <c r="FO91" s="1"/>
  <c r="EA91"/>
  <c r="FK91" s="1"/>
  <c r="DW91"/>
  <c r="FG91" s="1"/>
  <c r="DS91"/>
  <c r="FC91" s="1"/>
  <c r="DO91"/>
  <c r="EY91" s="1"/>
  <c r="DK91"/>
  <c r="DE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DE214" s="1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E212" s="1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F214" s="1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DE217" s="1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H220" s="1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64"/>
  <c r="H462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F217" s="1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F219" s="1"/>
  <c r="DK159"/>
  <c r="EU159" s="1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93"/>
  <c r="EP193"/>
  <c r="FU193" s="1"/>
  <c r="DE196"/>
  <c r="DC196"/>
  <c r="EK207"/>
  <c r="EP207"/>
  <c r="FU207" s="1"/>
  <c r="CM88"/>
  <c r="AG377"/>
  <c r="U376"/>
  <c r="U375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E233" s="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8"/>
  <c r="AI373"/>
  <c r="AD379"/>
  <c r="AD377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75"/>
  <c r="AB381"/>
  <c r="AB377"/>
  <c r="AB373"/>
  <c r="AB382"/>
  <c r="AB379"/>
  <c r="Y382"/>
  <c r="Y380"/>
  <c r="Y376"/>
  <c r="Y378"/>
  <c r="N379"/>
  <c r="N375"/>
  <c r="N378"/>
  <c r="N376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432" s="1"/>
  <c r="AB21"/>
  <c r="AB37" s="1"/>
  <c r="P21"/>
  <c r="P30"/>
  <c r="P46" s="1"/>
  <c r="AH28"/>
  <c r="AH44" s="1"/>
  <c r="AD28"/>
  <c r="AD44" s="1"/>
  <c r="Z28"/>
  <c r="Z44" s="1"/>
  <c r="V28"/>
  <c r="V44" s="1"/>
  <c r="R28"/>
  <c r="R44" s="1"/>
  <c r="N28"/>
  <c r="N44" s="1"/>
  <c r="N430" s="1"/>
  <c r="J28"/>
  <c r="CM128"/>
  <c r="AF377"/>
  <c r="Q376"/>
  <c r="H470"/>
  <c r="AE382"/>
  <c r="W378"/>
  <c r="O382"/>
  <c r="O378"/>
  <c r="O374"/>
  <c r="J379"/>
  <c r="J375"/>
  <c r="G382"/>
  <c r="AH23"/>
  <c r="AH39" s="1"/>
  <c r="AH30"/>
  <c r="AH46" s="1"/>
  <c r="AD23"/>
  <c r="AD39" s="1"/>
  <c r="AD425" s="1"/>
  <c r="AD30"/>
  <c r="AD46" s="1"/>
  <c r="Z23"/>
  <c r="Z39" s="1"/>
  <c r="Z30"/>
  <c r="Z46" s="1"/>
  <c r="V23"/>
  <c r="V39" s="1"/>
  <c r="V30"/>
  <c r="V46" s="1"/>
  <c r="R23"/>
  <c r="R39" s="1"/>
  <c r="R30"/>
  <c r="R46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AD426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N424" s="1"/>
  <c r="J22"/>
  <c r="J38" s="1"/>
  <c r="AF373" l="1"/>
  <c r="AD430"/>
  <c r="AD448" s="1"/>
  <c r="T381"/>
  <c r="X374"/>
  <c r="U373"/>
  <c r="U382"/>
  <c r="H496"/>
  <c r="AF380"/>
  <c r="AK373"/>
  <c r="AA376"/>
  <c r="AK379"/>
  <c r="T377"/>
  <c r="AK382"/>
  <c r="U381"/>
  <c r="AF376"/>
  <c r="H492"/>
  <c r="H466"/>
  <c r="AD432"/>
  <c r="AD450" s="1"/>
  <c r="Q379"/>
  <c r="AD374"/>
  <c r="AD380"/>
  <c r="AE374"/>
  <c r="T380"/>
  <c r="AK380"/>
  <c r="AD373"/>
  <c r="AD378"/>
  <c r="AK377"/>
  <c r="AD424"/>
  <c r="AD442" s="1"/>
  <c r="AE378"/>
  <c r="AD375"/>
  <c r="AD431"/>
  <c r="AD449" s="1"/>
  <c r="T378"/>
  <c r="AK376"/>
  <c r="AD376"/>
  <c r="AD382"/>
  <c r="AJ381"/>
  <c r="AJ422"/>
  <c r="S375"/>
  <c r="S422"/>
  <c r="H424"/>
  <c r="H442" s="1"/>
  <c r="H428"/>
  <c r="H446" s="1"/>
  <c r="H432"/>
  <c r="H450" s="1"/>
  <c r="H423"/>
  <c r="H441" s="1"/>
  <c r="H425"/>
  <c r="H443" s="1"/>
  <c r="H427"/>
  <c r="H445" s="1"/>
  <c r="H429"/>
  <c r="H447" s="1"/>
  <c r="H431"/>
  <c r="H449" s="1"/>
  <c r="H426"/>
  <c r="H444" s="1"/>
  <c r="H430"/>
  <c r="H448" s="1"/>
  <c r="AC382"/>
  <c r="AC422"/>
  <c r="G425"/>
  <c r="G443" s="1"/>
  <c r="G429"/>
  <c r="G447" s="1"/>
  <c r="G423"/>
  <c r="G441" s="1"/>
  <c r="G431"/>
  <c r="G449" s="1"/>
  <c r="G428"/>
  <c r="G446" s="1"/>
  <c r="G432"/>
  <c r="G450" s="1"/>
  <c r="G427"/>
  <c r="G430"/>
  <c r="G448" s="1"/>
  <c r="O424"/>
  <c r="O426"/>
  <c r="O444" s="1"/>
  <c r="O428"/>
  <c r="O446" s="1"/>
  <c r="O430"/>
  <c r="O448" s="1"/>
  <c r="O432"/>
  <c r="O450" s="1"/>
  <c r="O429"/>
  <c r="O447" s="1"/>
  <c r="O423"/>
  <c r="O441" s="1"/>
  <c r="O425"/>
  <c r="O443" s="1"/>
  <c r="O427"/>
  <c r="O445" s="1"/>
  <c r="O431"/>
  <c r="O449" s="1"/>
  <c r="K378"/>
  <c r="K422"/>
  <c r="Q382"/>
  <c r="Q422"/>
  <c r="AA374"/>
  <c r="AA422"/>
  <c r="X373"/>
  <c r="X422"/>
  <c r="Z382"/>
  <c r="Z422"/>
  <c r="AI374"/>
  <c r="AI422"/>
  <c r="M423"/>
  <c r="M441" s="1"/>
  <c r="M425"/>
  <c r="M443" s="1"/>
  <c r="M427"/>
  <c r="M445" s="1"/>
  <c r="M429"/>
  <c r="M447" s="1"/>
  <c r="M431"/>
  <c r="M449" s="1"/>
  <c r="M426"/>
  <c r="M444" s="1"/>
  <c r="M428"/>
  <c r="M446" s="1"/>
  <c r="M432"/>
  <c r="M450" s="1"/>
  <c r="M424"/>
  <c r="M442" s="1"/>
  <c r="M430"/>
  <c r="M448" s="1"/>
  <c r="AK422"/>
  <c r="AK381"/>
  <c r="H482"/>
  <c r="AB423"/>
  <c r="AB441" s="1"/>
  <c r="AH379"/>
  <c r="V381"/>
  <c r="AJ378"/>
  <c r="H512"/>
  <c r="AH375"/>
  <c r="AC380"/>
  <c r="AJ379"/>
  <c r="H514"/>
  <c r="S373"/>
  <c r="N447"/>
  <c r="AB443"/>
  <c r="AB442"/>
  <c r="H508"/>
  <c r="AD423"/>
  <c r="AD441" s="1"/>
  <c r="AB426"/>
  <c r="AB444" s="1"/>
  <c r="AH425"/>
  <c r="AH443" s="1"/>
  <c r="AH429"/>
  <c r="AH447" s="1"/>
  <c r="AH424"/>
  <c r="AH442" s="1"/>
  <c r="AH426"/>
  <c r="AH444" s="1"/>
  <c r="AH428"/>
  <c r="AH446" s="1"/>
  <c r="AH430"/>
  <c r="AH448" s="1"/>
  <c r="AH432"/>
  <c r="AH450" s="1"/>
  <c r="AH423"/>
  <c r="AH441" s="1"/>
  <c r="AH427"/>
  <c r="AH445" s="1"/>
  <c r="AH431"/>
  <c r="AH449" s="1"/>
  <c r="AG378"/>
  <c r="AG422"/>
  <c r="V376"/>
  <c r="V422"/>
  <c r="L382"/>
  <c r="L422"/>
  <c r="P424"/>
  <c r="P442" s="1"/>
  <c r="P428"/>
  <c r="P446" s="1"/>
  <c r="P432"/>
  <c r="P450" s="1"/>
  <c r="P425"/>
  <c r="P443" s="1"/>
  <c r="P427"/>
  <c r="P445" s="1"/>
  <c r="P429"/>
  <c r="P447" s="1"/>
  <c r="P431"/>
  <c r="P449" s="1"/>
  <c r="P426"/>
  <c r="P444" s="1"/>
  <c r="P430"/>
  <c r="P448" s="1"/>
  <c r="Y423"/>
  <c r="Y441" s="1"/>
  <c r="Y425"/>
  <c r="Y443" s="1"/>
  <c r="Y427"/>
  <c r="Y445" s="1"/>
  <c r="Y429"/>
  <c r="Y447" s="1"/>
  <c r="Y431"/>
  <c r="Y449" s="1"/>
  <c r="Y426"/>
  <c r="Y444" s="1"/>
  <c r="Y430"/>
  <c r="Y448" s="1"/>
  <c r="Y424"/>
  <c r="Y442" s="1"/>
  <c r="Y428"/>
  <c r="Y446" s="1"/>
  <c r="Y432"/>
  <c r="Y450" s="1"/>
  <c r="AE424"/>
  <c r="AE442" s="1"/>
  <c r="AE426"/>
  <c r="AE444" s="1"/>
  <c r="AE428"/>
  <c r="AE446" s="1"/>
  <c r="AE430"/>
  <c r="AE448" s="1"/>
  <c r="AE432"/>
  <c r="AE450" s="1"/>
  <c r="AE429"/>
  <c r="AE447" s="1"/>
  <c r="AE423"/>
  <c r="AE441" s="1"/>
  <c r="AE425"/>
  <c r="AE443" s="1"/>
  <c r="AE427"/>
  <c r="AE445" s="1"/>
  <c r="AE431"/>
  <c r="AE449" s="1"/>
  <c r="R379"/>
  <c r="R422"/>
  <c r="T426"/>
  <c r="T444" s="1"/>
  <c r="T430"/>
  <c r="T448" s="1"/>
  <c r="T423"/>
  <c r="T441" s="1"/>
  <c r="T425"/>
  <c r="T443" s="1"/>
  <c r="T427"/>
  <c r="T445" s="1"/>
  <c r="T429"/>
  <c r="T447" s="1"/>
  <c r="T431"/>
  <c r="T449" s="1"/>
  <c r="T424"/>
  <c r="T442" s="1"/>
  <c r="T428"/>
  <c r="T446" s="1"/>
  <c r="T432"/>
  <c r="T450" s="1"/>
  <c r="W373"/>
  <c r="W422"/>
  <c r="AF424"/>
  <c r="AF442" s="1"/>
  <c r="AF428"/>
  <c r="AF446" s="1"/>
  <c r="AF432"/>
  <c r="AF450" s="1"/>
  <c r="AF423"/>
  <c r="AF441" s="1"/>
  <c r="AF425"/>
  <c r="AF443" s="1"/>
  <c r="AF427"/>
  <c r="AF445" s="1"/>
  <c r="AF429"/>
  <c r="AF447" s="1"/>
  <c r="AF431"/>
  <c r="AF449" s="1"/>
  <c r="AF426"/>
  <c r="AF444" s="1"/>
  <c r="AF430"/>
  <c r="AF448" s="1"/>
  <c r="U422"/>
  <c r="U378"/>
  <c r="U374"/>
  <c r="U379"/>
  <c r="J424"/>
  <c r="J442" s="1"/>
  <c r="J426"/>
  <c r="J444" s="1"/>
  <c r="J423"/>
  <c r="J441" s="1"/>
  <c r="J427"/>
  <c r="J445" s="1"/>
  <c r="O442"/>
  <c r="I445"/>
  <c r="AB445"/>
  <c r="N428"/>
  <c r="N446" s="1"/>
  <c r="I431"/>
  <c r="I449" s="1"/>
  <c r="G459"/>
  <c r="N448"/>
  <c r="S378"/>
  <c r="S379"/>
  <c r="I442"/>
  <c r="I446"/>
  <c r="AB446"/>
  <c r="I432"/>
  <c r="I450" s="1"/>
  <c r="I430"/>
  <c r="I448" s="1"/>
  <c r="I425"/>
  <c r="I443" s="1"/>
  <c r="N442"/>
  <c r="AD444"/>
  <c r="AD443"/>
  <c r="H472"/>
  <c r="L377"/>
  <c r="AG380"/>
  <c r="AJ377"/>
  <c r="S381"/>
  <c r="N445"/>
  <c r="N449"/>
  <c r="I441"/>
  <c r="AB449"/>
  <c r="N425"/>
  <c r="N443" s="1"/>
  <c r="N426"/>
  <c r="N444" s="1"/>
  <c r="N423"/>
  <c r="N441" s="1"/>
  <c r="DG235"/>
  <c r="AD429"/>
  <c r="AD447" s="1"/>
  <c r="AD428"/>
  <c r="AD446" s="1"/>
  <c r="AD427"/>
  <c r="AD445" s="1"/>
  <c r="I426"/>
  <c r="I444" s="1"/>
  <c r="I429"/>
  <c r="I447" s="1"/>
  <c r="AB429"/>
  <c r="AB447" s="1"/>
  <c r="AB430"/>
  <c r="AB448" s="1"/>
  <c r="AF379"/>
  <c r="AF378"/>
  <c r="AF374"/>
  <c r="EW108"/>
  <c r="DM214"/>
  <c r="ES168"/>
  <c r="DI220"/>
  <c r="EU88"/>
  <c r="DK212"/>
  <c r="EQ128"/>
  <c r="DG216"/>
  <c r="EQ118"/>
  <c r="DG215"/>
  <c r="DG220"/>
  <c r="EP162"/>
  <c r="W376"/>
  <c r="Z380"/>
  <c r="DH221"/>
  <c r="Z375"/>
  <c r="AC381"/>
  <c r="AF375"/>
  <c r="AC378"/>
  <c r="S374"/>
  <c r="L380"/>
  <c r="AA375"/>
  <c r="AG375"/>
  <c r="AJ374"/>
  <c r="AJ382"/>
  <c r="EK182"/>
  <c r="EK170"/>
  <c r="EK90"/>
  <c r="DH218"/>
  <c r="H490"/>
  <c r="S380"/>
  <c r="ER138"/>
  <c r="EX120"/>
  <c r="FU120" s="1"/>
  <c r="AF382"/>
  <c r="H506"/>
  <c r="S377"/>
  <c r="DN212"/>
  <c r="DL212"/>
  <c r="DF218"/>
  <c r="DI221"/>
  <c r="EU98"/>
  <c r="DK213"/>
  <c r="ER118"/>
  <c r="DH215"/>
  <c r="EY88"/>
  <c r="DO212"/>
  <c r="EX98"/>
  <c r="DN213"/>
  <c r="Z376"/>
  <c r="Z377"/>
  <c r="EQ138"/>
  <c r="DG217"/>
  <c r="W381"/>
  <c r="W380"/>
  <c r="W375"/>
  <c r="W379"/>
  <c r="L376"/>
  <c r="L378"/>
  <c r="EZ88"/>
  <c r="DP212"/>
  <c r="FA88"/>
  <c r="DQ212"/>
  <c r="EZ98"/>
  <c r="DP213"/>
  <c r="AI381"/>
  <c r="AI380"/>
  <c r="AI379"/>
  <c r="AI375"/>
  <c r="AI377"/>
  <c r="EY98"/>
  <c r="DO213"/>
  <c r="EQ148"/>
  <c r="DG218"/>
  <c r="EW88"/>
  <c r="DM212"/>
  <c r="EV98"/>
  <c r="DL213"/>
  <c r="DF220"/>
  <c r="W374"/>
  <c r="Z379"/>
  <c r="AC376"/>
  <c r="L374"/>
  <c r="L373"/>
  <c r="EK158"/>
  <c r="AA377"/>
  <c r="DO214"/>
  <c r="EK138"/>
  <c r="EK94"/>
  <c r="H500"/>
  <c r="DI219"/>
  <c r="DN214"/>
  <c r="DG221"/>
  <c r="H460"/>
  <c r="W382"/>
  <c r="AC374"/>
  <c r="AF381"/>
  <c r="S376"/>
  <c r="AI376"/>
  <c r="L379"/>
  <c r="L381"/>
  <c r="AA379"/>
  <c r="AG373"/>
  <c r="AG382"/>
  <c r="AJ380"/>
  <c r="EK131"/>
  <c r="DF216"/>
  <c r="EP92"/>
  <c r="FU92" s="1"/>
  <c r="EK96"/>
  <c r="DF215"/>
  <c r="EP137"/>
  <c r="FU137" s="1"/>
  <c r="H510"/>
  <c r="Z378"/>
  <c r="EQ178"/>
  <c r="DH219"/>
  <c r="DG219"/>
  <c r="DQ213"/>
  <c r="DH216"/>
  <c r="DF221"/>
  <c r="ED218"/>
  <c r="DZ214"/>
  <c r="DT217"/>
  <c r="DY217"/>
  <c r="EI215"/>
  <c r="DS221"/>
  <c r="DO221"/>
  <c r="EI217"/>
  <c r="EA217"/>
  <c r="DV214"/>
  <c r="EH219"/>
  <c r="EA215"/>
  <c r="DZ212"/>
  <c r="FU131"/>
  <c r="DF212"/>
  <c r="DJ212"/>
  <c r="DJ220"/>
  <c r="FM108"/>
  <c r="EC214"/>
  <c r="FN168"/>
  <c r="ED220"/>
  <c r="EY148"/>
  <c r="DO218"/>
  <c r="FM88"/>
  <c r="EC212"/>
  <c r="ES128"/>
  <c r="DI216"/>
  <c r="FL98"/>
  <c r="EB213"/>
  <c r="EY108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DU221"/>
  <c r="DM217"/>
  <c r="EE215"/>
  <c r="DV219"/>
  <c r="DO219"/>
  <c r="EC219"/>
  <c r="EK171"/>
  <c r="EK156"/>
  <c r="DX221"/>
  <c r="EB219"/>
  <c r="EB217"/>
  <c r="DT214"/>
  <c r="DW221"/>
  <c r="DX217"/>
  <c r="EA221"/>
  <c r="EH221"/>
  <c r="DU219"/>
  <c r="EE219"/>
  <c r="DK217"/>
  <c r="DU217"/>
  <c r="DI213"/>
  <c r="DH212"/>
  <c r="EF212"/>
  <c r="DL221"/>
  <c r="DZ221"/>
  <c r="EA219"/>
  <c r="EJ216"/>
  <c r="DU213"/>
  <c r="EH214"/>
  <c r="EJ212"/>
  <c r="DP219"/>
  <c r="EG219"/>
  <c r="DW217"/>
  <c r="EJ217"/>
  <c r="EF221"/>
  <c r="EF219"/>
  <c r="DL217"/>
  <c r="ED221"/>
  <c r="DJ217"/>
  <c r="EB214"/>
  <c r="FE108"/>
  <c r="DU214"/>
  <c r="FR168"/>
  <c r="EH220"/>
  <c r="FS168"/>
  <c r="EI220"/>
  <c r="FC168"/>
  <c r="DS220"/>
  <c r="FP118"/>
  <c r="EF215"/>
  <c r="EZ118"/>
  <c r="DP215"/>
  <c r="FI118"/>
  <c r="DY215"/>
  <c r="FO98"/>
  <c r="EE213"/>
  <c r="FL148"/>
  <c r="EB218"/>
  <c r="FG148"/>
  <c r="DW218"/>
  <c r="FQ128"/>
  <c r="EG216"/>
  <c r="FA128"/>
  <c r="DQ216"/>
  <c r="FT98"/>
  <c r="EJ213"/>
  <c r="EW178"/>
  <c r="FU178" s="1"/>
  <c r="DM221"/>
  <c r="FC108"/>
  <c r="DS214"/>
  <c r="FK108"/>
  <c r="EA214"/>
  <c r="FS108"/>
  <c r="EI214"/>
  <c r="ER168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DG212"/>
  <c r="FS128"/>
  <c r="EI216"/>
  <c r="FK128"/>
  <c r="EA216"/>
  <c r="FC128"/>
  <c r="DS216"/>
  <c r="EU128"/>
  <c r="DK216"/>
  <c r="FN98"/>
  <c r="ED213"/>
  <c r="FF98"/>
  <c r="DV213"/>
  <c r="DW215"/>
  <c r="EJ214"/>
  <c r="DJ219"/>
  <c r="ED219"/>
  <c r="EC221"/>
  <c r="EH218"/>
  <c r="EF216"/>
  <c r="EB221"/>
  <c r="EB216"/>
  <c r="ED212"/>
  <c r="EI221"/>
  <c r="FU125"/>
  <c r="FU106"/>
  <c r="FU102"/>
  <c r="DF213"/>
  <c r="FU147"/>
  <c r="FU129"/>
  <c r="FU158"/>
  <c r="DG214"/>
  <c r="DL219"/>
  <c r="DQ221"/>
  <c r="DN219"/>
  <c r="EF214"/>
  <c r="DQ219"/>
  <c r="DS215"/>
  <c r="EE221"/>
  <c r="DR219"/>
  <c r="DX219"/>
  <c r="DZ218"/>
  <c r="DO217"/>
  <c r="DX216"/>
  <c r="DY213"/>
  <c r="DX212"/>
  <c r="DT221"/>
  <c r="DK219"/>
  <c r="DN217"/>
  <c r="ED214"/>
  <c r="DV212"/>
  <c r="DT212"/>
  <c r="DZ219"/>
  <c r="DQ217"/>
  <c r="ED217"/>
  <c r="DV221"/>
  <c r="DS219"/>
  <c r="DN218"/>
  <c r="DS217"/>
  <c r="DW219"/>
  <c r="DX214"/>
  <c r="EB212"/>
  <c r="FT168"/>
  <c r="EJ220"/>
  <c r="FK168"/>
  <c r="EA220"/>
  <c r="FH118"/>
  <c r="DX215"/>
  <c r="FF128"/>
  <c r="DV216"/>
  <c r="FO148"/>
  <c r="EE218"/>
  <c r="FE88"/>
  <c r="DU212"/>
  <c r="FI128"/>
  <c r="DY216"/>
  <c r="FD98"/>
  <c r="DT213"/>
  <c r="FA108"/>
  <c r="DQ214"/>
  <c r="FI108"/>
  <c r="DY214"/>
  <c r="FQ108"/>
  <c r="EG214"/>
  <c r="FH168"/>
  <c r="DX220"/>
  <c r="FD168"/>
  <c r="DT220"/>
  <c r="FO168"/>
  <c r="EE220"/>
  <c r="FG168"/>
  <c r="DW220"/>
  <c r="EY168"/>
  <c r="DO220"/>
  <c r="EQ168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FU170"/>
  <c r="FU173"/>
  <c r="DP221"/>
  <c r="DT216"/>
  <c r="FU162"/>
  <c r="DM219"/>
  <c r="DN221"/>
  <c r="EF220"/>
  <c r="EF217"/>
  <c r="EG221"/>
  <c r="EH217"/>
  <c r="DP214"/>
  <c r="DT219"/>
  <c r="EJ219"/>
  <c r="DZ217"/>
  <c r="DK221"/>
  <c r="DY221"/>
  <c r="EJ221"/>
  <c r="DR218"/>
  <c r="DI217"/>
  <c r="DP216"/>
  <c r="DO215"/>
  <c r="DJ221"/>
  <c r="DL220"/>
  <c r="EI219"/>
  <c r="DP217"/>
  <c r="DP220"/>
  <c r="DR217"/>
  <c r="EG213"/>
  <c r="DR221"/>
  <c r="DZ220"/>
  <c r="DY219"/>
  <c r="DV217"/>
  <c r="EC217"/>
  <c r="DL216"/>
  <c r="EC213"/>
  <c r="DR212"/>
  <c r="EH212"/>
  <c r="DV218"/>
  <c r="EE217"/>
  <c r="DI215"/>
  <c r="DR214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I496" s="1"/>
  <c r="J496" s="1"/>
  <c r="G495"/>
  <c r="F487"/>
  <c r="I488" s="1"/>
  <c r="J488" s="1"/>
  <c r="G487"/>
  <c r="F479"/>
  <c r="I480" s="1"/>
  <c r="J480" s="1"/>
  <c r="G479"/>
  <c r="F47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542"/>
  <c r="I550"/>
  <c r="J39"/>
  <c r="J425" s="1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I470" s="1"/>
  <c r="J470" s="1"/>
  <c r="G469"/>
  <c r="R61"/>
  <c r="AH61"/>
  <c r="AJ61"/>
  <c r="EP153"/>
  <c r="FU153" s="1"/>
  <c r="EK153"/>
  <c r="EK89"/>
  <c r="EP89"/>
  <c r="FU89" s="1"/>
  <c r="G457"/>
  <c r="F457"/>
  <c r="G513"/>
  <c r="F513"/>
  <c r="G505"/>
  <c r="F505"/>
  <c r="G497"/>
  <c r="F497"/>
  <c r="I498" s="1"/>
  <c r="J498" s="1"/>
  <c r="G489"/>
  <c r="F489"/>
  <c r="G481"/>
  <c r="F481"/>
  <c r="I482" s="1"/>
  <c r="J482" s="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61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I504" l="1"/>
  <c r="J504" s="1"/>
  <c r="K504" s="1"/>
  <c r="FU138"/>
  <c r="AC9" s="1"/>
  <c r="I514"/>
  <c r="J514" s="1"/>
  <c r="K516" s="1"/>
  <c r="Z425"/>
  <c r="Z443" s="1"/>
  <c r="Z429"/>
  <c r="Z447" s="1"/>
  <c r="Z424"/>
  <c r="Z442" s="1"/>
  <c r="Z426"/>
  <c r="Z444" s="1"/>
  <c r="Z428"/>
  <c r="Z446" s="1"/>
  <c r="Z430"/>
  <c r="Z448" s="1"/>
  <c r="Z432"/>
  <c r="Z450" s="1"/>
  <c r="Z423"/>
  <c r="Z441" s="1"/>
  <c r="Z427"/>
  <c r="Z445" s="1"/>
  <c r="Z431"/>
  <c r="Z449" s="1"/>
  <c r="K424"/>
  <c r="K442" s="1"/>
  <c r="K426"/>
  <c r="K444" s="1"/>
  <c r="K428"/>
  <c r="K446" s="1"/>
  <c r="K430"/>
  <c r="K448" s="1"/>
  <c r="K432"/>
  <c r="K450" s="1"/>
  <c r="K425"/>
  <c r="K443" s="1"/>
  <c r="K427"/>
  <c r="K445" s="1"/>
  <c r="K431"/>
  <c r="K449" s="1"/>
  <c r="K423"/>
  <c r="K441" s="1"/>
  <c r="K429"/>
  <c r="K447" s="1"/>
  <c r="U423"/>
  <c r="U441" s="1"/>
  <c r="U425"/>
  <c r="U443" s="1"/>
  <c r="U427"/>
  <c r="U445" s="1"/>
  <c r="U429"/>
  <c r="U447" s="1"/>
  <c r="U431"/>
  <c r="U449" s="1"/>
  <c r="U428"/>
  <c r="U446" s="1"/>
  <c r="U432"/>
  <c r="U450" s="1"/>
  <c r="U424"/>
  <c r="U442" s="1"/>
  <c r="U426"/>
  <c r="U444" s="1"/>
  <c r="U430"/>
  <c r="U448" s="1"/>
  <c r="AK423"/>
  <c r="AK441" s="1"/>
  <c r="AK425"/>
  <c r="AK443" s="1"/>
  <c r="AK427"/>
  <c r="AK445" s="1"/>
  <c r="AK429"/>
  <c r="AK447" s="1"/>
  <c r="AK431"/>
  <c r="AK449" s="1"/>
  <c r="AK428"/>
  <c r="AK446" s="1"/>
  <c r="AK432"/>
  <c r="AK450" s="1"/>
  <c r="AK424"/>
  <c r="AK442" s="1"/>
  <c r="AK426"/>
  <c r="AK444" s="1"/>
  <c r="AK430"/>
  <c r="AK448" s="1"/>
  <c r="I472"/>
  <c r="J472" s="1"/>
  <c r="K472" s="1"/>
  <c r="V423"/>
  <c r="V441" s="1"/>
  <c r="V427"/>
  <c r="V445" s="1"/>
  <c r="V431"/>
  <c r="V449" s="1"/>
  <c r="V424"/>
  <c r="V442" s="1"/>
  <c r="V426"/>
  <c r="V444" s="1"/>
  <c r="V428"/>
  <c r="V446" s="1"/>
  <c r="V430"/>
  <c r="V448" s="1"/>
  <c r="V432"/>
  <c r="V450" s="1"/>
  <c r="V425"/>
  <c r="V443" s="1"/>
  <c r="V429"/>
  <c r="V447" s="1"/>
  <c r="AA424"/>
  <c r="AA442" s="1"/>
  <c r="AA426"/>
  <c r="AA444" s="1"/>
  <c r="AA428"/>
  <c r="AA446" s="1"/>
  <c r="AA430"/>
  <c r="AA448" s="1"/>
  <c r="AA432"/>
  <c r="AA450" s="1"/>
  <c r="AA427"/>
  <c r="AA445" s="1"/>
  <c r="AA431"/>
  <c r="AA449" s="1"/>
  <c r="AA423"/>
  <c r="AA441" s="1"/>
  <c r="AA425"/>
  <c r="AA443" s="1"/>
  <c r="AA429"/>
  <c r="AA447" s="1"/>
  <c r="AJ426"/>
  <c r="AJ444" s="1"/>
  <c r="AJ430"/>
  <c r="AJ448" s="1"/>
  <c r="AJ423"/>
  <c r="AJ441" s="1"/>
  <c r="AJ425"/>
  <c r="AJ443" s="1"/>
  <c r="AJ427"/>
  <c r="AJ445" s="1"/>
  <c r="AJ429"/>
  <c r="AJ447" s="1"/>
  <c r="AJ431"/>
  <c r="AJ449" s="1"/>
  <c r="AJ424"/>
  <c r="AJ442" s="1"/>
  <c r="AJ428"/>
  <c r="AJ446" s="1"/>
  <c r="AJ432"/>
  <c r="AJ450" s="1"/>
  <c r="W424"/>
  <c r="W442" s="1"/>
  <c r="W426"/>
  <c r="W444" s="1"/>
  <c r="W428"/>
  <c r="W446" s="1"/>
  <c r="W430"/>
  <c r="W448" s="1"/>
  <c r="W432"/>
  <c r="W450" s="1"/>
  <c r="W429"/>
  <c r="W447" s="1"/>
  <c r="W423"/>
  <c r="W441" s="1"/>
  <c r="W425"/>
  <c r="W443" s="1"/>
  <c r="W427"/>
  <c r="W445" s="1"/>
  <c r="W431"/>
  <c r="W449" s="1"/>
  <c r="R425"/>
  <c r="R443" s="1"/>
  <c r="R429"/>
  <c r="R447" s="1"/>
  <c r="R424"/>
  <c r="R442" s="1"/>
  <c r="R426"/>
  <c r="R444" s="1"/>
  <c r="R428"/>
  <c r="R446" s="1"/>
  <c r="R430"/>
  <c r="R448" s="1"/>
  <c r="R432"/>
  <c r="R450" s="1"/>
  <c r="R423"/>
  <c r="R441" s="1"/>
  <c r="R427"/>
  <c r="R445" s="1"/>
  <c r="R431"/>
  <c r="R449" s="1"/>
  <c r="L426"/>
  <c r="L444" s="1"/>
  <c r="L430"/>
  <c r="L448" s="1"/>
  <c r="L423"/>
  <c r="L441" s="1"/>
  <c r="L425"/>
  <c r="L443" s="1"/>
  <c r="L427"/>
  <c r="L445" s="1"/>
  <c r="L429"/>
  <c r="L447" s="1"/>
  <c r="L431"/>
  <c r="L449" s="1"/>
  <c r="L424"/>
  <c r="L442" s="1"/>
  <c r="L428"/>
  <c r="L446" s="1"/>
  <c r="L432"/>
  <c r="L450" s="1"/>
  <c r="AG423"/>
  <c r="AG441" s="1"/>
  <c r="AG425"/>
  <c r="AG443" s="1"/>
  <c r="AG427"/>
  <c r="AG445" s="1"/>
  <c r="AG429"/>
  <c r="AG447" s="1"/>
  <c r="AG431"/>
  <c r="AG449" s="1"/>
  <c r="AG426"/>
  <c r="AG444" s="1"/>
  <c r="AG430"/>
  <c r="AG448" s="1"/>
  <c r="AG424"/>
  <c r="AG442" s="1"/>
  <c r="AG428"/>
  <c r="AG446" s="1"/>
  <c r="AG432"/>
  <c r="AG450" s="1"/>
  <c r="AI424"/>
  <c r="AI442" s="1"/>
  <c r="AI426"/>
  <c r="AI444" s="1"/>
  <c r="AI428"/>
  <c r="AI446" s="1"/>
  <c r="AI430"/>
  <c r="AI448" s="1"/>
  <c r="AI432"/>
  <c r="AI450" s="1"/>
  <c r="AI427"/>
  <c r="AI445" s="1"/>
  <c r="AI431"/>
  <c r="AI449" s="1"/>
  <c r="AI423"/>
  <c r="AI441" s="1"/>
  <c r="AI425"/>
  <c r="AI443" s="1"/>
  <c r="AI429"/>
  <c r="AI447" s="1"/>
  <c r="X424"/>
  <c r="X442" s="1"/>
  <c r="X428"/>
  <c r="X446" s="1"/>
  <c r="X432"/>
  <c r="X450" s="1"/>
  <c r="X423"/>
  <c r="X441" s="1"/>
  <c r="X425"/>
  <c r="X443" s="1"/>
  <c r="X427"/>
  <c r="X445" s="1"/>
  <c r="X429"/>
  <c r="X447" s="1"/>
  <c r="X431"/>
  <c r="X449" s="1"/>
  <c r="X426"/>
  <c r="X444" s="1"/>
  <c r="X430"/>
  <c r="X448" s="1"/>
  <c r="Q423"/>
  <c r="Q441" s="1"/>
  <c r="Q425"/>
  <c r="Q443" s="1"/>
  <c r="Q427"/>
  <c r="Q445" s="1"/>
  <c r="Q429"/>
  <c r="Q447" s="1"/>
  <c r="Q431"/>
  <c r="Q449" s="1"/>
  <c r="Q430"/>
  <c r="Q448" s="1"/>
  <c r="Q424"/>
  <c r="Q442" s="1"/>
  <c r="Q426"/>
  <c r="Q444" s="1"/>
  <c r="Q428"/>
  <c r="Q446" s="1"/>
  <c r="Q432"/>
  <c r="Q450" s="1"/>
  <c r="AC423"/>
  <c r="AC441" s="1"/>
  <c r="AC425"/>
  <c r="AC443" s="1"/>
  <c r="AC427"/>
  <c r="AC445" s="1"/>
  <c r="AC429"/>
  <c r="AC447" s="1"/>
  <c r="AC431"/>
  <c r="AC449" s="1"/>
  <c r="AC428"/>
  <c r="AC446" s="1"/>
  <c r="AC432"/>
  <c r="AC450" s="1"/>
  <c r="AC424"/>
  <c r="AC442" s="1"/>
  <c r="AC426"/>
  <c r="AC444" s="1"/>
  <c r="AC430"/>
  <c r="AC448" s="1"/>
  <c r="S424"/>
  <c r="S442" s="1"/>
  <c r="S426"/>
  <c r="S444" s="1"/>
  <c r="S428"/>
  <c r="S446" s="1"/>
  <c r="S430"/>
  <c r="S448" s="1"/>
  <c r="S432"/>
  <c r="S450" s="1"/>
  <c r="S427"/>
  <c r="S445" s="1"/>
  <c r="S431"/>
  <c r="S449" s="1"/>
  <c r="S423"/>
  <c r="S441" s="1"/>
  <c r="S425"/>
  <c r="S443" s="1"/>
  <c r="S429"/>
  <c r="S447" s="1"/>
  <c r="I500"/>
  <c r="J500" s="1"/>
  <c r="K502" s="1"/>
  <c r="I460"/>
  <c r="J460" s="1"/>
  <c r="K462" s="1"/>
  <c r="FU108"/>
  <c r="AE6" s="1"/>
  <c r="J431"/>
  <c r="J449" s="1"/>
  <c r="J429"/>
  <c r="J447" s="1"/>
  <c r="I490"/>
  <c r="J490" s="1"/>
  <c r="K492" s="1"/>
  <c r="I510"/>
  <c r="J510" s="1"/>
  <c r="K510" s="1"/>
  <c r="I506"/>
  <c r="J506" s="1"/>
  <c r="K508" s="1"/>
  <c r="FU116"/>
  <c r="FU88"/>
  <c r="AD9"/>
  <c r="Y11"/>
  <c r="DG226"/>
  <c r="DG233"/>
  <c r="FU128"/>
  <c r="AD8" s="1"/>
  <c r="DG229"/>
  <c r="Z9"/>
  <c r="AD13"/>
  <c r="X11"/>
  <c r="DG230"/>
  <c r="DG234"/>
  <c r="FU98"/>
  <c r="AC5" s="1"/>
  <c r="FU168"/>
  <c r="FU154"/>
  <c r="FU148"/>
  <c r="DG232"/>
  <c r="FU118"/>
  <c r="DG228"/>
  <c r="FU91"/>
  <c r="DG225"/>
  <c r="DH235" s="1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E57" s="1"/>
  <c r="K482"/>
  <c r="D375"/>
  <c r="E375" s="1"/>
  <c r="D32"/>
  <c r="AN15" s="1"/>
  <c r="D45"/>
  <c r="E45" s="1"/>
  <c r="FU175"/>
  <c r="AD11"/>
  <c r="AC11"/>
  <c r="G445"/>
  <c r="K494"/>
  <c r="K498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G520"/>
  <c r="AR15" s="1"/>
  <c r="X9"/>
  <c r="Z11"/>
  <c r="K476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84"/>
  <c r="K496"/>
  <c r="K478"/>
  <c r="K480"/>
  <c r="K468"/>
  <c r="K514" l="1"/>
  <c r="K506"/>
  <c r="K500"/>
  <c r="K474"/>
  <c r="AE9"/>
  <c r="F395"/>
  <c r="F381" s="1"/>
  <c r="E59" s="1"/>
  <c r="L59" s="1"/>
  <c r="F390"/>
  <c r="F376" s="1"/>
  <c r="E54" s="1"/>
  <c r="M54" s="1"/>
  <c r="AC6"/>
  <c r="C447"/>
  <c r="AD6"/>
  <c r="AF6" s="1"/>
  <c r="C427"/>
  <c r="C449"/>
  <c r="AE5"/>
  <c r="C445"/>
  <c r="C431"/>
  <c r="C429"/>
  <c r="K512"/>
  <c r="F394"/>
  <c r="F380" s="1"/>
  <c r="E58" s="1"/>
  <c r="U58" s="1"/>
  <c r="AE7"/>
  <c r="K490"/>
  <c r="AD5"/>
  <c r="AF5" s="1"/>
  <c r="AF13"/>
  <c r="AC4"/>
  <c r="DH233"/>
  <c r="DH232"/>
  <c r="DH234"/>
  <c r="DH229"/>
  <c r="DH230"/>
  <c r="AF9"/>
  <c r="AA11"/>
  <c r="AA9"/>
  <c r="AE10"/>
  <c r="DH226"/>
  <c r="AE8"/>
  <c r="AF8" s="1"/>
  <c r="AC8"/>
  <c r="AA13"/>
  <c r="AC12"/>
  <c r="AC7"/>
  <c r="DH228"/>
  <c r="AD4"/>
  <c r="AE4"/>
  <c r="AD7"/>
  <c r="AF7" s="1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D54" l="1"/>
  <c r="P59"/>
  <c r="Z59"/>
  <c r="R54"/>
  <c r="AJ54"/>
  <c r="AK54"/>
  <c r="AH54"/>
  <c r="W54"/>
  <c r="K54"/>
  <c r="Q54"/>
  <c r="Q59"/>
  <c r="V59"/>
  <c r="O59"/>
  <c r="L54"/>
  <c r="H54"/>
  <c r="AE54"/>
  <c r="AG54"/>
  <c r="AF59"/>
  <c r="AK59"/>
  <c r="AE59"/>
  <c r="AC54"/>
  <c r="Y54"/>
  <c r="AA54"/>
  <c r="AF54"/>
  <c r="Y59"/>
  <c r="AI59"/>
  <c r="AJ59"/>
  <c r="T59"/>
  <c r="M59"/>
  <c r="AG59"/>
  <c r="AC59"/>
  <c r="J59"/>
  <c r="W59"/>
  <c r="G59"/>
  <c r="X59"/>
  <c r="H59"/>
  <c r="O54"/>
  <c r="I54"/>
  <c r="G54"/>
  <c r="V54"/>
  <c r="P54"/>
  <c r="U54"/>
  <c r="N54"/>
  <c r="AH58"/>
  <c r="AD59"/>
  <c r="AH59"/>
  <c r="S59"/>
  <c r="U59"/>
  <c r="N59"/>
  <c r="I59"/>
  <c r="R59"/>
  <c r="AA59"/>
  <c r="K59"/>
  <c r="AB59"/>
  <c r="AB54"/>
  <c r="J54"/>
  <c r="X54"/>
  <c r="AI54"/>
  <c r="AG58"/>
  <c r="S54"/>
  <c r="T54"/>
  <c r="Z54"/>
  <c r="R58"/>
  <c r="AB58"/>
  <c r="I58"/>
  <c r="AK58"/>
  <c r="J58"/>
  <c r="N58"/>
  <c r="Q58"/>
  <c r="AA58"/>
  <c r="L58"/>
  <c r="S58"/>
  <c r="T58"/>
  <c r="O58"/>
  <c r="P58"/>
  <c r="G58"/>
  <c r="V58"/>
  <c r="W58"/>
  <c r="H58"/>
  <c r="AI58"/>
  <c r="AC58"/>
  <c r="X58"/>
  <c r="K58"/>
  <c r="AJ58"/>
  <c r="AF58"/>
  <c r="AD58"/>
  <c r="AE58"/>
  <c r="Y58"/>
  <c r="M58"/>
  <c r="Z58"/>
  <c r="AF10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 l="1"/>
  <c r="D54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<sst xmlns="http://schemas.openxmlformats.org/spreadsheetml/2006/main" count="1028" uniqueCount="150">
  <si>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</si>
  <si>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</si>
  <si>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</si>
  <si>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</si>
  <si>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</si>
  <si>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</si>
  <si>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</si>
  <si>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</si>
  <si>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</si>
  <si>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</si>
  <si>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</si>
  <si>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</si>
  <si>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</si>
  <si>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</si>
  <si>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</si>
  <si>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</si>
  <si>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</si>
  <si>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</si>
  <si>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</si>
  <si>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</si>
  <si>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</si>
  <si>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</si>
  <si>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</si>
  <si>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</si>
  <si>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</si>
  <si>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</si>
  <si>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</si>
  <si>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</si>
  <si>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</si>
  <si>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</si>
  <si>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</si>
  <si>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</si>
  <si>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</si>
  <si>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</si>
  <si>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</si>
  <si>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</si>
  <si>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</si>
  <si>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</si>
  <si>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</si>
  <si>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</si>
  <si>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</si>
  <si>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</si>
  <si>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</si>
  <si>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</si>
  <si>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</si>
  <si>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</si>
  <si>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</si>
  <si>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</si>
  <si>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</si>
  <si>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</si>
  <si>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</si>
  <si>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</si>
  <si>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</si>
  <si>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</si>
  <si>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</si>
  <si>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</si>
  <si>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</si>
  <si>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</si>
  <si>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</si>
  <si>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</si>
  <si>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</si>
  <si>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</si>
  <si>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</si>
  <si>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</si>
  <si>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</si>
  <si>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</si>
  <si>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</si>
  <si>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</si>
  <si>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</si>
  <si>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</si>
  <si>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</si>
  <si>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</si>
  <si>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</si>
  <si>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</si>
  <si>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</si>
  <si>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</si>
  <si>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</si>
  <si>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</si>
  <si>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</si>
  <si>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</si>
  <si>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</si>
  <si>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</si>
  <si>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</si>
  <si>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</si>
  <si>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</si>
  <si>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</si>
  <si>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</si>
  <si>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</si>
  <si>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</si>
  <si>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</si>
  <si>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</si>
  <si>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</si>
  <si>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</si>
  <si>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</si>
  <si>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</si>
  <si>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</si>
  <si>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</si>
  <si>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</si>
  <si>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</si>
  <si>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</si>
  <si>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</si>
  <si>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</si>
  <si>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</si>
  <si>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</si>
  <si>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</si>
  <si>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</si>
  <si>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</si>
  <si>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</si>
  <si>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</si>
  <si>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</si>
  <si>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</si>
  <si>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</si>
  <si>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</si>
  <si>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</si>
  <si>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</si>
  <si>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</si>
  <si>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</si>
  <si>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</si>
  <si>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</si>
  <si>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</si>
  <si>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</si>
  <si>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</si>
  <si>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</si>
  <si>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</si>
  <si>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</si>
  <si>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</si>
  <si>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</si>
  <si>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</si>
  <si>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</si>
  <si>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</si>
  <si>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</si>
  <si>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</si>
  <si>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</si>
  <si>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</si>
  <si>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</si>
  <si>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</si>
  <si>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</si>
  <si>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</si>
  <si>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</si>
  <si>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</si>
  <si>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</si>
  <si>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</si>
  <si>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</si>
  <si>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</si>
  <si>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</si>
  <si>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</si>
  <si>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</si>
  <si>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</si>
  <si>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</si>
  <si>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Acentrella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</si>
</sst>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2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2" borderId="0" xfId="0" applyFont="1" applyFill="1"/>
    <xf numFmtId="0" fontId="1" fillId="30" borderId="13" xfId="0" applyFont="1" applyFill="1" applyBorder="1" applyAlignment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0" fontId="1" fillId="30" borderId="14" xfId="0" applyFont="1" applyFill="1" applyBorder="1" applyAlignment="1"/>
    <xf numFmtId="0" fontId="1" fillId="33" borderId="10" xfId="0" applyFont="1" applyFill="1" applyBorder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C3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11" width="8.85546875" style="8"/>
    <col min="112" max="112" width="13.140625" style="8" bestFit="1" customWidth="1"/>
    <col min="113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12.7109375" style="8" customWidth="1"/>
    <col min="165" max="176" width="8.85546875" style="8"/>
    <col min="177" max="177" width="15.140625" style="8" customWidth="1"/>
    <col min="178" max="182" width="8.85546875" style="8"/>
    <col min="183" max="183" width="10.7109375" style="8" customWidth="1"/>
    <col min="184" max="184" width="11.140625" style="8" customWidth="1"/>
    <col min="185" max="185" width="9.85546875" style="8" customWidth="1"/>
    <col min="186" max="186" width="11.140625" style="8" customWidth="1"/>
    <col min="187" max="187" width="9.5703125" style="8" customWidth="1"/>
    <col min="188" max="189" width="8.85546875" style="8"/>
    <col min="190" max="190" width="10" style="8" customWidth="1"/>
    <col min="191" max="191" width="9.140625" style="8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7"/>
      <c r="FY2" s="207"/>
      <c r="FZ2" s="207"/>
      <c r="GA2" s="207"/>
      <c r="GB2" s="207"/>
      <c r="GC2" s="217" t="s">
        <v>143</v>
      </c>
      <c r="GD2" s="217"/>
      <c r="GE2" s="217"/>
      <c r="GF2" s="217"/>
      <c r="GG2" s="217"/>
      <c r="GH2" s="217"/>
      <c r="GI2" s="217"/>
      <c r="GJ2" s="207"/>
      <c r="GK2" s="207"/>
      <c r="GL2" s="207"/>
      <c r="GM2" s="207"/>
      <c r="GN2" s="207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7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07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755.34852989524529</v>
      </c>
      <c r="N4" s="130">
        <v>51.209483764628921</v>
      </c>
      <c r="O4" s="130">
        <v>62.07404683979852</v>
      </c>
      <c r="P4" s="130">
        <v>362.23078206358639</v>
      </c>
      <c r="Q4" s="130">
        <v>50.188715546228174</v>
      </c>
      <c r="R4" s="130">
        <v>423.28679415604063</v>
      </c>
      <c r="S4" s="131">
        <v>25.342340197907053</v>
      </c>
      <c r="T4" s="131">
        <v>-52.398930063079504</v>
      </c>
      <c r="U4" s="5"/>
      <c r="V4" s="4"/>
      <c r="W4" s="127">
        <f t="shared" ref="W4:W13" si="0">C4</f>
        <v>39646</v>
      </c>
      <c r="X4" s="132">
        <f>AVERAGE(EK88:EK97)</f>
        <v>178.12499999999997</v>
      </c>
      <c r="Y4" s="131">
        <f>COUNT(EK88:EK97)</f>
        <v>10</v>
      </c>
      <c r="Z4" s="130">
        <f>STDEV(EK88:EK97)</f>
        <v>122.80578017773325</v>
      </c>
      <c r="AA4" s="130">
        <f>Z4/SQRT(Y4)</f>
        <v>38.834597519559466</v>
      </c>
      <c r="AB4" s="131"/>
      <c r="AC4" s="130">
        <f>AVERAGE($FU88:$FU97)</f>
        <v>49.576911453154899</v>
      </c>
      <c r="AD4" s="132">
        <f>COUNT($FU88:$FU97)</f>
        <v>10</v>
      </c>
      <c r="AE4" s="130">
        <f>STDEV($FU88:$FU97)</f>
        <v>46.337366948872727</v>
      </c>
      <c r="AF4" s="130">
        <f>AE4/SQRT(AD4)</f>
        <v>14.653162033344483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18" t="s">
        <v>145</v>
      </c>
      <c r="FK4" s="218"/>
      <c r="FL4" s="218"/>
      <c r="FM4" s="218"/>
      <c r="FN4" s="5"/>
      <c r="FO4" s="5"/>
      <c r="FX4" s="207"/>
      <c r="FY4" s="209" t="s">
        <v>144</v>
      </c>
      <c r="FZ4" s="210">
        <f>C4</f>
        <v>39646</v>
      </c>
      <c r="GA4" s="210">
        <f>C5</f>
        <v>39673</v>
      </c>
      <c r="GB4" s="210">
        <f>C6</f>
        <v>39714</v>
      </c>
      <c r="GC4" s="210">
        <f>C7</f>
        <v>39747</v>
      </c>
      <c r="GD4" s="210">
        <f>C8</f>
        <v>39775</v>
      </c>
      <c r="GE4" s="210">
        <f>C9</f>
        <v>39799</v>
      </c>
      <c r="GF4" s="210">
        <f>C10</f>
        <v>39847</v>
      </c>
      <c r="GG4" s="210">
        <f>C11</f>
        <v>39910</v>
      </c>
      <c r="GH4" s="210">
        <f>C12</f>
        <v>39949</v>
      </c>
      <c r="GI4" s="210">
        <f>C13</f>
        <v>39987</v>
      </c>
      <c r="GJ4" s="211"/>
      <c r="GK4" s="211"/>
      <c r="GL4" s="211"/>
      <c r="GM4" s="211"/>
      <c r="GN4" s="207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753.48681019476498</v>
      </c>
      <c r="N5" s="130">
        <f t="shared" si="1"/>
        <v>51.045356557387002</v>
      </c>
      <c r="O5" s="130">
        <f t="shared" si="1"/>
        <v>71.501311875104179</v>
      </c>
      <c r="P5" s="130">
        <f t="shared" si="1"/>
        <v>360.8244098662683</v>
      </c>
      <c r="Q5" s="130">
        <f t="shared" si="1"/>
        <v>50.051925864449679</v>
      </c>
      <c r="R5" s="130">
        <f t="shared" si="1"/>
        <v>410.96084345644175</v>
      </c>
      <c r="S5" s="131">
        <f t="shared" si="1"/>
        <v>25.58808383838668</v>
      </c>
      <c r="T5" s="131">
        <f t="shared" si="1"/>
        <v>-53.157688022177091</v>
      </c>
      <c r="U5" s="5"/>
      <c r="V5" s="4"/>
      <c r="W5" s="127">
        <f t="shared" si="0"/>
        <v>39673</v>
      </c>
      <c r="X5" s="132">
        <f>AVERAGE(EK98:EK107)</f>
        <v>246.63328869922969</v>
      </c>
      <c r="Y5" s="131">
        <f>COUNT(EK98:EK107)</f>
        <v>10</v>
      </c>
      <c r="Z5" s="130">
        <f>STDEV(EK98:EK107)</f>
        <v>264.85981685979863</v>
      </c>
      <c r="AA5" s="130">
        <f t="shared" ref="AA5:AA13" si="2">Z5/SQRT(Y5)</f>
        <v>83.756028193202937</v>
      </c>
      <c r="AB5" s="131"/>
      <c r="AC5" s="130">
        <f>AVERAGE($FU98:$FU107)</f>
        <v>40.609249643604457</v>
      </c>
      <c r="AD5" s="132">
        <f>COUNT($FU98:$FU107)</f>
        <v>10</v>
      </c>
      <c r="AE5" s="130">
        <f>STDEV($FU98:$FU107)</f>
        <v>30.356622935744717</v>
      </c>
      <c r="AF5" s="130">
        <f t="shared" ref="AF5:AF13" si="3">AE5/SQRT(AD5)</f>
        <v>9.5996070547860555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7"/>
      <c r="FY5" s="207"/>
      <c r="FZ5" s="207"/>
      <c r="GA5" s="207"/>
      <c r="GB5" s="207"/>
      <c r="GC5" s="207"/>
      <c r="GD5" s="207"/>
      <c r="GE5" s="207"/>
      <c r="GF5" s="207"/>
      <c r="GG5" s="207"/>
      <c r="GH5" s="207"/>
      <c r="GI5" s="207"/>
      <c r="GJ5" s="207"/>
      <c r="GK5" s="207"/>
      <c r="GL5" s="207"/>
      <c r="GM5" s="207"/>
      <c r="GN5" s="207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943.24582889108058</v>
      </c>
      <c r="N6" s="130">
        <f t="shared" si="4"/>
        <v>62.41160871083855</v>
      </c>
      <c r="O6" s="130">
        <f t="shared" si="4"/>
        <v>123.16817017663794</v>
      </c>
      <c r="P6" s="130">
        <f t="shared" si="4"/>
        <v>455.03792009276384</v>
      </c>
      <c r="Q6" s="130">
        <f t="shared" si="4"/>
        <v>60.788172621124339</v>
      </c>
      <c r="R6" s="130">
        <f t="shared" si="4"/>
        <v>505.52904555355605</v>
      </c>
      <c r="S6" s="130">
        <f t="shared" si="4"/>
        <v>30.677138951642572</v>
      </c>
      <c r="T6" s="130">
        <f t="shared" si="4"/>
        <v>9.0376997948768487</v>
      </c>
      <c r="U6" s="5"/>
      <c r="V6" s="4"/>
      <c r="W6" s="127">
        <f t="shared" si="0"/>
        <v>39714</v>
      </c>
      <c r="X6" s="132">
        <f>AVERAGE(EK108:EK117)</f>
        <v>1228.1304003456221</v>
      </c>
      <c r="Y6" s="131">
        <f>COUNT(EK108:EK117)</f>
        <v>10</v>
      </c>
      <c r="Z6" s="130">
        <f>STDEV(EK108:EK117)</f>
        <v>1710.8743669246314</v>
      </c>
      <c r="AA6" s="130">
        <f t="shared" si="2"/>
        <v>541.025978988048</v>
      </c>
      <c r="AB6" s="131"/>
      <c r="AC6" s="130">
        <f>AVERAGE($FU108:$FU117)</f>
        <v>137.20835133112422</v>
      </c>
      <c r="AD6" s="132">
        <f>COUNT($FU108:$FU117)</f>
        <v>10</v>
      </c>
      <c r="AE6" s="130">
        <f>STDEV($FU108:$FU117)</f>
        <v>131.94111863829733</v>
      </c>
      <c r="AF6" s="130">
        <f t="shared" si="3"/>
        <v>41.723445192751342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19" t="s">
        <v>146</v>
      </c>
      <c r="FJ6" s="219"/>
      <c r="FK6" s="220" t="s">
        <v>147</v>
      </c>
      <c r="FL6" s="220"/>
      <c r="FM6" s="220" t="s">
        <v>148</v>
      </c>
      <c r="FN6" s="220"/>
      <c r="FO6" s="5"/>
      <c r="FY6" s="212">
        <v>1</v>
      </c>
      <c r="FZ6">
        <v>52.693137860865576</v>
      </c>
      <c r="GA6">
        <v>143.78340716088289</v>
      </c>
      <c r="GB6">
        <v>77.470652082148547</v>
      </c>
      <c r="GC6">
        <v>23.312346764978841</v>
      </c>
      <c r="GD6">
        <v>14.537736322508048</v>
      </c>
      <c r="GE6">
        <v>16.616467214325958</v>
      </c>
      <c r="GF6">
        <v>48.753211475398054</v>
      </c>
      <c r="GG6">
        <v>55.01657875395324</v>
      </c>
      <c r="GH6">
        <v>39.983657701941738</v>
      </c>
      <c r="GI6">
        <v>50.737029391222613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565.47276755484882</v>
      </c>
      <c r="N7" s="130">
        <f t="shared" si="5"/>
        <v>40.248110335225711</v>
      </c>
      <c r="O7" s="130">
        <f t="shared" si="5"/>
        <v>35.318746210526697</v>
      </c>
      <c r="P7" s="130">
        <f t="shared" si="5"/>
        <v>275.2388154819028</v>
      </c>
      <c r="Q7" s="130">
        <f t="shared" si="5"/>
        <v>39.575179442305306</v>
      </c>
      <c r="R7" s="130">
        <f t="shared" si="5"/>
        <v>321.61961287075627</v>
      </c>
      <c r="S7" s="130">
        <f t="shared" si="5"/>
        <v>20.687201425119508</v>
      </c>
      <c r="T7" s="130">
        <f t="shared" si="5"/>
        <v>-135.76397445871615</v>
      </c>
      <c r="U7" s="5"/>
      <c r="V7" s="4"/>
      <c r="W7" s="127">
        <f t="shared" si="0"/>
        <v>39747</v>
      </c>
      <c r="X7" s="132">
        <f>AVERAGE(EK118:EK127)</f>
        <v>1507.7518229976965</v>
      </c>
      <c r="Y7" s="131">
        <f>COUNT(EK118:EK127)</f>
        <v>10</v>
      </c>
      <c r="Z7" s="130">
        <f>STDEV(EK118:EK127)</f>
        <v>1049.935887055892</v>
      </c>
      <c r="AA7" s="130">
        <f t="shared" si="2"/>
        <v>332.01888002459174</v>
      </c>
      <c r="AB7" s="131"/>
      <c r="AC7" s="130">
        <f>AVERAGE($FU118:$FU127)</f>
        <v>63.300300823624731</v>
      </c>
      <c r="AD7" s="132">
        <f>COUNT($FU118:$FU127)</f>
        <v>10</v>
      </c>
      <c r="AE7" s="130">
        <f>STDEV($FU118:$FU127)</f>
        <v>46.67062760049069</v>
      </c>
      <c r="AF7" s="130">
        <f t="shared" si="3"/>
        <v>14.758548304706947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21">
        <f>AVERAGE(FZ6:FZ1005)</f>
        <v>44.371141501113556</v>
      </c>
      <c r="FJ7" s="221"/>
      <c r="FK7" s="221">
        <f>PERCENTILE($FZ$6:$FZ$1005,0.975)</f>
        <v>61.635554022920822</v>
      </c>
      <c r="FL7" s="221"/>
      <c r="FM7" s="221">
        <f>PERCENTILE($FZ$6:$FZ$1005,0.025)</f>
        <v>29.439387768868304</v>
      </c>
      <c r="FN7" s="221"/>
      <c r="FO7" s="5"/>
      <c r="FY7" s="212">
        <v>2</v>
      </c>
      <c r="FZ7">
        <v>41.779078883558242</v>
      </c>
      <c r="GA7">
        <v>102.43686313968334</v>
      </c>
      <c r="GB7">
        <v>59.187419718178049</v>
      </c>
      <c r="GC7">
        <v>22.902031948521149</v>
      </c>
      <c r="GD7">
        <v>13.27759573324494</v>
      </c>
      <c r="GE7">
        <v>11.581499665760768</v>
      </c>
      <c r="GF7">
        <v>18.592669886284288</v>
      </c>
      <c r="GG7">
        <v>19.017202408028687</v>
      </c>
      <c r="GH7">
        <v>25.285065433088395</v>
      </c>
      <c r="GI7">
        <v>35.910310905909846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987.40151756433966</v>
      </c>
      <c r="Y8" s="131">
        <f>COUNT(EK128:EK137)</f>
        <v>10</v>
      </c>
      <c r="Z8" s="130">
        <f>STDEV(EK128:EK137)</f>
        <v>631.38596824838157</v>
      </c>
      <c r="AA8" s="130">
        <f t="shared" si="2"/>
        <v>199.66177423356385</v>
      </c>
      <c r="AB8" s="131"/>
      <c r="AC8" s="130">
        <f>AVERAGE($FU128:$FU137)</f>
        <v>50.89573165853561</v>
      </c>
      <c r="AD8" s="132">
        <f>COUNT($FU128:$FU137)</f>
        <v>10</v>
      </c>
      <c r="AE8" s="130">
        <f>STDEV($FU128:$FU137)</f>
        <v>34.974994998956596</v>
      </c>
      <c r="AF8" s="130">
        <f t="shared" si="3"/>
        <v>11.060064534970122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21">
        <f>AVERAGE(GA6:GA1005)</f>
        <v>99.987893661322587</v>
      </c>
      <c r="FJ8" s="221"/>
      <c r="FK8" s="221">
        <f>PERCENTILE($GA$6:$GA$1005,0.975)</f>
        <v>146.91341994970395</v>
      </c>
      <c r="FL8" s="221"/>
      <c r="FM8" s="221">
        <f>PERCENTILE($GA$6:$GA$1005,0.025)</f>
        <v>60.068404008030669</v>
      </c>
      <c r="FN8" s="221"/>
      <c r="FO8" s="5"/>
      <c r="FY8" s="212">
        <v>3</v>
      </c>
      <c r="FZ8">
        <v>57.245932739962853</v>
      </c>
      <c r="GA8">
        <v>137.34509418874137</v>
      </c>
      <c r="GB8">
        <v>73.553384060646835</v>
      </c>
      <c r="GC8">
        <v>17.960211176405661</v>
      </c>
      <c r="GD8">
        <v>10.002428719421097</v>
      </c>
      <c r="GE8">
        <v>12.867463441877382</v>
      </c>
      <c r="GF8">
        <v>25.64160374755755</v>
      </c>
      <c r="GG8">
        <v>24.111072230526414</v>
      </c>
      <c r="GH8">
        <v>20.891708684155933</v>
      </c>
      <c r="GI8">
        <v>40.617060131121072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1212.4148617949918</v>
      </c>
      <c r="Y9" s="131">
        <f>COUNT(EK138:EK147)</f>
        <v>10</v>
      </c>
      <c r="Z9" s="130">
        <f>STDEV(EK138:EK147)</f>
        <v>1439.723378072121</v>
      </c>
      <c r="AA9" s="130">
        <f t="shared" si="2"/>
        <v>455.28050752996216</v>
      </c>
      <c r="AB9" s="131"/>
      <c r="AC9" s="130">
        <f>AVERAGE($FU138:$FU147)</f>
        <v>39.645048367506533</v>
      </c>
      <c r="AD9" s="132">
        <f>COUNT($FU138:$FU147)</f>
        <v>10</v>
      </c>
      <c r="AE9" s="130">
        <f>STDEV($FU138:$FU147)</f>
        <v>36.386728252171345</v>
      </c>
      <c r="AF9" s="130">
        <f t="shared" si="3"/>
        <v>11.506493787845905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21">
        <f>AVERAGE(GB6:GB1005)</f>
        <v>56.8724421170092</v>
      </c>
      <c r="FJ9" s="221"/>
      <c r="FK9" s="221">
        <f>PERCENTILE($GB$6:$GB$1005,0.975)</f>
        <v>82.064621175699116</v>
      </c>
      <c r="FL9" s="221"/>
      <c r="FM9" s="221">
        <f>PERCENTILE($GB$6:$GB$1005,0.025)</f>
        <v>35.729400278298243</v>
      </c>
      <c r="FN9" s="221"/>
      <c r="FO9" s="5"/>
      <c r="FY9" s="212">
        <v>4</v>
      </c>
      <c r="FZ9">
        <v>37.567889303858699</v>
      </c>
      <c r="GA9">
        <v>115.99382154323227</v>
      </c>
      <c r="GB9">
        <v>62.365117416494044</v>
      </c>
      <c r="GC9">
        <v>17.845782388271815</v>
      </c>
      <c r="GD9">
        <v>10.091408790414548</v>
      </c>
      <c r="GE9">
        <v>12.531272399614517</v>
      </c>
      <c r="GF9">
        <v>41.476772949074899</v>
      </c>
      <c r="GG9">
        <v>40.201721814769144</v>
      </c>
      <c r="GH9">
        <v>32.155125478645715</v>
      </c>
      <c r="GI9">
        <v>39.589061256959326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447.48263888888886</v>
      </c>
      <c r="Y10" s="131">
        <f>COUNT(EK148:EK157)</f>
        <v>10</v>
      </c>
      <c r="Z10" s="130">
        <f>STDEV(EK148:EK157)</f>
        <v>892.76570385091236</v>
      </c>
      <c r="AA10" s="130">
        <f t="shared" si="2"/>
        <v>282.31730410522391</v>
      </c>
      <c r="AB10" s="131"/>
      <c r="AC10" s="130">
        <f>AVERAGE($FU148:$FU157)</f>
        <v>15.664464757395331</v>
      </c>
      <c r="AD10" s="132">
        <f>COUNT($FU148:$FU157)</f>
        <v>10</v>
      </c>
      <c r="AE10" s="130">
        <f>STDEV($FU148:$FU157)</f>
        <v>24.855303970954797</v>
      </c>
      <c r="AF10" s="130">
        <f t="shared" si="3"/>
        <v>7.8599372484044761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21">
        <f>AVERAGE(GC6:GC1005)</f>
        <v>19.177061271829519</v>
      </c>
      <c r="FJ10" s="221"/>
      <c r="FK10" s="221">
        <f>PERCENTILE($GC$6:$GC$1005,0.975)</f>
        <v>25.093058998497956</v>
      </c>
      <c r="FL10" s="221"/>
      <c r="FM10" s="221">
        <f>PERCENTILE($GC$6:$GC$1005,0.025)</f>
        <v>13.301009528420639</v>
      </c>
      <c r="FN10" s="221"/>
      <c r="FO10" s="5"/>
      <c r="FY10" s="212">
        <v>5</v>
      </c>
      <c r="FZ10">
        <v>45.611602765612503</v>
      </c>
      <c r="GA10">
        <v>99.98664295056885</v>
      </c>
      <c r="GB10">
        <v>58.00146841301062</v>
      </c>
      <c r="GC10">
        <v>16.507625942081198</v>
      </c>
      <c r="GD10">
        <v>8.4731872709754423</v>
      </c>
      <c r="GE10">
        <v>11.966565094532601</v>
      </c>
      <c r="GF10">
        <v>30.261419056562808</v>
      </c>
      <c r="GG10">
        <v>27.059067737289901</v>
      </c>
      <c r="GH10">
        <v>26.860749083096696</v>
      </c>
      <c r="GI10">
        <v>35.862058693792463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804.47326526130871</v>
      </c>
      <c r="Y11" s="131">
        <f>COUNT(EK158:EK167)</f>
        <v>10</v>
      </c>
      <c r="Z11" s="130">
        <f>STDEV(EK158:EK167)</f>
        <v>1223.3466245791233</v>
      </c>
      <c r="AA11" s="130">
        <f t="shared" si="2"/>
        <v>386.85617015489544</v>
      </c>
      <c r="AB11" s="131"/>
      <c r="AC11" s="130">
        <f>AVERAGE($FU158:$FU167)</f>
        <v>48.731298338160038</v>
      </c>
      <c r="AD11" s="132">
        <f>COUNT($FU158:$FU167)</f>
        <v>10</v>
      </c>
      <c r="AE11" s="130">
        <f>STDEV($FU158:$FU167)</f>
        <v>72.473386024854278</v>
      </c>
      <c r="AF11" s="130">
        <f t="shared" si="3"/>
        <v>22.918096958315591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21">
        <f>AVERAGE(GD5:GD1005)</f>
        <v>11.721206821699299</v>
      </c>
      <c r="FJ11" s="221"/>
      <c r="FK11" s="221">
        <f>PERCENTILE($GD$6:$GD$1005,0.975)</f>
        <v>15.70286525048715</v>
      </c>
      <c r="FL11" s="221"/>
      <c r="FM11" s="221">
        <f>PERCENTILE($GD$6:$GD$1005,0.025)</f>
        <v>7.9154377487956573</v>
      </c>
      <c r="FN11" s="221"/>
      <c r="FO11" s="5"/>
      <c r="FY11" s="212">
        <v>6</v>
      </c>
      <c r="FZ11">
        <v>45.941529950833846</v>
      </c>
      <c r="GA11">
        <v>89.943698436365807</v>
      </c>
      <c r="GB11">
        <v>59.24886299028708</v>
      </c>
      <c r="GC11">
        <v>22.983552315677635</v>
      </c>
      <c r="GD11">
        <v>14.552796631637486</v>
      </c>
      <c r="GE11">
        <v>19.831659332659072</v>
      </c>
      <c r="GF11">
        <v>37.922432280457862</v>
      </c>
      <c r="GG11">
        <v>39.545641447434598</v>
      </c>
      <c r="GH11">
        <v>30.902109697957627</v>
      </c>
      <c r="GI11">
        <v>41.719251882374046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222.14668520299637</v>
      </c>
      <c r="Y12" s="131">
        <f>COUNT(EK168:EK177)</f>
        <v>10</v>
      </c>
      <c r="Z12" s="130">
        <f>STDEV(EK168:EK177)</f>
        <v>384.46333573473771</v>
      </c>
      <c r="AA12" s="130">
        <f t="shared" si="2"/>
        <v>121.57798177477764</v>
      </c>
      <c r="AB12" s="131"/>
      <c r="AC12" s="130">
        <f>AVERAGE($FU168:$FU177)</f>
        <v>25.870643817889317</v>
      </c>
      <c r="AD12" s="132">
        <f>COUNT($FU168:$FU177)</f>
        <v>10</v>
      </c>
      <c r="AE12" s="130">
        <f>STDEV($FU168:$FU177)</f>
        <v>32.509961738544412</v>
      </c>
      <c r="AF12" s="130">
        <f t="shared" si="3"/>
        <v>10.280552573872775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21">
        <f>AVERAGE(GE6:GE1005)</f>
        <v>14.34346678351338</v>
      </c>
      <c r="FJ12" s="221"/>
      <c r="FK12" s="221">
        <f>PERCENTILE($GE$6:$GE$1005,0.975)</f>
        <v>21.711576515366556</v>
      </c>
      <c r="FL12" s="221"/>
      <c r="FM12" s="221">
        <f>PERCENTILE($GE$6:$GE$1005,0.025)</f>
        <v>8.0054585307370303</v>
      </c>
      <c r="FN12" s="221"/>
      <c r="FO12" s="5"/>
      <c r="FY12" s="212">
        <v>7</v>
      </c>
      <c r="FZ12">
        <v>27.455288530001052</v>
      </c>
      <c r="GA12">
        <v>102.47504598346073</v>
      </c>
      <c r="GB12">
        <v>63.236586249828143</v>
      </c>
      <c r="GC12">
        <v>21.284778734945714</v>
      </c>
      <c r="GD12">
        <v>11.224527023272069</v>
      </c>
      <c r="GE12">
        <v>14.446165464693374</v>
      </c>
      <c r="GF12">
        <v>21.665587769472499</v>
      </c>
      <c r="GG12">
        <v>22.000594565403375</v>
      </c>
      <c r="GH12">
        <v>28.642632295265734</v>
      </c>
      <c r="GI12">
        <v>34.852094772654532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207.55395020311911</v>
      </c>
      <c r="Y13" s="131">
        <f>COUNT(EK178:EK187)</f>
        <v>10</v>
      </c>
      <c r="Z13" s="130">
        <f>STDEV(EK178:EK187)</f>
        <v>233.75666413012797</v>
      </c>
      <c r="AA13" s="130">
        <f t="shared" si="2"/>
        <v>73.920347689418676</v>
      </c>
      <c r="AB13" s="131"/>
      <c r="AC13" s="130">
        <f>AVERAGE($FU178:$FU187)</f>
        <v>30.385155271286557</v>
      </c>
      <c r="AD13" s="132">
        <f>COUNT($FU178:$FU187)</f>
        <v>10</v>
      </c>
      <c r="AE13" s="130">
        <f>STDEV($FU178:$FU187)</f>
        <v>37.645746517278688</v>
      </c>
      <c r="AF13" s="130">
        <f t="shared" si="3"/>
        <v>11.904630321195196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21">
        <f>AVERAGE(GF6:GF1005)</f>
        <v>26.126493412892358</v>
      </c>
      <c r="FJ13" s="221"/>
      <c r="FK13" s="221">
        <f>PERCENTILE($GF$6:$GF$1005,0.975)</f>
        <v>46.370558925847646</v>
      </c>
      <c r="FL13" s="221"/>
      <c r="FM13" s="221">
        <f>PERCENTILE($GF$6:$GF$1005,0.025)</f>
        <v>9.1652384033335093</v>
      </c>
      <c r="FN13" s="221"/>
      <c r="FO13" s="5"/>
      <c r="FY13" s="212">
        <v>8</v>
      </c>
      <c r="FZ13">
        <v>44.303524413641576</v>
      </c>
      <c r="GA13">
        <v>142.83895973784379</v>
      </c>
      <c r="GB13">
        <v>82.055418727584737</v>
      </c>
      <c r="GC13">
        <v>21.723692609672469</v>
      </c>
      <c r="GD13">
        <v>13.922078860816612</v>
      </c>
      <c r="GE13">
        <v>16.435442846703161</v>
      </c>
      <c r="GF13">
        <v>36.086115750270949</v>
      </c>
      <c r="GG13">
        <v>37.930051217774647</v>
      </c>
      <c r="GH13">
        <v>23.948811230810399</v>
      </c>
      <c r="GI13">
        <v>45.600146439279719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21">
        <f>AVERAGE(GG6:GG1005)</f>
        <v>26.094528031016026</v>
      </c>
      <c r="FJ14" s="221"/>
      <c r="FK14" s="221">
        <f>PERCENTILE($GG$6:$GG$1005,0.975)</f>
        <v>43.340180653903218</v>
      </c>
      <c r="FL14" s="221"/>
      <c r="FM14" s="221">
        <f>PERCENTILE($GG$6:$GG$1005,0.025)</f>
        <v>11.304829009417995</v>
      </c>
      <c r="FN14" s="221"/>
      <c r="FO14" s="5"/>
      <c r="FY14" s="212">
        <v>9</v>
      </c>
      <c r="FZ14">
        <v>47.40986696561864</v>
      </c>
      <c r="GA14">
        <v>82.053054001844544</v>
      </c>
      <c r="GB14">
        <v>48.080900423182392</v>
      </c>
      <c r="GC14">
        <v>18.064380615609569</v>
      </c>
      <c r="GD14">
        <v>15.205399800295972</v>
      </c>
      <c r="GE14">
        <v>22.665076256243612</v>
      </c>
      <c r="GF14">
        <v>31.66679727303454</v>
      </c>
      <c r="GG14">
        <v>27.564459210885417</v>
      </c>
      <c r="GH14">
        <v>25.659605034406649</v>
      </c>
      <c r="GI14">
        <v>37.612240032538722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713.37382353417013</v>
      </c>
      <c r="AO15" s="163">
        <f>D48</f>
        <v>51.482764427124245</v>
      </c>
      <c r="AP15" s="163">
        <f>D63</f>
        <v>51.22205551496851</v>
      </c>
      <c r="AQ15" s="163">
        <f>C453</f>
        <v>369.11766446926089</v>
      </c>
      <c r="AR15" s="163">
        <f>G520</f>
        <v>50.261824362522823</v>
      </c>
      <c r="AS15" s="163">
        <f>I523</f>
        <v>434.20786304754984</v>
      </c>
      <c r="AT15" s="122">
        <f>G556</f>
        <v>26.080860737976622</v>
      </c>
      <c r="AU15" s="122">
        <f>I556</f>
        <v>-30.388827086727041</v>
      </c>
      <c r="AV15" s="23"/>
      <c r="AW15" s="23"/>
      <c r="FG15" s="5"/>
      <c r="FH15" s="213">
        <f t="shared" si="6"/>
        <v>39949</v>
      </c>
      <c r="FI15" s="221">
        <f>AVERAGE(GH6:GH1005)</f>
        <v>25.754375227015576</v>
      </c>
      <c r="FJ15" s="221"/>
      <c r="FK15" s="221">
        <f>PERCENTILE($GH$6:$GH$1005,0.975)</f>
        <v>40.94729672576063</v>
      </c>
      <c r="FL15" s="221"/>
      <c r="FM15" s="221">
        <f>PERCENTILE($GH$6:$GH$1005,0.025)</f>
        <v>13.378286874508662</v>
      </c>
      <c r="FN15" s="221"/>
      <c r="FO15" s="5"/>
      <c r="FY15" s="212">
        <v>10</v>
      </c>
      <c r="FZ15">
        <v>31.68794356713174</v>
      </c>
      <c r="GA15">
        <v>112.25772949021082</v>
      </c>
      <c r="GB15">
        <v>66.588163773355802</v>
      </c>
      <c r="GC15">
        <v>16.563311724922166</v>
      </c>
      <c r="GD15">
        <v>10.634320317304352</v>
      </c>
      <c r="GE15">
        <v>18.876735670452415</v>
      </c>
      <c r="GF15">
        <v>24.349423442341504</v>
      </c>
      <c r="GG15">
        <v>17.130268567318595</v>
      </c>
      <c r="GH15">
        <v>28.289415896077468</v>
      </c>
      <c r="GI15">
        <v>36.334447351330752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21">
        <f>AVERAGE(GI6:GI1005)</f>
        <v>36.375801038857681</v>
      </c>
      <c r="FJ16" s="221"/>
      <c r="FK16" s="221">
        <f>PERCENTILE($GI$6:$GI$1005,0.975)</f>
        <v>44.238126899230195</v>
      </c>
      <c r="FL16" s="221"/>
      <c r="FM16" s="221">
        <f>PERCENTILE($GI$6:$GI$1005,0.025)</f>
        <v>28.835766453864085</v>
      </c>
      <c r="FN16" s="221"/>
      <c r="FO16" s="5"/>
      <c r="FY16" s="212">
        <v>11</v>
      </c>
      <c r="FZ16">
        <v>46.196700008859622</v>
      </c>
      <c r="GA16">
        <v>90.868723512412672</v>
      </c>
      <c r="GB16">
        <v>48.79094514660035</v>
      </c>
      <c r="GC16">
        <v>18.678764366233388</v>
      </c>
      <c r="GD16">
        <v>13.48685656569908</v>
      </c>
      <c r="GE16">
        <v>12.260247087019115</v>
      </c>
      <c r="GF16">
        <v>10.172635659114832</v>
      </c>
      <c r="GG16">
        <v>12.314910766655462</v>
      </c>
      <c r="GH16">
        <v>22.677794313658008</v>
      </c>
      <c r="GI16">
        <v>32.247847654331061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1028.0844024176263</v>
      </c>
      <c r="AO17">
        <v>72.35266648510958</v>
      </c>
      <c r="AP17">
        <v>133.14688543536559</v>
      </c>
      <c r="AQ17">
        <v>522.90422472822547</v>
      </c>
      <c r="AR17">
        <v>69.639560046202845</v>
      </c>
      <c r="AS17">
        <v>578.3146338088693</v>
      </c>
      <c r="AT17">
        <v>36.156654493171658</v>
      </c>
      <c r="AU17">
        <v>-18.497662240246264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2">
        <v>12</v>
      </c>
      <c r="FZ17">
        <v>41.981774594766044</v>
      </c>
      <c r="GA17">
        <v>97.287449507773147</v>
      </c>
      <c r="GB17">
        <v>57.759515469830795</v>
      </c>
      <c r="GC17">
        <v>18.527988633110159</v>
      </c>
      <c r="GD17">
        <v>12.840523304190704</v>
      </c>
      <c r="GE17">
        <v>14.571543310292139</v>
      </c>
      <c r="GF17">
        <v>14.580016119631939</v>
      </c>
      <c r="GG17">
        <v>18.170671995758841</v>
      </c>
      <c r="GH17">
        <v>20.732495919814276</v>
      </c>
      <c r="GI17">
        <v>34.078802362079394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760.28971673039837</v>
      </c>
      <c r="AO18">
        <v>50.247642952036614</v>
      </c>
      <c r="AP18">
        <v>57.879881568108743</v>
      </c>
      <c r="AQ18">
        <v>349.96973772225772</v>
      </c>
      <c r="AR18">
        <v>49.261171620011055</v>
      </c>
      <c r="AS18">
        <v>412.77392729123017</v>
      </c>
      <c r="AT18">
        <v>25.982871887411633</v>
      </c>
      <c r="AU18">
        <v>-57.182593797395761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2">
        <v>13</v>
      </c>
      <c r="FZ18">
        <v>28.237062060738968</v>
      </c>
      <c r="GA18">
        <v>80.139078708743241</v>
      </c>
      <c r="GB18">
        <v>55.503315536200468</v>
      </c>
      <c r="GC18">
        <v>21.770936506061204</v>
      </c>
      <c r="GD18">
        <v>12.021704925849169</v>
      </c>
      <c r="GE18">
        <v>19.979868844568369</v>
      </c>
      <c r="GF18">
        <v>27.357380485628724</v>
      </c>
      <c r="GG18">
        <v>16.844003692199784</v>
      </c>
      <c r="GH18">
        <v>14.626950629420651</v>
      </c>
      <c r="GI18">
        <v>32.250162802315323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766.95786654379185</v>
      </c>
      <c r="AO19">
        <v>56.897123349291903</v>
      </c>
      <c r="AP19">
        <v>50.048399690114948</v>
      </c>
      <c r="AQ19">
        <v>420.23595912041623</v>
      </c>
      <c r="AR19">
        <v>55.969830012314716</v>
      </c>
      <c r="AS19">
        <v>439.1143151146137</v>
      </c>
      <c r="AT19">
        <v>28.310358547160487</v>
      </c>
      <c r="AU19">
        <v>-80.493110334832409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2">
        <v>14</v>
      </c>
      <c r="FZ19">
        <v>59.932986622228562</v>
      </c>
      <c r="GA19">
        <v>71.775392645199318</v>
      </c>
      <c r="GB19">
        <v>41.927124585359365</v>
      </c>
      <c r="GC19">
        <v>20.148160651169022</v>
      </c>
      <c r="GD19">
        <v>10.376788418294705</v>
      </c>
      <c r="GE19">
        <v>13.647776548958817</v>
      </c>
      <c r="GF19">
        <v>15.1260360888117</v>
      </c>
      <c r="GG19">
        <v>14.51324638819618</v>
      </c>
      <c r="GH19">
        <v>33.012012573584208</v>
      </c>
      <c r="GI19">
        <v>33.142289271207147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841.63642444464278</v>
      </c>
      <c r="AO20">
        <v>56.227334803772564</v>
      </c>
      <c r="AP20">
        <v>96.404417029994818</v>
      </c>
      <c r="AQ20">
        <v>409.817973341335</v>
      </c>
      <c r="AR20">
        <v>54.356687798799925</v>
      </c>
      <c r="AS20">
        <v>454.04865696544732</v>
      </c>
      <c r="AT20">
        <v>27.271681267372614</v>
      </c>
      <c r="AU20">
        <v>-38.480217294366966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2">
        <v>15</v>
      </c>
      <c r="FZ20">
        <v>34.996770264990936</v>
      </c>
      <c r="GA20">
        <v>76.363895006971561</v>
      </c>
      <c r="GB20">
        <v>46.013831113124667</v>
      </c>
      <c r="GC20">
        <v>20.751961564508466</v>
      </c>
      <c r="GD20">
        <v>10.243574641810723</v>
      </c>
      <c r="GE20">
        <v>8.6458615757542976</v>
      </c>
      <c r="GF20">
        <v>18.874315916466092</v>
      </c>
      <c r="GG20">
        <v>20.14970968534022</v>
      </c>
      <c r="GH20">
        <v>32.917803025832541</v>
      </c>
      <c r="GI20">
        <v>31.231982060522341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270.08123556985294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14.511846405228756</v>
      </c>
      <c r="I21" s="18">
        <f t="shared" si="9"/>
        <v>100.39465999795752</v>
      </c>
      <c r="J21" s="18">
        <f t="shared" si="9"/>
        <v>78.057791666666674</v>
      </c>
      <c r="K21" s="18">
        <f t="shared" si="9"/>
        <v>57.84610416666667</v>
      </c>
      <c r="L21" s="18">
        <f t="shared" si="9"/>
        <v>13.020833333333332</v>
      </c>
      <c r="M21" s="18">
        <f t="shared" si="9"/>
        <v>5.7291666666666661</v>
      </c>
      <c r="N21" s="18">
        <f t="shared" si="9"/>
        <v>0.52083333333333326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693.22195497327937</v>
      </c>
      <c r="AO21">
        <v>49.457818397144166</v>
      </c>
      <c r="AP21">
        <v>93.481473292796011</v>
      </c>
      <c r="AQ21">
        <v>360.59038700752313</v>
      </c>
      <c r="AR21">
        <v>49.321954055013336</v>
      </c>
      <c r="AS21">
        <v>408.18550749043447</v>
      </c>
      <c r="AT21">
        <v>25.342191692434778</v>
      </c>
      <c r="AU21">
        <v>-12.278243646906688</v>
      </c>
      <c r="AV21"/>
      <c r="AW21"/>
      <c r="FY21" s="212">
        <v>16</v>
      </c>
      <c r="FZ21">
        <v>50.116105645210212</v>
      </c>
      <c r="GA21">
        <v>80.374876818831694</v>
      </c>
      <c r="GB21">
        <v>52.679840282012968</v>
      </c>
      <c r="GC21">
        <v>22.695428332123459</v>
      </c>
      <c r="GD21">
        <v>14.47046850517283</v>
      </c>
      <c r="GE21">
        <v>16.524146645051946</v>
      </c>
      <c r="GF21">
        <v>28.145255188190003</v>
      </c>
      <c r="GG21">
        <v>23.914183168627336</v>
      </c>
      <c r="GH21">
        <v>22.123687714550108</v>
      </c>
      <c r="GI21">
        <v>37.549993948592174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707.41382485556733</v>
      </c>
      <c r="E22" s="18">
        <f t="shared" si="8"/>
        <v>41</v>
      </c>
      <c r="F22" s="50"/>
      <c r="G22" s="18">
        <f t="shared" ref="G22:AK22" si="10">AVERAGE(G71:G72)</f>
        <v>16.276041666666668</v>
      </c>
      <c r="H22" s="18">
        <f t="shared" si="10"/>
        <v>183.20604283380018</v>
      </c>
      <c r="I22" s="18">
        <f t="shared" si="10"/>
        <v>275.8224873789099</v>
      </c>
      <c r="J22" s="18">
        <f t="shared" si="10"/>
        <v>154.99231547619047</v>
      </c>
      <c r="K22" s="18">
        <f t="shared" si="10"/>
        <v>46.90860416666667</v>
      </c>
      <c r="L22" s="18">
        <f t="shared" si="10"/>
        <v>12.5</v>
      </c>
      <c r="M22" s="18">
        <f t="shared" si="10"/>
        <v>6.7708333333333321</v>
      </c>
      <c r="N22" s="18">
        <f t="shared" si="10"/>
        <v>8.3333333333333321</v>
      </c>
      <c r="O22" s="18">
        <f t="shared" si="10"/>
        <v>0.52083333333333326</v>
      </c>
      <c r="P22" s="18">
        <f t="shared" si="10"/>
        <v>2.083333333333333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931.84835540953259</v>
      </c>
      <c r="AO22">
        <v>58.546969295328026</v>
      </c>
      <c r="AP22">
        <v>103.69108301966406</v>
      </c>
      <c r="AQ22">
        <v>402.59153496568507</v>
      </c>
      <c r="AR22">
        <v>57.260794386463282</v>
      </c>
      <c r="AS22">
        <v>485.05070980744563</v>
      </c>
      <c r="AT22">
        <v>28.937717945207083</v>
      </c>
      <c r="AU22">
        <v>-12.889645117521177</v>
      </c>
      <c r="AV22"/>
      <c r="AW22"/>
      <c r="FY22" s="212">
        <v>17</v>
      </c>
      <c r="FZ22">
        <v>51.273713896637986</v>
      </c>
      <c r="GA22">
        <v>124.78331395989291</v>
      </c>
      <c r="GB22">
        <v>74.166785799997058</v>
      </c>
      <c r="GC22">
        <v>23.273682287890637</v>
      </c>
      <c r="GD22">
        <v>14.442074456416496</v>
      </c>
      <c r="GE22">
        <v>14.503824428456038</v>
      </c>
      <c r="GF22">
        <v>23.80095755210781</v>
      </c>
      <c r="GG22">
        <v>23.926754120234264</v>
      </c>
      <c r="GH22">
        <v>25.202028181099113</v>
      </c>
      <c r="GI22">
        <v>42.822097531298908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1294.1947569910931</v>
      </c>
      <c r="E23" s="18">
        <f t="shared" si="8"/>
        <v>33</v>
      </c>
      <c r="F23" s="50"/>
      <c r="G23" s="18">
        <f t="shared" ref="G23:AK23" si="11">AVERAGE(G72:G73)</f>
        <v>49.758184523809533</v>
      </c>
      <c r="H23" s="18">
        <f t="shared" si="11"/>
        <v>430.93923183497532</v>
      </c>
      <c r="I23" s="18">
        <f t="shared" si="11"/>
        <v>588.99654060618502</v>
      </c>
      <c r="J23" s="18">
        <f t="shared" si="11"/>
        <v>189.88905760188089</v>
      </c>
      <c r="K23" s="18">
        <f t="shared" si="11"/>
        <v>5.587121212121211</v>
      </c>
      <c r="L23" s="18">
        <f t="shared" si="11"/>
        <v>10.416666666666668</v>
      </c>
      <c r="M23" s="18">
        <f t="shared" si="11"/>
        <v>7.670454545454545</v>
      </c>
      <c r="N23" s="18">
        <f t="shared" si="11"/>
        <v>8.3333333333333321</v>
      </c>
      <c r="O23" s="18">
        <f t="shared" si="11"/>
        <v>0.52083333333333326</v>
      </c>
      <c r="P23" s="18">
        <f t="shared" si="11"/>
        <v>2.083333333333333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772.47041477412199</v>
      </c>
      <c r="AO23">
        <v>50.186289169716481</v>
      </c>
      <c r="AP23">
        <v>62.331366786729198</v>
      </c>
      <c r="AQ23">
        <v>347.28330138899724</v>
      </c>
      <c r="AR23">
        <v>48.065887162346471</v>
      </c>
      <c r="AS23">
        <v>404.17242993406165</v>
      </c>
      <c r="AT23">
        <v>24.780823373563379</v>
      </c>
      <c r="AU23">
        <v>-92.128745771468758</v>
      </c>
      <c r="AV23"/>
      <c r="AW23"/>
      <c r="FY23" s="212">
        <v>18</v>
      </c>
      <c r="FZ23">
        <v>51.974226348471269</v>
      </c>
      <c r="GA23">
        <v>113.88819953690732</v>
      </c>
      <c r="GB23">
        <v>65.582724122665894</v>
      </c>
      <c r="GC23">
        <v>22.622255502222057</v>
      </c>
      <c r="GD23">
        <v>11.571913476600971</v>
      </c>
      <c r="GE23">
        <v>11.841926834337759</v>
      </c>
      <c r="GF23">
        <v>11.880871777119857</v>
      </c>
      <c r="GG23">
        <v>16.772829769140131</v>
      </c>
      <c r="GH23">
        <v>25.341403894096121</v>
      </c>
      <c r="GI23">
        <v>36.932485881238335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1205.8887074458441</v>
      </c>
      <c r="E24" s="18">
        <f t="shared" si="8"/>
        <v>28</v>
      </c>
      <c r="F24" s="50"/>
      <c r="G24" s="18">
        <f t="shared" ref="G24:AK24" si="12">AVERAGE(G73:G74)</f>
        <v>33.482142857142861</v>
      </c>
      <c r="H24" s="18">
        <f t="shared" si="12"/>
        <v>379.42405025729374</v>
      </c>
      <c r="I24" s="18">
        <f t="shared" si="12"/>
        <v>641.92170880604067</v>
      </c>
      <c r="J24" s="18">
        <f t="shared" si="12"/>
        <v>145.94716916173027</v>
      </c>
      <c r="K24" s="18">
        <f t="shared" si="12"/>
        <v>2.6515151515151514</v>
      </c>
      <c r="L24" s="18">
        <f t="shared" si="12"/>
        <v>1.0416666666666665</v>
      </c>
      <c r="M24" s="18">
        <f t="shared" si="12"/>
        <v>1.4204545454545454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1002.8985289930795</v>
      </c>
      <c r="AO24">
        <v>65.578817269439156</v>
      </c>
      <c r="AP24">
        <v>70.625355962856105</v>
      </c>
      <c r="AQ24">
        <v>464.84424183439808</v>
      </c>
      <c r="AR24">
        <v>63.040455019089876</v>
      </c>
      <c r="AS24">
        <v>511.39890329720743</v>
      </c>
      <c r="AT24">
        <v>30.343811220216182</v>
      </c>
      <c r="AU24">
        <v>-120.37293111314195</v>
      </c>
      <c r="AV24"/>
      <c r="AW24"/>
      <c r="FY24" s="212">
        <v>19</v>
      </c>
      <c r="FZ24">
        <v>47.697351419455707</v>
      </c>
      <c r="GA24">
        <v>78.025448348215022</v>
      </c>
      <c r="GB24">
        <v>45.543328590825624</v>
      </c>
      <c r="GC24">
        <v>22.260122889982263</v>
      </c>
      <c r="GD24">
        <v>15.442743124077856</v>
      </c>
      <c r="GE24">
        <v>15.476801918207347</v>
      </c>
      <c r="GF24">
        <v>23.730703612907984</v>
      </c>
      <c r="GG24">
        <v>28.160261657095038</v>
      </c>
      <c r="GH24">
        <v>23.482050583018676</v>
      </c>
      <c r="GI24">
        <v>35.465661756531404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777.06415740380953</v>
      </c>
      <c r="E25" s="18">
        <f t="shared" si="8"/>
        <v>24</v>
      </c>
      <c r="F25" s="50"/>
      <c r="G25" s="18">
        <f t="shared" ref="G25:AK25" si="13">AVERAGE(G74:G75)</f>
        <v>29.799107142857146</v>
      </c>
      <c r="H25" s="18">
        <f t="shared" si="13"/>
        <v>295.11800294612789</v>
      </c>
      <c r="I25" s="18">
        <f t="shared" si="13"/>
        <v>344.95736988867077</v>
      </c>
      <c r="J25" s="18">
        <f t="shared" si="13"/>
        <v>91.375283486759656</v>
      </c>
      <c r="K25" s="18">
        <f t="shared" si="13"/>
        <v>10.606060606060606</v>
      </c>
      <c r="L25" s="18">
        <f t="shared" si="13"/>
        <v>3.1249999999999996</v>
      </c>
      <c r="M25" s="18">
        <f t="shared" si="13"/>
        <v>2.083333333333333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795.97524209547396</v>
      </c>
      <c r="AO25">
        <v>51.913752173158947</v>
      </c>
      <c r="AP25">
        <v>78.544811461401878</v>
      </c>
      <c r="AQ25">
        <v>355.98177961366002</v>
      </c>
      <c r="AR25">
        <v>51.66547347282286</v>
      </c>
      <c r="AS25">
        <v>438.02930910004096</v>
      </c>
      <c r="AT25">
        <v>26.373798240326</v>
      </c>
      <c r="AU25">
        <v>-16.673378852149192</v>
      </c>
      <c r="AV25"/>
      <c r="AW25"/>
      <c r="FY25" s="212">
        <v>20</v>
      </c>
      <c r="FZ25">
        <v>47.10139114013478</v>
      </c>
      <c r="GA25">
        <v>97.893670442174852</v>
      </c>
      <c r="GB25">
        <v>53.618829167501808</v>
      </c>
      <c r="GC25">
        <v>18.496271113793444</v>
      </c>
      <c r="GD25">
        <v>14.148305567870159</v>
      </c>
      <c r="GE25">
        <v>18.355698579672115</v>
      </c>
      <c r="GF25">
        <v>20.681748631525558</v>
      </c>
      <c r="GG25">
        <v>20.814598414599921</v>
      </c>
      <c r="GH25">
        <v>31.603594127284165</v>
      </c>
      <c r="GI25">
        <v>37.248970540154403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501.21470099667772</v>
      </c>
      <c r="E26" s="18">
        <f t="shared" si="8"/>
        <v>48</v>
      </c>
      <c r="F26" s="50"/>
      <c r="G26" s="18">
        <f t="shared" ref="G26:AK26" si="14">AVERAGE(G75:G76)</f>
        <v>49.813988095238102</v>
      </c>
      <c r="H26" s="18">
        <f t="shared" si="14"/>
        <v>249.10714285714283</v>
      </c>
      <c r="I26" s="18">
        <f t="shared" si="14"/>
        <v>122.18473145071982</v>
      </c>
      <c r="J26" s="18">
        <f t="shared" si="14"/>
        <v>56.671338593576969</v>
      </c>
      <c r="K26" s="18">
        <f t="shared" si="14"/>
        <v>14.583333333333332</v>
      </c>
      <c r="L26" s="18">
        <f t="shared" si="14"/>
        <v>5.208333333333333</v>
      </c>
      <c r="M26" s="18">
        <f t="shared" si="14"/>
        <v>3.645833333333333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793.26781657813092</v>
      </c>
      <c r="AO26">
        <v>50.854158829105316</v>
      </c>
      <c r="AP26">
        <v>58.365875393727542</v>
      </c>
      <c r="AQ26">
        <v>362.71175980044558</v>
      </c>
      <c r="AR26">
        <v>50.013853039404957</v>
      </c>
      <c r="AS26">
        <v>414.16917108415953</v>
      </c>
      <c r="AT26">
        <v>25.053183884952485</v>
      </c>
      <c r="AU26">
        <v>-63.900857526133152</v>
      </c>
      <c r="AV26"/>
      <c r="AW26"/>
      <c r="FY26" s="212">
        <v>21</v>
      </c>
      <c r="FZ26">
        <v>35.753075644847485</v>
      </c>
      <c r="GA26">
        <v>103.0907429979609</v>
      </c>
      <c r="GB26">
        <v>54.237226539192889</v>
      </c>
      <c r="GC26">
        <v>18.090161518991565</v>
      </c>
      <c r="GD26">
        <v>11.616088092030811</v>
      </c>
      <c r="GE26">
        <v>15.504308673926799</v>
      </c>
      <c r="GF26">
        <v>34.057019228700746</v>
      </c>
      <c r="GG26">
        <v>27.167400700903304</v>
      </c>
      <c r="GH26">
        <v>24.887602957770532</v>
      </c>
      <c r="GI26">
        <v>35.624869831480041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753.30018939393926</v>
      </c>
      <c r="E27" s="18">
        <f>C11-C10</f>
        <v>63</v>
      </c>
      <c r="F27" s="50"/>
      <c r="G27" s="18">
        <f t="shared" ref="G27:AK29" si="15">AVERAGE(G76:G77)</f>
        <v>75.570436507936506</v>
      </c>
      <c r="H27" s="18">
        <f t="shared" si="15"/>
        <v>260.72518338143334</v>
      </c>
      <c r="I27" s="18">
        <f t="shared" si="15"/>
        <v>274.7933201058201</v>
      </c>
      <c r="J27" s="18">
        <f t="shared" si="15"/>
        <v>100.48776455026454</v>
      </c>
      <c r="K27" s="18">
        <f t="shared" si="15"/>
        <v>27.178030303030305</v>
      </c>
      <c r="L27" s="18">
        <f t="shared" si="15"/>
        <v>6.107954545454545</v>
      </c>
      <c r="M27" s="18">
        <f t="shared" si="15"/>
        <v>8.4375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602.16999006381366</v>
      </c>
      <c r="AO27">
        <v>44.3267056027737</v>
      </c>
      <c r="AP27">
        <v>32.702093447419315</v>
      </c>
      <c r="AQ27">
        <v>307.69542508058356</v>
      </c>
      <c r="AR27">
        <v>44.383077936820115</v>
      </c>
      <c r="AS27">
        <v>358.35111805863693</v>
      </c>
      <c r="AT27">
        <v>23.432440821849941</v>
      </c>
      <c r="AU27">
        <v>-51.29768356783012</v>
      </c>
      <c r="AV27"/>
      <c r="AW27"/>
      <c r="FY27" s="212">
        <v>22</v>
      </c>
      <c r="FZ27">
        <v>34.765387478560818</v>
      </c>
      <c r="GA27">
        <v>53.005122081687105</v>
      </c>
      <c r="GB27">
        <v>32.25228807960405</v>
      </c>
      <c r="GC27">
        <v>13.413089307428601</v>
      </c>
      <c r="GD27">
        <v>10.877930988498466</v>
      </c>
      <c r="GE27">
        <v>15.944019626220431</v>
      </c>
      <c r="GF27">
        <v>10.169135089079846</v>
      </c>
      <c r="GG27">
        <v>23.623398063410896</v>
      </c>
      <c r="GH27">
        <v>41.093502476523867</v>
      </c>
      <c r="GI27">
        <v>27.837799469710038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725.30205211038015</v>
      </c>
      <c r="E28" s="18">
        <f>C12-C11</f>
        <v>39</v>
      </c>
      <c r="F28" s="50"/>
      <c r="G28" s="18">
        <f t="shared" si="15"/>
        <v>55.555555555555557</v>
      </c>
      <c r="H28" s="18">
        <f t="shared" si="15"/>
        <v>201.59406565656562</v>
      </c>
      <c r="I28" s="18">
        <f t="shared" si="15"/>
        <v>322.4676002862023</v>
      </c>
      <c r="J28" s="18">
        <f t="shared" si="15"/>
        <v>102.39884576357179</v>
      </c>
      <c r="K28" s="18">
        <f t="shared" si="15"/>
        <v>28.219696969696969</v>
      </c>
      <c r="L28" s="18">
        <f t="shared" si="15"/>
        <v>5.5871212121212119</v>
      </c>
      <c r="M28" s="18">
        <f t="shared" si="15"/>
        <v>9.4791666666666661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659.34736915495137</v>
      </c>
      <c r="AO28">
        <v>47.876428599279301</v>
      </c>
      <c r="AP28">
        <v>68.030193769530797</v>
      </c>
      <c r="AQ28">
        <v>330.53078121724741</v>
      </c>
      <c r="AR28">
        <v>47.103598870618633</v>
      </c>
      <c r="AS28">
        <v>354.17146721679734</v>
      </c>
      <c r="AT28">
        <v>23.395005890148553</v>
      </c>
      <c r="AU28">
        <v>-43.35401858121147</v>
      </c>
      <c r="AV28"/>
      <c r="AW28"/>
      <c r="FY28" s="212">
        <v>23</v>
      </c>
      <c r="FZ28">
        <v>41.972700470169428</v>
      </c>
      <c r="GA28">
        <v>104.94886428137148</v>
      </c>
      <c r="GB28">
        <v>60.250273762926859</v>
      </c>
      <c r="GC28">
        <v>16.348591925670029</v>
      </c>
      <c r="GD28">
        <v>6.5649386067893358</v>
      </c>
      <c r="GE28">
        <v>10.967011750770768</v>
      </c>
      <c r="GF28">
        <v>29.152423078803427</v>
      </c>
      <c r="GG28">
        <v>29.562940833639495</v>
      </c>
      <c r="GH28">
        <v>30.404515885246383</v>
      </c>
      <c r="GI28">
        <v>35.228079271463116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233.62545225233202</v>
      </c>
      <c r="E29" s="18">
        <f>C13-C12</f>
        <v>38</v>
      </c>
      <c r="F29" s="50"/>
      <c r="G29" s="18">
        <f t="shared" si="15"/>
        <v>0</v>
      </c>
      <c r="H29" s="18">
        <f t="shared" si="15"/>
        <v>23.674655047204066</v>
      </c>
      <c r="I29" s="18">
        <f t="shared" si="15"/>
        <v>122.80806073241547</v>
      </c>
      <c r="J29" s="18">
        <f t="shared" si="15"/>
        <v>55.033372336987298</v>
      </c>
      <c r="K29" s="18">
        <f t="shared" si="15"/>
        <v>18.623105270476984</v>
      </c>
      <c r="L29" s="18">
        <f t="shared" si="15"/>
        <v>2.6041666666666665</v>
      </c>
      <c r="M29" s="18">
        <f t="shared" si="15"/>
        <v>10.88209219858156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793.82499262245426</v>
      </c>
      <c r="AO29">
        <v>46.386612554339059</v>
      </c>
      <c r="AP29">
        <v>41.738068967643194</v>
      </c>
      <c r="AQ29">
        <v>308.73046419172596</v>
      </c>
      <c r="AR29">
        <v>44.270822283256855</v>
      </c>
      <c r="AS29">
        <v>380.07572452814713</v>
      </c>
      <c r="AT29">
        <v>22.416593797602335</v>
      </c>
      <c r="AU29">
        <v>-53.112814243277704</v>
      </c>
      <c r="AV29"/>
      <c r="AW29"/>
      <c r="FY29" s="212">
        <v>24</v>
      </c>
      <c r="FZ29">
        <v>48.469210144638915</v>
      </c>
      <c r="GA29">
        <v>114.61400855547872</v>
      </c>
      <c r="GB29">
        <v>70.40332779920854</v>
      </c>
      <c r="GC29">
        <v>23.767103968598263</v>
      </c>
      <c r="GD29">
        <v>11.449107694720592</v>
      </c>
      <c r="GE29">
        <v>11.255262793611999</v>
      </c>
      <c r="GF29">
        <v>47.366792252755523</v>
      </c>
      <c r="GG29">
        <v>40.265573672163832</v>
      </c>
      <c r="GH29">
        <v>22.508200932920001</v>
      </c>
      <c r="GI29">
        <v>43.638289040859767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665.65315832220551</v>
      </c>
      <c r="E30" s="18">
        <v>24</v>
      </c>
      <c r="F30" s="50"/>
      <c r="G30" s="18">
        <f>AVERAGE(G70:G79)</f>
        <v>31.02554563492064</v>
      </c>
      <c r="H30" s="18">
        <f t="shared" ref="H30:AK30" si="16">AVERAGE(H70:H79)</f>
        <v>204.99378392299391</v>
      </c>
      <c r="I30" s="18">
        <f t="shared" si="16"/>
        <v>286.38999026620979</v>
      </c>
      <c r="J30" s="18">
        <f t="shared" si="16"/>
        <v>102.96865392851183</v>
      </c>
      <c r="K30" s="18">
        <f t="shared" si="16"/>
        <v>23.968084311671156</v>
      </c>
      <c r="L30" s="18">
        <f t="shared" si="16"/>
        <v>7.0549242424242422</v>
      </c>
      <c r="M30" s="18">
        <f t="shared" si="16"/>
        <v>6.9605093488072214</v>
      </c>
      <c r="N30" s="18">
        <f t="shared" si="16"/>
        <v>1.7708333333333333</v>
      </c>
      <c r="O30" s="18">
        <f t="shared" si="16"/>
        <v>0.10416666666666666</v>
      </c>
      <c r="P30" s="18">
        <f t="shared" si="16"/>
        <v>0.41666666666666663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729.12964505751211</v>
      </c>
      <c r="AO30">
        <v>44.017604907306257</v>
      </c>
      <c r="AP30">
        <v>68.374894353813119</v>
      </c>
      <c r="AQ30">
        <v>313.60181379300911</v>
      </c>
      <c r="AR30">
        <v>45.298490666590588</v>
      </c>
      <c r="AS30">
        <v>386.15221450613956</v>
      </c>
      <c r="AT30">
        <v>26.256028573291346</v>
      </c>
      <c r="AU30">
        <v>-38.240646342661712</v>
      </c>
      <c r="AV30"/>
      <c r="AW30"/>
      <c r="FY30" s="212">
        <v>25</v>
      </c>
      <c r="FZ30">
        <v>65.083548024712542</v>
      </c>
      <c r="GA30">
        <v>86.473936323952003</v>
      </c>
      <c r="GB30">
        <v>40.26294520749061</v>
      </c>
      <c r="GC30">
        <v>16.829379423229735</v>
      </c>
      <c r="GD30">
        <v>11.67941251084795</v>
      </c>
      <c r="GE30">
        <v>12.91989776237814</v>
      </c>
      <c r="GF30">
        <v>23.067165272048605</v>
      </c>
      <c r="GG30">
        <v>23.179064696322062</v>
      </c>
      <c r="GH30">
        <v>19.282923531273624</v>
      </c>
      <c r="GI30">
        <v>33.698408757851716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611.80863769478765</v>
      </c>
      <c r="AO31">
        <v>43.330000729289843</v>
      </c>
      <c r="AP31">
        <v>69.818843453924629</v>
      </c>
      <c r="AQ31">
        <v>300.18970485532179</v>
      </c>
      <c r="AR31">
        <v>42.9981808483425</v>
      </c>
      <c r="AS31">
        <v>349.82671475520351</v>
      </c>
      <c r="AT31">
        <v>23.200999407342071</v>
      </c>
      <c r="AU31">
        <v>-67.262042320960035</v>
      </c>
      <c r="AV31"/>
      <c r="AW31"/>
      <c r="FY31" s="212">
        <v>26</v>
      </c>
      <c r="FZ31">
        <v>56.3762137706617</v>
      </c>
      <c r="GA31">
        <v>107.14967500259367</v>
      </c>
      <c r="GB31">
        <v>57.607037607398219</v>
      </c>
      <c r="GC31">
        <v>18.860591119112062</v>
      </c>
      <c r="GD31">
        <v>11.934961061222854</v>
      </c>
      <c r="GE31">
        <v>17.879916788534565</v>
      </c>
      <c r="GF31">
        <v>34.450106158450772</v>
      </c>
      <c r="GG31">
        <v>33.53183650259507</v>
      </c>
      <c r="GH31">
        <v>25.063971129497055</v>
      </c>
      <c r="GI31">
        <v>39.790156133894229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713.37382353417013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731.7043809185094</v>
      </c>
      <c r="AO32">
        <v>51.482570730908208</v>
      </c>
      <c r="AP32">
        <v>53.635961520171143</v>
      </c>
      <c r="AQ32">
        <v>348.59398624836274</v>
      </c>
      <c r="AR32">
        <v>51.661691018382207</v>
      </c>
      <c r="AS32">
        <v>461.81918252101241</v>
      </c>
      <c r="AT32">
        <v>26.992154167878553</v>
      </c>
      <c r="AU32">
        <v>-5.5370033483635979</v>
      </c>
      <c r="AV32"/>
      <c r="AW32"/>
      <c r="FY32" s="212">
        <v>27</v>
      </c>
      <c r="FZ32">
        <v>47.70729716212729</v>
      </c>
      <c r="GA32">
        <v>95.120463041668671</v>
      </c>
      <c r="GB32">
        <v>56.74653834850271</v>
      </c>
      <c r="GC32">
        <v>21.025008919667513</v>
      </c>
      <c r="GD32">
        <v>12.650129899000875</v>
      </c>
      <c r="GE32">
        <v>16.020084594606114</v>
      </c>
      <c r="GF32">
        <v>24.761155954801204</v>
      </c>
      <c r="GG32">
        <v>25.014024752812837</v>
      </c>
      <c r="GH32">
        <v>21.378661349315028</v>
      </c>
      <c r="GI32">
        <v>36.381844137070097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789.47302420845415</v>
      </c>
      <c r="AO33">
        <v>59.632487281126828</v>
      </c>
      <c r="AP33">
        <v>87.387644039547723</v>
      </c>
      <c r="AQ33">
        <v>418.19523221403119</v>
      </c>
      <c r="AR33">
        <v>59.048287479157416</v>
      </c>
      <c r="AS33">
        <v>451.50547785527721</v>
      </c>
      <c r="AT33">
        <v>29.171659072010012</v>
      </c>
      <c r="AU33">
        <v>-36.450094192368134</v>
      </c>
      <c r="AV33"/>
      <c r="AW33"/>
      <c r="FY33" s="212">
        <v>28</v>
      </c>
      <c r="FZ33">
        <v>54.386960423272015</v>
      </c>
      <c r="GA33">
        <v>103.61796363167429</v>
      </c>
      <c r="GB33">
        <v>53.059766732527656</v>
      </c>
      <c r="GC33">
        <v>17.19583880165435</v>
      </c>
      <c r="GD33">
        <v>9.0692619777642562</v>
      </c>
      <c r="GE33">
        <v>10.002679379999474</v>
      </c>
      <c r="GF33">
        <v>15.448493258350789</v>
      </c>
      <c r="GG33">
        <v>23.948519303141982</v>
      </c>
      <c r="GH33">
        <v>35.237653728179033</v>
      </c>
      <c r="GI33">
        <v>34.928736016835686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703.22196852059858</v>
      </c>
      <c r="AO34">
        <v>52.045115389703561</v>
      </c>
      <c r="AP34">
        <v>59.072369973821871</v>
      </c>
      <c r="AQ34">
        <v>368.40883714279971</v>
      </c>
      <c r="AR34">
        <v>50.931271555845726</v>
      </c>
      <c r="AS34">
        <v>399.61335893951656</v>
      </c>
      <c r="AT34">
        <v>25.082850479837415</v>
      </c>
      <c r="AU34">
        <v>-58.254335326065643</v>
      </c>
      <c r="AV34"/>
      <c r="AW34"/>
      <c r="FY34" s="212">
        <v>29</v>
      </c>
      <c r="FZ34">
        <v>42.975747979775051</v>
      </c>
      <c r="GA34">
        <v>58.812925531634377</v>
      </c>
      <c r="GB34">
        <v>29.842895983825048</v>
      </c>
      <c r="GC34">
        <v>16.498250165236289</v>
      </c>
      <c r="GD34">
        <v>9.5687645079205499</v>
      </c>
      <c r="GE34">
        <v>10.607557046228568</v>
      </c>
      <c r="GF34">
        <v>24.893057872838565</v>
      </c>
      <c r="GG34">
        <v>29.086306766379117</v>
      </c>
      <c r="GH34">
        <v>30.606345866448155</v>
      </c>
      <c r="GI34">
        <v>28.723428332385712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662.63730372359112</v>
      </c>
      <c r="AO35">
        <v>49.929670188739934</v>
      </c>
      <c r="AP35">
        <v>61.289282728110074</v>
      </c>
      <c r="AQ35">
        <v>335.28447390031693</v>
      </c>
      <c r="AR35">
        <v>48.821345812159571</v>
      </c>
      <c r="AS35">
        <v>398.03468595645501</v>
      </c>
      <c r="AT35">
        <v>24.97204995855401</v>
      </c>
      <c r="AU35">
        <v>-21.30331130636786</v>
      </c>
      <c r="AV35"/>
      <c r="AW35"/>
      <c r="FY35" s="212">
        <v>30</v>
      </c>
      <c r="FZ35">
        <v>34.160142839632783</v>
      </c>
      <c r="GA35">
        <v>101.2194666247841</v>
      </c>
      <c r="GB35">
        <v>58.552111046813245</v>
      </c>
      <c r="GC35">
        <v>16.089843217859666</v>
      </c>
      <c r="GD35">
        <v>9.7446213946128744</v>
      </c>
      <c r="GE35">
        <v>14.240517000474867</v>
      </c>
      <c r="GF35">
        <v>27.483789628182947</v>
      </c>
      <c r="GG35">
        <v>22.860260440433656</v>
      </c>
      <c r="GH35">
        <v>17.939074772741744</v>
      </c>
      <c r="GI35">
        <v>33.185769497288398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1.1192378560128725E-3</v>
      </c>
      <c r="H36" s="59">
        <f t="shared" ref="H36:AK36" si="17">(1-($A$43/100))*($A$39*(H35^$A$41))</f>
        <v>7.2275999999999998E-3</v>
      </c>
      <c r="I36" s="59">
        <f t="shared" si="17"/>
        <v>4.6673011888725101E-2</v>
      </c>
      <c r="J36" s="59">
        <f t="shared" si="17"/>
        <v>0.13897203136197886</v>
      </c>
      <c r="K36" s="59">
        <f t="shared" si="17"/>
        <v>0.30139604277562043</v>
      </c>
      <c r="L36" s="59">
        <f t="shared" si="17"/>
        <v>0.54944267880487196</v>
      </c>
      <c r="M36" s="59">
        <f t="shared" si="17"/>
        <v>0.89742698433199364</v>
      </c>
      <c r="N36" s="59">
        <f t="shared" si="17"/>
        <v>1.3587918549382612</v>
      </c>
      <c r="O36" s="59">
        <f t="shared" si="17"/>
        <v>1.9462976766397186</v>
      </c>
      <c r="P36" s="59">
        <f t="shared" si="17"/>
        <v>2.6721491921073159</v>
      </c>
      <c r="Q36" s="59">
        <f t="shared" si="17"/>
        <v>3.5480857656805531</v>
      </c>
      <c r="R36" s="59">
        <f t="shared" si="17"/>
        <v>4.5854485507812486</v>
      </c>
      <c r="S36" s="59">
        <f t="shared" si="17"/>
        <v>5.7952322083388497</v>
      </c>
      <c r="T36" s="59">
        <f t="shared" si="17"/>
        <v>7.1881258189983859</v>
      </c>
      <c r="U36" s="59">
        <f t="shared" si="17"/>
        <v>8.7745459626758926</v>
      </c>
      <c r="V36" s="59">
        <f t="shared" si="17"/>
        <v>10.564663953522661</v>
      </c>
      <c r="W36" s="59">
        <f t="shared" si="17"/>
        <v>12.568428607117669</v>
      </c>
      <c r="X36" s="59">
        <f t="shared" si="17"/>
        <v>14.795585521883805</v>
      </c>
      <c r="Y36" s="59">
        <f t="shared" si="17"/>
        <v>17.255693592848509</v>
      </c>
      <c r="Z36" s="59">
        <f t="shared" si="17"/>
        <v>19.958139294316886</v>
      </c>
      <c r="AA36" s="59">
        <f t="shared" si="17"/>
        <v>22.912149139939221</v>
      </c>
      <c r="AB36" s="59">
        <f t="shared" si="17"/>
        <v>26.126800636294448</v>
      </c>
      <c r="AC36" s="59">
        <f t="shared" si="17"/>
        <v>29.611031978215532</v>
      </c>
      <c r="AD36" s="59">
        <f t="shared" si="17"/>
        <v>33.373650683313194</v>
      </c>
      <c r="AE36" s="59">
        <f t="shared" si="17"/>
        <v>37.423341324605943</v>
      </c>
      <c r="AF36" s="59">
        <f t="shared" si="17"/>
        <v>41.768672490491134</v>
      </c>
      <c r="AG36" s="59">
        <f t="shared" si="17"/>
        <v>46.418103078167533</v>
      </c>
      <c r="AH36" s="59">
        <f t="shared" si="17"/>
        <v>51.37998800838789</v>
      </c>
      <c r="AI36" s="59">
        <f t="shared" si="17"/>
        <v>56.662583434907432</v>
      </c>
      <c r="AJ36" s="59">
        <f t="shared" si="17"/>
        <v>62.274051510321357</v>
      </c>
      <c r="AK36" s="59">
        <f t="shared" si="17"/>
        <v>68.222464760522016</v>
      </c>
      <c r="AL36" s="42"/>
      <c r="AM36" s="43">
        <v>20</v>
      </c>
      <c r="AN36">
        <v>827.35959081392616</v>
      </c>
      <c r="AO36">
        <v>51.334021554016637</v>
      </c>
      <c r="AP36">
        <v>74.012452822694755</v>
      </c>
      <c r="AQ36">
        <v>359.96307772471124</v>
      </c>
      <c r="AR36">
        <v>51.244280447822817</v>
      </c>
      <c r="AS36">
        <v>430.59502509414472</v>
      </c>
      <c r="AT36">
        <v>26.56716522905759</v>
      </c>
      <c r="AU36">
        <v>-56.16933479506659</v>
      </c>
      <c r="AV36"/>
      <c r="AW36"/>
      <c r="FY36" s="212">
        <v>31</v>
      </c>
      <c r="FZ36">
        <v>52.609499664089796</v>
      </c>
      <c r="GA36">
        <v>125.10960927364349</v>
      </c>
      <c r="GB36">
        <v>62.373542597890115</v>
      </c>
      <c r="GC36">
        <v>16.043601993287997</v>
      </c>
      <c r="GD36">
        <v>11.444632498428968</v>
      </c>
      <c r="GE36">
        <v>12.995697117810915</v>
      </c>
      <c r="GF36">
        <v>33.996389437480495</v>
      </c>
      <c r="GG36">
        <v>36.117956096370129</v>
      </c>
      <c r="GH36">
        <v>35.527471174998531</v>
      </c>
      <c r="GI36">
        <v>41.698375221232666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46.076458140548255</v>
      </c>
      <c r="E37" s="107">
        <f t="shared" ref="E37:E46" si="19">+D37/D21</f>
        <v>0.17060221915576651</v>
      </c>
      <c r="F37" s="18"/>
      <c r="G37" s="49">
        <f t="shared" ref="G37:G43" si="20">G21*G$36</f>
        <v>0</v>
      </c>
      <c r="H37" s="49">
        <f t="shared" ref="H37:AK40" si="21">H21*H$36</f>
        <v>0.10488582107843135</v>
      </c>
      <c r="I37" s="49">
        <f t="shared" si="21"/>
        <v>4.6857211596491855</v>
      </c>
      <c r="J37" s="49">
        <f t="shared" si="21"/>
        <v>10.847849871546813</v>
      </c>
      <c r="K37" s="49">
        <f t="shared" si="21"/>
        <v>17.434586885819662</v>
      </c>
      <c r="L37" s="49">
        <f t="shared" si="21"/>
        <v>7.1542015469384364</v>
      </c>
      <c r="M37" s="49">
        <f t="shared" si="21"/>
        <v>5.1415087644020465</v>
      </c>
      <c r="N37" s="49">
        <f t="shared" si="21"/>
        <v>0.7077040911136776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797.29261289956685</v>
      </c>
      <c r="AO37">
        <v>50.551261444773452</v>
      </c>
      <c r="AP37">
        <v>72.088013170186656</v>
      </c>
      <c r="AQ37">
        <v>360.02849618580512</v>
      </c>
      <c r="AR37">
        <v>48.861642711304597</v>
      </c>
      <c r="AS37">
        <v>411.02252508180334</v>
      </c>
      <c r="AT37">
        <v>25.522970500863028</v>
      </c>
      <c r="AU37">
        <v>-58.828628577193427</v>
      </c>
      <c r="AV37"/>
      <c r="AW37"/>
      <c r="FY37" s="212">
        <v>32</v>
      </c>
      <c r="FZ37">
        <v>39.745236028932531</v>
      </c>
      <c r="GA37">
        <v>89.36708893617029</v>
      </c>
      <c r="GB37">
        <v>46.515843243673878</v>
      </c>
      <c r="GC37">
        <v>18.370622342411945</v>
      </c>
      <c r="GD37">
        <v>10.85976037268861</v>
      </c>
      <c r="GE37">
        <v>8.881421802008914</v>
      </c>
      <c r="GF37">
        <v>32.522016084134478</v>
      </c>
      <c r="GG37">
        <v>32.994857718412966</v>
      </c>
      <c r="GH37">
        <v>19.633902655237577</v>
      </c>
      <c r="GI37">
        <v>32.799338961894136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80.741789257730431</v>
      </c>
      <c r="E38" s="107">
        <f t="shared" si="19"/>
        <v>0.11413657242875552</v>
      </c>
      <c r="F38" s="18"/>
      <c r="G38" s="49">
        <f t="shared" si="20"/>
        <v>1.8216761979376182E-2</v>
      </c>
      <c r="H38" s="49">
        <f t="shared" si="21"/>
        <v>1.3241399951855741</v>
      </c>
      <c r="I38" s="49">
        <f t="shared" si="21"/>
        <v>12.873466232613591</v>
      </c>
      <c r="J38" s="49">
        <f t="shared" si="21"/>
        <v>21.539596927222863</v>
      </c>
      <c r="K38" s="49">
        <f t="shared" si="21"/>
        <v>14.138067667961314</v>
      </c>
      <c r="L38" s="49">
        <f t="shared" si="21"/>
        <v>6.8680334850608995</v>
      </c>
      <c r="M38" s="49">
        <f t="shared" si="21"/>
        <v>6.0763285397478723</v>
      </c>
      <c r="N38" s="49">
        <f t="shared" si="21"/>
        <v>11.323265457818842</v>
      </c>
      <c r="O38" s="49">
        <f t="shared" si="21"/>
        <v>1.0136967065831866</v>
      </c>
      <c r="P38" s="49">
        <f t="shared" si="21"/>
        <v>5.566977483556907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603.31431003268585</v>
      </c>
      <c r="AO38">
        <v>38.145725490080338</v>
      </c>
      <c r="AP38">
        <v>94.916193538612333</v>
      </c>
      <c r="AQ38">
        <v>262.98167266072414</v>
      </c>
      <c r="AR38">
        <v>38.312545500704772</v>
      </c>
      <c r="AS38">
        <v>320.39876628191945</v>
      </c>
      <c r="AT38">
        <v>20.183853821147562</v>
      </c>
      <c r="AU38">
        <v>-41.944338120112576</v>
      </c>
      <c r="AV38"/>
      <c r="AW38"/>
      <c r="FY38" s="212">
        <v>33</v>
      </c>
      <c r="FZ38">
        <v>35.138525535840181</v>
      </c>
      <c r="GA38">
        <v>131.62617544004974</v>
      </c>
      <c r="GB38">
        <v>73.204548529143352</v>
      </c>
      <c r="GC38">
        <v>16.932958441196892</v>
      </c>
      <c r="GD38">
        <v>11.561499607921597</v>
      </c>
      <c r="GE38">
        <v>14.548029733413689</v>
      </c>
      <c r="GF38">
        <v>26.749544340845283</v>
      </c>
      <c r="GG38">
        <v>21.778781533319169</v>
      </c>
      <c r="GH38">
        <v>15.056274242006763</v>
      </c>
      <c r="GI38">
        <v>37.430148495732411</v>
      </c>
      <c r="GJ38"/>
      <c r="GK38"/>
      <c r="GL38"/>
      <c r="GM38"/>
    </row>
    <row r="39" spans="1:195" s="7" customFormat="1">
      <c r="A39" s="114">
        <v>7.6E-3</v>
      </c>
      <c r="B39" s="57"/>
      <c r="C39" s="48" t="s">
        <v>40</v>
      </c>
      <c r="D39" s="49">
        <f t="shared" si="18"/>
        <v>89.244768246785284</v>
      </c>
      <c r="E39" s="107">
        <f t="shared" si="19"/>
        <v>6.8957757528142635E-2</v>
      </c>
      <c r="F39" s="18"/>
      <c r="G39" s="49">
        <f t="shared" si="20"/>
        <v>5.5691243765521474E-2</v>
      </c>
      <c r="H39" s="49">
        <f t="shared" si="21"/>
        <v>3.1146563920104677</v>
      </c>
      <c r="I39" s="49">
        <f t="shared" si="21"/>
        <v>27.490242542130432</v>
      </c>
      <c r="J39" s="49">
        <f t="shared" si="21"/>
        <v>26.389268068345203</v>
      </c>
      <c r="K39" s="49">
        <f t="shared" si="21"/>
        <v>1.6839362238410609</v>
      </c>
      <c r="L39" s="49">
        <f t="shared" si="21"/>
        <v>5.7233612375507503</v>
      </c>
      <c r="M39" s="49">
        <f t="shared" si="21"/>
        <v>6.883672891182905</v>
      </c>
      <c r="N39" s="49">
        <f t="shared" si="21"/>
        <v>11.323265457818842</v>
      </c>
      <c r="O39" s="49">
        <f t="shared" si="21"/>
        <v>1.0136967065831866</v>
      </c>
      <c r="P39" s="49">
        <f t="shared" si="21"/>
        <v>5.566977483556907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689.47871434943511</v>
      </c>
      <c r="AO39">
        <v>49.705394239552781</v>
      </c>
      <c r="AP39">
        <v>66.038781419568295</v>
      </c>
      <c r="AQ39">
        <v>365.4003398668504</v>
      </c>
      <c r="AR39">
        <v>48.628027216949846</v>
      </c>
      <c r="AS39">
        <v>370.9484558200333</v>
      </c>
      <c r="AT39">
        <v>24.08944273600666</v>
      </c>
      <c r="AU39">
        <v>-82.631469605799651</v>
      </c>
      <c r="AV39"/>
      <c r="AW39"/>
      <c r="FY39" s="212">
        <v>34</v>
      </c>
      <c r="FZ39">
        <v>43.281110688518929</v>
      </c>
      <c r="GA39">
        <v>107.65550757676073</v>
      </c>
      <c r="GB39">
        <v>58.237236181882828</v>
      </c>
      <c r="GC39">
        <v>21.492937223778103</v>
      </c>
      <c r="GD39">
        <v>9.9030904290098789</v>
      </c>
      <c r="GE39">
        <v>8.6434105311493372</v>
      </c>
      <c r="GF39">
        <v>20.953597066674835</v>
      </c>
      <c r="GG39">
        <v>22.747238726656235</v>
      </c>
      <c r="GH39">
        <v>32.017002565894778</v>
      </c>
      <c r="GI39">
        <v>35.54410222451272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55.66904040098612</v>
      </c>
      <c r="E40" s="107">
        <f t="shared" si="19"/>
        <v>4.6164326821582904E-2</v>
      </c>
      <c r="F40" s="18"/>
      <c r="G40" s="49">
        <f t="shared" si="20"/>
        <v>3.7474481786145292E-2</v>
      </c>
      <c r="H40" s="49">
        <f t="shared" si="21"/>
        <v>2.7423252656396162</v>
      </c>
      <c r="I40" s="49">
        <f t="shared" si="21"/>
        <v>29.960419546735068</v>
      </c>
      <c r="J40" s="49">
        <f t="shared" si="21"/>
        <v>20.282574569936013</v>
      </c>
      <c r="K40" s="49">
        <f t="shared" si="21"/>
        <v>0.79915617402626626</v>
      </c>
      <c r="L40" s="49">
        <f t="shared" si="21"/>
        <v>0.57233612375507492</v>
      </c>
      <c r="M40" s="49">
        <f t="shared" si="21"/>
        <v>1.2747542391079454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916.93403479823371</v>
      </c>
      <c r="AO40">
        <v>61.206693111183959</v>
      </c>
      <c r="AP40">
        <v>79.975212907122938</v>
      </c>
      <c r="AQ40">
        <v>433.73687685495617</v>
      </c>
      <c r="AR40">
        <v>60.122036013406522</v>
      </c>
      <c r="AS40">
        <v>513.83533016922013</v>
      </c>
      <c r="AT40">
        <v>29.936952516235717</v>
      </c>
      <c r="AU40">
        <v>-55.751237735570754</v>
      </c>
      <c r="AV40"/>
      <c r="AW40"/>
      <c r="FY40" s="212">
        <v>35</v>
      </c>
      <c r="FZ40">
        <v>54.745809757349853</v>
      </c>
      <c r="GA40">
        <v>85.862685686573897</v>
      </c>
      <c r="GB40">
        <v>54.99041429833607</v>
      </c>
      <c r="GC40">
        <v>22.760203611831539</v>
      </c>
      <c r="GD40">
        <v>11.293929130435677</v>
      </c>
      <c r="GE40">
        <v>14.859997299238316</v>
      </c>
      <c r="GF40">
        <v>16.872199036273507</v>
      </c>
      <c r="GG40">
        <v>12.401234525630374</v>
      </c>
      <c r="GH40">
        <v>21.687337600108933</v>
      </c>
      <c r="GI40">
        <v>34.798089176005078</v>
      </c>
      <c r="GJ40"/>
      <c r="GK40"/>
      <c r="GL40"/>
      <c r="GM40"/>
    </row>
    <row r="41" spans="1:195" s="7" customFormat="1">
      <c r="A41" s="114">
        <v>2.6909999999999998</v>
      </c>
      <c r="B41" s="57"/>
      <c r="C41" s="48" t="s">
        <v>42</v>
      </c>
      <c r="D41" s="49">
        <f t="shared" si="18"/>
        <v>37.748427973293985</v>
      </c>
      <c r="E41" s="107">
        <f t="shared" si="19"/>
        <v>4.8578264244502553E-2</v>
      </c>
      <c r="F41" s="18"/>
      <c r="G41" s="49">
        <f t="shared" si="20"/>
        <v>3.3352288789669303E-2</v>
      </c>
      <c r="H41" s="49">
        <f t="shared" ref="H41:AK43" si="22">H25*H$36</f>
        <v>2.132994878093434</v>
      </c>
      <c r="I41" s="49">
        <f t="shared" si="22"/>
        <v>16.100199425917271</v>
      </c>
      <c r="J41" s="49">
        <f t="shared" si="22"/>
        <v>12.698608762431672</v>
      </c>
      <c r="K41" s="49">
        <f t="shared" si="22"/>
        <v>3.1966246961050651</v>
      </c>
      <c r="L41" s="49">
        <f t="shared" si="22"/>
        <v>1.7170083712652247</v>
      </c>
      <c r="M41" s="49">
        <f t="shared" si="22"/>
        <v>1.8696395506916532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623.04946130437611</v>
      </c>
      <c r="AO41">
        <v>46.228496601790638</v>
      </c>
      <c r="AP41">
        <v>51.686850176122832</v>
      </c>
      <c r="AQ41">
        <v>332.47668151010703</v>
      </c>
      <c r="AR41">
        <v>46.376142304813939</v>
      </c>
      <c r="AS41">
        <v>396.55615180680383</v>
      </c>
      <c r="AT41">
        <v>24.895145866116767</v>
      </c>
      <c r="AU41">
        <v>-27.936329054166727</v>
      </c>
      <c r="AV41"/>
      <c r="AW41"/>
      <c r="FY41" s="212">
        <v>36</v>
      </c>
      <c r="FZ41">
        <v>47.616272003405712</v>
      </c>
      <c r="GA41">
        <v>95.139165788472866</v>
      </c>
      <c r="GB41">
        <v>62.389188585880852</v>
      </c>
      <c r="GC41">
        <v>23.996412866581405</v>
      </c>
      <c r="GD41">
        <v>12.440654245033921</v>
      </c>
      <c r="GE41">
        <v>12.161543411224383</v>
      </c>
      <c r="GF41">
        <v>22.787259489658311</v>
      </c>
      <c r="GG41">
        <v>24.144936595706149</v>
      </c>
      <c r="GH41">
        <v>19.6586626348174</v>
      </c>
      <c r="GI41">
        <v>37.132271999103359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25.963569744551712</v>
      </c>
      <c r="E42" s="107">
        <f t="shared" si="19"/>
        <v>5.1801293323844089E-2</v>
      </c>
      <c r="F42" s="18"/>
      <c r="G42" s="49">
        <f t="shared" si="20"/>
        <v>5.575370123516505E-2</v>
      </c>
      <c r="H42" s="49">
        <f t="shared" si="22"/>
        <v>1.8004467857142854</v>
      </c>
      <c r="I42" s="49">
        <f t="shared" si="22"/>
        <v>5.7027294236201298</v>
      </c>
      <c r="J42" s="49">
        <f t="shared" si="22"/>
        <v>7.8757310443519017</v>
      </c>
      <c r="K42" s="49">
        <f t="shared" si="22"/>
        <v>4.395358957144464</v>
      </c>
      <c r="L42" s="49">
        <f t="shared" si="22"/>
        <v>2.8616806187753747</v>
      </c>
      <c r="M42" s="49">
        <f t="shared" si="22"/>
        <v>3.2718692137103931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869.04297880153774</v>
      </c>
      <c r="AO42">
        <v>55.889174195223369</v>
      </c>
      <c r="AP42">
        <v>73.780834491950699</v>
      </c>
      <c r="AQ42">
        <v>402.64446527396018</v>
      </c>
      <c r="AR42">
        <v>54.544465213502903</v>
      </c>
      <c r="AS42">
        <v>501.68616640013306</v>
      </c>
      <c r="AT42">
        <v>28.986043017138325</v>
      </c>
      <c r="AU42">
        <v>-47.122969826310801</v>
      </c>
      <c r="AV42"/>
      <c r="AW42"/>
      <c r="FY42" s="212">
        <v>37</v>
      </c>
      <c r="FZ42">
        <v>44.109017274385856</v>
      </c>
      <c r="GA42">
        <v>98.516406252559023</v>
      </c>
      <c r="GB42">
        <v>63.38419463280912</v>
      </c>
      <c r="GC42">
        <v>22.367047428601058</v>
      </c>
      <c r="GD42">
        <v>10.955528989459976</v>
      </c>
      <c r="GE42">
        <v>11.996799253782752</v>
      </c>
      <c r="GF42">
        <v>22.432089196091415</v>
      </c>
      <c r="GG42">
        <v>20.16925040850019</v>
      </c>
      <c r="GH42">
        <v>23.818597520657402</v>
      </c>
      <c r="GI42">
        <v>36.430379946694444</v>
      </c>
      <c r="GJ42"/>
      <c r="GK42"/>
      <c r="GL42"/>
      <c r="GM42"/>
    </row>
    <row r="43" spans="1:195" s="7" customFormat="1">
      <c r="A43" s="95">
        <v>4.9000000000000004</v>
      </c>
      <c r="B43" s="1"/>
      <c r="C43" s="48" t="s">
        <v>119</v>
      </c>
      <c r="D43" s="49">
        <f>IF(SUM(G43:AK43)&lt;0.0001, 0, SUM(G43:AK43))</f>
        <v>47.878781163101806</v>
      </c>
      <c r="E43" s="107">
        <f t="shared" si="19"/>
        <v>6.3558700551532107E-2</v>
      </c>
      <c r="F43" s="18"/>
      <c r="G43" s="49">
        <f t="shared" si="20"/>
        <v>8.4581293335099755E-2</v>
      </c>
      <c r="H43" s="49">
        <f t="shared" si="22"/>
        <v>1.8844173354076477</v>
      </c>
      <c r="I43" s="49">
        <f t="shared" si="22"/>
        <v>12.825431896241184</v>
      </c>
      <c r="J43" s="49">
        <f t="shared" si="22"/>
        <v>13.964988766574512</v>
      </c>
      <c r="K43" s="49">
        <f t="shared" si="22"/>
        <v>8.1913507837692308</v>
      </c>
      <c r="L43" s="49">
        <f t="shared" si="22"/>
        <v>3.3559709074729391</v>
      </c>
      <c r="M43" s="49">
        <f t="shared" si="22"/>
        <v>7.5720401803011965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769.30695020941653</v>
      </c>
      <c r="AO43">
        <v>51.28418987145308</v>
      </c>
      <c r="AP43">
        <v>68.151431882364847</v>
      </c>
      <c r="AQ43">
        <v>356.80520815957237</v>
      </c>
      <c r="AR43">
        <v>50.00035976114301</v>
      </c>
      <c r="AS43">
        <v>448.73367557567019</v>
      </c>
      <c r="AT43">
        <v>25.830823537843418</v>
      </c>
      <c r="AU43">
        <v>-40.204678478011203</v>
      </c>
      <c r="AV43"/>
      <c r="AW43"/>
      <c r="FY43" s="212">
        <v>38</v>
      </c>
      <c r="FZ43">
        <v>49.671082084201025</v>
      </c>
      <c r="GA43">
        <v>115.71912639717205</v>
      </c>
      <c r="GB43">
        <v>73.584459163797916</v>
      </c>
      <c r="GC43">
        <v>21.935906408885185</v>
      </c>
      <c r="GD43">
        <v>9.0474146690127277</v>
      </c>
      <c r="GE43">
        <v>12.833188569215729</v>
      </c>
      <c r="GF43">
        <v>20.520581892217511</v>
      </c>
      <c r="GG43">
        <v>25.719408888995449</v>
      </c>
      <c r="GH43">
        <v>23.238948068060235</v>
      </c>
      <c r="GI43">
        <v>38.366344151779003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50.882298692837367</v>
      </c>
      <c r="E44" s="107">
        <f t="shared" si="19"/>
        <v>7.0153253454594999E-2</v>
      </c>
      <c r="F44" s="18"/>
      <c r="G44" s="49">
        <f>G28*G36</f>
        <v>6.2179880889604029E-2</v>
      </c>
      <c r="H44" s="49">
        <f t="shared" ref="H44:AK44" si="23">H28*H36</f>
        <v>1.4570412689393937</v>
      </c>
      <c r="I44" s="49">
        <f t="shared" si="23"/>
        <v>15.050534141886574</v>
      </c>
      <c r="J44" s="49">
        <f t="shared" si="23"/>
        <v>14.230575604885534</v>
      </c>
      <c r="K44" s="49">
        <f t="shared" si="23"/>
        <v>8.5053049949938337</v>
      </c>
      <c r="L44" s="49">
        <f t="shared" si="23"/>
        <v>3.0698028455954018</v>
      </c>
      <c r="M44" s="49">
        <f t="shared" si="23"/>
        <v>8.5068599556470232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641.45275782971726</v>
      </c>
      <c r="AO44">
        <v>48.485299603548818</v>
      </c>
      <c r="AP44">
        <v>47.830361505462065</v>
      </c>
      <c r="AQ44">
        <v>356.89587325339954</v>
      </c>
      <c r="AR44">
        <v>48.12341205598166</v>
      </c>
      <c r="AS44">
        <v>379.97704191666452</v>
      </c>
      <c r="AT44">
        <v>25.519112019576074</v>
      </c>
      <c r="AU44">
        <v>-71.299696626960667</v>
      </c>
      <c r="AV44"/>
      <c r="AW44"/>
      <c r="FY44" s="212">
        <v>39</v>
      </c>
      <c r="FZ44">
        <v>37.123795390060302</v>
      </c>
      <c r="GA44">
        <v>96.895171004039184</v>
      </c>
      <c r="GB44">
        <v>59.428275243730141</v>
      </c>
      <c r="GC44">
        <v>20.013559900697242</v>
      </c>
      <c r="GD44">
        <v>12.885845702938541</v>
      </c>
      <c r="GE44">
        <v>17.631859335169977</v>
      </c>
      <c r="GF44">
        <v>29.786628763968011</v>
      </c>
      <c r="GG44">
        <v>29.283132737094867</v>
      </c>
      <c r="GH44">
        <v>29.110319731608456</v>
      </c>
      <c r="GI44">
        <v>37.829972692518005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30.360686288884743</v>
      </c>
      <c r="E45" s="107">
        <f t="shared" si="19"/>
        <v>0.12995453190645107</v>
      </c>
      <c r="F45" s="18"/>
      <c r="G45" s="49">
        <f>G29*G36</f>
        <v>0</v>
      </c>
      <c r="H45" s="49">
        <f t="shared" ref="H45:AK45" si="24">H29*H36</f>
        <v>0.17111093681917211</v>
      </c>
      <c r="I45" s="49">
        <f t="shared" si="24"/>
        <v>5.7318220785953011</v>
      </c>
      <c r="J45" s="49">
        <f t="shared" si="24"/>
        <v>7.6480995463712587</v>
      </c>
      <c r="K45" s="49">
        <f t="shared" si="24"/>
        <v>5.6129302327155637</v>
      </c>
      <c r="L45" s="49">
        <f t="shared" si="24"/>
        <v>1.4308403093876874</v>
      </c>
      <c r="M45" s="49">
        <f t="shared" si="24"/>
        <v>9.7658831849957632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562.68806759852737</v>
      </c>
      <c r="AO45">
        <v>39.930845881846018</v>
      </c>
      <c r="AP45">
        <v>88.737412184556703</v>
      </c>
      <c r="AQ45">
        <v>281.61528005267149</v>
      </c>
      <c r="AR45">
        <v>39.375068153501026</v>
      </c>
      <c r="AS45">
        <v>312.04408967218819</v>
      </c>
      <c r="AT45">
        <v>20.936834309680485</v>
      </c>
      <c r="AU45">
        <v>-12.29444825559548</v>
      </c>
      <c r="AV45"/>
      <c r="AW45"/>
      <c r="FY45" s="212">
        <v>40</v>
      </c>
      <c r="FZ45">
        <v>50.265362183925504</v>
      </c>
      <c r="GA45">
        <v>103.81864599043224</v>
      </c>
      <c r="GB45">
        <v>55.608902125845859</v>
      </c>
      <c r="GC45">
        <v>15.988282340622272</v>
      </c>
      <c r="GD45">
        <v>11.275574062192916</v>
      </c>
      <c r="GE45">
        <v>14.883623500218548</v>
      </c>
      <c r="GF45">
        <v>32.243059191970211</v>
      </c>
      <c r="GG45">
        <v>32.948489830546563</v>
      </c>
      <c r="GH45">
        <v>30.45883521672722</v>
      </c>
      <c r="GI45">
        <v>38.589555737737967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50.261824362522823</v>
      </c>
      <c r="E46" s="107">
        <f t="shared" si="19"/>
        <v>7.5507527808038849E-2</v>
      </c>
      <c r="F46" s="18"/>
      <c r="G46" s="49">
        <f>G30*G36</f>
        <v>3.4724965178058113E-2</v>
      </c>
      <c r="H46" s="49">
        <f t="shared" ref="H46:AK46" si="25">H30*H36</f>
        <v>1.4816130726818308</v>
      </c>
      <c r="I46" s="49">
        <f t="shared" si="25"/>
        <v>13.366683420506675</v>
      </c>
      <c r="J46" s="49">
        <f t="shared" si="25"/>
        <v>14.309763003053893</v>
      </c>
      <c r="K46" s="49">
        <f t="shared" si="25"/>
        <v>7.2238857644501167</v>
      </c>
      <c r="L46" s="49">
        <f t="shared" si="25"/>
        <v>3.8762764745230074</v>
      </c>
      <c r="M46" s="49">
        <f t="shared" si="25"/>
        <v>6.2465489143147135</v>
      </c>
      <c r="N46" s="49">
        <f t="shared" si="25"/>
        <v>2.4061939097865039</v>
      </c>
      <c r="O46" s="49">
        <f t="shared" si="25"/>
        <v>0.20273934131663734</v>
      </c>
      <c r="P46" s="49">
        <f t="shared" si="25"/>
        <v>1.1133954967113815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696.81335913100156</v>
      </c>
      <c r="AO46">
        <v>47.19837164527523</v>
      </c>
      <c r="AP46">
        <v>59.145047801863086</v>
      </c>
      <c r="AQ46">
        <v>335.47559646282423</v>
      </c>
      <c r="AR46">
        <v>45.743482367131072</v>
      </c>
      <c r="AS46">
        <v>371.85781365896628</v>
      </c>
      <c r="AT46">
        <v>22.122916753567139</v>
      </c>
      <c r="AU46">
        <v>-92.157141795690237</v>
      </c>
      <c r="AV46"/>
      <c r="AW46"/>
      <c r="FY46" s="212">
        <v>41</v>
      </c>
      <c r="FZ46">
        <v>52.590333170014119</v>
      </c>
      <c r="GA46">
        <v>68.884528985596035</v>
      </c>
      <c r="GB46">
        <v>50.188865058460173</v>
      </c>
      <c r="GC46">
        <v>24.901863787653784</v>
      </c>
      <c r="GD46">
        <v>12.254622587433744</v>
      </c>
      <c r="GE46">
        <v>14.655240803702997</v>
      </c>
      <c r="GF46">
        <v>23.726553489683184</v>
      </c>
      <c r="GG46">
        <v>26.657029158598839</v>
      </c>
      <c r="GH46">
        <v>29.539552709255538</v>
      </c>
      <c r="GI46">
        <v>36.430990296691135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839.5558754095058</v>
      </c>
      <c r="AO47">
        <v>57.618513779646626</v>
      </c>
      <c r="AP47">
        <v>79.394107255491747</v>
      </c>
      <c r="AQ47">
        <v>427.91677507523303</v>
      </c>
      <c r="AR47">
        <v>57.190066157979821</v>
      </c>
      <c r="AS47">
        <v>495.70227584802467</v>
      </c>
      <c r="AT47">
        <v>29.629826577200991</v>
      </c>
      <c r="AU47">
        <v>-78.446507299037961</v>
      </c>
      <c r="AV47"/>
      <c r="AW47"/>
      <c r="FY47" s="212">
        <v>42</v>
      </c>
      <c r="FZ47">
        <v>51.4252138357514</v>
      </c>
      <c r="GA47">
        <v>94.185087478419319</v>
      </c>
      <c r="GB47">
        <v>57.539033230720996</v>
      </c>
      <c r="GC47">
        <v>22.54321518607664</v>
      </c>
      <c r="GD47">
        <v>11.877830329455231</v>
      </c>
      <c r="GE47">
        <v>11.253284148361384</v>
      </c>
      <c r="GF47">
        <v>21.904110521023803</v>
      </c>
      <c r="GG47">
        <v>29.738713527974074</v>
      </c>
      <c r="GH47">
        <v>29.709387792037546</v>
      </c>
      <c r="GI47">
        <v>37.492609233089404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51.482764427124245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716.77041377156854</v>
      </c>
      <c r="AO48">
        <v>46.754105362943776</v>
      </c>
      <c r="AP48">
        <v>70.782077764575817</v>
      </c>
      <c r="AQ48">
        <v>331.69008814556531</v>
      </c>
      <c r="AR48">
        <v>45.024715319282848</v>
      </c>
      <c r="AS48">
        <v>378.9591343334381</v>
      </c>
      <c r="AT48">
        <v>22.870741825000739</v>
      </c>
      <c r="AU48">
        <v>-55.553985209830131</v>
      </c>
      <c r="AV48"/>
      <c r="AW48"/>
      <c r="FY48" s="212">
        <v>43</v>
      </c>
      <c r="FZ48">
        <v>43.506924050844589</v>
      </c>
      <c r="GA48">
        <v>101.05494442082244</v>
      </c>
      <c r="GB48">
        <v>56.52650852556571</v>
      </c>
      <c r="GC48">
        <v>17.585781516027662</v>
      </c>
      <c r="GD48">
        <v>13.190153162101154</v>
      </c>
      <c r="GE48">
        <v>21.351981653272045</v>
      </c>
      <c r="GF48">
        <v>27.490236380167051</v>
      </c>
      <c r="GG48">
        <v>29.298328462636398</v>
      </c>
      <c r="GH48">
        <v>42.902398831486018</v>
      </c>
      <c r="GI48">
        <v>40.038645950684732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814.65071842107398</v>
      </c>
      <c r="AO49">
        <v>53.477598236835</v>
      </c>
      <c r="AP49">
        <v>68.611724031584458</v>
      </c>
      <c r="AQ49">
        <v>384.02648589946898</v>
      </c>
      <c r="AR49">
        <v>51.593173615011352</v>
      </c>
      <c r="AS49">
        <v>391.1304790798614</v>
      </c>
      <c r="AT49">
        <v>24.925647834977838</v>
      </c>
      <c r="AU49">
        <v>-142.64389218700421</v>
      </c>
      <c r="AV49"/>
      <c r="AW49"/>
      <c r="FY49" s="212">
        <v>44</v>
      </c>
      <c r="FZ49">
        <v>44.651296852682684</v>
      </c>
      <c r="GA49">
        <v>53.155354920805628</v>
      </c>
      <c r="GB49">
        <v>36.804054629021678</v>
      </c>
      <c r="GC49">
        <v>15.033142981455425</v>
      </c>
      <c r="GD49">
        <v>8.5826185352283897</v>
      </c>
      <c r="GE49">
        <v>13.05370891105807</v>
      </c>
      <c r="GF49">
        <v>39.706151973247906</v>
      </c>
      <c r="GG49">
        <v>41.290400593247618</v>
      </c>
      <c r="GH49">
        <v>21.60992745336117</v>
      </c>
      <c r="GI49">
        <v>31.419322515714509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706.18269373912028</v>
      </c>
      <c r="AO50">
        <v>50.138611675236419</v>
      </c>
      <c r="AP50">
        <v>68.143799736029706</v>
      </c>
      <c r="AQ50">
        <v>360.47523321483834</v>
      </c>
      <c r="AR50">
        <v>48.952722292726563</v>
      </c>
      <c r="AS50">
        <v>391.45642023979514</v>
      </c>
      <c r="AT50">
        <v>25.828083373404734</v>
      </c>
      <c r="AU50">
        <v>-40.857143644089994</v>
      </c>
      <c r="AV50"/>
      <c r="AW50"/>
      <c r="FY50" s="212">
        <v>45</v>
      </c>
      <c r="FZ50">
        <v>48.987093970580048</v>
      </c>
      <c r="GA50">
        <v>89.853541739435869</v>
      </c>
      <c r="GB50">
        <v>47.103885045765402</v>
      </c>
      <c r="GC50">
        <v>19.626688598631969</v>
      </c>
      <c r="GD50">
        <v>10.290981757230908</v>
      </c>
      <c r="GE50">
        <v>13.001175238789617</v>
      </c>
      <c r="GF50">
        <v>24.691378206121232</v>
      </c>
      <c r="GG50">
        <v>25.294916943878537</v>
      </c>
      <c r="GH50">
        <v>26.375294863929252</v>
      </c>
      <c r="GI50">
        <v>33.586425849528538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684.10407390551359</v>
      </c>
      <c r="AO51">
        <v>47.653308388511313</v>
      </c>
      <c r="AP51">
        <v>59.454322707724778</v>
      </c>
      <c r="AQ51">
        <v>330.27190012178329</v>
      </c>
      <c r="AR51">
        <v>47.795461339239431</v>
      </c>
      <c r="AS51">
        <v>389.03585028252456</v>
      </c>
      <c r="AT51">
        <v>25.868944772138153</v>
      </c>
      <c r="AU51">
        <v>-41.806267372991172</v>
      </c>
      <c r="AV51"/>
      <c r="AW51"/>
      <c r="FY51" s="212">
        <v>46</v>
      </c>
      <c r="FZ51">
        <v>51.121640307503711</v>
      </c>
      <c r="GA51">
        <v>88.591157540909705</v>
      </c>
      <c r="GB51">
        <v>50.74230617656729</v>
      </c>
      <c r="GC51">
        <v>16.508712720218689</v>
      </c>
      <c r="GD51">
        <v>9.0764719730596699</v>
      </c>
      <c r="GE51">
        <v>13.61140082349962</v>
      </c>
      <c r="GF51">
        <v>28.904281701839967</v>
      </c>
      <c r="GG51">
        <v>28.096432889077345</v>
      </c>
      <c r="GH51">
        <v>32.013056265600717</v>
      </c>
      <c r="GI51">
        <v>35.821882029480733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0</v>
      </c>
      <c r="E52" s="19">
        <f>F374</f>
        <v>0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</v>
      </c>
      <c r="J52" s="49">
        <f t="shared" si="26"/>
        <v>0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702.04270859194457</v>
      </c>
      <c r="AO52">
        <v>52.18076712690555</v>
      </c>
      <c r="AP52">
        <v>49.946081799500675</v>
      </c>
      <c r="AQ52">
        <v>357.46636761988435</v>
      </c>
      <c r="AR52">
        <v>51.252077749005096</v>
      </c>
      <c r="AS52">
        <v>422.13424768721069</v>
      </c>
      <c r="AT52">
        <v>25.848382852933103</v>
      </c>
      <c r="AU52">
        <v>-45.044431923595155</v>
      </c>
      <c r="AV52"/>
      <c r="AW52"/>
      <c r="FY52" s="212">
        <v>47</v>
      </c>
      <c r="FZ52">
        <v>26.97340025135205</v>
      </c>
      <c r="GA52">
        <v>130.31466269888122</v>
      </c>
      <c r="GB52">
        <v>76.140349086286705</v>
      </c>
      <c r="GC52">
        <v>19.350984065169175</v>
      </c>
      <c r="GD52">
        <v>14.105446343650989</v>
      </c>
      <c r="GE52">
        <v>16.414695890066007</v>
      </c>
      <c r="GF52">
        <v>24.726893902137153</v>
      </c>
      <c r="GG52">
        <v>24.736475692301298</v>
      </c>
      <c r="GH52">
        <v>15.547528164877949</v>
      </c>
      <c r="GI52">
        <v>38.111842512211695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</v>
      </c>
      <c r="J53" s="49">
        <f t="shared" si="28"/>
        <v>0</v>
      </c>
      <c r="K53" s="49">
        <f t="shared" si="28"/>
        <v>0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813.98197251266754</v>
      </c>
      <c r="AO53">
        <v>50.474612269246919</v>
      </c>
      <c r="AP53">
        <v>86.600863568579257</v>
      </c>
      <c r="AQ53">
        <v>354.17931090354125</v>
      </c>
      <c r="AR53">
        <v>49.981115104939605</v>
      </c>
      <c r="AS53">
        <v>408.41227762891521</v>
      </c>
      <c r="AT53">
        <v>25.835475307543593</v>
      </c>
      <c r="AU53">
        <v>-61.943805528324162</v>
      </c>
      <c r="AV53"/>
      <c r="AW53"/>
      <c r="FY53" s="212">
        <v>48</v>
      </c>
      <c r="FZ53">
        <v>59.092981237770381</v>
      </c>
      <c r="GA53">
        <v>80.446425561318108</v>
      </c>
      <c r="GB53">
        <v>42.443568894172437</v>
      </c>
      <c r="GC53">
        <v>13.196867954826464</v>
      </c>
      <c r="GD53">
        <v>8.2092297601306949</v>
      </c>
      <c r="GE53">
        <v>9.7115664057639979</v>
      </c>
      <c r="GF53">
        <v>11.63337869236287</v>
      </c>
      <c r="GG53">
        <v>18.505574790368907</v>
      </c>
      <c r="GH53">
        <v>29.992300895010096</v>
      </c>
      <c r="GI53">
        <v>31.023326414553711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0</v>
      </c>
      <c r="E54" s="19">
        <f t="shared" ref="E54:E61" si="29">F376</f>
        <v>0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803.28122210433673</v>
      </c>
      <c r="AO54">
        <v>54.582452465107643</v>
      </c>
      <c r="AP54">
        <v>67.717054286875452</v>
      </c>
      <c r="AQ54">
        <v>390.63646029333682</v>
      </c>
      <c r="AR54">
        <v>52.826162408255563</v>
      </c>
      <c r="AS54">
        <v>444.6641283024216</v>
      </c>
      <c r="AT54">
        <v>26.724660880446269</v>
      </c>
      <c r="AU54">
        <v>-57.976549870889272</v>
      </c>
      <c r="AV54"/>
      <c r="AW54"/>
      <c r="FY54" s="212">
        <v>49</v>
      </c>
      <c r="FZ54">
        <v>46.094023631571517</v>
      </c>
      <c r="GA54">
        <v>98.372408526869947</v>
      </c>
      <c r="GB54">
        <v>56.117926606196754</v>
      </c>
      <c r="GC54">
        <v>18.440047098608304</v>
      </c>
      <c r="GD54">
        <v>12.40835941844875</v>
      </c>
      <c r="GE54">
        <v>20.369807201907328</v>
      </c>
      <c r="GF54">
        <v>30.91964024861193</v>
      </c>
      <c r="GG54">
        <v>24.605426483938793</v>
      </c>
      <c r="GH54">
        <v>26.797235546764526</v>
      </c>
      <c r="GI54">
        <v>37.90622231190261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2.4074116916069781</v>
      </c>
      <c r="E55" s="19">
        <f t="shared" si="29"/>
        <v>1.5444668772203313E-3</v>
      </c>
      <c r="F55" s="8"/>
      <c r="G55" s="49">
        <f>$E$55*$E$24*G40</f>
        <v>1.6205866840715442E-3</v>
      </c>
      <c r="H55" s="49">
        <f t="shared" ref="H55:AK55" si="31">$E$55*$E$24*H40</f>
        <v>0.11859205510165535</v>
      </c>
      <c r="I55" s="49">
        <f t="shared" si="31"/>
        <v>1.2956405172915928</v>
      </c>
      <c r="J55" s="49">
        <f t="shared" si="31"/>
        <v>0.8771214090244922</v>
      </c>
      <c r="K55" s="49">
        <f t="shared" si="31"/>
        <v>3.4559566734271463E-2</v>
      </c>
      <c r="L55" s="49">
        <f t="shared" si="31"/>
        <v>2.4750717201738912E-2</v>
      </c>
      <c r="M55" s="49">
        <f t="shared" si="31"/>
        <v>5.5126839569155983E-2</v>
      </c>
      <c r="N55" s="49">
        <f t="shared" si="31"/>
        <v>0</v>
      </c>
      <c r="O55" s="49">
        <f t="shared" si="31"/>
        <v>0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805.74102650583268</v>
      </c>
      <c r="AO55">
        <v>53.386858436371618</v>
      </c>
      <c r="AP55">
        <v>76.139151744692171</v>
      </c>
      <c r="AQ55">
        <v>369.98856050182474</v>
      </c>
      <c r="AR55">
        <v>52.118732057355928</v>
      </c>
      <c r="AS55">
        <v>435.43294411932681</v>
      </c>
      <c r="AT55">
        <v>25.532232851140581</v>
      </c>
      <c r="AU55">
        <v>-36.724616367974029</v>
      </c>
      <c r="AV55"/>
      <c r="AW55"/>
      <c r="FY55" s="212">
        <v>50</v>
      </c>
      <c r="FZ55">
        <v>53.90764802261581</v>
      </c>
      <c r="GA55">
        <v>112.42994327423642</v>
      </c>
      <c r="GB55">
        <v>54.746876954691849</v>
      </c>
      <c r="GC55">
        <v>16.694122409637888</v>
      </c>
      <c r="GD55">
        <v>11.607589892391811</v>
      </c>
      <c r="GE55">
        <v>12.711623086779346</v>
      </c>
      <c r="GF55">
        <v>32.576227914301235</v>
      </c>
      <c r="GG55">
        <v>32.540779647044367</v>
      </c>
      <c r="GH55">
        <v>21.745133307635925</v>
      </c>
      <c r="GI55">
        <v>37.683425023587695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1.9269801648111038</v>
      </c>
      <c r="E56" s="19">
        <f t="shared" si="29"/>
        <v>2.1269982489672498E-3</v>
      </c>
      <c r="F56" s="8"/>
      <c r="G56" s="49">
        <f>$E$56*$E$25*G41</f>
        <v>1.7025662365122395E-3</v>
      </c>
      <c r="H56" s="49">
        <f t="shared" ref="H56:AK56" si="32">$E$56*$E$25*H41</f>
        <v>0.10888503289826032</v>
      </c>
      <c r="I56" s="49">
        <f t="shared" si="32"/>
        <v>0.82188230368678938</v>
      </c>
      <c r="J56" s="49">
        <f t="shared" si="32"/>
        <v>0.64823804644829619</v>
      </c>
      <c r="K56" s="49">
        <f t="shared" si="32"/>
        <v>0.16318116314930259</v>
      </c>
      <c r="L56" s="49">
        <f t="shared" si="32"/>
        <v>8.7649771179437827E-2</v>
      </c>
      <c r="M56" s="49">
        <f t="shared" si="32"/>
        <v>9.5441281212505488E-2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716.41466679396808</v>
      </c>
      <c r="AO56">
        <v>53.45522669730893</v>
      </c>
      <c r="AP56">
        <v>65.67167345355152</v>
      </c>
      <c r="AQ56">
        <v>386.08033018021928</v>
      </c>
      <c r="AR56">
        <v>53.206142805360891</v>
      </c>
      <c r="AS56">
        <v>435.29985454775561</v>
      </c>
      <c r="AT56">
        <v>27.043520898313563</v>
      </c>
      <c r="AU56">
        <v>-66.533135454510784</v>
      </c>
      <c r="AV56"/>
      <c r="AW56"/>
      <c r="FY56" s="212">
        <v>51</v>
      </c>
      <c r="FZ56">
        <v>46.818275731465768</v>
      </c>
      <c r="GA56">
        <v>120.5839239318117</v>
      </c>
      <c r="GB56">
        <v>59.797245402819286</v>
      </c>
      <c r="GC56">
        <v>16.918580291376152</v>
      </c>
      <c r="GD56">
        <v>8.8365324308474609</v>
      </c>
      <c r="GE56">
        <v>10.360997341334983</v>
      </c>
      <c r="GF56">
        <v>22.318221615803573</v>
      </c>
      <c r="GG56">
        <v>22.904327628718001</v>
      </c>
      <c r="GH56">
        <v>33.740757599114566</v>
      </c>
      <c r="GI56">
        <v>36.41223999516577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3.0028445689658629</v>
      </c>
      <c r="E57" s="19">
        <f t="shared" si="29"/>
        <v>2.4095015619561761E-3</v>
      </c>
      <c r="F57" s="8"/>
      <c r="G57" s="49">
        <f>$E$57*$E$26*G42</f>
        <v>6.448254250126473E-3</v>
      </c>
      <c r="H57" s="49">
        <f t="shared" ref="H57:AK57" si="33">$E$57*$E$26*H42</f>
        <v>0.20823260843508229</v>
      </c>
      <c r="I57" s="49">
        <f t="shared" si="33"/>
        <v>0.65955530177405508</v>
      </c>
      <c r="J57" s="49">
        <f t="shared" si="33"/>
        <v>0.91087614013980744</v>
      </c>
      <c r="K57" s="49">
        <f t="shared" si="33"/>
        <v>0.50834996508468744</v>
      </c>
      <c r="L57" s="49">
        <f t="shared" si="33"/>
        <v>0.33097074819643113</v>
      </c>
      <c r="M57" s="49">
        <f t="shared" si="33"/>
        <v>0.37841155108567287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680.60537471878456</v>
      </c>
      <c r="AO57">
        <v>50.454398133243203</v>
      </c>
      <c r="AP57">
        <v>83.769431606536756</v>
      </c>
      <c r="AQ57">
        <v>339.82958004708951</v>
      </c>
      <c r="AR57">
        <v>50.249752449323957</v>
      </c>
      <c r="AS57">
        <v>385.67151963400977</v>
      </c>
      <c r="AT57">
        <v>25.967983973361573</v>
      </c>
      <c r="AU57">
        <v>-34.21202556389639</v>
      </c>
      <c r="AV57"/>
      <c r="AW57"/>
      <c r="FY57" s="212">
        <v>52</v>
      </c>
      <c r="FZ57">
        <v>40.464166513484415</v>
      </c>
      <c r="GA57">
        <v>85.519548969543749</v>
      </c>
      <c r="GB57">
        <v>44.389026827004287</v>
      </c>
      <c r="GC57">
        <v>19.506863518984954</v>
      </c>
      <c r="GD57">
        <v>16.386362494354902</v>
      </c>
      <c r="GE57">
        <v>18.172473976991149</v>
      </c>
      <c r="GF57">
        <v>19.101794611693663</v>
      </c>
      <c r="GG57">
        <v>13.406887743362573</v>
      </c>
      <c r="GH57">
        <v>14.363045531089448</v>
      </c>
      <c r="GI57">
        <v>32.185466885303008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7.4051941434834507</v>
      </c>
      <c r="E58" s="19">
        <f t="shared" si="29"/>
        <v>2.4550074443595552E-3</v>
      </c>
      <c r="F58" s="8"/>
      <c r="G58" s="49">
        <f>$E$58*$E$27*G43</f>
        <v>1.3081805401847434E-2</v>
      </c>
      <c r="H58" s="49">
        <f t="shared" ref="H58:AK58" si="34">$E$58*$E$27*H43</f>
        <v>0.29145429096247621</v>
      </c>
      <c r="I58" s="49">
        <f t="shared" si="34"/>
        <v>1.9836514392911113</v>
      </c>
      <c r="J58" s="49">
        <f t="shared" si="34"/>
        <v>2.1599015370872934</v>
      </c>
      <c r="K58" s="49">
        <f t="shared" si="34"/>
        <v>1.2669191106713782</v>
      </c>
      <c r="L58" s="49">
        <f t="shared" si="34"/>
        <v>0.51905281433670991</v>
      </c>
      <c r="M58" s="49">
        <f t="shared" si="34"/>
        <v>1.1711331457326337</v>
      </c>
      <c r="N58" s="49">
        <f t="shared" si="34"/>
        <v>0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732.83479816550312</v>
      </c>
      <c r="AO58">
        <v>52.340252467216978</v>
      </c>
      <c r="AP58">
        <v>67.477915823612889</v>
      </c>
      <c r="AQ58">
        <v>367.66848528290984</v>
      </c>
      <c r="AR58">
        <v>51.533947208679415</v>
      </c>
      <c r="AS58">
        <v>430.35135461686195</v>
      </c>
      <c r="AT58">
        <v>26.957726857874594</v>
      </c>
      <c r="AU58">
        <v>-33.284081704727477</v>
      </c>
      <c r="AV58"/>
      <c r="AW58"/>
      <c r="FY58" s="212">
        <v>53</v>
      </c>
      <c r="FZ58">
        <v>45.054776458410032</v>
      </c>
      <c r="GA58">
        <v>90.876628915297786</v>
      </c>
      <c r="GB58">
        <v>46.872771086740478</v>
      </c>
      <c r="GC58">
        <v>19.356235041140781</v>
      </c>
      <c r="GD58">
        <v>16.668827055261808</v>
      </c>
      <c r="GE58">
        <v>17.484521785766763</v>
      </c>
      <c r="GF58">
        <v>33.784368585675743</v>
      </c>
      <c r="GG58">
        <v>33.530623977836186</v>
      </c>
      <c r="GH58">
        <v>23.09909175787616</v>
      </c>
      <c r="GI58">
        <v>37.67343147249467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17.878903260622707</v>
      </c>
      <c r="E59" s="19">
        <f t="shared" si="29"/>
        <v>9.0096836958267548E-3</v>
      </c>
      <c r="F59" s="8"/>
      <c r="G59" s="49">
        <f>$E$59*$E$28*G44</f>
        <v>2.1848621303321086E-2</v>
      </c>
      <c r="H59" s="49">
        <f t="shared" ref="H59:AK59" si="35">$E$59*$E$28*H44</f>
        <v>0.51197175763148928</v>
      </c>
      <c r="I59" s="49">
        <f t="shared" si="35"/>
        <v>5.2884215307939355</v>
      </c>
      <c r="J59" s="49">
        <f t="shared" si="35"/>
        <v>5.0003064153731183</v>
      </c>
      <c r="K59" s="49">
        <f t="shared" si="35"/>
        <v>2.9885742019157622</v>
      </c>
      <c r="L59" s="49">
        <f t="shared" si="35"/>
        <v>1.0786601532471751</v>
      </c>
      <c r="M59" s="49">
        <f t="shared" si="35"/>
        <v>2.9891205803579051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786.56920011997704</v>
      </c>
      <c r="AO59">
        <v>55.59763798758776</v>
      </c>
      <c r="AP59">
        <v>82.469898200756248</v>
      </c>
      <c r="AQ59">
        <v>392.9459029536078</v>
      </c>
      <c r="AR59">
        <v>55.167989007661546</v>
      </c>
      <c r="AS59">
        <v>429.42349697797357</v>
      </c>
      <c r="AT59">
        <v>27.685784755515758</v>
      </c>
      <c r="AU59">
        <v>-44.539342997881235</v>
      </c>
      <c r="AV59"/>
      <c r="AW59"/>
      <c r="FY59" s="212">
        <v>54</v>
      </c>
      <c r="FZ59">
        <v>50.102555897306118</v>
      </c>
      <c r="GA59">
        <v>131.24501154636926</v>
      </c>
      <c r="GB59">
        <v>65.107210215295083</v>
      </c>
      <c r="GC59">
        <v>11.221286343060553</v>
      </c>
      <c r="GD59">
        <v>7.9061662919875424</v>
      </c>
      <c r="GE59">
        <v>10.228661599914595</v>
      </c>
      <c r="GF59">
        <v>23.266862925243373</v>
      </c>
      <c r="GG59">
        <v>23.265680612222674</v>
      </c>
      <c r="GH59">
        <v>26.240080128144406</v>
      </c>
      <c r="GI59">
        <v>36.677449954552607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18.600721685478412</v>
      </c>
      <c r="E60" s="19">
        <f t="shared" si="29"/>
        <v>1.6122582713581447E-2</v>
      </c>
      <c r="F60" s="8"/>
      <c r="G60" s="49">
        <f>$E$60*$E$29*G45</f>
        <v>0</v>
      </c>
      <c r="H60" s="49">
        <f t="shared" ref="H60:AK60" si="36">$E$60*$E$29*H45</f>
        <v>0.10483250881848943</v>
      </c>
      <c r="I60" s="49">
        <f t="shared" si="36"/>
        <v>3.5116474713440331</v>
      </c>
      <c r="J60" s="49">
        <f t="shared" si="36"/>
        <v>4.6856704664468642</v>
      </c>
      <c r="K60" s="49">
        <f t="shared" si="36"/>
        <v>3.4388074138157081</v>
      </c>
      <c r="L60" s="49">
        <f t="shared" si="36"/>
        <v>0.87661596704511946</v>
      </c>
      <c r="M60" s="49">
        <f t="shared" si="36"/>
        <v>5.9831478580082003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680.82774178431703</v>
      </c>
      <c r="AO60">
        <v>43.562677346585609</v>
      </c>
      <c r="AP60">
        <v>127.97883541682424</v>
      </c>
      <c r="AQ60">
        <v>305.30597936582308</v>
      </c>
      <c r="AR60">
        <v>43.238072144097544</v>
      </c>
      <c r="AS60">
        <v>339.56908495084531</v>
      </c>
      <c r="AT60">
        <v>22.722901692209621</v>
      </c>
      <c r="AU60">
        <v>2.4644266005464814</v>
      </c>
      <c r="AV60"/>
      <c r="AW60"/>
      <c r="FY60" s="212">
        <v>55</v>
      </c>
      <c r="FZ60">
        <v>33.567032047641376</v>
      </c>
      <c r="GA60">
        <v>74.598238002725111</v>
      </c>
      <c r="GB60">
        <v>42.571421382048229</v>
      </c>
      <c r="GC60">
        <v>16.497666270079389</v>
      </c>
      <c r="GD60">
        <v>11.178420025478779</v>
      </c>
      <c r="GE60">
        <v>19.811475834200568</v>
      </c>
      <c r="GF60">
        <v>55.013192556946201</v>
      </c>
      <c r="GG60">
        <v>46.422442729558711</v>
      </c>
      <c r="GH60">
        <v>24.356099201426261</v>
      </c>
      <c r="GI60">
        <v>35.982948048966669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682.50976984560384</v>
      </c>
      <c r="AO61">
        <v>47.518234490015928</v>
      </c>
      <c r="AP61">
        <v>68.69206479487616</v>
      </c>
      <c r="AQ61">
        <v>338.81138221389136</v>
      </c>
      <c r="AR61">
        <v>46.11330791650748</v>
      </c>
      <c r="AS61">
        <v>401.82836596704419</v>
      </c>
      <c r="AT61">
        <v>24.508322886382299</v>
      </c>
      <c r="AU61">
        <v>-34.390196877781705</v>
      </c>
      <c r="AV61"/>
      <c r="AW61"/>
      <c r="FY61" s="212">
        <v>56</v>
      </c>
      <c r="FZ61">
        <v>44.692147427036602</v>
      </c>
      <c r="GA61">
        <v>65.620045826917931</v>
      </c>
      <c r="GB61">
        <v>49.532176401951503</v>
      </c>
      <c r="GC61">
        <v>23.741913188565622</v>
      </c>
      <c r="GD61">
        <v>8.8016008003739152</v>
      </c>
      <c r="GE61">
        <v>8.4251565821283201</v>
      </c>
      <c r="GF61">
        <v>19.623516619289308</v>
      </c>
      <c r="GG61">
        <v>17.876619961898442</v>
      </c>
      <c r="GH61">
        <v>32.530595796276309</v>
      </c>
      <c r="GI61">
        <v>32.763165947903552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749.08524218980642</v>
      </c>
      <c r="AO62">
        <v>48.988697943925544</v>
      </c>
      <c r="AP62">
        <v>84.061479303521651</v>
      </c>
      <c r="AQ62">
        <v>354.48734242775743</v>
      </c>
      <c r="AR62">
        <v>49.35513681486529</v>
      </c>
      <c r="AS62">
        <v>422.32104438961147</v>
      </c>
      <c r="AT62">
        <v>25.755287968122278</v>
      </c>
      <c r="AU62">
        <v>-33.168128537621016</v>
      </c>
      <c r="AV62"/>
      <c r="AW62"/>
      <c r="FY62" s="212">
        <v>57</v>
      </c>
      <c r="FZ62">
        <v>48.726022338602405</v>
      </c>
      <c r="GA62">
        <v>95.146192810513725</v>
      </c>
      <c r="GB62">
        <v>52.472602442088068</v>
      </c>
      <c r="GC62">
        <v>20.340262685714244</v>
      </c>
      <c r="GD62">
        <v>12.91487848286047</v>
      </c>
      <c r="GE62">
        <v>16.402292671101275</v>
      </c>
      <c r="GF62">
        <v>21.398335023903893</v>
      </c>
      <c r="GG62">
        <v>22.122115668172452</v>
      </c>
      <c r="GH62">
        <v>21.231189203480881</v>
      </c>
      <c r="GI62">
        <v>34.944957777503923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51.22205551496851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812.25328485941532</v>
      </c>
      <c r="AO63">
        <v>55.385543908204831</v>
      </c>
      <c r="AP63">
        <v>43.380027897725675</v>
      </c>
      <c r="AQ63">
        <v>386.42227860693424</v>
      </c>
      <c r="AR63">
        <v>52.447704660887744</v>
      </c>
      <c r="AS63">
        <v>430.11637886182388</v>
      </c>
      <c r="AT63">
        <v>24.958458611665019</v>
      </c>
      <c r="AU63">
        <v>-64.348087412718442</v>
      </c>
      <c r="AV63"/>
      <c r="AW63"/>
      <c r="FY63" s="212">
        <v>58</v>
      </c>
      <c r="FZ63">
        <v>41.491424243161845</v>
      </c>
      <c r="GA63">
        <v>98.486551658206494</v>
      </c>
      <c r="GB63">
        <v>54.570526045832523</v>
      </c>
      <c r="GC63">
        <v>17.497587679792748</v>
      </c>
      <c r="GD63">
        <v>10.266023028065309</v>
      </c>
      <c r="GE63">
        <v>11.097272276252339</v>
      </c>
      <c r="GF63">
        <v>25.163469193943925</v>
      </c>
      <c r="GG63">
        <v>20.720173970028082</v>
      </c>
      <c r="GH63">
        <v>11.961835543079523</v>
      </c>
      <c r="GI63">
        <v>32.151905914321489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561.5775249897963</v>
      </c>
      <c r="AO64">
        <v>41.339864366780077</v>
      </c>
      <c r="AP64">
        <v>45.318845174786695</v>
      </c>
      <c r="AQ64">
        <v>304.25522060627765</v>
      </c>
      <c r="AR64">
        <v>42.890145258615327</v>
      </c>
      <c r="AS64">
        <v>331.55648404852082</v>
      </c>
      <c r="AT64">
        <v>22.705211644628175</v>
      </c>
      <c r="AU64">
        <v>-41.284774487714799</v>
      </c>
      <c r="AV64"/>
      <c r="AW64"/>
      <c r="FY64" s="212">
        <v>59</v>
      </c>
      <c r="FZ64">
        <v>40.740455107476599</v>
      </c>
      <c r="GA64">
        <v>94.669480390729063</v>
      </c>
      <c r="GB64">
        <v>52.474180622894309</v>
      </c>
      <c r="GC64">
        <v>17.0181833576607</v>
      </c>
      <c r="GD64">
        <v>12.611651776295197</v>
      </c>
      <c r="GE64">
        <v>13.542408841879794</v>
      </c>
      <c r="GF64">
        <v>14.401531880833012</v>
      </c>
      <c r="GG64">
        <v>16.548577530817248</v>
      </c>
      <c r="GH64">
        <v>27.561423015050686</v>
      </c>
      <c r="GI64">
        <v>33.390417922955095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762.17409409285051</v>
      </c>
      <c r="AO65">
        <v>53.007419231952937</v>
      </c>
      <c r="AP65">
        <v>56.095744651853522</v>
      </c>
      <c r="AQ65">
        <v>372.03109707482054</v>
      </c>
      <c r="AR65">
        <v>52.263300797487894</v>
      </c>
      <c r="AS65">
        <v>403.03535711572067</v>
      </c>
      <c r="AT65">
        <v>26.508181539818835</v>
      </c>
      <c r="AU65">
        <v>-46.824453739552254</v>
      </c>
      <c r="AV65"/>
      <c r="AW65"/>
      <c r="FY65" s="212">
        <v>60</v>
      </c>
      <c r="FZ65">
        <v>44.858317781714653</v>
      </c>
      <c r="GA65">
        <v>106.71971322095018</v>
      </c>
      <c r="GB65">
        <v>61.333918355024366</v>
      </c>
      <c r="GC65">
        <v>19.21538982202949</v>
      </c>
      <c r="GD65">
        <v>12.617150499819155</v>
      </c>
      <c r="GE65">
        <v>13.308036469662536</v>
      </c>
      <c r="GF65">
        <v>38.99680308153593</v>
      </c>
      <c r="GG65">
        <v>41.811013799985261</v>
      </c>
      <c r="GH65">
        <v>26.353765751316278</v>
      </c>
      <c r="GI65">
        <v>40.578640660041714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801.93550041308811</v>
      </c>
      <c r="AO66">
        <v>52.880678533129455</v>
      </c>
      <c r="AP66">
        <v>94.199107435970589</v>
      </c>
      <c r="AQ66">
        <v>386.64336953292229</v>
      </c>
      <c r="AR66">
        <v>51.71186784401737</v>
      </c>
      <c r="AS66">
        <v>409.53431835017705</v>
      </c>
      <c r="AT66">
        <v>27.038397917859413</v>
      </c>
      <c r="AU66">
        <v>-26.184844079234153</v>
      </c>
      <c r="AV66"/>
      <c r="AW66"/>
      <c r="FY66" s="212">
        <v>61</v>
      </c>
      <c r="FZ66">
        <v>46.767450923582054</v>
      </c>
      <c r="GA66">
        <v>149.84013075921592</v>
      </c>
      <c r="GB66">
        <v>80.8495411894678</v>
      </c>
      <c r="GC66">
        <v>18.467529450487898</v>
      </c>
      <c r="GD66">
        <v>11.126580214605909</v>
      </c>
      <c r="GE66">
        <v>17.606776575066252</v>
      </c>
      <c r="GF66">
        <v>33.002883667726763</v>
      </c>
      <c r="GG66">
        <v>22.399130731768341</v>
      </c>
      <c r="GH66">
        <v>23.84661638953515</v>
      </c>
      <c r="GI66">
        <v>43.30259214527451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659.97721034299559</v>
      </c>
      <c r="AO67">
        <v>51.00118509639676</v>
      </c>
      <c r="AP67">
        <v>64.924193423892135</v>
      </c>
      <c r="AQ67">
        <v>378.69110196845725</v>
      </c>
      <c r="AR67">
        <v>50.166746282876574</v>
      </c>
      <c r="AS67">
        <v>390.98678565286218</v>
      </c>
      <c r="AT67">
        <v>25.529582843366956</v>
      </c>
      <c r="AU67">
        <v>-68.994470936373943</v>
      </c>
      <c r="AV67"/>
      <c r="AW67"/>
      <c r="FY67" s="212">
        <v>62</v>
      </c>
      <c r="FZ67">
        <v>35.27755450153817</v>
      </c>
      <c r="GA67">
        <v>85.219905799807961</v>
      </c>
      <c r="GB67">
        <v>53.225778849183975</v>
      </c>
      <c r="GC67">
        <v>19.898462701745316</v>
      </c>
      <c r="GD67">
        <v>10.171780708852795</v>
      </c>
      <c r="GE67">
        <v>9.7850172648463776</v>
      </c>
      <c r="GF67">
        <v>15.984628828294127</v>
      </c>
      <c r="GG67">
        <v>22.587172871898439</v>
      </c>
      <c r="GH67">
        <v>30.991825889088702</v>
      </c>
      <c r="GI67">
        <v>32.189529070370064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725.3255711389013</v>
      </c>
      <c r="AO68">
        <v>45.047061451673031</v>
      </c>
      <c r="AP68">
        <v>44.361589713956128</v>
      </c>
      <c r="AQ68">
        <v>303.4956370718121</v>
      </c>
      <c r="AR68">
        <v>44.031551168744073</v>
      </c>
      <c r="AS68">
        <v>386.63285878368748</v>
      </c>
      <c r="AT68">
        <v>23.862651504914457</v>
      </c>
      <c r="AU68">
        <v>-62.708495264809628</v>
      </c>
      <c r="AV68"/>
      <c r="AW68"/>
      <c r="FY68" s="212">
        <v>63</v>
      </c>
      <c r="FZ68">
        <v>48.374590268913522</v>
      </c>
      <c r="GA68">
        <v>154.53885524585013</v>
      </c>
      <c r="GB68">
        <v>81.469011725203771</v>
      </c>
      <c r="GC68">
        <v>15.771606135678599</v>
      </c>
      <c r="GD68">
        <v>10.809125801441589</v>
      </c>
      <c r="GE68">
        <v>12.256310748911336</v>
      </c>
      <c r="GF68">
        <v>16.8540201518089</v>
      </c>
      <c r="GG68">
        <v>20.535524662682896</v>
      </c>
      <c r="GH68">
        <v>30.851661338431541</v>
      </c>
      <c r="GI68">
        <v>41.715820155724565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860.02270635420587</v>
      </c>
      <c r="AO69">
        <v>52.646993685401561</v>
      </c>
      <c r="AP69">
        <v>100.06454659712954</v>
      </c>
      <c r="AQ69">
        <v>364.40127613650043</v>
      </c>
      <c r="AR69">
        <v>51.491171384984376</v>
      </c>
      <c r="AS69">
        <v>467.13196497556874</v>
      </c>
      <c r="AT69">
        <v>28.01395371058295</v>
      </c>
      <c r="AU69">
        <v>3.608954981590486</v>
      </c>
      <c r="AV69"/>
      <c r="AW69"/>
      <c r="FY69" s="212">
        <v>64</v>
      </c>
      <c r="FZ69">
        <v>50.055718330537296</v>
      </c>
      <c r="GA69">
        <v>59.471349384729542</v>
      </c>
      <c r="GB69">
        <v>44.70698622564796</v>
      </c>
      <c r="GC69">
        <v>21.480776643240365</v>
      </c>
      <c r="GD69">
        <v>13.176524281909591</v>
      </c>
      <c r="GE69">
        <v>23.037590745275697</v>
      </c>
      <c r="GF69">
        <v>40.791499794920043</v>
      </c>
      <c r="GG69">
        <v>33.230205062684888</v>
      </c>
      <c r="GH69">
        <v>25.326063502854968</v>
      </c>
      <c r="GI69">
        <v>37.525405751043188</v>
      </c>
      <c r="GJ69"/>
      <c r="GK69"/>
      <c r="GL69"/>
      <c r="GM69"/>
    </row>
    <row r="70" spans="1:195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157.29166666666663</v>
      </c>
      <c r="E70" s="64"/>
      <c r="F70" s="64"/>
      <c r="G70" s="18">
        <f>AVERAGE(E228:E237)</f>
        <v>0</v>
      </c>
      <c r="H70" s="18">
        <f t="shared" ref="H70:AK70" si="40">AVERAGE(F228:F237)</f>
        <v>9.375</v>
      </c>
      <c r="I70" s="18">
        <f t="shared" si="40"/>
        <v>55.208333333333329</v>
      </c>
      <c r="J70" s="18">
        <f t="shared" si="40"/>
        <v>30.208333333333332</v>
      </c>
      <c r="K70" s="18">
        <f t="shared" si="40"/>
        <v>29.166666666666668</v>
      </c>
      <c r="L70" s="18">
        <f t="shared" si="40"/>
        <v>21.875</v>
      </c>
      <c r="M70" s="18">
        <f t="shared" si="40"/>
        <v>10.416666666666666</v>
      </c>
      <c r="N70" s="18">
        <f t="shared" si="40"/>
        <v>1.0416666666666665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640.28420989426695</v>
      </c>
      <c r="AO70">
        <v>50.553348324711159</v>
      </c>
      <c r="AP70">
        <v>68.637907528086416</v>
      </c>
      <c r="AQ70">
        <v>385.2609655140962</v>
      </c>
      <c r="AR70">
        <v>50.653688534160104</v>
      </c>
      <c r="AS70">
        <v>391.97749588092711</v>
      </c>
      <c r="AT70">
        <v>24.908261269619754</v>
      </c>
      <c r="AU70">
        <v>-75.266052801800669</v>
      </c>
      <c r="AV70"/>
      <c r="AW70"/>
      <c r="FY70" s="212">
        <v>65</v>
      </c>
      <c r="FZ70">
        <v>50.961510403734252</v>
      </c>
      <c r="GA70">
        <v>98.214887133723309</v>
      </c>
      <c r="GB70">
        <v>43.594391760337118</v>
      </c>
      <c r="GC70">
        <v>14.713845503440441</v>
      </c>
      <c r="GD70">
        <v>8.2443522169393617</v>
      </c>
      <c r="GE70">
        <v>10.883689943378853</v>
      </c>
      <c r="GF70">
        <v>24.804124847902923</v>
      </c>
      <c r="GG70">
        <v>24.088224263445088</v>
      </c>
      <c r="GH70">
        <v>18.557856552432206</v>
      </c>
      <c r="GI70">
        <v>30.659685423596844</v>
      </c>
      <c r="GJ70"/>
      <c r="GK70"/>
      <c r="GL70"/>
      <c r="GM70"/>
    </row>
    <row r="71" spans="1:195" s="7" customFormat="1">
      <c r="A71" s="4"/>
      <c r="B71" s="66"/>
      <c r="C71" s="71">
        <f t="shared" si="38"/>
        <v>39673</v>
      </c>
      <c r="D71" s="72">
        <f t="shared" si="39"/>
        <v>382.87080447303924</v>
      </c>
      <c r="E71" s="64"/>
      <c r="F71" s="64"/>
      <c r="G71" s="18">
        <f>AVERAGE(E238:E247)</f>
        <v>0</v>
      </c>
      <c r="H71" s="18">
        <f t="shared" ref="H71:AK71" si="41">AVERAGE(F238:F247)</f>
        <v>19.648692810457511</v>
      </c>
      <c r="I71" s="18">
        <f t="shared" si="41"/>
        <v>145.58098666258169</v>
      </c>
      <c r="J71" s="18">
        <f t="shared" si="41"/>
        <v>125.90725000000002</v>
      </c>
      <c r="K71" s="18">
        <f t="shared" si="41"/>
        <v>86.525541666666669</v>
      </c>
      <c r="L71" s="18">
        <f t="shared" si="41"/>
        <v>4.1666666666666661</v>
      </c>
      <c r="M71" s="18">
        <f t="shared" si="41"/>
        <v>1.0416666666666665</v>
      </c>
      <c r="N71" s="18">
        <f t="shared" si="41"/>
        <v>0</v>
      </c>
      <c r="O71" s="18">
        <f t="shared" si="41"/>
        <v>0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853.26745121113379</v>
      </c>
      <c r="AO71">
        <v>51.652629912810696</v>
      </c>
      <c r="AP71">
        <v>105.98661081977997</v>
      </c>
      <c r="AQ71">
        <v>359.99893609907127</v>
      </c>
      <c r="AR71">
        <v>49.459234111863701</v>
      </c>
      <c r="AS71">
        <v>412.78704027316098</v>
      </c>
      <c r="AT71">
        <v>25.277775432041292</v>
      </c>
      <c r="AU71">
        <v>-26.964847747919798</v>
      </c>
      <c r="AV71"/>
      <c r="AW71"/>
      <c r="FY71" s="212">
        <v>66</v>
      </c>
      <c r="FZ71">
        <v>30.065321956431795</v>
      </c>
      <c r="GA71">
        <v>86.929216922856739</v>
      </c>
      <c r="GB71">
        <v>52.318088085373631</v>
      </c>
      <c r="GC71">
        <v>21.690794691184163</v>
      </c>
      <c r="GD71">
        <v>10.386976027080316</v>
      </c>
      <c r="GE71">
        <v>6.4600856273451139</v>
      </c>
      <c r="GF71">
        <v>7.332455574647228</v>
      </c>
      <c r="GG71">
        <v>9.2092592684000305</v>
      </c>
      <c r="GH71">
        <v>28.186673112475109</v>
      </c>
      <c r="GI71">
        <v>29.285336598804374</v>
      </c>
      <c r="GJ71"/>
      <c r="GK71"/>
      <c r="GL71"/>
      <c r="GM71"/>
    </row>
    <row r="72" spans="1:195" s="7" customFormat="1">
      <c r="A72" s="4"/>
      <c r="B72" s="66"/>
      <c r="C72" s="71">
        <f t="shared" si="38"/>
        <v>39714</v>
      </c>
      <c r="D72" s="72">
        <f t="shared" si="39"/>
        <v>1031.9568452380954</v>
      </c>
      <c r="E72" s="64"/>
      <c r="F72" s="64"/>
      <c r="G72" s="18">
        <f>AVERAGE(E248:E257)</f>
        <v>32.552083333333336</v>
      </c>
      <c r="H72" s="18">
        <f t="shared" ref="H72:AK72" si="42">AVERAGE(F248:F257)</f>
        <v>346.76339285714283</v>
      </c>
      <c r="I72" s="18">
        <f t="shared" si="42"/>
        <v>406.06398809523807</v>
      </c>
      <c r="J72" s="18">
        <f t="shared" si="42"/>
        <v>184.07738095238091</v>
      </c>
      <c r="K72" s="18">
        <f t="shared" si="42"/>
        <v>7.2916666666666661</v>
      </c>
      <c r="L72" s="18">
        <f t="shared" si="42"/>
        <v>20.833333333333336</v>
      </c>
      <c r="M72" s="18">
        <f t="shared" si="42"/>
        <v>12.499999999999998</v>
      </c>
      <c r="N72" s="18">
        <f t="shared" si="42"/>
        <v>16.666666666666664</v>
      </c>
      <c r="O72" s="18">
        <f t="shared" si="42"/>
        <v>1.0416666666666665</v>
      </c>
      <c r="P72" s="18">
        <f t="shared" si="42"/>
        <v>4.1666666666666661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650.04293537676574</v>
      </c>
      <c r="AO72">
        <v>44.111049295172371</v>
      </c>
      <c r="AP72">
        <v>50.929478082126408</v>
      </c>
      <c r="AQ72">
        <v>303.60693855234149</v>
      </c>
      <c r="AR72">
        <v>45.028166646185852</v>
      </c>
      <c r="AS72">
        <v>389.22009053330083</v>
      </c>
      <c r="AT72">
        <v>24.791004114875118</v>
      </c>
      <c r="AU72">
        <v>-61.052877397653468</v>
      </c>
      <c r="AV72"/>
      <c r="AW72"/>
      <c r="FY72" s="212">
        <v>67</v>
      </c>
      <c r="FZ72">
        <v>51.064631185741391</v>
      </c>
      <c r="GA72">
        <v>107.08292033206324</v>
      </c>
      <c r="GB72">
        <v>58.694684083241299</v>
      </c>
      <c r="GC72">
        <v>23.227343215802193</v>
      </c>
      <c r="GD72">
        <v>13.750520644247471</v>
      </c>
      <c r="GE72">
        <v>14.002304609760175</v>
      </c>
      <c r="GF72">
        <v>12.349615969143086</v>
      </c>
      <c r="GG72">
        <v>11.13869634190813</v>
      </c>
      <c r="GH72">
        <v>24.48709264421603</v>
      </c>
      <c r="GI72">
        <v>36.363267361864054</v>
      </c>
      <c r="GJ72"/>
      <c r="GK72"/>
      <c r="GL72"/>
      <c r="GM72"/>
    </row>
    <row r="73" spans="1:195" s="7" customFormat="1">
      <c r="A73" s="4"/>
      <c r="B73" s="66"/>
      <c r="C73" s="71">
        <f t="shared" si="38"/>
        <v>39747</v>
      </c>
      <c r="D73" s="72">
        <f t="shared" si="39"/>
        <v>1556.4326687440912</v>
      </c>
      <c r="E73" s="64"/>
      <c r="F73" s="64"/>
      <c r="G73" s="18">
        <f>AVERAGE(E258:E267)</f>
        <v>66.964285714285722</v>
      </c>
      <c r="H73" s="18">
        <f t="shared" ref="H73:AK73" si="43">AVERAGE(F258:F267)</f>
        <v>515.11507081280786</v>
      </c>
      <c r="I73" s="18">
        <f t="shared" si="43"/>
        <v>771.92909311713197</v>
      </c>
      <c r="J73" s="18">
        <f t="shared" si="43"/>
        <v>195.70073425138085</v>
      </c>
      <c r="K73" s="18">
        <f t="shared" si="43"/>
        <v>3.8825757575757569</v>
      </c>
      <c r="L73" s="18">
        <f t="shared" si="43"/>
        <v>0</v>
      </c>
      <c r="M73" s="18">
        <f t="shared" si="43"/>
        <v>2.8409090909090908</v>
      </c>
      <c r="N73" s="18">
        <f t="shared" si="43"/>
        <v>0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759.84603106650457</v>
      </c>
      <c r="AO73">
        <v>49.339996834283298</v>
      </c>
      <c r="AP73">
        <v>56.197202218781513</v>
      </c>
      <c r="AQ73">
        <v>345.69884910394131</v>
      </c>
      <c r="AR73">
        <v>47.825534438130013</v>
      </c>
      <c r="AS73">
        <v>437.02368081469569</v>
      </c>
      <c r="AT73">
        <v>25.078661307131437</v>
      </c>
      <c r="AU73">
        <v>-52.641334711603946</v>
      </c>
      <c r="AV73"/>
      <c r="AW73"/>
      <c r="FY73" s="212">
        <v>68</v>
      </c>
      <c r="FZ73">
        <v>44.646863374598659</v>
      </c>
      <c r="GA73">
        <v>100.86873190713898</v>
      </c>
      <c r="GB73">
        <v>56.746875583673813</v>
      </c>
      <c r="GC73">
        <v>19.02758940207832</v>
      </c>
      <c r="GD73">
        <v>12.887403423808159</v>
      </c>
      <c r="GE73">
        <v>16.29263370797776</v>
      </c>
      <c r="GF73">
        <v>24.678657729371508</v>
      </c>
      <c r="GG73">
        <v>23.046973987955337</v>
      </c>
      <c r="GH73">
        <v>23.503326399505056</v>
      </c>
      <c r="GI73">
        <v>36.375370738522378</v>
      </c>
      <c r="GJ73"/>
      <c r="GK73"/>
      <c r="GL73"/>
      <c r="GM73"/>
    </row>
    <row r="74" spans="1:195" s="7" customFormat="1">
      <c r="A74" s="4"/>
      <c r="B74" s="66"/>
      <c r="C74" s="71">
        <f t="shared" si="38"/>
        <v>39775</v>
      </c>
      <c r="D74" s="72">
        <f t="shared" si="39"/>
        <v>855.34474614759665</v>
      </c>
      <c r="E74" s="64"/>
      <c r="F74" s="64"/>
      <c r="G74" s="18">
        <f>AVERAGE(E268:E277)</f>
        <v>0</v>
      </c>
      <c r="H74" s="18">
        <f t="shared" ref="H74:AK74" si="44">AVERAGE(F268:F277)</f>
        <v>243.73302970177966</v>
      </c>
      <c r="I74" s="18">
        <f t="shared" si="44"/>
        <v>511.91432449494948</v>
      </c>
      <c r="J74" s="18">
        <f t="shared" si="44"/>
        <v>96.19360407207968</v>
      </c>
      <c r="K74" s="18">
        <f t="shared" si="44"/>
        <v>1.4204545454545454</v>
      </c>
      <c r="L74" s="18">
        <f t="shared" si="44"/>
        <v>2.083333333333333</v>
      </c>
      <c r="M74" s="18">
        <f t="shared" si="44"/>
        <v>0</v>
      </c>
      <c r="N74" s="18">
        <f t="shared" si="44"/>
        <v>0</v>
      </c>
      <c r="O74" s="18">
        <f t="shared" si="44"/>
        <v>0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694.54089310781433</v>
      </c>
      <c r="AO74">
        <v>45.428016789833009</v>
      </c>
      <c r="AP74">
        <v>67.701104625018303</v>
      </c>
      <c r="AQ74">
        <v>323.40676955268435</v>
      </c>
      <c r="AR74">
        <v>44.18493790569508</v>
      </c>
      <c r="AS74">
        <v>353.11643462307336</v>
      </c>
      <c r="AT74">
        <v>22.413030037068392</v>
      </c>
      <c r="AU74">
        <v>-48.417823735671476</v>
      </c>
      <c r="AV74"/>
      <c r="AW74"/>
      <c r="FY74" s="212">
        <v>69</v>
      </c>
      <c r="FZ74">
        <v>52.251653277261042</v>
      </c>
      <c r="GA74">
        <v>63.406610855608442</v>
      </c>
      <c r="GB74">
        <v>31.8712670475823</v>
      </c>
      <c r="GC74">
        <v>15.946039344508719</v>
      </c>
      <c r="GD74">
        <v>10.586404247809297</v>
      </c>
      <c r="GE74">
        <v>12.378285268979452</v>
      </c>
      <c r="GF74">
        <v>24.591184877993157</v>
      </c>
      <c r="GG74">
        <v>24.198368045746662</v>
      </c>
      <c r="GH74">
        <v>17.434610161039572</v>
      </c>
      <c r="GI74">
        <v>29.112069135509071</v>
      </c>
      <c r="GJ74"/>
      <c r="GK74"/>
      <c r="GL74"/>
      <c r="GM74"/>
    </row>
    <row r="75" spans="1:195" s="7" customFormat="1">
      <c r="A75" s="4"/>
      <c r="B75" s="66"/>
      <c r="C75" s="71">
        <f t="shared" si="38"/>
        <v>39799</v>
      </c>
      <c r="D75" s="72">
        <f t="shared" si="39"/>
        <v>698.78356866002196</v>
      </c>
      <c r="E75" s="64"/>
      <c r="F75" s="64"/>
      <c r="G75" s="18">
        <f>AVERAGE(E278:E287)</f>
        <v>59.598214285714292</v>
      </c>
      <c r="H75" s="18">
        <f t="shared" ref="H75:AK75" si="45">AVERAGE(F278:F287)</f>
        <v>346.50297619047615</v>
      </c>
      <c r="I75" s="18">
        <f t="shared" si="45"/>
        <v>178.00041528239203</v>
      </c>
      <c r="J75" s="18">
        <f t="shared" si="45"/>
        <v>86.556962901439647</v>
      </c>
      <c r="K75" s="18">
        <f t="shared" si="45"/>
        <v>19.791666666666664</v>
      </c>
      <c r="L75" s="18">
        <f t="shared" si="45"/>
        <v>4.1666666666666661</v>
      </c>
      <c r="M75" s="18">
        <f t="shared" si="45"/>
        <v>4.1666666666666661</v>
      </c>
      <c r="N75" s="18">
        <f t="shared" si="45"/>
        <v>0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640.60698909447592</v>
      </c>
      <c r="AO75">
        <v>45.880955802079654</v>
      </c>
      <c r="AP75">
        <v>39.116066837188121</v>
      </c>
      <c r="AQ75">
        <v>322.95831044659167</v>
      </c>
      <c r="AR75">
        <v>45.902104878822549</v>
      </c>
      <c r="AS75">
        <v>366.19874020793691</v>
      </c>
      <c r="AT75">
        <v>24.393121842132256</v>
      </c>
      <c r="AU75">
        <v>-59.484602537571831</v>
      </c>
      <c r="AV75"/>
      <c r="AW75"/>
      <c r="FY75" s="212">
        <v>70</v>
      </c>
      <c r="FZ75">
        <v>48.531761161016533</v>
      </c>
      <c r="GA75">
        <v>87.89896586316938</v>
      </c>
      <c r="GB75">
        <v>45.582878496863799</v>
      </c>
      <c r="GC75">
        <v>19.727545622948803</v>
      </c>
      <c r="GD75">
        <v>13.462727426190698</v>
      </c>
      <c r="GE75">
        <v>15.950176951158431</v>
      </c>
      <c r="GF75">
        <v>23.035355653966889</v>
      </c>
      <c r="GG75">
        <v>28.171275309280912</v>
      </c>
      <c r="GH75">
        <v>40.047359770305157</v>
      </c>
      <c r="GI75">
        <v>36.884070627558607</v>
      </c>
      <c r="GJ75"/>
      <c r="GK75"/>
      <c r="GL75"/>
      <c r="GM75"/>
    </row>
    <row r="76" spans="1:195" s="7" customFormat="1">
      <c r="A76" s="4"/>
      <c r="B76" s="66"/>
      <c r="C76" s="71">
        <f t="shared" si="38"/>
        <v>39847</v>
      </c>
      <c r="D76" s="72">
        <f>SUM(G76:AK76)</f>
        <v>303.64583333333331</v>
      </c>
      <c r="E76" s="64"/>
      <c r="F76" s="64"/>
      <c r="G76" s="18">
        <f>AVERAGE(E288:E297)</f>
        <v>40.029761904761905</v>
      </c>
      <c r="H76" s="18">
        <f t="shared" ref="H76:AK76" si="46">AVERAGE(F288:F297)</f>
        <v>151.71130952380949</v>
      </c>
      <c r="I76" s="18">
        <f t="shared" si="46"/>
        <v>66.36904761904762</v>
      </c>
      <c r="J76" s="18">
        <f t="shared" si="46"/>
        <v>26.785714285714288</v>
      </c>
      <c r="K76" s="18">
        <f t="shared" si="46"/>
        <v>9.375</v>
      </c>
      <c r="L76" s="18">
        <f t="shared" si="46"/>
        <v>6.25</v>
      </c>
      <c r="M76" s="18">
        <f t="shared" si="46"/>
        <v>3.125</v>
      </c>
      <c r="N76" s="18">
        <f t="shared" si="46"/>
        <v>0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811.66646897550481</v>
      </c>
      <c r="AO76">
        <v>57.213666257491113</v>
      </c>
      <c r="AP76">
        <v>74.413115314781265</v>
      </c>
      <c r="AQ76">
        <v>405.79274944207953</v>
      </c>
      <c r="AR76">
        <v>55.857337240980023</v>
      </c>
      <c r="AS76">
        <v>469.17362414490105</v>
      </c>
      <c r="AT76">
        <v>28.099349526831848</v>
      </c>
      <c r="AU76">
        <v>-71.69267912826399</v>
      </c>
      <c r="AV76"/>
      <c r="AW76"/>
      <c r="FY76" s="212">
        <v>71</v>
      </c>
      <c r="FZ76">
        <v>51.084877830128136</v>
      </c>
      <c r="GA76">
        <v>88.477083603437833</v>
      </c>
      <c r="GB76">
        <v>49.920297965307746</v>
      </c>
      <c r="GC76">
        <v>24.092210312683157</v>
      </c>
      <c r="GD76">
        <v>12.090613064935857</v>
      </c>
      <c r="GE76">
        <v>9.0792447501286908</v>
      </c>
      <c r="GF76">
        <v>38.8611167095033</v>
      </c>
      <c r="GG76">
        <v>40.385181936181915</v>
      </c>
      <c r="GH76">
        <v>22.425170519857826</v>
      </c>
      <c r="GI76">
        <v>37.624218450745879</v>
      </c>
      <c r="GJ76"/>
      <c r="GK76"/>
      <c r="GL76"/>
      <c r="GM76"/>
    </row>
    <row r="77" spans="1:195" s="7" customFormat="1">
      <c r="A77" s="4"/>
      <c r="B77" s="66"/>
      <c r="C77" s="71">
        <f t="shared" si="38"/>
        <v>39910</v>
      </c>
      <c r="D77" s="72">
        <f>SUM(G77:AK77)</f>
        <v>1202.9545454545453</v>
      </c>
      <c r="E77" s="64"/>
      <c r="F77" s="64"/>
      <c r="G77" s="18">
        <f>AVERAGE(E298:E307)</f>
        <v>111.11111111111111</v>
      </c>
      <c r="H77" s="18">
        <f t="shared" ref="H77:AK77" si="47">AVERAGE(F298:F307)</f>
        <v>369.73905723905716</v>
      </c>
      <c r="I77" s="18">
        <f t="shared" si="47"/>
        <v>483.21759259259261</v>
      </c>
      <c r="J77" s="18">
        <f t="shared" si="47"/>
        <v>174.18981481481481</v>
      </c>
      <c r="K77" s="18">
        <f t="shared" si="47"/>
        <v>44.981060606060609</v>
      </c>
      <c r="L77" s="18">
        <f t="shared" si="47"/>
        <v>5.9659090909090908</v>
      </c>
      <c r="M77" s="18">
        <f t="shared" si="47"/>
        <v>13.75</v>
      </c>
      <c r="N77" s="18">
        <f t="shared" si="47"/>
        <v>0</v>
      </c>
      <c r="O77" s="18">
        <f t="shared" si="47"/>
        <v>0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920.63509273717591</v>
      </c>
      <c r="AO77">
        <v>60.971935317077644</v>
      </c>
      <c r="AP77">
        <v>55.343055406252716</v>
      </c>
      <c r="AQ77">
        <v>447.20923204673062</v>
      </c>
      <c r="AR77">
        <v>59.562115337733132</v>
      </c>
      <c r="AS77">
        <v>487.67351996452589</v>
      </c>
      <c r="AT77">
        <v>29.368449597529775</v>
      </c>
      <c r="AU77">
        <v>-111.30701065721536</v>
      </c>
      <c r="AV77"/>
      <c r="AW77"/>
      <c r="FY77" s="212">
        <v>72</v>
      </c>
      <c r="FZ77">
        <v>47.769290311697468</v>
      </c>
      <c r="GA77">
        <v>99.021082184806403</v>
      </c>
      <c r="GB77">
        <v>54.095393480547628</v>
      </c>
      <c r="GC77">
        <v>14.481894377728041</v>
      </c>
      <c r="GD77">
        <v>7.9129977111590817</v>
      </c>
      <c r="GE77">
        <v>9.2955307332645223</v>
      </c>
      <c r="GF77">
        <v>16.970697925553626</v>
      </c>
      <c r="GG77">
        <v>22.234938754002719</v>
      </c>
      <c r="GH77">
        <v>26.509942656960746</v>
      </c>
      <c r="GI77">
        <v>32.489223220417102</v>
      </c>
      <c r="GJ77"/>
      <c r="GK77"/>
      <c r="GL77"/>
      <c r="GM77"/>
    </row>
    <row r="78" spans="1:195" s="7" customFormat="1">
      <c r="A78" s="4"/>
      <c r="B78" s="66"/>
      <c r="C78" s="71">
        <f t="shared" si="38"/>
        <v>39949</v>
      </c>
      <c r="D78" s="72">
        <f>SUM(G78:AK78)</f>
        <v>247.64955876621482</v>
      </c>
      <c r="E78" s="64"/>
      <c r="F78" s="64"/>
      <c r="G78" s="18">
        <f>AVERAGE(E308:E317)</f>
        <v>0</v>
      </c>
      <c r="H78" s="18">
        <f t="shared" ref="H78:AK78" si="48">AVERAGE(F308:F317)</f>
        <v>33.449074074074076</v>
      </c>
      <c r="I78" s="18">
        <f t="shared" si="48"/>
        <v>161.71760797981196</v>
      </c>
      <c r="J78" s="18">
        <f t="shared" si="48"/>
        <v>30.607876712328768</v>
      </c>
      <c r="K78" s="18">
        <f t="shared" si="48"/>
        <v>11.458333333333332</v>
      </c>
      <c r="L78" s="18">
        <f t="shared" si="48"/>
        <v>5.208333333333333</v>
      </c>
      <c r="M78" s="18">
        <f t="shared" si="48"/>
        <v>5.208333333333333</v>
      </c>
      <c r="N78" s="18">
        <f t="shared" si="48"/>
        <v>0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644.95243393957924</v>
      </c>
      <c r="AO78">
        <v>45.106964261452077</v>
      </c>
      <c r="AP78">
        <v>53.811590191879183</v>
      </c>
      <c r="AQ78">
        <v>315.3316564856259</v>
      </c>
      <c r="AR78">
        <v>44.26475581305187</v>
      </c>
      <c r="AS78">
        <v>364.62538764066511</v>
      </c>
      <c r="AT78">
        <v>22.883153564013877</v>
      </c>
      <c r="AU78">
        <v>-52.112248810965582</v>
      </c>
      <c r="AV78"/>
      <c r="AW78"/>
      <c r="FY78" s="212">
        <v>73</v>
      </c>
      <c r="FZ78">
        <v>45.640029804637855</v>
      </c>
      <c r="GA78">
        <v>113.97925113034619</v>
      </c>
      <c r="GB78">
        <v>56.0461444695922</v>
      </c>
      <c r="GC78">
        <v>12.634495138446782</v>
      </c>
      <c r="GD78">
        <v>8.4876111998806998</v>
      </c>
      <c r="GE78">
        <v>13.048423317880898</v>
      </c>
      <c r="GF78">
        <v>22.280141771988021</v>
      </c>
      <c r="GG78">
        <v>18.423153425728689</v>
      </c>
      <c r="GH78">
        <v>17.703508315608442</v>
      </c>
      <c r="GI78">
        <v>32.601200383864629</v>
      </c>
      <c r="GJ78"/>
      <c r="GK78"/>
      <c r="GL78"/>
      <c r="GM78"/>
    </row>
    <row r="79" spans="1:195" s="7" customFormat="1">
      <c r="A79" s="4"/>
      <c r="B79" s="66"/>
      <c r="C79" s="71">
        <f t="shared" si="38"/>
        <v>39987</v>
      </c>
      <c r="D79" s="72">
        <f>SUM(G79:AK79)</f>
        <v>219.60134573844925</v>
      </c>
      <c r="E79" s="64"/>
      <c r="F79" s="64"/>
      <c r="G79" s="18">
        <f>AVERAGE(E318:E327)</f>
        <v>0</v>
      </c>
      <c r="H79" s="18">
        <f t="shared" ref="H79:AK79" si="49">AVERAGE(F318:F327)</f>
        <v>13.900236020334058</v>
      </c>
      <c r="I79" s="18">
        <f t="shared" si="49"/>
        <v>83.898513485018981</v>
      </c>
      <c r="J79" s="18">
        <f t="shared" si="49"/>
        <v>79.458867961645822</v>
      </c>
      <c r="K79" s="18">
        <f t="shared" si="49"/>
        <v>25.787877207620635</v>
      </c>
      <c r="L79" s="18">
        <f t="shared" si="49"/>
        <v>0</v>
      </c>
      <c r="M79" s="18">
        <f t="shared" si="49"/>
        <v>16.555851063829788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802.4455533861809</v>
      </c>
      <c r="AO79">
        <v>58.140488673197794</v>
      </c>
      <c r="AP79">
        <v>114.19767810857401</v>
      </c>
      <c r="AQ79">
        <v>433.17652623464693</v>
      </c>
      <c r="AR79">
        <v>57.603059927415146</v>
      </c>
      <c r="AS79">
        <v>471.81693586276424</v>
      </c>
      <c r="AT79">
        <v>28.672832376939894</v>
      </c>
      <c r="AU79">
        <v>-63.421384670396499</v>
      </c>
      <c r="AV79"/>
      <c r="AW79"/>
      <c r="FY79" s="212">
        <v>74</v>
      </c>
      <c r="FZ79">
        <v>45.405190913692728</v>
      </c>
      <c r="GA79">
        <v>77.864385729859137</v>
      </c>
      <c r="GB79">
        <v>49.604879929764827</v>
      </c>
      <c r="GC79">
        <v>19.413620694532661</v>
      </c>
      <c r="GD79">
        <v>12.96652517301211</v>
      </c>
      <c r="GE79">
        <v>17.019934722756965</v>
      </c>
      <c r="GF79">
        <v>11.480688574788347</v>
      </c>
      <c r="GG79">
        <v>14.197687474905248</v>
      </c>
      <c r="GH79">
        <v>18.205976341173059</v>
      </c>
      <c r="GI79">
        <v>31.534070790953184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842.38845429903415</v>
      </c>
      <c r="AO80">
        <v>51.58018966457464</v>
      </c>
      <c r="AP80">
        <v>105.91842283829959</v>
      </c>
      <c r="AQ80">
        <v>348.8021197228436</v>
      </c>
      <c r="AR80">
        <v>51.343814699747035</v>
      </c>
      <c r="AS80">
        <v>434.49768382110119</v>
      </c>
      <c r="AT80">
        <v>28.077789742667932</v>
      </c>
      <c r="AU80">
        <v>-61.45247208892193</v>
      </c>
      <c r="AV80"/>
      <c r="AW80"/>
      <c r="FY80" s="212">
        <v>75</v>
      </c>
      <c r="FZ80">
        <v>32.128170937648619</v>
      </c>
      <c r="GA80">
        <v>133.87419669700267</v>
      </c>
      <c r="GB80">
        <v>69.183344185585071</v>
      </c>
      <c r="GC80">
        <v>17.869187528376656</v>
      </c>
      <c r="GD80">
        <v>12.181926534554195</v>
      </c>
      <c r="GE80">
        <v>12.818637419608702</v>
      </c>
      <c r="GF80">
        <v>17.771522826973321</v>
      </c>
      <c r="GG80">
        <v>20.425477203921581</v>
      </c>
      <c r="GH80">
        <v>24.340703187364728</v>
      </c>
      <c r="GI80">
        <v>36.199411097049797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586.24703305416017</v>
      </c>
      <c r="AO81">
        <v>43.737483965407115</v>
      </c>
      <c r="AP81">
        <v>69.176759758647663</v>
      </c>
      <c r="AQ81">
        <v>324.72256804893038</v>
      </c>
      <c r="AR81">
        <v>42.069682790681227</v>
      </c>
      <c r="AS81">
        <v>332.64673734681287</v>
      </c>
      <c r="AT81">
        <v>22.188522581563152</v>
      </c>
      <c r="AU81">
        <v>-19.482589368129386</v>
      </c>
      <c r="AV81"/>
      <c r="AW81"/>
      <c r="FY81" s="212">
        <v>76</v>
      </c>
      <c r="FZ81">
        <v>43.504838047685759</v>
      </c>
      <c r="GA81">
        <v>112.09561428378477</v>
      </c>
      <c r="GB81">
        <v>65.405950610815324</v>
      </c>
      <c r="GC81">
        <v>18.971590731021966</v>
      </c>
      <c r="GD81">
        <v>10.290771374535902</v>
      </c>
      <c r="GE81">
        <v>9.7474984307742307</v>
      </c>
      <c r="GF81">
        <v>15.30380334577039</v>
      </c>
      <c r="GG81">
        <v>17.684764033153343</v>
      </c>
      <c r="GH81">
        <v>28.139646851763747</v>
      </c>
      <c r="GI81">
        <v>35.98696850097852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541.92239441039499</v>
      </c>
      <c r="AO82">
        <v>40.885782516758333</v>
      </c>
      <c r="AP82">
        <v>32.142327783512826</v>
      </c>
      <c r="AQ82">
        <v>281.86420786459848</v>
      </c>
      <c r="AR82">
        <v>40.29285833582113</v>
      </c>
      <c r="AS82">
        <v>339.68045124309191</v>
      </c>
      <c r="AT82">
        <v>20.411852139543992</v>
      </c>
      <c r="AU82">
        <v>-31.838915893762021</v>
      </c>
      <c r="AV82"/>
      <c r="AW82"/>
      <c r="FY82" s="212">
        <v>77</v>
      </c>
      <c r="FZ82">
        <v>42.069842714899643</v>
      </c>
      <c r="GA82">
        <v>180.83503158152345</v>
      </c>
      <c r="GB82">
        <v>95.935028009931642</v>
      </c>
      <c r="GC82">
        <v>21.468848740396236</v>
      </c>
      <c r="GD82">
        <v>15.504732291253994</v>
      </c>
      <c r="GE82">
        <v>17.50894521988365</v>
      </c>
      <c r="GF82">
        <v>18.601822111017345</v>
      </c>
      <c r="GG82">
        <v>17.71540565583647</v>
      </c>
      <c r="GH82">
        <v>21.39277630322038</v>
      </c>
      <c r="GI82">
        <v>45.995473578400052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617.551672727197</v>
      </c>
      <c r="AO83">
        <v>50.88619804653608</v>
      </c>
      <c r="AP83">
        <v>67.613161635947506</v>
      </c>
      <c r="AQ83">
        <v>352.16107638798712</v>
      </c>
      <c r="AR83">
        <v>50.237452480658902</v>
      </c>
      <c r="AS83">
        <v>392.14147319431487</v>
      </c>
      <c r="AT83">
        <v>26.126231671354034</v>
      </c>
      <c r="AU83">
        <v>-67.260537788494716</v>
      </c>
      <c r="AV83"/>
      <c r="AW83"/>
      <c r="FY83" s="212">
        <v>78</v>
      </c>
      <c r="FZ83">
        <v>66.861426632406676</v>
      </c>
      <c r="GA83">
        <v>116.66210673648764</v>
      </c>
      <c r="GB83">
        <v>66.13619824434555</v>
      </c>
      <c r="GC83">
        <v>18.927391431929706</v>
      </c>
      <c r="GD83">
        <v>9.033861968534266</v>
      </c>
      <c r="GE83">
        <v>12.956973042855438</v>
      </c>
      <c r="GF83">
        <v>30.885733389481434</v>
      </c>
      <c r="GG83">
        <v>27.795241492511796</v>
      </c>
      <c r="GH83">
        <v>18.593099113950874</v>
      </c>
      <c r="GI83">
        <v>40.172335385479769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746.52164584256025</v>
      </c>
      <c r="AO84">
        <v>50.892735530914265</v>
      </c>
      <c r="AP84">
        <v>64.168897101321392</v>
      </c>
      <c r="AQ84">
        <v>358.07442625462988</v>
      </c>
      <c r="AR84">
        <v>49.970087984282458</v>
      </c>
      <c r="AS84">
        <v>427.19476850074926</v>
      </c>
      <c r="AT84">
        <v>25.66521751718436</v>
      </c>
      <c r="AU84">
        <v>-63.978242506390863</v>
      </c>
      <c r="AV84"/>
      <c r="AW84"/>
      <c r="AX84" s="157" t="s">
        <v>111</v>
      </c>
      <c r="CJ84" s="157" t="s">
        <v>112</v>
      </c>
      <c r="FY84" s="212">
        <v>79</v>
      </c>
      <c r="FZ84">
        <v>41.583407612957586</v>
      </c>
      <c r="GA84">
        <v>118.6049020303859</v>
      </c>
      <c r="GB84">
        <v>70.077693483794249</v>
      </c>
      <c r="GC84">
        <v>18.202290790863252</v>
      </c>
      <c r="GD84">
        <v>9.7655876653499956</v>
      </c>
      <c r="GE84">
        <v>11.95865304831757</v>
      </c>
      <c r="GF84">
        <v>32.275547231854837</v>
      </c>
      <c r="GG84">
        <v>36.671583680105748</v>
      </c>
      <c r="GH84">
        <v>38.830333674463077</v>
      </c>
      <c r="GI84">
        <v>41.24338524672288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574.89581700654367</v>
      </c>
      <c r="AO85">
        <v>40.311907330293778</v>
      </c>
      <c r="AP85">
        <v>136.75311880229341</v>
      </c>
      <c r="AQ85">
        <v>281.77649226203772</v>
      </c>
      <c r="AR85">
        <v>40.116083773364259</v>
      </c>
      <c r="AS85">
        <v>334.26546672680297</v>
      </c>
      <c r="AT85">
        <v>22.242060583951261</v>
      </c>
      <c r="AU85">
        <v>-18.639845780849058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2">
        <v>80</v>
      </c>
      <c r="FZ85">
        <v>41.202727268896105</v>
      </c>
      <c r="GA85">
        <v>80.186358077713038</v>
      </c>
      <c r="GB85">
        <v>56.20172343939781</v>
      </c>
      <c r="GC85">
        <v>23.913083719196489</v>
      </c>
      <c r="GD85">
        <v>13.299998403946047</v>
      </c>
      <c r="GE85">
        <v>15.236320170364785</v>
      </c>
      <c r="GF85">
        <v>37.221191405157683</v>
      </c>
      <c r="GG85">
        <v>30.639373818892807</v>
      </c>
      <c r="GH85">
        <v>21.138514673611699</v>
      </c>
      <c r="GI85">
        <v>37.903412284428434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773.6785859646551</v>
      </c>
      <c r="AO86">
        <v>51.136200374593287</v>
      </c>
      <c r="AP86">
        <v>77.406308651872521</v>
      </c>
      <c r="AQ86">
        <v>359.2921168824592</v>
      </c>
      <c r="AR86">
        <v>50.668356758133086</v>
      </c>
      <c r="AS86">
        <v>428.24596527433908</v>
      </c>
      <c r="AT86">
        <v>26.622049915781176</v>
      </c>
      <c r="AU86">
        <v>-46.142031127607694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5" t="s">
        <v>123</v>
      </c>
      <c r="CX86" s="215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2">
        <v>81</v>
      </c>
      <c r="FZ86">
        <v>34.78022600172536</v>
      </c>
      <c r="GA86">
        <v>79.22207507040612</v>
      </c>
      <c r="GB86">
        <v>50.827516758280055</v>
      </c>
      <c r="GC86">
        <v>20.19098334973086</v>
      </c>
      <c r="GD86">
        <v>13.713477571945644</v>
      </c>
      <c r="GE86">
        <v>16.191885141874305</v>
      </c>
      <c r="GF86">
        <v>26.466690136264042</v>
      </c>
      <c r="GG86">
        <v>26.918560333119714</v>
      </c>
      <c r="GH86">
        <v>24.743021423009566</v>
      </c>
      <c r="GI86">
        <v>34.58655360459116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797.74995140374926</v>
      </c>
      <c r="AO87">
        <v>53.553260653266513</v>
      </c>
      <c r="AP87">
        <v>99.254342775229247</v>
      </c>
      <c r="AQ87">
        <v>374.04001514291036</v>
      </c>
      <c r="AR87">
        <v>51.716299245130998</v>
      </c>
      <c r="AS87">
        <v>448.95296539346577</v>
      </c>
      <c r="AT87">
        <v>27.01539466978242</v>
      </c>
      <c r="AU87">
        <v>-25.240223178727657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2">
        <v>82</v>
      </c>
      <c r="FZ87">
        <v>54.345446995348809</v>
      </c>
      <c r="GA87">
        <v>54.955890496041469</v>
      </c>
      <c r="GB87">
        <v>24.616088085827101</v>
      </c>
      <c r="GC87">
        <v>13.144229197166844</v>
      </c>
      <c r="GD87">
        <v>10.363505056185021</v>
      </c>
      <c r="GE87">
        <v>14.412220775288526</v>
      </c>
      <c r="GF87">
        <v>18.216372070550861</v>
      </c>
      <c r="GG87">
        <v>19.80521739292362</v>
      </c>
      <c r="GH87">
        <v>31.869729317671304</v>
      </c>
      <c r="GI87">
        <v>28.552340710725847</v>
      </c>
      <c r="GJ87"/>
      <c r="GK87"/>
      <c r="GL87"/>
      <c r="GM87"/>
    </row>
    <row r="88" spans="1:195" s="7" customFormat="1">
      <c r="A88" s="128"/>
      <c r="B88" s="76">
        <f ca="1">IF(C88="", "", RAND())</f>
        <v>7.7006934218968981E-2</v>
      </c>
      <c r="C88">
        <v>9</v>
      </c>
      <c r="D88">
        <v>39646</v>
      </c>
      <c r="E88">
        <v>0</v>
      </c>
      <c r="F88">
        <v>0</v>
      </c>
      <c r="G88">
        <v>10.416666666666666</v>
      </c>
      <c r="H88">
        <v>0</v>
      </c>
      <c r="I88">
        <v>0</v>
      </c>
      <c r="J88">
        <v>20.833333333333332</v>
      </c>
      <c r="K88">
        <v>20.833333333333332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579.69247655225183</v>
      </c>
      <c r="AO88">
        <v>44.964545017324099</v>
      </c>
      <c r="AP88">
        <v>36.599442517653685</v>
      </c>
      <c r="AQ88">
        <v>330.78099135613735</v>
      </c>
      <c r="AR88">
        <v>44.848487807504256</v>
      </c>
      <c r="AS88">
        <v>361.40216892668099</v>
      </c>
      <c r="AT88">
        <v>22.125962912117291</v>
      </c>
      <c r="AU88">
        <v>-43.335861746250075</v>
      </c>
      <c r="AV88"/>
      <c r="AW88"/>
      <c r="AX88" s="128"/>
      <c r="AY88" s="76">
        <f ca="1">IF(AZ88="", "", RAND())</f>
        <v>0.22294010647050388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5</v>
      </c>
      <c r="BF88">
        <v>7</v>
      </c>
      <c r="BG88">
        <v>5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0.97555939105590928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3</v>
      </c>
      <c r="CQ88">
        <v>1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0.53027111555728279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0</v>
      </c>
      <c r="DH88" s="161">
        <f t="shared" si="52"/>
        <v>62.5</v>
      </c>
      <c r="DI88" s="161">
        <f t="shared" si="52"/>
        <v>72.916666666666671</v>
      </c>
      <c r="DJ88" s="161">
        <f t="shared" si="52"/>
        <v>72.916666666666671</v>
      </c>
      <c r="DK88" s="161">
        <f t="shared" si="52"/>
        <v>52.083333333333336</v>
      </c>
      <c r="DL88" s="161">
        <f t="shared" si="52"/>
        <v>0</v>
      </c>
      <c r="DM88" s="161">
        <f t="shared" si="52"/>
        <v>0</v>
      </c>
      <c r="DN88" s="161">
        <f t="shared" ref="DN88:EJ88" si="53">IF($AZ88="", "", (BJ88*$CW88)/$CZ88)</f>
        <v>0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260.41666666666669</v>
      </c>
      <c r="EL88" s="149"/>
      <c r="EN88" s="146"/>
      <c r="EO88" s="146"/>
      <c r="EP88" s="139">
        <f t="shared" ref="EP88:EP119" si="55">IF(DF88="", "", DF88*G$36)</f>
        <v>0</v>
      </c>
      <c r="EQ88" s="139">
        <f t="shared" ref="EQ88:EQ119" si="56">IF(DG88="", "", DG88*H$36)</f>
        <v>0</v>
      </c>
      <c r="ER88" s="139">
        <f t="shared" ref="ER88:ER119" si="57">IF(DH88="", "", DH88*I$36)</f>
        <v>2.9170632430453187</v>
      </c>
      <c r="ES88" s="139">
        <f t="shared" ref="ES88:ES119" si="58">IF(DI88="", "", DI88*J$36)</f>
        <v>10.133377286810958</v>
      </c>
      <c r="ET88" s="139">
        <f t="shared" ref="ET88:ET119" si="59">IF(DJ88="", "", DJ88*K$36)</f>
        <v>21.976794785722326</v>
      </c>
      <c r="EU88" s="139">
        <f t="shared" ref="EU88:EU119" si="60">IF(DK88="", "", DK88*L$36)</f>
        <v>28.616806187753749</v>
      </c>
      <c r="EV88" s="139">
        <f t="shared" ref="EV88:EV119" si="61">IF(DL88="", "", DL88*M$36)</f>
        <v>0</v>
      </c>
      <c r="EW88" s="139">
        <f t="shared" ref="EW88:EW119" si="62">IF(DM88="", "", DM88*N$36)</f>
        <v>0</v>
      </c>
      <c r="EX88" s="139">
        <f t="shared" ref="EX88:EX119" si="63">IF(DN88="", "", DN88*O$36)</f>
        <v>0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63.64404150333236</v>
      </c>
      <c r="FV88" s="149"/>
      <c r="FY88" s="212">
        <v>83</v>
      </c>
      <c r="FZ88">
        <v>38.293008826296173</v>
      </c>
      <c r="GA88">
        <v>65.161851519226602</v>
      </c>
      <c r="GB88">
        <v>36.181251448369601</v>
      </c>
      <c r="GC88">
        <v>16.790649399211741</v>
      </c>
      <c r="GD88">
        <v>11.843664536824942</v>
      </c>
      <c r="GE88">
        <v>15.868385263706283</v>
      </c>
      <c r="GF88">
        <v>29.879242644968155</v>
      </c>
      <c r="GG88">
        <v>30.970293543922985</v>
      </c>
      <c r="GH88">
        <v>29.664762576574265</v>
      </c>
      <c r="GI88">
        <v>31.678843965460246</v>
      </c>
      <c r="GJ88"/>
      <c r="GK88"/>
      <c r="GL88"/>
      <c r="GM88"/>
    </row>
    <row r="89" spans="1:195" s="7" customFormat="1">
      <c r="A89" s="115"/>
      <c r="B89" s="76">
        <f ca="1">IF(C89="", "", RAND())</f>
        <v>0.39993465906625825</v>
      </c>
      <c r="C89">
        <v>6</v>
      </c>
      <c r="D89">
        <v>39646</v>
      </c>
      <c r="E89">
        <v>0</v>
      </c>
      <c r="F89">
        <v>0</v>
      </c>
      <c r="G89">
        <v>41.666666666666664</v>
      </c>
      <c r="H89">
        <v>20.833333333333332</v>
      </c>
      <c r="I89">
        <v>0</v>
      </c>
      <c r="J89">
        <v>20.833333333333332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638.48431699861908</v>
      </c>
      <c r="AO89">
        <v>46.025908891924786</v>
      </c>
      <c r="AP89">
        <v>55.112781074327366</v>
      </c>
      <c r="AQ89">
        <v>340.84395895797439</v>
      </c>
      <c r="AR89">
        <v>45.068507637901632</v>
      </c>
      <c r="AS89">
        <v>342.13062536137483</v>
      </c>
      <c r="AT89">
        <v>22.121015703496212</v>
      </c>
      <c r="AU89">
        <v>-56.976983295512703</v>
      </c>
      <c r="AV89"/>
      <c r="AW89"/>
      <c r="AX89" s="150"/>
      <c r="AY89" s="76">
        <f t="shared" ref="AY89:AY151" ca="1" si="87">IF(AZ89="", "", RAND())</f>
        <v>0.38785087073285496</v>
      </c>
      <c r="AZ89">
        <v>2</v>
      </c>
      <c r="BA89" s="129">
        <f t="shared" ref="BA89:BA97" si="88">IF(AZ89="", "",$C$4)</f>
        <v>39646</v>
      </c>
      <c r="BB89">
        <v>0</v>
      </c>
      <c r="BC89">
        <v>0</v>
      </c>
      <c r="BD89">
        <v>0</v>
      </c>
      <c r="BE89">
        <v>1</v>
      </c>
      <c r="BF89">
        <v>1</v>
      </c>
      <c r="BG89">
        <v>1</v>
      </c>
      <c r="BH89">
        <v>1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89">IF(AZ89="", "", RAND())</f>
        <v>0.14940265378120832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>
        <v>0</v>
      </c>
      <c r="CP89">
        <v>7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0.93259796394415151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145.83333333333334</v>
      </c>
      <c r="DI89" s="161">
        <f t="shared" ref="DI89:DI152" si="97">IF($AZ89="", "", ((BE89*$CW89)+(CQ89*$CX89))/$CZ89)</f>
        <v>10.416666666666666</v>
      </c>
      <c r="DJ89" s="161">
        <f t="shared" ref="DJ89:DJ152" si="98">IF($AZ89="", "", ((BF89*$CW89)+(CR89*$CX89))/$CZ89)</f>
        <v>10.416666666666666</v>
      </c>
      <c r="DK89" s="161">
        <f t="shared" ref="DK89:DK152" si="99">IF($AZ89="", "", ((BG89*$CW89)+(CS89*$CX89))/$CZ89)</f>
        <v>10.416666666666666</v>
      </c>
      <c r="DL89" s="161">
        <f t="shared" ref="DL89:DL152" si="100">IF($AZ89="", "", ((BH89*$CW89)+(CT89*$CX89))/$CZ89)</f>
        <v>10.416666666666666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187.49999999999997</v>
      </c>
      <c r="EL89" s="149"/>
      <c r="EN89" s="150"/>
      <c r="EO89" s="150"/>
      <c r="EP89" s="139">
        <f t="shared" si="55"/>
        <v>0</v>
      </c>
      <c r="EQ89" s="139">
        <f t="shared" si="56"/>
        <v>0</v>
      </c>
      <c r="ER89" s="139">
        <f t="shared" si="57"/>
        <v>6.8064809004390776</v>
      </c>
      <c r="ES89" s="139">
        <f t="shared" si="58"/>
        <v>1.4476253266872796</v>
      </c>
      <c r="ET89" s="139">
        <f t="shared" si="59"/>
        <v>3.1395421122460458</v>
      </c>
      <c r="EU89" s="139">
        <f t="shared" si="60"/>
        <v>5.7233612375507494</v>
      </c>
      <c r="EV89" s="139">
        <f t="shared" si="61"/>
        <v>9.3481977534582672</v>
      </c>
      <c r="EW89" s="139">
        <f t="shared" si="62"/>
        <v>0</v>
      </c>
      <c r="EX89" s="139">
        <f t="shared" si="63"/>
        <v>0</v>
      </c>
      <c r="EY89" s="139">
        <f t="shared" si="64"/>
        <v>0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0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26.465207330381418</v>
      </c>
      <c r="FV89" s="149"/>
      <c r="FY89" s="212">
        <v>84</v>
      </c>
      <c r="FZ89">
        <v>45.919711932777766</v>
      </c>
      <c r="GA89">
        <v>105.02901260516518</v>
      </c>
      <c r="GB89">
        <v>59.816175463108678</v>
      </c>
      <c r="GC89">
        <v>17.732977243516672</v>
      </c>
      <c r="GD89">
        <v>12.438253938223774</v>
      </c>
      <c r="GE89">
        <v>18.8189825548586</v>
      </c>
      <c r="GF89">
        <v>24.622489007929389</v>
      </c>
      <c r="GG89">
        <v>28.807814229440787</v>
      </c>
      <c r="GH89">
        <v>39.27412533026363</v>
      </c>
      <c r="GI89">
        <v>39.627621645127469</v>
      </c>
      <c r="GJ89"/>
      <c r="GK89"/>
      <c r="GL89"/>
      <c r="GM89"/>
    </row>
    <row r="90" spans="1:195" s="7" customFormat="1">
      <c r="A90" s="115"/>
      <c r="B90" s="76">
        <f ca="1">IF(C90="", "", RAND())</f>
        <v>0.64554841451365319</v>
      </c>
      <c r="C90">
        <v>8</v>
      </c>
      <c r="D90">
        <v>39646</v>
      </c>
      <c r="E90">
        <v>0</v>
      </c>
      <c r="F90">
        <v>0</v>
      </c>
      <c r="G90">
        <v>20.833333333333332</v>
      </c>
      <c r="H90">
        <v>52.083333333333336</v>
      </c>
      <c r="I90">
        <v>0</v>
      </c>
      <c r="J90">
        <v>10.416666666666666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678.7262392405803</v>
      </c>
      <c r="AO90">
        <v>44.014052971889825</v>
      </c>
      <c r="AP90">
        <v>43.125338676082343</v>
      </c>
      <c r="AQ90">
        <v>297.69296034543828</v>
      </c>
      <c r="AR90">
        <v>43.41428731454009</v>
      </c>
      <c r="AS90">
        <v>358.674505993867</v>
      </c>
      <c r="AT90">
        <v>22.123183097362944</v>
      </c>
      <c r="AU90">
        <v>-50.227417549363942</v>
      </c>
      <c r="AV90"/>
      <c r="AW90"/>
      <c r="AX90" s="150"/>
      <c r="AY90" s="76">
        <f t="shared" ca="1" si="87"/>
        <v>0.1637194972891054</v>
      </c>
      <c r="AZ90">
        <v>3</v>
      </c>
      <c r="BA90" s="129">
        <f t="shared" si="88"/>
        <v>39646</v>
      </c>
      <c r="BB90">
        <v>0</v>
      </c>
      <c r="BC90">
        <v>0</v>
      </c>
      <c r="BD90">
        <v>0</v>
      </c>
      <c r="BE90">
        <v>2</v>
      </c>
      <c r="BF90">
        <v>3</v>
      </c>
      <c r="BG90">
        <v>2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89"/>
        <v>0.79976260260519516</v>
      </c>
      <c r="CL90" s="179">
        <f t="shared" si="90"/>
        <v>3</v>
      </c>
      <c r="CM90" s="180">
        <f t="shared" si="91"/>
        <v>39646</v>
      </c>
      <c r="CN90">
        <v>0</v>
      </c>
      <c r="CO90">
        <v>9</v>
      </c>
      <c r="CP90">
        <v>8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0.48538806854327454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93.75</v>
      </c>
      <c r="DH90" s="161">
        <f t="shared" si="96"/>
        <v>83.333333333333329</v>
      </c>
      <c r="DI90" s="161">
        <f t="shared" si="97"/>
        <v>20.833333333333332</v>
      </c>
      <c r="DJ90" s="161">
        <f t="shared" si="98"/>
        <v>31.25</v>
      </c>
      <c r="DK90" s="161">
        <f t="shared" si="99"/>
        <v>20.833333333333332</v>
      </c>
      <c r="DL90" s="161">
        <f t="shared" si="100"/>
        <v>0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250</v>
      </c>
      <c r="EL90" s="149"/>
      <c r="EN90" s="150"/>
      <c r="EO90" s="150"/>
      <c r="EP90" s="139">
        <f t="shared" si="55"/>
        <v>0</v>
      </c>
      <c r="EQ90" s="139">
        <f t="shared" si="56"/>
        <v>0.67758750000000001</v>
      </c>
      <c r="ER90" s="139">
        <f t="shared" si="57"/>
        <v>3.889417657393758</v>
      </c>
      <c r="ES90" s="139">
        <f t="shared" si="58"/>
        <v>2.8952506533745592</v>
      </c>
      <c r="ET90" s="139">
        <f t="shared" si="59"/>
        <v>9.4186263367381393</v>
      </c>
      <c r="EU90" s="139">
        <f t="shared" si="60"/>
        <v>11.446722475101499</v>
      </c>
      <c r="EV90" s="139">
        <f t="shared" si="61"/>
        <v>0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28.327604622607954</v>
      </c>
      <c r="FV90" s="149"/>
      <c r="FY90" s="212">
        <v>85</v>
      </c>
      <c r="FZ90">
        <v>54.111207806337674</v>
      </c>
      <c r="GA90">
        <v>113.72406368695215</v>
      </c>
      <c r="GB90">
        <v>62.182405064201511</v>
      </c>
      <c r="GC90">
        <v>19.13605976593767</v>
      </c>
      <c r="GD90">
        <v>11.668567508851526</v>
      </c>
      <c r="GE90">
        <v>17.085615612359543</v>
      </c>
      <c r="GF90">
        <v>19.871842704575776</v>
      </c>
      <c r="GG90">
        <v>18.842365254463825</v>
      </c>
      <c r="GH90">
        <v>16.981635815631105</v>
      </c>
      <c r="GI90">
        <v>36.611481406458019</v>
      </c>
      <c r="GJ90"/>
      <c r="GK90"/>
      <c r="GL90"/>
      <c r="GM90"/>
    </row>
    <row r="91" spans="1:195" s="7" customFormat="1">
      <c r="A91" s="77"/>
      <c r="B91" s="76">
        <f ca="1">IF(C91="", "", RAND())</f>
        <v>0.18249093840583175</v>
      </c>
      <c r="C91">
        <v>2</v>
      </c>
      <c r="D91">
        <v>39646</v>
      </c>
      <c r="E91">
        <v>0</v>
      </c>
      <c r="F91">
        <v>0</v>
      </c>
      <c r="G91">
        <v>145.83333333333334</v>
      </c>
      <c r="H91">
        <v>10.416666666666666</v>
      </c>
      <c r="I91">
        <v>10.416666666666666</v>
      </c>
      <c r="J91">
        <v>10.416666666666666</v>
      </c>
      <c r="K91">
        <v>10.416666666666666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682.09993106777392</v>
      </c>
      <c r="AO91">
        <v>52.493351311960296</v>
      </c>
      <c r="AP91">
        <v>80.848178573108385</v>
      </c>
      <c r="AQ91">
        <v>376.79257761808532</v>
      </c>
      <c r="AR91">
        <v>49.946873002899871</v>
      </c>
      <c r="AS91">
        <v>393.65682038290703</v>
      </c>
      <c r="AT91">
        <v>24.406316784140799</v>
      </c>
      <c r="AU91">
        <v>-60.844677090480303</v>
      </c>
      <c r="AV91"/>
      <c r="AW91"/>
      <c r="AX91" s="151"/>
      <c r="AY91" s="76">
        <f t="shared" ca="1" si="87"/>
        <v>0.41369731497652817</v>
      </c>
      <c r="AZ91">
        <v>4</v>
      </c>
      <c r="BA91" s="129">
        <f t="shared" si="88"/>
        <v>39646</v>
      </c>
      <c r="BB91">
        <v>0</v>
      </c>
      <c r="BC91">
        <v>0</v>
      </c>
      <c r="BD91">
        <v>0</v>
      </c>
      <c r="BE91">
        <v>4</v>
      </c>
      <c r="BF91">
        <v>11</v>
      </c>
      <c r="BG91">
        <v>8</v>
      </c>
      <c r="BH91">
        <v>4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89"/>
        <v>0.79265428677161887</v>
      </c>
      <c r="CL91" s="179">
        <f t="shared" si="90"/>
        <v>4</v>
      </c>
      <c r="CM91" s="180">
        <f t="shared" si="91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0.14010731708371926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0</v>
      </c>
      <c r="DI91" s="161">
        <f t="shared" si="97"/>
        <v>41.666666666666664</v>
      </c>
      <c r="DJ91" s="161">
        <f t="shared" si="98"/>
        <v>114.58333333333333</v>
      </c>
      <c r="DK91" s="161">
        <f t="shared" si="99"/>
        <v>83.333333333333329</v>
      </c>
      <c r="DL91" s="161">
        <f t="shared" si="100"/>
        <v>41.666666666666664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281.25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0</v>
      </c>
      <c r="ES91" s="139">
        <f t="shared" si="58"/>
        <v>5.7905013067491184</v>
      </c>
      <c r="ET91" s="139">
        <f t="shared" si="59"/>
        <v>34.53496323470651</v>
      </c>
      <c r="EU91" s="139">
        <f t="shared" si="60"/>
        <v>45.786889900405995</v>
      </c>
      <c r="EV91" s="139">
        <f t="shared" si="61"/>
        <v>37.392791013833069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123.5051454556947</v>
      </c>
      <c r="FV91" s="149"/>
      <c r="FY91" s="212">
        <v>86</v>
      </c>
      <c r="FZ91">
        <v>35.74526537870527</v>
      </c>
      <c r="GA91">
        <v>101.64906350624467</v>
      </c>
      <c r="GB91">
        <v>56.589121397626428</v>
      </c>
      <c r="GC91">
        <v>14.737823710307278</v>
      </c>
      <c r="GD91">
        <v>8.5775981818899432</v>
      </c>
      <c r="GE91">
        <v>14.426138145129254</v>
      </c>
      <c r="GF91">
        <v>27.18341525342937</v>
      </c>
      <c r="GG91">
        <v>34.352978623212266</v>
      </c>
      <c r="GH91">
        <v>47.08726691310958</v>
      </c>
      <c r="GI91">
        <v>36.836352954650607</v>
      </c>
      <c r="GJ91"/>
      <c r="GK91"/>
      <c r="GL91"/>
      <c r="GM91"/>
    </row>
    <row r="92" spans="1:195" s="7" customFormat="1">
      <c r="A92" s="77"/>
      <c r="B92" s="76">
        <f ca="1">IF(C92="", "", RAND())</f>
        <v>0.82527133274375064</v>
      </c>
      <c r="C92">
        <v>7</v>
      </c>
      <c r="D92">
        <v>39646</v>
      </c>
      <c r="E92">
        <v>0</v>
      </c>
      <c r="F92">
        <v>0</v>
      </c>
      <c r="G92">
        <v>62.5</v>
      </c>
      <c r="H92">
        <v>41.666666666666664</v>
      </c>
      <c r="I92">
        <v>52.083333333333336</v>
      </c>
      <c r="J92">
        <v>0</v>
      </c>
      <c r="K92">
        <v>20.833333333333332</v>
      </c>
      <c r="L92">
        <v>10.416666666666666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687.70257730850381</v>
      </c>
      <c r="AO92">
        <v>49.798805539271328</v>
      </c>
      <c r="AP92">
        <v>67.160534330081219</v>
      </c>
      <c r="AQ92">
        <v>357.13144621028391</v>
      </c>
      <c r="AR92">
        <v>49.701708592034578</v>
      </c>
      <c r="AS92">
        <v>398.690977061848</v>
      </c>
      <c r="AT92">
        <v>24.411946225064202</v>
      </c>
      <c r="AU92">
        <v>-49.802609346055931</v>
      </c>
      <c r="AV92"/>
      <c r="AW92"/>
      <c r="AX92" s="151"/>
      <c r="AY92" s="76">
        <f t="shared" ca="1" si="87"/>
        <v>0.89974690070376973</v>
      </c>
      <c r="AZ92">
        <v>5</v>
      </c>
      <c r="BA92" s="129">
        <f t="shared" si="88"/>
        <v>39646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89"/>
        <v>0.29900154660574385</v>
      </c>
      <c r="CL92" s="179">
        <f t="shared" si="90"/>
        <v>5</v>
      </c>
      <c r="CM92" s="180">
        <f t="shared" si="91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0.48221533887654155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0</v>
      </c>
      <c r="DK92" s="161">
        <f t="shared" si="99"/>
        <v>0</v>
      </c>
      <c r="DL92" s="161">
        <f t="shared" si="100"/>
        <v>0</v>
      </c>
      <c r="DM92" s="161">
        <f t="shared" si="101"/>
        <v>0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0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</v>
      </c>
      <c r="EU92" s="139">
        <f t="shared" si="60"/>
        <v>0</v>
      </c>
      <c r="EV92" s="139">
        <f t="shared" si="61"/>
        <v>0</v>
      </c>
      <c r="EW92" s="139">
        <f t="shared" si="62"/>
        <v>0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0</v>
      </c>
      <c r="FV92" s="149"/>
      <c r="FY92" s="212">
        <v>87</v>
      </c>
      <c r="FZ92">
        <v>44.023070396911805</v>
      </c>
      <c r="GA92">
        <v>77.331905834014876</v>
      </c>
      <c r="GB92">
        <v>47.309670572206201</v>
      </c>
      <c r="GC92">
        <v>17.129104901261034</v>
      </c>
      <c r="GD92">
        <v>11.059492708399256</v>
      </c>
      <c r="GE92">
        <v>15.374614722544537</v>
      </c>
      <c r="GF92">
        <v>24.05638692924062</v>
      </c>
      <c r="GG92">
        <v>29.656426304332854</v>
      </c>
      <c r="GH92">
        <v>38.761193381159352</v>
      </c>
      <c r="GI92">
        <v>35.232663958383213</v>
      </c>
      <c r="GJ92"/>
      <c r="GK92"/>
      <c r="GL92"/>
      <c r="GM92"/>
    </row>
    <row r="93" spans="1:195" s="7" customFormat="1">
      <c r="A93" s="77"/>
      <c r="B93" s="76">
        <f ca="1">IF(C93="", "", RAND())</f>
        <v>0.70440382316037287</v>
      </c>
      <c r="C93">
        <v>4</v>
      </c>
      <c r="D93">
        <v>39646</v>
      </c>
      <c r="E93">
        <v>0</v>
      </c>
      <c r="F93">
        <v>0</v>
      </c>
      <c r="G93">
        <v>0</v>
      </c>
      <c r="H93">
        <v>41.666666666666664</v>
      </c>
      <c r="I93">
        <v>114.58333333333333</v>
      </c>
      <c r="J93">
        <v>83.333333333333329</v>
      </c>
      <c r="K93">
        <v>41.666666666666664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943.7811827353429</v>
      </c>
      <c r="AO93">
        <v>66.375855968735422</v>
      </c>
      <c r="AP93">
        <v>49.489006585662146</v>
      </c>
      <c r="AQ93">
        <v>477.02790620636284</v>
      </c>
      <c r="AR93">
        <v>63.569494052923858</v>
      </c>
      <c r="AS93">
        <v>496.24594741795534</v>
      </c>
      <c r="AT93">
        <v>29.855151491562143</v>
      </c>
      <c r="AU93">
        <v>-118.98354356038082</v>
      </c>
      <c r="AV93"/>
      <c r="AW93"/>
      <c r="AX93" s="151"/>
      <c r="AY93" s="76">
        <f t="shared" ca="1" si="87"/>
        <v>3.8169158200316744E-2</v>
      </c>
      <c r="AZ93">
        <v>6</v>
      </c>
      <c r="BA93" s="129">
        <f t="shared" si="88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2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89"/>
        <v>0.93320329862435347</v>
      </c>
      <c r="CL93" s="179">
        <f t="shared" si="90"/>
        <v>6</v>
      </c>
      <c r="CM93" s="180">
        <f t="shared" si="91"/>
        <v>39646</v>
      </c>
      <c r="CN93">
        <v>0</v>
      </c>
      <c r="CO93">
        <v>0</v>
      </c>
      <c r="CP93">
        <v>2</v>
      </c>
      <c r="CQ93">
        <v>1</v>
      </c>
      <c r="CR93">
        <v>0</v>
      </c>
      <c r="CS93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0.24011329361922029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41.666666666666664</v>
      </c>
      <c r="DI93" s="161">
        <f t="shared" si="97"/>
        <v>20.833333333333332</v>
      </c>
      <c r="DJ93" s="161">
        <f t="shared" si="98"/>
        <v>0</v>
      </c>
      <c r="DK93" s="161">
        <f t="shared" si="99"/>
        <v>20.833333333333332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83.333333333333329</v>
      </c>
      <c r="EL93" s="149"/>
      <c r="EN93" s="151"/>
      <c r="EO93" s="151"/>
      <c r="EP93" s="139">
        <f t="shared" si="55"/>
        <v>0</v>
      </c>
      <c r="EQ93" s="139">
        <f t="shared" si="56"/>
        <v>0</v>
      </c>
      <c r="ER93" s="139">
        <f t="shared" si="57"/>
        <v>1.944708828696879</v>
      </c>
      <c r="ES93" s="139">
        <f t="shared" si="58"/>
        <v>2.8952506533745592</v>
      </c>
      <c r="ET93" s="139">
        <f t="shared" si="59"/>
        <v>0</v>
      </c>
      <c r="EU93" s="139">
        <f t="shared" si="60"/>
        <v>11.446722475101499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16.286681957172938</v>
      </c>
      <c r="FV93" s="149"/>
      <c r="FY93" s="212">
        <v>88</v>
      </c>
      <c r="FZ93">
        <v>40.059937756589456</v>
      </c>
      <c r="GA93">
        <v>80.797169456874755</v>
      </c>
      <c r="GB93">
        <v>49.099163267072328</v>
      </c>
      <c r="GC93">
        <v>20.189312019617212</v>
      </c>
      <c r="GD93">
        <v>10.409664798413973</v>
      </c>
      <c r="GE93">
        <v>12.131381728962625</v>
      </c>
      <c r="GF93">
        <v>45.090274795282447</v>
      </c>
      <c r="GG93">
        <v>39.650080026635742</v>
      </c>
      <c r="GH93">
        <v>20.430626680352688</v>
      </c>
      <c r="GI93">
        <v>35.680864742990053</v>
      </c>
      <c r="GJ93"/>
      <c r="GK93"/>
      <c r="GL93"/>
      <c r="GM93"/>
    </row>
    <row r="94" spans="1:195" s="7" customFormat="1">
      <c r="A94" s="77"/>
      <c r="B94" s="76">
        <f ca="1">IF(C94="", "", RAND())</f>
        <v>0.12518870790234438</v>
      </c>
      <c r="C94">
        <v>10</v>
      </c>
      <c r="D94">
        <v>39646</v>
      </c>
      <c r="E94">
        <v>0</v>
      </c>
      <c r="F94">
        <v>20.833333333333332</v>
      </c>
      <c r="G94">
        <v>62.5</v>
      </c>
      <c r="H94">
        <v>72.916666666666671</v>
      </c>
      <c r="I94">
        <v>114.58333333333333</v>
      </c>
      <c r="J94">
        <v>83.333333333333329</v>
      </c>
      <c r="K94">
        <v>31.25</v>
      </c>
      <c r="L94">
        <v>10.416666666666666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792.89437547272632</v>
      </c>
      <c r="AO94">
        <v>55.519029769650068</v>
      </c>
      <c r="AP94">
        <v>73.188407085237458</v>
      </c>
      <c r="AQ94">
        <v>408.02436743798324</v>
      </c>
      <c r="AR94">
        <v>55.257594544923293</v>
      </c>
      <c r="AS94">
        <v>432.35582101916248</v>
      </c>
      <c r="AT94">
        <v>29.124250901220112</v>
      </c>
      <c r="AU94">
        <v>-46.89161786555421</v>
      </c>
      <c r="AV94"/>
      <c r="AW94"/>
      <c r="AX94" s="151"/>
      <c r="AY94" s="76">
        <f t="shared" ca="1" si="87"/>
        <v>0.45234867556399827</v>
      </c>
      <c r="AZ94">
        <v>7</v>
      </c>
      <c r="BA94" s="129">
        <f t="shared" si="88"/>
        <v>39646</v>
      </c>
      <c r="BB94">
        <v>0</v>
      </c>
      <c r="BC94">
        <v>0</v>
      </c>
      <c r="BD94">
        <v>0</v>
      </c>
      <c r="BE94">
        <v>2</v>
      </c>
      <c r="BF94">
        <v>5</v>
      </c>
      <c r="BG94">
        <v>0</v>
      </c>
      <c r="BH94">
        <v>2</v>
      </c>
      <c r="BI94">
        <v>1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89"/>
        <v>0.10197503377490857</v>
      </c>
      <c r="CL94" s="179">
        <f t="shared" si="90"/>
        <v>7</v>
      </c>
      <c r="CM94" s="180">
        <f t="shared" si="91"/>
        <v>39646</v>
      </c>
      <c r="CN94">
        <v>0</v>
      </c>
      <c r="CO94">
        <v>0</v>
      </c>
      <c r="CP94">
        <v>3</v>
      </c>
      <c r="CQ94">
        <v>1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0.70047462463850474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62.5</v>
      </c>
      <c r="DI94" s="161">
        <f t="shared" si="97"/>
        <v>41.666666666666664</v>
      </c>
      <c r="DJ94" s="161">
        <f t="shared" si="98"/>
        <v>52.083333333333336</v>
      </c>
      <c r="DK94" s="161">
        <f t="shared" si="99"/>
        <v>0</v>
      </c>
      <c r="DL94" s="161">
        <f t="shared" si="100"/>
        <v>20.833333333333332</v>
      </c>
      <c r="DM94" s="161">
        <f t="shared" si="101"/>
        <v>10.416666666666666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187.5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2.9170632430453187</v>
      </c>
      <c r="ES94" s="139">
        <f t="shared" si="58"/>
        <v>5.7905013067491184</v>
      </c>
      <c r="ET94" s="139">
        <f t="shared" si="59"/>
        <v>15.697710561230231</v>
      </c>
      <c r="EU94" s="139">
        <f t="shared" si="60"/>
        <v>0</v>
      </c>
      <c r="EV94" s="139">
        <f t="shared" si="61"/>
        <v>18.696395506916534</v>
      </c>
      <c r="EW94" s="139">
        <f t="shared" si="62"/>
        <v>14.154081822273552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57.255752440214756</v>
      </c>
      <c r="FV94" s="149"/>
      <c r="FY94" s="212">
        <v>89</v>
      </c>
      <c r="FZ94">
        <v>45.692829372844869</v>
      </c>
      <c r="GA94">
        <v>110.54312597496136</v>
      </c>
      <c r="GB94">
        <v>65.182243220041727</v>
      </c>
      <c r="GC94">
        <v>22.360392560992274</v>
      </c>
      <c r="GD94">
        <v>12.885041621627547</v>
      </c>
      <c r="GE94">
        <v>14.736488233070769</v>
      </c>
      <c r="GF94">
        <v>23.234799895816423</v>
      </c>
      <c r="GG94">
        <v>19.014713995514146</v>
      </c>
      <c r="GH94">
        <v>25.988238801005696</v>
      </c>
      <c r="GI94">
        <v>38.844430340382786</v>
      </c>
      <c r="GJ94"/>
      <c r="GK94"/>
      <c r="GL94"/>
      <c r="GM94"/>
    </row>
    <row r="95" spans="1:195" s="7" customFormat="1">
      <c r="A95" s="77"/>
      <c r="B95" s="76">
        <f ca="1">IF(C95="", "", RAND())</f>
        <v>0.15730937431793768</v>
      </c>
      <c r="C95">
        <v>1</v>
      </c>
      <c r="D95">
        <v>39646</v>
      </c>
      <c r="E95">
        <v>0</v>
      </c>
      <c r="F95">
        <v>0</v>
      </c>
      <c r="G95">
        <v>62.5</v>
      </c>
      <c r="H95">
        <v>72.916666666666671</v>
      </c>
      <c r="I95">
        <v>72.916666666666671</v>
      </c>
      <c r="J95">
        <v>52.083333333333336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837.93896378277555</v>
      </c>
      <c r="AO95">
        <v>57.316466568810441</v>
      </c>
      <c r="AP95">
        <v>85.031908171180532</v>
      </c>
      <c r="AQ95">
        <v>419.21338446481508</v>
      </c>
      <c r="AR95">
        <v>56.661162930619462</v>
      </c>
      <c r="AS95">
        <v>469.05345302096572</v>
      </c>
      <c r="AT95">
        <v>28.285831966402537</v>
      </c>
      <c r="AU95">
        <v>-100.50172571987108</v>
      </c>
      <c r="AV95"/>
      <c r="AW95"/>
      <c r="AX95" s="151"/>
      <c r="AY95" s="76">
        <f t="shared" ca="1" si="87"/>
        <v>0.22820228472175974</v>
      </c>
      <c r="AZ95">
        <v>8</v>
      </c>
      <c r="BA95" s="129">
        <f t="shared" si="88"/>
        <v>39646</v>
      </c>
      <c r="BB95">
        <v>0</v>
      </c>
      <c r="BC95">
        <v>0</v>
      </c>
      <c r="BD95">
        <v>0</v>
      </c>
      <c r="BE95">
        <v>3</v>
      </c>
      <c r="BF95">
        <v>0</v>
      </c>
      <c r="BG95">
        <v>1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89"/>
        <v>0.61273593380348768</v>
      </c>
      <c r="CL95" s="179">
        <f t="shared" si="90"/>
        <v>8</v>
      </c>
      <c r="CM95" s="180">
        <f t="shared" si="91"/>
        <v>39646</v>
      </c>
      <c r="CN95">
        <v>0</v>
      </c>
      <c r="CO95">
        <v>0</v>
      </c>
      <c r="CP95">
        <v>1</v>
      </c>
      <c r="CQ95">
        <v>1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0.64487131565492417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0</v>
      </c>
      <c r="DH95" s="161">
        <f t="shared" si="96"/>
        <v>20.833333333333332</v>
      </c>
      <c r="DI95" s="161">
        <f t="shared" si="97"/>
        <v>52.083333333333336</v>
      </c>
      <c r="DJ95" s="161">
        <f t="shared" si="98"/>
        <v>0</v>
      </c>
      <c r="DK95" s="161">
        <f t="shared" si="99"/>
        <v>10.416666666666666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83.333333333333343</v>
      </c>
      <c r="EL95" s="149"/>
      <c r="EN95" s="151"/>
      <c r="EO95" s="151"/>
      <c r="EP95" s="139">
        <f t="shared" si="55"/>
        <v>0</v>
      </c>
      <c r="EQ95" s="139">
        <f t="shared" si="56"/>
        <v>0</v>
      </c>
      <c r="ER95" s="139">
        <f t="shared" si="57"/>
        <v>0.9723544143484395</v>
      </c>
      <c r="ES95" s="139">
        <f t="shared" si="58"/>
        <v>7.2381266334363996</v>
      </c>
      <c r="ET95" s="139">
        <f t="shared" si="59"/>
        <v>0</v>
      </c>
      <c r="EU95" s="139">
        <f t="shared" si="60"/>
        <v>5.7233612375507494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13.933842285335588</v>
      </c>
      <c r="FV95" s="149"/>
      <c r="FY95" s="212">
        <v>90</v>
      </c>
      <c r="FZ95">
        <v>41.375313452029239</v>
      </c>
      <c r="GA95">
        <v>129.20387479362168</v>
      </c>
      <c r="GB95">
        <v>68.43852945652273</v>
      </c>
      <c r="GC95">
        <v>17.69667062826597</v>
      </c>
      <c r="GD95">
        <v>10.837109932885733</v>
      </c>
      <c r="GE95">
        <v>12.477632539237804</v>
      </c>
      <c r="GF95">
        <v>31.912499705271163</v>
      </c>
      <c r="GG95">
        <v>39.623218961677843</v>
      </c>
      <c r="GH95">
        <v>34.427197471169116</v>
      </c>
      <c r="GI95">
        <v>40.819936005280184</v>
      </c>
      <c r="GJ95"/>
      <c r="GK95"/>
      <c r="GL95"/>
      <c r="GM95"/>
    </row>
    <row r="96" spans="1:195" s="7" customFormat="1">
      <c r="A96" s="77"/>
      <c r="B96" s="76">
        <f ca="1">IF(C96="", "", RAND())</f>
        <v>0.41616018722536996</v>
      </c>
      <c r="C96">
        <v>3</v>
      </c>
      <c r="D96">
        <v>39646</v>
      </c>
      <c r="E96">
        <v>0</v>
      </c>
      <c r="F96">
        <v>93.75</v>
      </c>
      <c r="G96">
        <v>83.333333333333329</v>
      </c>
      <c r="H96">
        <v>20.833333333333332</v>
      </c>
      <c r="I96">
        <v>31.25</v>
      </c>
      <c r="J96">
        <v>20.833333333333332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812.68303766555687</v>
      </c>
      <c r="AO96">
        <v>52.715648251198331</v>
      </c>
      <c r="AP96">
        <v>94.4231702565815</v>
      </c>
      <c r="AQ96">
        <v>356.94270326160495</v>
      </c>
      <c r="AR96">
        <v>52.042764592235187</v>
      </c>
      <c r="AS96">
        <v>431.70685817705066</v>
      </c>
      <c r="AT96">
        <v>26.763650179486049</v>
      </c>
      <c r="AU96">
        <v>-16.652776331224871</v>
      </c>
      <c r="AV96"/>
      <c r="AW96"/>
      <c r="AX96" s="151"/>
      <c r="AY96" s="76">
        <f t="shared" ca="1" si="87"/>
        <v>0.87685017157054568</v>
      </c>
      <c r="AZ96">
        <v>9</v>
      </c>
      <c r="BA96" s="129">
        <f t="shared" si="88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2</v>
      </c>
      <c r="BH96">
        <v>2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89"/>
        <v>0.31610702805150126</v>
      </c>
      <c r="CL96" s="179">
        <f t="shared" si="90"/>
        <v>9</v>
      </c>
      <c r="CM96" s="180">
        <f t="shared" si="91"/>
        <v>39646</v>
      </c>
      <c r="CN96">
        <v>0</v>
      </c>
      <c r="CO96">
        <v>0</v>
      </c>
      <c r="CP96">
        <v>1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0.76781316977172143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0</v>
      </c>
      <c r="DH96" s="161">
        <f t="shared" si="96"/>
        <v>10.416666666666666</v>
      </c>
      <c r="DI96" s="161">
        <f t="shared" si="97"/>
        <v>0</v>
      </c>
      <c r="DJ96" s="161">
        <f t="shared" si="98"/>
        <v>0</v>
      </c>
      <c r="DK96" s="161">
        <f t="shared" si="99"/>
        <v>20.833333333333332</v>
      </c>
      <c r="DL96" s="161">
        <f t="shared" si="100"/>
        <v>20.833333333333332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52.083333333333329</v>
      </c>
      <c r="EL96" s="149"/>
      <c r="EN96" s="151"/>
      <c r="EO96" s="151"/>
      <c r="EP96" s="139">
        <f t="shared" si="55"/>
        <v>0</v>
      </c>
      <c r="EQ96" s="139">
        <f t="shared" si="56"/>
        <v>0</v>
      </c>
      <c r="ER96" s="139">
        <f t="shared" si="57"/>
        <v>0.48617720717421975</v>
      </c>
      <c r="ES96" s="139">
        <f t="shared" si="58"/>
        <v>0</v>
      </c>
      <c r="ET96" s="139">
        <f t="shared" si="59"/>
        <v>0</v>
      </c>
      <c r="EU96" s="139">
        <f t="shared" si="60"/>
        <v>11.446722475101499</v>
      </c>
      <c r="EV96" s="139">
        <f t="shared" si="61"/>
        <v>18.696395506916534</v>
      </c>
      <c r="EW96" s="139">
        <f t="shared" si="62"/>
        <v>0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30.629295189192256</v>
      </c>
      <c r="FV96" s="149"/>
      <c r="FY96" s="212">
        <v>91</v>
      </c>
      <c r="FZ96">
        <v>38.030567737362311</v>
      </c>
      <c r="GA96">
        <v>113.85044443254365</v>
      </c>
      <c r="GB96">
        <v>61.475912135325856</v>
      </c>
      <c r="GC96">
        <v>16.952867590380791</v>
      </c>
      <c r="GD96">
        <v>10.096813504115678</v>
      </c>
      <c r="GE96">
        <v>12.040068704591944</v>
      </c>
      <c r="GF96">
        <v>32.736381298109407</v>
      </c>
      <c r="GG96">
        <v>35.109434026540484</v>
      </c>
      <c r="GH96">
        <v>31.591890265884057</v>
      </c>
      <c r="GI96">
        <v>37.868267673488951</v>
      </c>
      <c r="GJ96"/>
      <c r="GK96"/>
      <c r="GL96"/>
      <c r="GM96"/>
    </row>
    <row r="97" spans="1:195" s="7" customFormat="1">
      <c r="A97" s="77"/>
      <c r="B97" s="76">
        <f ca="1">IF(C97="", "", RAND())</f>
        <v>0.5735208086055732</v>
      </c>
      <c r="C97">
        <v>5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740.59544098164156</v>
      </c>
      <c r="AO97">
        <v>48.691997841175962</v>
      </c>
      <c r="AP97">
        <v>46.747357217063922</v>
      </c>
      <c r="AQ97">
        <v>327.64098939094686</v>
      </c>
      <c r="AR97">
        <v>47.656389946393425</v>
      </c>
      <c r="AS97">
        <v>375.94263848573974</v>
      </c>
      <c r="AT97">
        <v>23.79566657981545</v>
      </c>
      <c r="AU97">
        <v>-37.623533057397282</v>
      </c>
      <c r="AV97"/>
      <c r="AW97"/>
      <c r="AX97" s="151"/>
      <c r="AY97" s="76">
        <f t="shared" ca="1" si="87"/>
        <v>0.23300537547482492</v>
      </c>
      <c r="AZ97">
        <v>10</v>
      </c>
      <c r="BA97" s="129">
        <f t="shared" si="88"/>
        <v>39646</v>
      </c>
      <c r="BB97">
        <v>0</v>
      </c>
      <c r="BC97">
        <v>0</v>
      </c>
      <c r="BD97">
        <v>2</v>
      </c>
      <c r="BE97">
        <v>7</v>
      </c>
      <c r="BF97">
        <v>11</v>
      </c>
      <c r="BG97">
        <v>8</v>
      </c>
      <c r="BH97">
        <v>3</v>
      </c>
      <c r="BI97">
        <v>1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89"/>
        <v>0.37537989204358269</v>
      </c>
      <c r="CL97" s="179">
        <f t="shared" si="90"/>
        <v>10</v>
      </c>
      <c r="CM97" s="180">
        <f t="shared" si="91"/>
        <v>39646</v>
      </c>
      <c r="CN97">
        <v>0</v>
      </c>
      <c r="CO97">
        <v>1</v>
      </c>
      <c r="CP97">
        <v>2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0.96704444486476238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20.833333333333332</v>
      </c>
      <c r="DH97" s="161">
        <f t="shared" si="96"/>
        <v>62.5</v>
      </c>
      <c r="DI97" s="161">
        <f t="shared" si="97"/>
        <v>72.916666666666671</v>
      </c>
      <c r="DJ97" s="161">
        <f t="shared" si="98"/>
        <v>114.58333333333333</v>
      </c>
      <c r="DK97" s="161">
        <f t="shared" si="99"/>
        <v>83.333333333333329</v>
      </c>
      <c r="DL97" s="161">
        <f t="shared" si="100"/>
        <v>31.25</v>
      </c>
      <c r="DM97" s="161">
        <f t="shared" si="101"/>
        <v>10.416666666666666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395.83333333333331</v>
      </c>
      <c r="EL97" s="149"/>
      <c r="EN97" s="151"/>
      <c r="EO97" s="151"/>
      <c r="EP97" s="139">
        <f t="shared" si="55"/>
        <v>0</v>
      </c>
      <c r="EQ97" s="139">
        <f t="shared" si="56"/>
        <v>0.15057499999999999</v>
      </c>
      <c r="ER97" s="139">
        <f t="shared" si="57"/>
        <v>2.9170632430453187</v>
      </c>
      <c r="ES97" s="139">
        <f t="shared" si="58"/>
        <v>10.133377286810958</v>
      </c>
      <c r="ET97" s="139">
        <f t="shared" si="59"/>
        <v>34.53496323470651</v>
      </c>
      <c r="EU97" s="139">
        <f t="shared" si="60"/>
        <v>45.786889900405995</v>
      </c>
      <c r="EV97" s="139">
        <f t="shared" si="61"/>
        <v>28.0445932603748</v>
      </c>
      <c r="EW97" s="139">
        <f t="shared" si="62"/>
        <v>14.154081822273552</v>
      </c>
      <c r="EX97" s="139">
        <f t="shared" si="63"/>
        <v>0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135.72154374761712</v>
      </c>
      <c r="FV97" s="149"/>
      <c r="FY97" s="212">
        <v>92</v>
      </c>
      <c r="FZ97">
        <v>37.83226663819589</v>
      </c>
      <c r="GA97">
        <v>69.154830049712089</v>
      </c>
      <c r="GB97">
        <v>39.666307593078734</v>
      </c>
      <c r="GC97">
        <v>19.253871719544332</v>
      </c>
      <c r="GD97">
        <v>12.255573788270842</v>
      </c>
      <c r="GE97">
        <v>15.038937506819128</v>
      </c>
      <c r="GF97">
        <v>13.286946699427297</v>
      </c>
      <c r="GG97">
        <v>15.049667754659348</v>
      </c>
      <c r="GH97">
        <v>26.366363275668181</v>
      </c>
      <c r="GI97">
        <v>29.154277061152662</v>
      </c>
      <c r="GJ97"/>
      <c r="GK97"/>
      <c r="GL97"/>
      <c r="GM97"/>
    </row>
    <row r="98" spans="1:195" s="7" customFormat="1">
      <c r="A98" s="128"/>
      <c r="B98" s="76">
        <f ca="1">IF(C98="", "", RAND())</f>
        <v>9.8684202631225126E-2</v>
      </c>
      <c r="C98">
        <v>1</v>
      </c>
      <c r="D98">
        <v>39673</v>
      </c>
      <c r="E98">
        <v>0</v>
      </c>
      <c r="F98">
        <v>0</v>
      </c>
      <c r="G98">
        <v>20.833333333333332</v>
      </c>
      <c r="H98">
        <v>72.916666666666671</v>
      </c>
      <c r="I98">
        <v>156.25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612.49527191260972</v>
      </c>
      <c r="AO98">
        <v>37.975139196857256</v>
      </c>
      <c r="AP98">
        <v>146.59114364123329</v>
      </c>
      <c r="AQ98">
        <v>270.28104009772943</v>
      </c>
      <c r="AR98">
        <v>39.335732799878969</v>
      </c>
      <c r="AS98">
        <v>316.25329601579926</v>
      </c>
      <c r="AT98">
        <v>21.876554856314367</v>
      </c>
      <c r="AU98">
        <v>-172.15769175778331</v>
      </c>
      <c r="AV98"/>
      <c r="AW98"/>
      <c r="AX98" s="128"/>
      <c r="AY98" s="76">
        <f t="shared" ca="1" si="87"/>
        <v>0.18616613513884595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2</v>
      </c>
      <c r="BE98">
        <v>7</v>
      </c>
      <c r="BF98">
        <v>15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89"/>
        <v>0.26389144976742007</v>
      </c>
      <c r="CL98" s="179">
        <f t="shared" si="90"/>
        <v>1</v>
      </c>
      <c r="CM98" s="180">
        <f t="shared" si="91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0.55254172456595496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20.833333333333332</v>
      </c>
      <c r="DI98" s="161">
        <f t="shared" si="97"/>
        <v>72.916666666666671</v>
      </c>
      <c r="DJ98" s="161">
        <f t="shared" si="98"/>
        <v>156.25</v>
      </c>
      <c r="DK98" s="161">
        <f t="shared" si="99"/>
        <v>0</v>
      </c>
      <c r="DL98" s="161">
        <f t="shared" si="100"/>
        <v>0</v>
      </c>
      <c r="DM98" s="161">
        <f t="shared" si="101"/>
        <v>0</v>
      </c>
      <c r="DN98" s="161">
        <f t="shared" si="102"/>
        <v>0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250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0.9723544143484395</v>
      </c>
      <c r="ES98" s="139">
        <f t="shared" si="58"/>
        <v>10.133377286810958</v>
      </c>
      <c r="ET98" s="139">
        <f t="shared" si="59"/>
        <v>47.093131683690693</v>
      </c>
      <c r="EU98" s="139">
        <f t="shared" si="60"/>
        <v>0</v>
      </c>
      <c r="EV98" s="139">
        <f t="shared" si="61"/>
        <v>0</v>
      </c>
      <c r="EW98" s="139">
        <f t="shared" si="62"/>
        <v>0</v>
      </c>
      <c r="EX98" s="139">
        <f t="shared" si="63"/>
        <v>0</v>
      </c>
      <c r="EY98" s="139">
        <f t="shared" si="64"/>
        <v>0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58.198863384850092</v>
      </c>
      <c r="FV98" s="149"/>
      <c r="FY98" s="212">
        <v>93</v>
      </c>
      <c r="FZ98">
        <v>43.309677310216003</v>
      </c>
      <c r="GA98">
        <v>100.2552461069556</v>
      </c>
      <c r="GB98">
        <v>57.732565930722572</v>
      </c>
      <c r="GC98">
        <v>22.097447732681154</v>
      </c>
      <c r="GD98">
        <v>11.71555876590997</v>
      </c>
      <c r="GE98">
        <v>13.280269169273611</v>
      </c>
      <c r="GF98">
        <v>27.15199334103286</v>
      </c>
      <c r="GG98">
        <v>24.276330548330765</v>
      </c>
      <c r="GH98">
        <v>23.292789280922843</v>
      </c>
      <c r="GI98">
        <v>36.22590315854184</v>
      </c>
      <c r="GJ98"/>
      <c r="GK98"/>
      <c r="GL98"/>
      <c r="GM98"/>
    </row>
    <row r="99" spans="1:195" s="7" customFormat="1">
      <c r="A99" s="1"/>
      <c r="B99" s="76">
        <f ca="1">IF(C99="", "", RAND())</f>
        <v>0.17233397258652072</v>
      </c>
      <c r="C99">
        <v>5</v>
      </c>
      <c r="D99">
        <v>39673</v>
      </c>
      <c r="E99">
        <v>0</v>
      </c>
      <c r="F99">
        <v>0</v>
      </c>
      <c r="G99">
        <v>0</v>
      </c>
      <c r="H99">
        <v>20.833333333333332</v>
      </c>
      <c r="I99">
        <v>52.083333333333336</v>
      </c>
      <c r="J99">
        <v>10.416666666666666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702.56298947249957</v>
      </c>
      <c r="AO99">
        <v>44.442841173627251</v>
      </c>
      <c r="AP99">
        <v>83.615888773057961</v>
      </c>
      <c r="AQ99">
        <v>306.331953724561</v>
      </c>
      <c r="AR99">
        <v>43.607469863061489</v>
      </c>
      <c r="AS99">
        <v>365.88049471181677</v>
      </c>
      <c r="AT99">
        <v>23.074747832511637</v>
      </c>
      <c r="AU99">
        <v>-20.806647522806792</v>
      </c>
      <c r="AV99"/>
      <c r="AW99"/>
      <c r="AX99" s="146"/>
      <c r="AY99" s="76">
        <f t="shared" ca="1" si="87"/>
        <v>0.5166031114176477</v>
      </c>
      <c r="AZ99">
        <v>2</v>
      </c>
      <c r="BA99" s="129">
        <f t="shared" ref="BA99:BA107" si="126">IF(AZ99="", "",$C$5)</f>
        <v>39673</v>
      </c>
      <c r="BB99">
        <v>0</v>
      </c>
      <c r="BC99">
        <v>0</v>
      </c>
      <c r="BD99">
        <v>0</v>
      </c>
      <c r="BE99">
        <v>0</v>
      </c>
      <c r="BF99">
        <v>1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89"/>
        <v>0.33686473913685089</v>
      </c>
      <c r="CL99" s="179">
        <f t="shared" si="90"/>
        <v>2</v>
      </c>
      <c r="CM99" s="180">
        <f t="shared" si="91"/>
        <v>39673</v>
      </c>
      <c r="CN99">
        <v>0</v>
      </c>
      <c r="CO99">
        <v>0</v>
      </c>
      <c r="CP99">
        <v>0</v>
      </c>
      <c r="CQ99">
        <v>2</v>
      </c>
      <c r="CR99">
        <v>1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0.17200620173989734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0</v>
      </c>
      <c r="DI99" s="161">
        <f t="shared" si="97"/>
        <v>125</v>
      </c>
      <c r="DJ99" s="161">
        <f t="shared" si="98"/>
        <v>72.916666666666671</v>
      </c>
      <c r="DK99" s="161">
        <f t="shared" si="99"/>
        <v>0</v>
      </c>
      <c r="DL99" s="161">
        <f t="shared" si="100"/>
        <v>0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197.91666666666669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0</v>
      </c>
      <c r="ES99" s="139">
        <f t="shared" si="58"/>
        <v>17.371503920247356</v>
      </c>
      <c r="ET99" s="139">
        <f t="shared" si="59"/>
        <v>21.976794785722326</v>
      </c>
      <c r="EU99" s="139">
        <f t="shared" si="60"/>
        <v>0</v>
      </c>
      <c r="EV99" s="139">
        <f t="shared" si="61"/>
        <v>0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39.348298705969682</v>
      </c>
      <c r="FV99" s="149"/>
      <c r="FY99" s="212">
        <v>94</v>
      </c>
      <c r="FZ99">
        <v>44.439251748900404</v>
      </c>
      <c r="GA99">
        <v>74.501993790029317</v>
      </c>
      <c r="GB99">
        <v>42.872458678416571</v>
      </c>
      <c r="GC99">
        <v>16.385056571095308</v>
      </c>
      <c r="GD99">
        <v>10.477706495714258</v>
      </c>
      <c r="GE99">
        <v>12.231447635659743</v>
      </c>
      <c r="GF99">
        <v>24.2723440893642</v>
      </c>
      <c r="GG99">
        <v>22.404863221164547</v>
      </c>
      <c r="GH99">
        <v>18.970776185607139</v>
      </c>
      <c r="GI99">
        <v>30.835538638215411</v>
      </c>
      <c r="GJ99"/>
      <c r="GK99"/>
      <c r="GL99"/>
      <c r="GM99"/>
    </row>
    <row r="100" spans="1:195" s="7" customFormat="1">
      <c r="A100" s="1"/>
      <c r="B100" s="76">
        <f ca="1">IF(C100="", "", RAND())</f>
        <v>0.7994405716737818</v>
      </c>
      <c r="C100">
        <v>3</v>
      </c>
      <c r="D100">
        <v>39673</v>
      </c>
      <c r="E100">
        <v>0</v>
      </c>
      <c r="F100">
        <v>71.486928104575156</v>
      </c>
      <c r="G100">
        <v>142.97385620915031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798.17796712663176</v>
      </c>
      <c r="AO100">
        <v>54.959570206012849</v>
      </c>
      <c r="AP100">
        <v>67.832164084723502</v>
      </c>
      <c r="AQ100">
        <v>392.08716395041199</v>
      </c>
      <c r="AR100">
        <v>54.485810960126912</v>
      </c>
      <c r="AS100">
        <v>453.23265649547034</v>
      </c>
      <c r="AT100">
        <v>28.265134917883142</v>
      </c>
      <c r="AU100">
        <v>-80.671805803041565</v>
      </c>
      <c r="AV100"/>
      <c r="AW100"/>
      <c r="AX100" s="146"/>
      <c r="AY100" s="76">
        <f t="shared" ca="1" si="87"/>
        <v>0.80787059266235239</v>
      </c>
      <c r="AZ100">
        <v>3</v>
      </c>
      <c r="BA100" s="129">
        <f t="shared" si="126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89"/>
        <v>0.44475242577721641</v>
      </c>
      <c r="CL100" s="179">
        <f t="shared" si="90"/>
        <v>3</v>
      </c>
      <c r="CM100" s="180">
        <f t="shared" si="91"/>
        <v>39673</v>
      </c>
      <c r="CN100">
        <v>0</v>
      </c>
      <c r="CO100">
        <v>1</v>
      </c>
      <c r="CP100">
        <v>2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1.7092191338748508E-2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71.486928104575156</v>
      </c>
      <c r="DH100" s="161">
        <f t="shared" si="96"/>
        <v>142.97385620915031</v>
      </c>
      <c r="DI100" s="161">
        <f t="shared" si="97"/>
        <v>0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0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214.46078431372547</v>
      </c>
      <c r="EL100" s="149"/>
      <c r="EN100" s="146"/>
      <c r="EO100" s="146"/>
      <c r="EP100" s="139">
        <f t="shared" si="55"/>
        <v>0</v>
      </c>
      <c r="EQ100" s="139">
        <f t="shared" si="56"/>
        <v>0.51667892156862738</v>
      </c>
      <c r="ER100" s="139">
        <f t="shared" si="57"/>
        <v>6.6730204906265458</v>
      </c>
      <c r="ES100" s="139">
        <f t="shared" si="58"/>
        <v>0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0</v>
      </c>
      <c r="EX100" s="139">
        <f t="shared" si="63"/>
        <v>0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0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7.1896994121951732</v>
      </c>
      <c r="FV100" s="149"/>
      <c r="FY100" s="212">
        <v>95</v>
      </c>
      <c r="FZ100">
        <v>38.788581975300872</v>
      </c>
      <c r="GA100">
        <v>66.921045912018954</v>
      </c>
      <c r="GB100">
        <v>36.321993454374706</v>
      </c>
      <c r="GC100">
        <v>16.814882197381596</v>
      </c>
      <c r="GD100">
        <v>13.109003404123163</v>
      </c>
      <c r="GE100">
        <v>13.861287101559665</v>
      </c>
      <c r="GF100">
        <v>8.6232355578041755</v>
      </c>
      <c r="GG100">
        <v>20.902908785701896</v>
      </c>
      <c r="GH100">
        <v>31.307425873555957</v>
      </c>
      <c r="GI100">
        <v>28.836112284570508</v>
      </c>
      <c r="GJ100"/>
      <c r="GK100"/>
      <c r="GL100"/>
      <c r="GM100"/>
    </row>
    <row r="101" spans="1:195" s="7" customFormat="1">
      <c r="A101" s="1"/>
      <c r="B101" s="76">
        <f ca="1">IF(C101="", "", RAND())</f>
        <v>0.77332562999965049</v>
      </c>
      <c r="C101">
        <v>7</v>
      </c>
      <c r="D101">
        <v>39673</v>
      </c>
      <c r="E101">
        <v>0</v>
      </c>
      <c r="F101">
        <v>10.416666666666666</v>
      </c>
      <c r="G101">
        <v>0</v>
      </c>
      <c r="H101">
        <v>62.5</v>
      </c>
      <c r="I101">
        <v>41.666666666666664</v>
      </c>
      <c r="J101">
        <v>20.833333333333332</v>
      </c>
      <c r="K101">
        <v>10.416666666666666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757.18613229909465</v>
      </c>
      <c r="AO101">
        <v>52.013054425149093</v>
      </c>
      <c r="AP101">
        <v>50.195568288842772</v>
      </c>
      <c r="AQ101">
        <v>370.21524462576878</v>
      </c>
      <c r="AR101">
        <v>50.495010102053698</v>
      </c>
      <c r="AS101">
        <v>396.98763861940773</v>
      </c>
      <c r="AT101">
        <v>25.644332646408596</v>
      </c>
      <c r="AU101">
        <v>-83.139424646485509</v>
      </c>
      <c r="AV101"/>
      <c r="AW101"/>
      <c r="AX101" s="146"/>
      <c r="AY101" s="76">
        <f t="shared" ca="1" si="87"/>
        <v>4.425464168691029E-2</v>
      </c>
      <c r="AZ101">
        <v>4</v>
      </c>
      <c r="BA101" s="129">
        <f t="shared" si="126"/>
        <v>39673</v>
      </c>
      <c r="BB101">
        <v>0</v>
      </c>
      <c r="BC101">
        <v>0</v>
      </c>
      <c r="BD101">
        <v>0</v>
      </c>
      <c r="BE101">
        <v>2</v>
      </c>
      <c r="BF101">
        <v>2</v>
      </c>
      <c r="BG101">
        <v>2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89"/>
        <v>0.21555173286576079</v>
      </c>
      <c r="CL101" s="179">
        <f t="shared" si="90"/>
        <v>4</v>
      </c>
      <c r="CM101" s="180">
        <f t="shared" si="91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0.28432619894530831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0</v>
      </c>
      <c r="DI101" s="161">
        <f t="shared" si="97"/>
        <v>20.833333333333332</v>
      </c>
      <c r="DJ101" s="161">
        <f t="shared" si="98"/>
        <v>20.833333333333332</v>
      </c>
      <c r="DK101" s="161">
        <f t="shared" si="99"/>
        <v>20.833333333333332</v>
      </c>
      <c r="DL101" s="161">
        <f t="shared" si="100"/>
        <v>0</v>
      </c>
      <c r="DM101" s="161">
        <f t="shared" si="101"/>
        <v>0</v>
      </c>
      <c r="DN101" s="161">
        <f t="shared" si="102"/>
        <v>0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62.5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0</v>
      </c>
      <c r="ES101" s="139">
        <f t="shared" si="58"/>
        <v>2.8952506533745592</v>
      </c>
      <c r="ET101" s="139">
        <f t="shared" si="59"/>
        <v>6.2790842244920917</v>
      </c>
      <c r="EU101" s="139">
        <f t="shared" si="60"/>
        <v>11.446722475101499</v>
      </c>
      <c r="EV101" s="139">
        <f t="shared" si="61"/>
        <v>0</v>
      </c>
      <c r="EW101" s="139">
        <f t="shared" si="62"/>
        <v>0</v>
      </c>
      <c r="EX101" s="139">
        <f t="shared" si="63"/>
        <v>0</v>
      </c>
      <c r="EY101" s="139">
        <f t="shared" si="64"/>
        <v>0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20.621057352968151</v>
      </c>
      <c r="FV101" s="149"/>
      <c r="FY101" s="212">
        <v>96</v>
      </c>
      <c r="FZ101">
        <v>38.07175853725694</v>
      </c>
      <c r="GA101">
        <v>79.294309594475038</v>
      </c>
      <c r="GB101">
        <v>46.659757427925392</v>
      </c>
      <c r="GC101">
        <v>19.091050442327788</v>
      </c>
      <c r="GD101">
        <v>14.484821463684504</v>
      </c>
      <c r="GE101">
        <v>20.128849882127792</v>
      </c>
      <c r="GF101">
        <v>45.195724830885815</v>
      </c>
      <c r="GG101">
        <v>35.320493869497163</v>
      </c>
      <c r="GH101">
        <v>29.435463060859615</v>
      </c>
      <c r="GI101">
        <v>38.591722491052053</v>
      </c>
      <c r="GJ101"/>
      <c r="GK101"/>
      <c r="GL101"/>
      <c r="GM101"/>
    </row>
    <row r="102" spans="1:195" s="7" customFormat="1">
      <c r="A102" s="1"/>
      <c r="B102" s="76">
        <f ca="1">IF(C102="", "", RAND())</f>
        <v>3.7848636753630593E-2</v>
      </c>
      <c r="C102">
        <v>10</v>
      </c>
      <c r="D102">
        <v>39673</v>
      </c>
      <c r="E102">
        <v>0</v>
      </c>
      <c r="F102">
        <v>0</v>
      </c>
      <c r="G102">
        <v>0</v>
      </c>
      <c r="H102">
        <v>446.42857142857144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718.90321132002964</v>
      </c>
      <c r="AO102">
        <v>51.576631415565977</v>
      </c>
      <c r="AP102">
        <v>93.892117631278992</v>
      </c>
      <c r="AQ102">
        <v>377.18502406430468</v>
      </c>
      <c r="AR102">
        <v>50.801847981238012</v>
      </c>
      <c r="AS102">
        <v>420.91206455236124</v>
      </c>
      <c r="AT102">
        <v>25.086991897449128</v>
      </c>
      <c r="AU102">
        <v>-49.185939821872445</v>
      </c>
      <c r="AV102"/>
      <c r="AW102"/>
      <c r="AX102" s="146"/>
      <c r="AY102" s="76">
        <f t="shared" ca="1" si="87"/>
        <v>0.69999120065210052</v>
      </c>
      <c r="AZ102">
        <v>5</v>
      </c>
      <c r="BA102" s="129">
        <f t="shared" si="126"/>
        <v>39673</v>
      </c>
      <c r="BB102">
        <v>0</v>
      </c>
      <c r="BC102">
        <v>0</v>
      </c>
      <c r="BD102">
        <v>0</v>
      </c>
      <c r="BE102">
        <v>2</v>
      </c>
      <c r="BF102">
        <v>5</v>
      </c>
      <c r="BG102">
        <v>1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89"/>
        <v>4.6594778646293022E-2</v>
      </c>
      <c r="CL102" s="179">
        <f t="shared" si="90"/>
        <v>5</v>
      </c>
      <c r="CM102" s="180">
        <f t="shared" si="91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0.30371312524147109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0</v>
      </c>
      <c r="DI102" s="161">
        <f t="shared" si="97"/>
        <v>20.833333333333332</v>
      </c>
      <c r="DJ102" s="161">
        <f t="shared" si="98"/>
        <v>52.083333333333336</v>
      </c>
      <c r="DK102" s="161">
        <f t="shared" si="99"/>
        <v>10.416666666666666</v>
      </c>
      <c r="DL102" s="161">
        <f t="shared" si="100"/>
        <v>0</v>
      </c>
      <c r="DM102" s="161">
        <f t="shared" si="101"/>
        <v>0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83.333333333333343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</v>
      </c>
      <c r="ES102" s="139">
        <f t="shared" si="58"/>
        <v>2.8952506533745592</v>
      </c>
      <c r="ET102" s="139">
        <f t="shared" si="59"/>
        <v>15.697710561230231</v>
      </c>
      <c r="EU102" s="139">
        <f t="shared" si="60"/>
        <v>5.7233612375507494</v>
      </c>
      <c r="EV102" s="139">
        <f t="shared" si="61"/>
        <v>0</v>
      </c>
      <c r="EW102" s="139">
        <f t="shared" si="62"/>
        <v>0</v>
      </c>
      <c r="EX102" s="139">
        <f t="shared" si="63"/>
        <v>0</v>
      </c>
      <c r="EY102" s="139">
        <f t="shared" si="64"/>
        <v>0</v>
      </c>
      <c r="EZ102" s="139">
        <f t="shared" si="65"/>
        <v>0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24.316322452155539</v>
      </c>
      <c r="FV102" s="149"/>
      <c r="FY102" s="212">
        <v>97</v>
      </c>
      <c r="FZ102">
        <v>38.276013446821764</v>
      </c>
      <c r="GA102">
        <v>55.932327949353564</v>
      </c>
      <c r="GB102">
        <v>38.936606773297257</v>
      </c>
      <c r="GC102">
        <v>23.881463943448288</v>
      </c>
      <c r="GD102">
        <v>12.309638174505922</v>
      </c>
      <c r="GE102">
        <v>16.489043756035464</v>
      </c>
      <c r="GF102">
        <v>37.699351599775838</v>
      </c>
      <c r="GG102">
        <v>30.352436260014692</v>
      </c>
      <c r="GH102">
        <v>24.481565178246964</v>
      </c>
      <c r="GI102">
        <v>33.106534078237459</v>
      </c>
      <c r="GJ102"/>
      <c r="GK102"/>
      <c r="GL102"/>
      <c r="GM102"/>
    </row>
    <row r="103" spans="1:195" s="7" customFormat="1">
      <c r="A103" s="1"/>
      <c r="B103" s="76">
        <f ca="1">IF(C103="", "", RAND())</f>
        <v>0.29887186099651775</v>
      </c>
      <c r="C103">
        <v>6</v>
      </c>
      <c r="D103">
        <v>39673</v>
      </c>
      <c r="E103">
        <v>0</v>
      </c>
      <c r="F103">
        <v>0</v>
      </c>
      <c r="G103">
        <v>10.416666666666666</v>
      </c>
      <c r="H103">
        <v>0</v>
      </c>
      <c r="I103">
        <v>10.416666666666666</v>
      </c>
      <c r="J103">
        <v>0</v>
      </c>
      <c r="K103">
        <v>10.416666666666666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768.50962892986126</v>
      </c>
      <c r="AO103">
        <v>48.248864136134131</v>
      </c>
      <c r="AP103">
        <v>84.388489356848936</v>
      </c>
      <c r="AQ103">
        <v>339.93452970845379</v>
      </c>
      <c r="AR103">
        <v>48.504134254434597</v>
      </c>
      <c r="AS103">
        <v>384.80490922536802</v>
      </c>
      <c r="AT103">
        <v>24.779007285678222</v>
      </c>
      <c r="AU103">
        <v>-21.603195958932915</v>
      </c>
      <c r="AV103"/>
      <c r="AW103"/>
      <c r="AX103" s="146"/>
      <c r="AY103" s="76">
        <f ca="1">IF(AZ103="", "", RAND())</f>
        <v>0.28344065696192344</v>
      </c>
      <c r="AZ103">
        <v>6</v>
      </c>
      <c r="BA103" s="129">
        <f t="shared" si="126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89"/>
        <v>0.38722072943370844</v>
      </c>
      <c r="CL103" s="179">
        <f t="shared" si="90"/>
        <v>6</v>
      </c>
      <c r="CM103" s="180">
        <f t="shared" si="91"/>
        <v>39673</v>
      </c>
      <c r="CN103">
        <v>0</v>
      </c>
      <c r="CO103">
        <v>0</v>
      </c>
      <c r="CP103">
        <v>1</v>
      </c>
      <c r="CQ103">
        <v>0</v>
      </c>
      <c r="CR103">
        <v>1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0.83423029681157712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0</v>
      </c>
      <c r="DH103" s="161">
        <f t="shared" si="96"/>
        <v>10.416666666666666</v>
      </c>
      <c r="DI103" s="161">
        <f t="shared" si="97"/>
        <v>0</v>
      </c>
      <c r="DJ103" s="161">
        <f t="shared" si="98"/>
        <v>10.416666666666666</v>
      </c>
      <c r="DK103" s="161">
        <f t="shared" si="99"/>
        <v>0</v>
      </c>
      <c r="DL103" s="161">
        <f t="shared" si="100"/>
        <v>10.416666666666666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31.25</v>
      </c>
      <c r="EL103" s="149"/>
      <c r="EN103" s="146"/>
      <c r="EO103" s="146"/>
      <c r="EP103" s="139">
        <f t="shared" si="55"/>
        <v>0</v>
      </c>
      <c r="EQ103" s="139">
        <f t="shared" si="56"/>
        <v>0</v>
      </c>
      <c r="ER103" s="139">
        <f t="shared" si="57"/>
        <v>0.48617720717421975</v>
      </c>
      <c r="ES103" s="139">
        <f t="shared" si="58"/>
        <v>0</v>
      </c>
      <c r="ET103" s="139">
        <f t="shared" si="59"/>
        <v>3.1395421122460458</v>
      </c>
      <c r="EU103" s="139">
        <f t="shared" si="60"/>
        <v>0</v>
      </c>
      <c r="EV103" s="139">
        <f t="shared" si="61"/>
        <v>9.3481977534582672</v>
      </c>
      <c r="EW103" s="139">
        <f t="shared" si="62"/>
        <v>0</v>
      </c>
      <c r="EX103" s="139">
        <f t="shared" si="63"/>
        <v>0</v>
      </c>
      <c r="EY103" s="139">
        <f t="shared" si="64"/>
        <v>0</v>
      </c>
      <c r="EZ103" s="139">
        <f t="shared" si="65"/>
        <v>0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12.973917072878532</v>
      </c>
      <c r="FV103" s="149"/>
      <c r="FY103" s="212">
        <v>98</v>
      </c>
      <c r="FZ103">
        <v>30.179570637701026</v>
      </c>
      <c r="GA103">
        <v>107.10347641322286</v>
      </c>
      <c r="GB103">
        <v>64.403332592477753</v>
      </c>
      <c r="GC103">
        <v>22.320855077901875</v>
      </c>
      <c r="GD103">
        <v>11.456450126802119</v>
      </c>
      <c r="GE103">
        <v>11.366397365613611</v>
      </c>
      <c r="GF103">
        <v>29.820523404734395</v>
      </c>
      <c r="GG103">
        <v>25.769051994726549</v>
      </c>
      <c r="GH103">
        <v>26.015615752317665</v>
      </c>
      <c r="GI103">
        <v>36.677417362572022</v>
      </c>
      <c r="GJ103"/>
      <c r="GK103"/>
      <c r="GL103"/>
      <c r="GM103"/>
    </row>
    <row r="104" spans="1:195" s="7" customFormat="1">
      <c r="A104" s="1"/>
      <c r="B104" s="76">
        <f ca="1">IF(C104="", "", RAND())</f>
        <v>0.10760776178137754</v>
      </c>
      <c r="C104">
        <v>8</v>
      </c>
      <c r="D104">
        <v>39673</v>
      </c>
      <c r="E104">
        <v>0</v>
      </c>
      <c r="F104">
        <v>41.666666666666664</v>
      </c>
      <c r="G104">
        <v>413.30644791666668</v>
      </c>
      <c r="H104">
        <v>305.10750000000002</v>
      </c>
      <c r="I104">
        <v>159.94624999999999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785.58489656230267</v>
      </c>
      <c r="AO104">
        <v>50.607120762525724</v>
      </c>
      <c r="AP104">
        <v>77.53459332773123</v>
      </c>
      <c r="AQ104">
        <v>353.53847527279129</v>
      </c>
      <c r="AR104">
        <v>49.045590087132972</v>
      </c>
      <c r="AS104">
        <v>417.10125577277392</v>
      </c>
      <c r="AT104">
        <v>25.18714042120952</v>
      </c>
      <c r="AU104">
        <v>-36.66098132132602</v>
      </c>
      <c r="AV104"/>
      <c r="AW104"/>
      <c r="AX104" s="146"/>
      <c r="AY104" s="76">
        <f ca="1">IF(AZ104="", "", RAND())</f>
        <v>0.12449044094075923</v>
      </c>
      <c r="AZ104">
        <v>7</v>
      </c>
      <c r="BA104" s="129">
        <f t="shared" si="126"/>
        <v>39673</v>
      </c>
      <c r="BB104">
        <v>0</v>
      </c>
      <c r="BC104">
        <v>1</v>
      </c>
      <c r="BD104">
        <v>0</v>
      </c>
      <c r="BE104">
        <v>6</v>
      </c>
      <c r="BF104">
        <v>4</v>
      </c>
      <c r="BG104">
        <v>2</v>
      </c>
      <c r="BH104">
        <v>1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89"/>
        <v>0.87133658541940484</v>
      </c>
      <c r="CL104" s="179">
        <f t="shared" si="90"/>
        <v>7</v>
      </c>
      <c r="CM104" s="180">
        <f t="shared" si="91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0.68307385354932548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10.416666666666666</v>
      </c>
      <c r="DH104" s="161">
        <f t="shared" si="96"/>
        <v>0</v>
      </c>
      <c r="DI104" s="161">
        <f t="shared" si="97"/>
        <v>62.5</v>
      </c>
      <c r="DJ104" s="161">
        <f t="shared" si="98"/>
        <v>41.666666666666664</v>
      </c>
      <c r="DK104" s="161">
        <f t="shared" si="99"/>
        <v>20.833333333333332</v>
      </c>
      <c r="DL104" s="161">
        <f t="shared" si="100"/>
        <v>10.416666666666666</v>
      </c>
      <c r="DM104" s="161">
        <f t="shared" si="101"/>
        <v>0</v>
      </c>
      <c r="DN104" s="161">
        <f t="shared" si="102"/>
        <v>0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145.83333333333334</v>
      </c>
      <c r="EL104" s="149"/>
      <c r="EN104" s="146"/>
      <c r="EO104" s="146"/>
      <c r="EP104" s="139">
        <f t="shared" si="55"/>
        <v>0</v>
      </c>
      <c r="EQ104" s="139">
        <f t="shared" si="56"/>
        <v>7.5287499999999993E-2</v>
      </c>
      <c r="ER104" s="139">
        <f t="shared" si="57"/>
        <v>0</v>
      </c>
      <c r="ES104" s="139">
        <f t="shared" si="58"/>
        <v>8.6857519601236781</v>
      </c>
      <c r="ET104" s="139">
        <f t="shared" si="59"/>
        <v>12.558168448984183</v>
      </c>
      <c r="EU104" s="139">
        <f t="shared" si="60"/>
        <v>11.446722475101499</v>
      </c>
      <c r="EV104" s="139">
        <f t="shared" si="61"/>
        <v>9.3481977534582672</v>
      </c>
      <c r="EW104" s="139">
        <f t="shared" si="62"/>
        <v>0</v>
      </c>
      <c r="EX104" s="139">
        <f t="shared" si="63"/>
        <v>0</v>
      </c>
      <c r="EY104" s="139">
        <f t="shared" si="64"/>
        <v>0</v>
      </c>
      <c r="EZ104" s="139">
        <f t="shared" si="65"/>
        <v>0</v>
      </c>
      <c r="FA104" s="139">
        <f t="shared" si="66"/>
        <v>0</v>
      </c>
      <c r="FB104" s="139">
        <f t="shared" si="67"/>
        <v>0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42.11412813766762</v>
      </c>
      <c r="FV104" s="149"/>
      <c r="FY104" s="212">
        <v>99</v>
      </c>
      <c r="FZ104">
        <v>44.985244517946043</v>
      </c>
      <c r="GA104">
        <v>116.59382228298098</v>
      </c>
      <c r="GB104">
        <v>64.617370459674234</v>
      </c>
      <c r="GC104">
        <v>19.689638940964365</v>
      </c>
      <c r="GD104">
        <v>14.265666544135348</v>
      </c>
      <c r="GE104">
        <v>17.716652488629421</v>
      </c>
      <c r="GF104">
        <v>23.834457994841731</v>
      </c>
      <c r="GG104">
        <v>27.817481391084787</v>
      </c>
      <c r="GH104">
        <v>34.601504715926787</v>
      </c>
      <c r="GI104">
        <v>40.903287905763769</v>
      </c>
      <c r="GJ104"/>
      <c r="GK104"/>
      <c r="GL104"/>
      <c r="GM104"/>
    </row>
    <row r="105" spans="1:195" s="7" customFormat="1">
      <c r="A105" s="1"/>
      <c r="B105" s="76">
        <f ca="1">IF(C105="", "", RAND())</f>
        <v>8.5270729048227523E-2</v>
      </c>
      <c r="C105">
        <v>4</v>
      </c>
      <c r="D105">
        <v>39673</v>
      </c>
      <c r="E105">
        <v>0</v>
      </c>
      <c r="F105">
        <v>0</v>
      </c>
      <c r="G105">
        <v>0</v>
      </c>
      <c r="H105">
        <v>20.833333333333332</v>
      </c>
      <c r="I105">
        <v>20.833333333333332</v>
      </c>
      <c r="J105">
        <v>20.833333333333332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834.58268881112747</v>
      </c>
      <c r="AO105">
        <v>54.099719153380292</v>
      </c>
      <c r="AP105">
        <v>86.916004859849053</v>
      </c>
      <c r="AQ105">
        <v>378.48230401625756</v>
      </c>
      <c r="AR105">
        <v>53.556125233211986</v>
      </c>
      <c r="AS105">
        <v>439.0379114032944</v>
      </c>
      <c r="AT105">
        <v>26.520035137602736</v>
      </c>
      <c r="AU105">
        <v>-53.685403164638231</v>
      </c>
      <c r="AV105"/>
      <c r="AW105"/>
      <c r="AX105" s="146"/>
      <c r="AY105" s="76">
        <f ca="1">IF(AZ105="", "", RAND())</f>
        <v>0.47794854553176802</v>
      </c>
      <c r="AZ105">
        <v>8</v>
      </c>
      <c r="BA105" s="129">
        <f t="shared" si="126"/>
        <v>39673</v>
      </c>
      <c r="BB105">
        <v>0</v>
      </c>
      <c r="BC105">
        <v>0</v>
      </c>
      <c r="BD105">
        <v>5.6774190000000004</v>
      </c>
      <c r="BE105">
        <v>21.290320000000001</v>
      </c>
      <c r="BF105">
        <v>11.354839999999999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89"/>
        <v>0.61224813441876003</v>
      </c>
      <c r="CL105" s="179">
        <f t="shared" si="90"/>
        <v>8</v>
      </c>
      <c r="CM105" s="180">
        <f t="shared" si="91"/>
        <v>39673</v>
      </c>
      <c r="CN105">
        <v>0</v>
      </c>
      <c r="CO105">
        <v>2</v>
      </c>
      <c r="CP105">
        <v>17</v>
      </c>
      <c r="CQ105">
        <v>4</v>
      </c>
      <c r="CR105">
        <v>2</v>
      </c>
      <c r="CS105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0.68352381967661846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41.666666666666664</v>
      </c>
      <c r="DH105" s="161">
        <f t="shared" si="96"/>
        <v>413.30644791666668</v>
      </c>
      <c r="DI105" s="161">
        <f t="shared" si="97"/>
        <v>305.10750000000002</v>
      </c>
      <c r="DJ105" s="161">
        <f t="shared" si="98"/>
        <v>159.94624999999999</v>
      </c>
      <c r="DK105" s="161">
        <f t="shared" si="99"/>
        <v>0</v>
      </c>
      <c r="DL105" s="161">
        <f t="shared" si="100"/>
        <v>0</v>
      </c>
      <c r="DM105" s="161">
        <f t="shared" si="101"/>
        <v>0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920.02686458333335</v>
      </c>
      <c r="EL105" s="149"/>
      <c r="EN105" s="146"/>
      <c r="EO105" s="146"/>
      <c r="EP105" s="139">
        <f t="shared" si="55"/>
        <v>0</v>
      </c>
      <c r="EQ105" s="139">
        <f t="shared" si="56"/>
        <v>0.30114999999999997</v>
      </c>
      <c r="ER105" s="139">
        <f t="shared" si="57"/>
        <v>19.290256757301325</v>
      </c>
      <c r="ES105" s="139">
        <f t="shared" si="58"/>
        <v>42.401409058774966</v>
      </c>
      <c r="ET105" s="139">
        <f t="shared" si="59"/>
        <v>48.207166806800075</v>
      </c>
      <c r="EU105" s="139">
        <f t="shared" si="60"/>
        <v>0</v>
      </c>
      <c r="EV105" s="139">
        <f t="shared" si="61"/>
        <v>0</v>
      </c>
      <c r="EW105" s="139">
        <f t="shared" si="62"/>
        <v>0</v>
      </c>
      <c r="EX105" s="139">
        <f t="shared" si="63"/>
        <v>0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110.19998262287636</v>
      </c>
      <c r="FV105" s="149"/>
      <c r="FY105" s="212">
        <v>100</v>
      </c>
      <c r="FZ105">
        <v>41.047855676752825</v>
      </c>
      <c r="GA105">
        <v>116.15554902455243</v>
      </c>
      <c r="GB105">
        <v>72.97997543936178</v>
      </c>
      <c r="GC105">
        <v>21.182714031992273</v>
      </c>
      <c r="GD105">
        <v>7.9525004771155006</v>
      </c>
      <c r="GE105">
        <v>7.890931610259261</v>
      </c>
      <c r="GF105">
        <v>18.019558081534317</v>
      </c>
      <c r="GG105">
        <v>22.571487245718544</v>
      </c>
      <c r="GH105">
        <v>24.404255272250499</v>
      </c>
      <c r="GI105">
        <v>35.975365014045444</v>
      </c>
      <c r="GJ105"/>
      <c r="GK105"/>
      <c r="GL105"/>
      <c r="GM105"/>
    </row>
    <row r="106" spans="1:195" s="7" customFormat="1">
      <c r="A106" s="1"/>
      <c r="B106" s="76">
        <f ca="1">IF(C106="", "", RAND())</f>
        <v>0.93440341015174244</v>
      </c>
      <c r="C106">
        <v>9</v>
      </c>
      <c r="D106">
        <v>39673</v>
      </c>
      <c r="E106">
        <v>0</v>
      </c>
      <c r="F106">
        <v>0</v>
      </c>
      <c r="G106">
        <v>41.666666666666664</v>
      </c>
      <c r="H106">
        <v>0</v>
      </c>
      <c r="I106">
        <v>52.083333333333336</v>
      </c>
      <c r="J106">
        <v>20.833333333333332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838.63152300483853</v>
      </c>
      <c r="AO106">
        <v>58.545732248757623</v>
      </c>
      <c r="AP106">
        <v>89.261659455841439</v>
      </c>
      <c r="AQ106">
        <v>426.8119829459614</v>
      </c>
      <c r="AR106">
        <v>56.304376951485729</v>
      </c>
      <c r="AS106">
        <v>459.97930090134844</v>
      </c>
      <c r="AT106">
        <v>27.360103141057568</v>
      </c>
      <c r="AU106">
        <v>-62.521305087323469</v>
      </c>
      <c r="AV106"/>
      <c r="AW106"/>
      <c r="AX106" s="146"/>
      <c r="AY106" s="76">
        <f t="shared" ca="1" si="87"/>
        <v>0.63494818587063251</v>
      </c>
      <c r="AZ106">
        <v>9</v>
      </c>
      <c r="BA106" s="129">
        <f t="shared" si="126"/>
        <v>39673</v>
      </c>
      <c r="BB106">
        <v>0</v>
      </c>
      <c r="BC106">
        <v>0</v>
      </c>
      <c r="BD106">
        <v>0</v>
      </c>
      <c r="BE106">
        <v>0</v>
      </c>
      <c r="BF106">
        <v>3</v>
      </c>
      <c r="BG106">
        <v>2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89"/>
        <v>0.68123514184057221</v>
      </c>
      <c r="CL106" s="179">
        <f t="shared" si="90"/>
        <v>9</v>
      </c>
      <c r="CM106" s="180">
        <f t="shared" si="91"/>
        <v>39673</v>
      </c>
      <c r="CN106">
        <v>0</v>
      </c>
      <c r="CO106">
        <v>0</v>
      </c>
      <c r="CP106">
        <v>4</v>
      </c>
      <c r="CQ106">
        <v>0</v>
      </c>
      <c r="CR106">
        <v>2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0.14582377965395077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41.666666666666664</v>
      </c>
      <c r="DI106" s="161">
        <f t="shared" si="97"/>
        <v>0</v>
      </c>
      <c r="DJ106" s="161">
        <f t="shared" si="98"/>
        <v>52.083333333333336</v>
      </c>
      <c r="DK106" s="161">
        <f t="shared" si="99"/>
        <v>20.833333333333332</v>
      </c>
      <c r="DL106" s="161">
        <f t="shared" si="100"/>
        <v>0</v>
      </c>
      <c r="DM106" s="161">
        <f t="shared" si="101"/>
        <v>0</v>
      </c>
      <c r="DN106" s="161">
        <f t="shared" si="102"/>
        <v>0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114.58333333333333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1.944708828696879</v>
      </c>
      <c r="ES106" s="139">
        <f t="shared" si="58"/>
        <v>0</v>
      </c>
      <c r="ET106" s="139">
        <f t="shared" si="59"/>
        <v>15.697710561230231</v>
      </c>
      <c r="EU106" s="139">
        <f t="shared" si="60"/>
        <v>11.446722475101499</v>
      </c>
      <c r="EV106" s="139">
        <f t="shared" si="61"/>
        <v>0</v>
      </c>
      <c r="EW106" s="139">
        <f t="shared" si="62"/>
        <v>0</v>
      </c>
      <c r="EX106" s="139">
        <f t="shared" si="63"/>
        <v>0</v>
      </c>
      <c r="EY106" s="139">
        <f t="shared" si="64"/>
        <v>0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29.089141865028608</v>
      </c>
      <c r="FV106" s="149"/>
      <c r="FY106" s="212">
        <v>101</v>
      </c>
      <c r="FZ106">
        <v>38.930659112414595</v>
      </c>
      <c r="GA106">
        <v>63.093700136850941</v>
      </c>
      <c r="GB106">
        <v>37.978715683152302</v>
      </c>
      <c r="GC106">
        <v>18.178102654002082</v>
      </c>
      <c r="GD106">
        <v>14.257572432316431</v>
      </c>
      <c r="GE106">
        <v>18.358231472906692</v>
      </c>
      <c r="GF106">
        <v>28.193456126984756</v>
      </c>
      <c r="GG106">
        <v>24.51267415165055</v>
      </c>
      <c r="GH106">
        <v>21.790803717923961</v>
      </c>
      <c r="GI106">
        <v>31.983541162385205</v>
      </c>
      <c r="GJ106"/>
      <c r="GK106"/>
      <c r="GL106"/>
      <c r="GM106"/>
    </row>
    <row r="107" spans="1:195" s="7" customFormat="1">
      <c r="A107" s="1"/>
      <c r="B107" s="76">
        <f ca="1">IF(C107="", "", RAND())</f>
        <v>0.56968195761847507</v>
      </c>
      <c r="C107">
        <v>2</v>
      </c>
      <c r="D107">
        <v>39673</v>
      </c>
      <c r="E107">
        <v>0</v>
      </c>
      <c r="F107">
        <v>0</v>
      </c>
      <c r="G107">
        <v>0</v>
      </c>
      <c r="H107">
        <v>125</v>
      </c>
      <c r="I107">
        <v>72.916666666666671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750.84724426866285</v>
      </c>
      <c r="AO107">
        <v>53.82434474270319</v>
      </c>
      <c r="AP107">
        <v>84.147067395038448</v>
      </c>
      <c r="AQ107">
        <v>389.7526473683431</v>
      </c>
      <c r="AR107">
        <v>52.265917005427433</v>
      </c>
      <c r="AS107">
        <v>445.13456556062033</v>
      </c>
      <c r="AT107">
        <v>25.778220608049633</v>
      </c>
      <c r="AU107">
        <v>-51.159545716384507</v>
      </c>
      <c r="AV107"/>
      <c r="AW107"/>
      <c r="AX107" s="146"/>
      <c r="AY107" s="76">
        <f t="shared" ca="1" si="87"/>
        <v>0.94470247072871594</v>
      </c>
      <c r="AZ107">
        <v>10</v>
      </c>
      <c r="BA107" s="129">
        <f t="shared" si="126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89"/>
        <v>0.5194701039211358</v>
      </c>
      <c r="CL107" s="179">
        <f t="shared" si="90"/>
        <v>10</v>
      </c>
      <c r="CM107" s="180">
        <f t="shared" si="91"/>
        <v>39673</v>
      </c>
      <c r="CN107">
        <v>0</v>
      </c>
      <c r="CO107">
        <v>0</v>
      </c>
      <c r="CP107">
        <v>0</v>
      </c>
      <c r="CQ107">
        <v>3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0.60615202482710639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0</v>
      </c>
      <c r="DI107" s="161">
        <f t="shared" si="97"/>
        <v>446.42857142857144</v>
      </c>
      <c r="DJ107" s="161">
        <f t="shared" si="98"/>
        <v>0</v>
      </c>
      <c r="DK107" s="161">
        <f t="shared" si="99"/>
        <v>0</v>
      </c>
      <c r="DL107" s="161">
        <f t="shared" si="100"/>
        <v>0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446.42857142857144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0</v>
      </c>
      <c r="ES107" s="139">
        <f t="shared" si="58"/>
        <v>62.041085429454853</v>
      </c>
      <c r="ET107" s="139">
        <f t="shared" si="59"/>
        <v>0</v>
      </c>
      <c r="EU107" s="139">
        <f t="shared" si="60"/>
        <v>0</v>
      </c>
      <c r="EV107" s="139">
        <f t="shared" si="61"/>
        <v>0</v>
      </c>
      <c r="EW107" s="139">
        <f t="shared" si="62"/>
        <v>0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62.041085429454853</v>
      </c>
      <c r="FV107" s="149"/>
      <c r="FY107" s="212">
        <v>102</v>
      </c>
      <c r="FZ107">
        <v>33.235248219013947</v>
      </c>
      <c r="GA107">
        <v>126.37727146567127</v>
      </c>
      <c r="GB107">
        <v>77.318987290277704</v>
      </c>
      <c r="GC107">
        <v>22.519352050978771</v>
      </c>
      <c r="GD107">
        <v>12.987141969397264</v>
      </c>
      <c r="GE107">
        <v>17.67298831012177</v>
      </c>
      <c r="GF107">
        <v>24.169358234889348</v>
      </c>
      <c r="GG107">
        <v>28.656806393125507</v>
      </c>
      <c r="GH107">
        <v>29.326682165764201</v>
      </c>
      <c r="GI107">
        <v>40.775623061292627</v>
      </c>
      <c r="GJ107"/>
      <c r="GK107"/>
      <c r="GL107"/>
      <c r="GM107"/>
    </row>
    <row r="108" spans="1:195" s="7" customFormat="1">
      <c r="A108" s="128"/>
      <c r="B108" s="76">
        <f ca="1">IF(C108="", "", RAND())</f>
        <v>0.64966778690880211</v>
      </c>
      <c r="C108">
        <v>4</v>
      </c>
      <c r="D108">
        <v>39714</v>
      </c>
      <c r="E108">
        <v>0</v>
      </c>
      <c r="F108">
        <v>0</v>
      </c>
      <c r="G108">
        <v>41.666666666666664</v>
      </c>
      <c r="H108">
        <v>0</v>
      </c>
      <c r="I108">
        <v>0</v>
      </c>
      <c r="J108">
        <v>93.75</v>
      </c>
      <c r="K108">
        <v>10.416666666666666</v>
      </c>
      <c r="L108">
        <v>41.666666666666664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633.08641001779051</v>
      </c>
      <c r="AO108">
        <v>40.917681660355996</v>
      </c>
      <c r="AP108">
        <v>49.05523304952375</v>
      </c>
      <c r="AQ108">
        <v>277.05904208652851</v>
      </c>
      <c r="AR108">
        <v>40.041661446032215</v>
      </c>
      <c r="AS108">
        <v>336.87092943306527</v>
      </c>
      <c r="AT108">
        <v>21.261056291926028</v>
      </c>
      <c r="AU108">
        <v>-56.702727233069865</v>
      </c>
      <c r="AV108"/>
      <c r="AW108"/>
      <c r="AX108" s="128"/>
      <c r="AY108" s="76">
        <f t="shared" ca="1" si="87"/>
        <v>0.49141118815726514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2</v>
      </c>
      <c r="BF108">
        <v>1</v>
      </c>
      <c r="BG108">
        <v>2</v>
      </c>
      <c r="BH108">
        <v>1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89"/>
        <v>0.34930125580665483</v>
      </c>
      <c r="CL108" s="179">
        <f t="shared" si="90"/>
        <v>1</v>
      </c>
      <c r="CM108" s="180">
        <f t="shared" si="91"/>
        <v>39714</v>
      </c>
      <c r="CN108">
        <v>2</v>
      </c>
      <c r="CO108">
        <v>1</v>
      </c>
      <c r="CP108">
        <v>8</v>
      </c>
      <c r="CQ108">
        <v>1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0.15141368970632652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130.20833333333334</v>
      </c>
      <c r="DG108" s="161">
        <f t="shared" si="95"/>
        <v>65.104166666666671</v>
      </c>
      <c r="DH108" s="161">
        <f t="shared" si="96"/>
        <v>520.83333333333337</v>
      </c>
      <c r="DI108" s="161">
        <f t="shared" si="97"/>
        <v>85.9375</v>
      </c>
      <c r="DJ108" s="161">
        <f t="shared" si="98"/>
        <v>10.416666666666666</v>
      </c>
      <c r="DK108" s="161">
        <f t="shared" si="99"/>
        <v>20.833333333333332</v>
      </c>
      <c r="DL108" s="161">
        <f t="shared" si="100"/>
        <v>10.416666666666666</v>
      </c>
      <c r="DM108" s="161">
        <f t="shared" si="101"/>
        <v>0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843.75</v>
      </c>
      <c r="EL108" s="149"/>
      <c r="EN108" s="146"/>
      <c r="EO108" s="146"/>
      <c r="EP108" s="139">
        <f t="shared" si="55"/>
        <v>0.14573409583500946</v>
      </c>
      <c r="EQ108" s="139">
        <f t="shared" si="56"/>
        <v>0.47054687500000003</v>
      </c>
      <c r="ER108" s="139">
        <f t="shared" si="57"/>
        <v>24.308860358710991</v>
      </c>
      <c r="ES108" s="139">
        <f t="shared" si="58"/>
        <v>11.942908945170059</v>
      </c>
      <c r="ET108" s="139">
        <f t="shared" si="59"/>
        <v>3.1395421122460458</v>
      </c>
      <c r="EU108" s="139">
        <f t="shared" si="60"/>
        <v>11.446722475101499</v>
      </c>
      <c r="EV108" s="139">
        <f t="shared" si="61"/>
        <v>9.3481977534582672</v>
      </c>
      <c r="EW108" s="139">
        <f t="shared" si="62"/>
        <v>0</v>
      </c>
      <c r="EX108" s="139">
        <f t="shared" si="63"/>
        <v>0</v>
      </c>
      <c r="EY108" s="139">
        <f t="shared" si="64"/>
        <v>0</v>
      </c>
      <c r="EZ108" s="139">
        <f t="shared" si="65"/>
        <v>0</v>
      </c>
      <c r="FA108" s="139">
        <f t="shared" si="66"/>
        <v>0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60.802512615521877</v>
      </c>
      <c r="FV108" s="149"/>
      <c r="FY108" s="212">
        <v>103</v>
      </c>
      <c r="FZ108">
        <v>59.809421334873839</v>
      </c>
      <c r="GA108">
        <v>152.94221891008905</v>
      </c>
      <c r="GB108">
        <v>82.811443710058896</v>
      </c>
      <c r="GC108">
        <v>17.765767267348384</v>
      </c>
      <c r="GD108">
        <v>8.8203857873222447</v>
      </c>
      <c r="GE108">
        <v>11.578467194041794</v>
      </c>
      <c r="GF108">
        <v>20.690348112240951</v>
      </c>
      <c r="GG108">
        <v>17.868850768384313</v>
      </c>
      <c r="GH108">
        <v>24.569552012259411</v>
      </c>
      <c r="GI108">
        <v>42.319979793579705</v>
      </c>
      <c r="GJ108"/>
      <c r="GK108"/>
      <c r="GL108"/>
      <c r="GM108"/>
    </row>
    <row r="109" spans="1:195" s="7" customFormat="1">
      <c r="A109" s="1"/>
      <c r="B109" s="76">
        <f ca="1">IF(C109="", "", RAND())</f>
        <v>0.9077504523995632</v>
      </c>
      <c r="C109">
        <v>3</v>
      </c>
      <c r="D109">
        <v>39714</v>
      </c>
      <c r="E109">
        <v>97.65625</v>
      </c>
      <c r="F109">
        <v>976.5625</v>
      </c>
      <c r="G109">
        <v>1074.21875</v>
      </c>
      <c r="H109">
        <v>509.11458333333331</v>
      </c>
      <c r="I109">
        <v>10.416666666666666</v>
      </c>
      <c r="J109">
        <v>20.833333333333332</v>
      </c>
      <c r="K109">
        <v>20.833333333333332</v>
      </c>
      <c r="L109">
        <v>10.416666666666666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749.90960367520393</v>
      </c>
      <c r="AO109">
        <v>51.294415118274458</v>
      </c>
      <c r="AP109">
        <v>60.129708262407988</v>
      </c>
      <c r="AQ109">
        <v>359.33778134458714</v>
      </c>
      <c r="AR109">
        <v>49.763994704866789</v>
      </c>
      <c r="AS109">
        <v>442.90136096672512</v>
      </c>
      <c r="AT109">
        <v>25.662614912111938</v>
      </c>
      <c r="AU109">
        <v>-38.622945957632034</v>
      </c>
      <c r="AV109"/>
      <c r="AW109"/>
      <c r="AX109" s="146"/>
      <c r="AY109" s="76">
        <f t="shared" ca="1" si="87"/>
        <v>0.59616771293878323</v>
      </c>
      <c r="AZ109">
        <v>2</v>
      </c>
      <c r="BA109" s="129">
        <f t="shared" ref="BA109:BA117" si="128">IF(AZ109="", "",$C$6)</f>
        <v>39714</v>
      </c>
      <c r="BB109">
        <v>0</v>
      </c>
      <c r="BC109">
        <v>1</v>
      </c>
      <c r="BD109">
        <v>0</v>
      </c>
      <c r="BE109">
        <v>9</v>
      </c>
      <c r="BF109">
        <v>0</v>
      </c>
      <c r="BG109">
        <v>3</v>
      </c>
      <c r="BH109">
        <v>2</v>
      </c>
      <c r="BI109">
        <v>2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89"/>
        <v>0.17492437656689663</v>
      </c>
      <c r="CL109" s="179">
        <f t="shared" si="90"/>
        <v>2</v>
      </c>
      <c r="CM109" s="180">
        <f t="shared" si="91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0.24035298375358582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10.416666666666666</v>
      </c>
      <c r="DH109" s="161">
        <f t="shared" si="96"/>
        <v>0</v>
      </c>
      <c r="DI109" s="161">
        <f t="shared" si="97"/>
        <v>93.75</v>
      </c>
      <c r="DJ109" s="161">
        <f t="shared" si="98"/>
        <v>0</v>
      </c>
      <c r="DK109" s="161">
        <f t="shared" si="99"/>
        <v>31.25</v>
      </c>
      <c r="DL109" s="161">
        <f t="shared" si="100"/>
        <v>20.833333333333332</v>
      </c>
      <c r="DM109" s="161">
        <f t="shared" si="101"/>
        <v>20.833333333333332</v>
      </c>
      <c r="DN109" s="161">
        <f t="shared" si="102"/>
        <v>0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177.08333333333337</v>
      </c>
      <c r="EL109" s="149"/>
      <c r="EN109" s="146"/>
      <c r="EO109" s="146"/>
      <c r="EP109" s="139">
        <f t="shared" si="55"/>
        <v>0</v>
      </c>
      <c r="EQ109" s="139">
        <f t="shared" si="56"/>
        <v>7.5287499999999993E-2</v>
      </c>
      <c r="ER109" s="139">
        <f t="shared" si="57"/>
        <v>0</v>
      </c>
      <c r="ES109" s="139">
        <f t="shared" si="58"/>
        <v>13.028627940185519</v>
      </c>
      <c r="ET109" s="139">
        <f t="shared" si="59"/>
        <v>0</v>
      </c>
      <c r="EU109" s="139">
        <f t="shared" si="60"/>
        <v>17.17008371265225</v>
      </c>
      <c r="EV109" s="139">
        <f t="shared" si="61"/>
        <v>18.696395506916534</v>
      </c>
      <c r="EW109" s="139">
        <f t="shared" si="62"/>
        <v>28.308163644547104</v>
      </c>
      <c r="EX109" s="139">
        <f t="shared" si="63"/>
        <v>0</v>
      </c>
      <c r="EY109" s="139">
        <f t="shared" si="64"/>
        <v>0</v>
      </c>
      <c r="EZ109" s="139">
        <f t="shared" si="65"/>
        <v>0</v>
      </c>
      <c r="FA109" s="139">
        <f t="shared" si="66"/>
        <v>0</v>
      </c>
      <c r="FB109" s="139">
        <f t="shared" si="67"/>
        <v>0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77.278558304301413</v>
      </c>
      <c r="FV109" s="149"/>
      <c r="FY109" s="212">
        <v>104</v>
      </c>
      <c r="FZ109">
        <v>45.502695830967362</v>
      </c>
      <c r="GA109">
        <v>86.583130947012748</v>
      </c>
      <c r="GB109">
        <v>51.461363302834314</v>
      </c>
      <c r="GC109">
        <v>19.563444809158565</v>
      </c>
      <c r="GD109">
        <v>13.289292629537622</v>
      </c>
      <c r="GE109">
        <v>14.491482564302071</v>
      </c>
      <c r="GF109">
        <v>23.862491010232972</v>
      </c>
      <c r="GG109">
        <v>26.156049542790278</v>
      </c>
      <c r="GH109">
        <v>23.404460890474436</v>
      </c>
      <c r="GI109">
        <v>35.29370537754334</v>
      </c>
      <c r="GJ109"/>
      <c r="GK109"/>
      <c r="GL109"/>
      <c r="GM109"/>
    </row>
    <row r="110" spans="1:195" s="7" customFormat="1">
      <c r="A110" s="1"/>
      <c r="B110" s="76">
        <f ca="1">IF(C110="", "", RAND())</f>
        <v>0.71150314848204577</v>
      </c>
      <c r="C110">
        <v>8</v>
      </c>
      <c r="D110">
        <v>39714</v>
      </c>
      <c r="E110">
        <v>0</v>
      </c>
      <c r="F110">
        <v>0</v>
      </c>
      <c r="G110">
        <v>20.833333333333332</v>
      </c>
      <c r="H110">
        <v>20.833333333333332</v>
      </c>
      <c r="I110">
        <v>0</v>
      </c>
      <c r="J110">
        <v>20.833333333333332</v>
      </c>
      <c r="K110">
        <v>0</v>
      </c>
      <c r="L110">
        <v>10.416666666666666</v>
      </c>
      <c r="M110">
        <v>10.416666666666666</v>
      </c>
      <c r="N110">
        <v>10.416666666666666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579.19764753499499</v>
      </c>
      <c r="AO110">
        <v>42.636783197845958</v>
      </c>
      <c r="AP110">
        <v>85.392825467643846</v>
      </c>
      <c r="AQ110">
        <v>297.39143705416689</v>
      </c>
      <c r="AR110">
        <v>42.543615512279437</v>
      </c>
      <c r="AS110">
        <v>334.46963047344792</v>
      </c>
      <c r="AT110">
        <v>20.952280132284887</v>
      </c>
      <c r="AU110">
        <v>10.485392302864547</v>
      </c>
      <c r="AV110"/>
      <c r="AW110"/>
      <c r="AX110" s="146"/>
      <c r="AY110" s="76">
        <f t="shared" ca="1" si="87"/>
        <v>0.37900078910662938</v>
      </c>
      <c r="AZ110">
        <v>3</v>
      </c>
      <c r="BA110" s="129">
        <f t="shared" si="128"/>
        <v>39714</v>
      </c>
      <c r="BB110">
        <v>0</v>
      </c>
      <c r="BC110">
        <v>0</v>
      </c>
      <c r="BD110">
        <v>0</v>
      </c>
      <c r="BE110">
        <v>2</v>
      </c>
      <c r="BF110">
        <v>1</v>
      </c>
      <c r="BG110">
        <v>2</v>
      </c>
      <c r="BH110">
        <v>2</v>
      </c>
      <c r="BI110">
        <v>1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89"/>
        <v>0.28344541197394979</v>
      </c>
      <c r="CL110" s="179">
        <f t="shared" si="90"/>
        <v>3</v>
      </c>
      <c r="CM110" s="180">
        <f t="shared" si="91"/>
        <v>39714</v>
      </c>
      <c r="CN110">
        <v>1</v>
      </c>
      <c r="CO110">
        <v>10</v>
      </c>
      <c r="CP110">
        <v>11</v>
      </c>
      <c r="CQ110">
        <v>5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9.0161208291438477E-2</v>
      </c>
      <c r="DD110">
        <f t="shared" si="93"/>
        <v>3</v>
      </c>
      <c r="DE110" s="129">
        <f t="shared" si="127"/>
        <v>39714</v>
      </c>
      <c r="DF110" s="161">
        <f t="shared" si="94"/>
        <v>97.65625</v>
      </c>
      <c r="DG110" s="161">
        <f t="shared" si="95"/>
        <v>976.5625</v>
      </c>
      <c r="DH110" s="161">
        <f t="shared" si="96"/>
        <v>1074.21875</v>
      </c>
      <c r="DI110" s="161">
        <f t="shared" si="97"/>
        <v>509.11458333333331</v>
      </c>
      <c r="DJ110" s="161">
        <f t="shared" si="98"/>
        <v>10.416666666666666</v>
      </c>
      <c r="DK110" s="161">
        <f t="shared" si="99"/>
        <v>20.833333333333332</v>
      </c>
      <c r="DL110" s="161">
        <f t="shared" si="100"/>
        <v>20.833333333333332</v>
      </c>
      <c r="DM110" s="161">
        <f t="shared" si="101"/>
        <v>10.416666666666666</v>
      </c>
      <c r="DN110" s="161">
        <f t="shared" si="102"/>
        <v>0</v>
      </c>
      <c r="DO110" s="161">
        <f t="shared" si="103"/>
        <v>0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2720.0520833333335</v>
      </c>
      <c r="EL110" s="149"/>
      <c r="EN110" s="146"/>
      <c r="EO110" s="146"/>
      <c r="EP110" s="139">
        <f t="shared" si="55"/>
        <v>0.10930057187625708</v>
      </c>
      <c r="EQ110" s="139">
        <f t="shared" si="56"/>
        <v>7.0582031249999995</v>
      </c>
      <c r="ER110" s="139">
        <f t="shared" si="57"/>
        <v>50.137024489841416</v>
      </c>
      <c r="ES110" s="139">
        <f t="shared" si="58"/>
        <v>70.752687841840796</v>
      </c>
      <c r="ET110" s="139">
        <f t="shared" si="59"/>
        <v>3.1395421122460458</v>
      </c>
      <c r="EU110" s="139">
        <f t="shared" si="60"/>
        <v>11.446722475101499</v>
      </c>
      <c r="EV110" s="139">
        <f t="shared" si="61"/>
        <v>18.696395506916534</v>
      </c>
      <c r="EW110" s="139">
        <f t="shared" si="62"/>
        <v>14.154081822273552</v>
      </c>
      <c r="EX110" s="139">
        <f t="shared" si="63"/>
        <v>0</v>
      </c>
      <c r="EY110" s="139">
        <f t="shared" si="64"/>
        <v>0</v>
      </c>
      <c r="EZ110" s="139">
        <f t="shared" si="65"/>
        <v>0</v>
      </c>
      <c r="FA110" s="139">
        <f t="shared" si="66"/>
        <v>0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175.49395794509607</v>
      </c>
      <c r="FV110" s="149"/>
      <c r="FY110" s="212">
        <v>105</v>
      </c>
      <c r="FZ110">
        <v>46.127254679141203</v>
      </c>
      <c r="GA110">
        <v>95.979084124824936</v>
      </c>
      <c r="GB110">
        <v>53.178767869675994</v>
      </c>
      <c r="GC110">
        <v>20.465461527466033</v>
      </c>
      <c r="GD110">
        <v>12.444756227785168</v>
      </c>
      <c r="GE110">
        <v>14.56744968119893</v>
      </c>
      <c r="GF110">
        <v>19.606379015251303</v>
      </c>
      <c r="GG110">
        <v>24.404624886492769</v>
      </c>
      <c r="GH110">
        <v>28.783123981892153</v>
      </c>
      <c r="GI110">
        <v>35.383155670685127</v>
      </c>
      <c r="GJ110"/>
      <c r="GK110"/>
      <c r="GL110"/>
      <c r="GM110"/>
    </row>
    <row r="111" spans="1:195" s="7" customFormat="1">
      <c r="A111" s="1"/>
      <c r="B111" s="76">
        <f ca="1">IF(C111="", "", RAND())</f>
        <v>0.73427898198923724</v>
      </c>
      <c r="C111">
        <v>9</v>
      </c>
      <c r="D111">
        <v>39714</v>
      </c>
      <c r="E111">
        <v>302.41935483870964</v>
      </c>
      <c r="F111">
        <v>1512.0967741935483</v>
      </c>
      <c r="G111">
        <v>2381.0483870967741</v>
      </c>
      <c r="H111">
        <v>184.13978494623657</v>
      </c>
      <c r="I111">
        <v>10.416666666666666</v>
      </c>
      <c r="J111">
        <v>62.5</v>
      </c>
      <c r="K111">
        <v>187.5</v>
      </c>
      <c r="L111">
        <v>20.833333333333332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636.41169330298771</v>
      </c>
      <c r="AO111">
        <v>40.249890149986683</v>
      </c>
      <c r="AP111">
        <v>52.617279104745364</v>
      </c>
      <c r="AQ111">
        <v>275.48647654639149</v>
      </c>
      <c r="AR111">
        <v>39.575809374740444</v>
      </c>
      <c r="AS111">
        <v>340.78980365425105</v>
      </c>
      <c r="AT111">
        <v>21.348490261822562</v>
      </c>
      <c r="AU111">
        <v>-33.728931536103545</v>
      </c>
      <c r="AV111"/>
      <c r="AW111"/>
      <c r="AX111" s="146"/>
      <c r="AY111" s="76">
        <f t="shared" ca="1" si="87"/>
        <v>6.8448525782995873E-2</v>
      </c>
      <c r="AZ111">
        <v>4</v>
      </c>
      <c r="BA111" s="129">
        <f t="shared" si="128"/>
        <v>39714</v>
      </c>
      <c r="BB111">
        <v>0</v>
      </c>
      <c r="BC111">
        <v>0</v>
      </c>
      <c r="BD111">
        <v>4</v>
      </c>
      <c r="BE111">
        <v>0</v>
      </c>
      <c r="BF111">
        <v>0</v>
      </c>
      <c r="BG111">
        <v>9</v>
      </c>
      <c r="BH111">
        <v>1</v>
      </c>
      <c r="BI111">
        <v>4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89"/>
        <v>0.8366220670977782</v>
      </c>
      <c r="CL111" s="179">
        <f t="shared" si="90"/>
        <v>4</v>
      </c>
      <c r="CM111" s="180">
        <f t="shared" si="91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0.14871113204669206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41.666666666666664</v>
      </c>
      <c r="DI111" s="161">
        <f t="shared" si="97"/>
        <v>0</v>
      </c>
      <c r="DJ111" s="161">
        <f t="shared" si="98"/>
        <v>0</v>
      </c>
      <c r="DK111" s="161">
        <f t="shared" si="99"/>
        <v>93.75</v>
      </c>
      <c r="DL111" s="161">
        <f t="shared" si="100"/>
        <v>10.416666666666666</v>
      </c>
      <c r="DM111" s="161">
        <f t="shared" si="101"/>
        <v>41.666666666666664</v>
      </c>
      <c r="DN111" s="161">
        <f t="shared" si="102"/>
        <v>0</v>
      </c>
      <c r="DO111" s="161">
        <f t="shared" si="103"/>
        <v>0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187.49999999999997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1.944708828696879</v>
      </c>
      <c r="ES111" s="139">
        <f t="shared" si="58"/>
        <v>0</v>
      </c>
      <c r="ET111" s="139">
        <f t="shared" si="59"/>
        <v>0</v>
      </c>
      <c r="EU111" s="139">
        <f t="shared" si="60"/>
        <v>51.510251137956743</v>
      </c>
      <c r="EV111" s="139">
        <f t="shared" si="61"/>
        <v>9.3481977534582672</v>
      </c>
      <c r="EW111" s="139">
        <f t="shared" si="62"/>
        <v>56.616327289094208</v>
      </c>
      <c r="EX111" s="139">
        <f t="shared" si="63"/>
        <v>0</v>
      </c>
      <c r="EY111" s="139">
        <f t="shared" si="64"/>
        <v>0</v>
      </c>
      <c r="EZ111" s="139">
        <f t="shared" si="65"/>
        <v>0</v>
      </c>
      <c r="FA111" s="139">
        <f t="shared" si="66"/>
        <v>0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119.4194850092061</v>
      </c>
      <c r="FV111" s="149"/>
      <c r="FY111" s="212">
        <v>106</v>
      </c>
      <c r="FZ111">
        <v>48.643275010434024</v>
      </c>
      <c r="GA111">
        <v>128.16091213543658</v>
      </c>
      <c r="GB111">
        <v>76.3766216554191</v>
      </c>
      <c r="GC111">
        <v>20.108951352428008</v>
      </c>
      <c r="GD111">
        <v>11.062524469175191</v>
      </c>
      <c r="GE111">
        <v>10.049691071943764</v>
      </c>
      <c r="GF111">
        <v>20.491601721842386</v>
      </c>
      <c r="GG111">
        <v>17.044881524610858</v>
      </c>
      <c r="GH111">
        <v>16.193609378750541</v>
      </c>
      <c r="GI111">
        <v>38.958212316072583</v>
      </c>
      <c r="GJ111"/>
      <c r="GK111"/>
      <c r="GL111"/>
      <c r="GM111"/>
    </row>
    <row r="112" spans="1:195" s="7" customFormat="1">
      <c r="A112" s="1"/>
      <c r="B112" s="76">
        <f ca="1">IF(C112="", "", RAND())</f>
        <v>0.35033178988914226</v>
      </c>
      <c r="C112">
        <v>5</v>
      </c>
      <c r="D112">
        <v>39714</v>
      </c>
      <c r="E112">
        <v>0</v>
      </c>
      <c r="F112">
        <v>0</v>
      </c>
      <c r="G112">
        <v>0</v>
      </c>
      <c r="H112">
        <v>114.58333333333333</v>
      </c>
      <c r="I112">
        <v>10.416666666666666</v>
      </c>
      <c r="J112">
        <v>0</v>
      </c>
      <c r="K112">
        <v>0</v>
      </c>
      <c r="L112">
        <v>0</v>
      </c>
      <c r="M112">
        <v>0</v>
      </c>
      <c r="N112">
        <v>20.833333333333332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799.39345424994622</v>
      </c>
      <c r="AO112">
        <v>53.478036167036279</v>
      </c>
      <c r="AP112">
        <v>71.306036384226928</v>
      </c>
      <c r="AQ112">
        <v>366.27395160009212</v>
      </c>
      <c r="AR112">
        <v>53.055483137148812</v>
      </c>
      <c r="AS112">
        <v>447.94246295740464</v>
      </c>
      <c r="AT112">
        <v>27.083872261086992</v>
      </c>
      <c r="AU112">
        <v>-45.841705877692632</v>
      </c>
      <c r="AV112"/>
      <c r="AW112"/>
      <c r="AX112" s="146"/>
      <c r="AY112" s="76">
        <f t="shared" ca="1" si="87"/>
        <v>0.43486713593825144</v>
      </c>
      <c r="AZ112">
        <v>5</v>
      </c>
      <c r="BA112" s="129">
        <f t="shared" si="128"/>
        <v>39714</v>
      </c>
      <c r="BB112">
        <v>0</v>
      </c>
      <c r="BC112">
        <v>0</v>
      </c>
      <c r="BD112">
        <v>0</v>
      </c>
      <c r="BE112">
        <v>11</v>
      </c>
      <c r="BF112">
        <v>1</v>
      </c>
      <c r="BG112">
        <v>0</v>
      </c>
      <c r="BH112">
        <v>0</v>
      </c>
      <c r="BI112">
        <v>0</v>
      </c>
      <c r="BJ112">
        <v>0</v>
      </c>
      <c r="BK112">
        <v>2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89"/>
        <v>9.3674665215822905E-2</v>
      </c>
      <c r="CL112" s="179">
        <f t="shared" si="90"/>
        <v>5</v>
      </c>
      <c r="CM112" s="180">
        <f t="shared" si="91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0.84363330350295329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114.58333333333333</v>
      </c>
      <c r="DJ112" s="161">
        <f t="shared" si="98"/>
        <v>10.416666666666666</v>
      </c>
      <c r="DK112" s="161">
        <f t="shared" si="99"/>
        <v>0</v>
      </c>
      <c r="DL112" s="161">
        <f t="shared" si="100"/>
        <v>0</v>
      </c>
      <c r="DM112" s="161">
        <f t="shared" si="101"/>
        <v>0</v>
      </c>
      <c r="DN112" s="161">
        <f t="shared" si="102"/>
        <v>0</v>
      </c>
      <c r="DO112" s="161">
        <f t="shared" si="103"/>
        <v>20.833333333333332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145.83333333333334</v>
      </c>
      <c r="EL112" s="149"/>
      <c r="EN112" s="146"/>
      <c r="EO112" s="146"/>
      <c r="EP112" s="139">
        <f t="shared" si="55"/>
        <v>0</v>
      </c>
      <c r="EQ112" s="139">
        <f t="shared" si="56"/>
        <v>0</v>
      </c>
      <c r="ER112" s="139">
        <f t="shared" si="57"/>
        <v>0</v>
      </c>
      <c r="ES112" s="139">
        <f t="shared" si="58"/>
        <v>15.923878593560078</v>
      </c>
      <c r="ET112" s="139">
        <f t="shared" si="59"/>
        <v>3.1395421122460458</v>
      </c>
      <c r="EU112" s="139">
        <f t="shared" si="60"/>
        <v>0</v>
      </c>
      <c r="EV112" s="139">
        <f t="shared" si="61"/>
        <v>0</v>
      </c>
      <c r="EW112" s="139">
        <f t="shared" si="62"/>
        <v>0</v>
      </c>
      <c r="EX112" s="139">
        <f t="shared" si="63"/>
        <v>0</v>
      </c>
      <c r="EY112" s="139">
        <f t="shared" si="64"/>
        <v>55.669774835569079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74.73319554137521</v>
      </c>
      <c r="FV112" s="149"/>
      <c r="FY112" s="212">
        <v>107</v>
      </c>
      <c r="FZ112">
        <v>27.373405005412181</v>
      </c>
      <c r="GA112">
        <v>67.95703928864009</v>
      </c>
      <c r="GB112">
        <v>43.55751481104074</v>
      </c>
      <c r="GC112">
        <v>20.641289332004117</v>
      </c>
      <c r="GD112">
        <v>12.843141338606038</v>
      </c>
      <c r="GE112">
        <v>16.950312112960535</v>
      </c>
      <c r="GF112">
        <v>23.894048114995666</v>
      </c>
      <c r="GG112">
        <v>20.886776611494348</v>
      </c>
      <c r="GH112">
        <v>26.128230688106019</v>
      </c>
      <c r="GI112">
        <v>30.825374721429075</v>
      </c>
      <c r="GJ112"/>
      <c r="GK112"/>
      <c r="GL112"/>
      <c r="GM112"/>
    </row>
    <row r="113" spans="1:195" s="7" customFormat="1">
      <c r="A113" s="1"/>
      <c r="B113" s="76">
        <f ca="1">IF(C113="", "", RAND())</f>
        <v>0.34606244738800207</v>
      </c>
      <c r="C113">
        <v>10</v>
      </c>
      <c r="D113">
        <v>39714</v>
      </c>
      <c r="E113">
        <v>0</v>
      </c>
      <c r="F113">
        <v>1428.5714285714284</v>
      </c>
      <c r="G113">
        <v>1391.3690476190475</v>
      </c>
      <c r="H113">
        <v>319.9404761904762</v>
      </c>
      <c r="I113">
        <v>20.833333333333332</v>
      </c>
      <c r="J113">
        <v>83.333333333333329</v>
      </c>
      <c r="K113">
        <v>31.25</v>
      </c>
      <c r="L113">
        <v>104.16666666666667</v>
      </c>
      <c r="M113">
        <v>10.416666666666666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798.5756088550113</v>
      </c>
      <c r="AO113">
        <v>46.612115750248861</v>
      </c>
      <c r="AP113">
        <v>87.946324257851472</v>
      </c>
      <c r="AQ113">
        <v>311.46498115973719</v>
      </c>
      <c r="AR113">
        <v>45.207799784403541</v>
      </c>
      <c r="AS113">
        <v>385.79475670146917</v>
      </c>
      <c r="AT113">
        <v>25.00399618305832</v>
      </c>
      <c r="AU113">
        <v>5.5454645138925898</v>
      </c>
      <c r="AV113"/>
      <c r="AW113"/>
      <c r="AX113" s="146"/>
      <c r="AY113" s="76">
        <f t="shared" ca="1" si="87"/>
        <v>0.7592381921448812</v>
      </c>
      <c r="AZ113">
        <v>6</v>
      </c>
      <c r="BA113" s="129">
        <f t="shared" si="128"/>
        <v>39714</v>
      </c>
      <c r="BB113">
        <v>0</v>
      </c>
      <c r="BC113">
        <v>0</v>
      </c>
      <c r="BD113">
        <v>2</v>
      </c>
      <c r="BE113">
        <v>0</v>
      </c>
      <c r="BF113">
        <v>1</v>
      </c>
      <c r="BG113">
        <v>0</v>
      </c>
      <c r="BH113">
        <v>2</v>
      </c>
      <c r="BI113">
        <v>0</v>
      </c>
      <c r="BJ113">
        <v>1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89"/>
        <v>0.77510804750782825</v>
      </c>
      <c r="CL113" s="179">
        <f t="shared" si="90"/>
        <v>6</v>
      </c>
      <c r="CM113" s="180">
        <f t="shared" si="91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6.0309644447007038E-2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20.833333333333332</v>
      </c>
      <c r="DI113" s="161">
        <f t="shared" si="97"/>
        <v>0</v>
      </c>
      <c r="DJ113" s="161">
        <f t="shared" si="98"/>
        <v>10.416666666666666</v>
      </c>
      <c r="DK113" s="161">
        <f t="shared" si="99"/>
        <v>0</v>
      </c>
      <c r="DL113" s="161">
        <f t="shared" si="100"/>
        <v>20.833333333333332</v>
      </c>
      <c r="DM113" s="161">
        <f t="shared" si="101"/>
        <v>0</v>
      </c>
      <c r="DN113" s="161">
        <f t="shared" si="102"/>
        <v>10.416666666666666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62.499999999999993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0.9723544143484395</v>
      </c>
      <c r="ES113" s="139">
        <f t="shared" si="58"/>
        <v>0</v>
      </c>
      <c r="ET113" s="139">
        <f t="shared" si="59"/>
        <v>3.1395421122460458</v>
      </c>
      <c r="EU113" s="139">
        <f t="shared" si="60"/>
        <v>0</v>
      </c>
      <c r="EV113" s="139">
        <f t="shared" si="61"/>
        <v>18.696395506916534</v>
      </c>
      <c r="EW113" s="139">
        <f t="shared" si="62"/>
        <v>0</v>
      </c>
      <c r="EX113" s="139">
        <f t="shared" si="63"/>
        <v>20.273934131663736</v>
      </c>
      <c r="EY113" s="139">
        <f t="shared" si="64"/>
        <v>0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43.08222616517476</v>
      </c>
      <c r="FV113" s="149"/>
      <c r="FY113" s="212">
        <v>108</v>
      </c>
      <c r="FZ113">
        <v>46.44499384990268</v>
      </c>
      <c r="GA113">
        <v>105.41451452767171</v>
      </c>
      <c r="GB113">
        <v>63.847605105328071</v>
      </c>
      <c r="GC113">
        <v>20.530727280227339</v>
      </c>
      <c r="GD113">
        <v>13.58731755927248</v>
      </c>
      <c r="GE113">
        <v>20.551023985126442</v>
      </c>
      <c r="GF113">
        <v>16.247064791946414</v>
      </c>
      <c r="GG113">
        <v>14.946888636351032</v>
      </c>
      <c r="GH113">
        <v>22.243948316166307</v>
      </c>
      <c r="GI113">
        <v>37.023503780383628</v>
      </c>
      <c r="GJ113"/>
      <c r="GK113"/>
      <c r="GL113"/>
      <c r="GM113"/>
    </row>
    <row r="114" spans="1:195" s="7" customFormat="1">
      <c r="A114" s="1"/>
      <c r="B114" s="76">
        <f ca="1">IF(C114="", "", RAND())</f>
        <v>0.78139514610341054</v>
      </c>
      <c r="C114">
        <v>6</v>
      </c>
      <c r="D114">
        <v>39714</v>
      </c>
      <c r="E114">
        <v>0</v>
      </c>
      <c r="F114">
        <v>0</v>
      </c>
      <c r="G114">
        <v>20.833333333333332</v>
      </c>
      <c r="H114">
        <v>0</v>
      </c>
      <c r="I114">
        <v>10.416666666666666</v>
      </c>
      <c r="J114">
        <v>0</v>
      </c>
      <c r="K114">
        <v>20.833333333333332</v>
      </c>
      <c r="L114">
        <v>0</v>
      </c>
      <c r="M114">
        <v>10.416666666666666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815.58788765049599</v>
      </c>
      <c r="AO114">
        <v>52.166855457765756</v>
      </c>
      <c r="AP114">
        <v>92.751483118827878</v>
      </c>
      <c r="AQ114">
        <v>365.11269072806994</v>
      </c>
      <c r="AR114">
        <v>50.420096645788881</v>
      </c>
      <c r="AS114">
        <v>422.30666692890389</v>
      </c>
      <c r="AT114">
        <v>25.822736728632083</v>
      </c>
      <c r="AU114">
        <v>-32.445521919375196</v>
      </c>
      <c r="AV114"/>
      <c r="AW114"/>
      <c r="AX114" s="146"/>
      <c r="AY114" s="76">
        <f t="shared" ca="1" si="87"/>
        <v>0.7716639099791518</v>
      </c>
      <c r="AZ114">
        <v>7</v>
      </c>
      <c r="BA114" s="129">
        <f t="shared" si="128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89"/>
        <v>0.7904392302340113</v>
      </c>
      <c r="CL114" s="179">
        <f t="shared" si="90"/>
        <v>7</v>
      </c>
      <c r="CM114" s="180">
        <f t="shared" si="91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0.28625865688608298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2">
        <v>109</v>
      </c>
      <c r="FZ114">
        <v>39.517368930928356</v>
      </c>
      <c r="GA114">
        <v>97.203639971027144</v>
      </c>
      <c r="GB114">
        <v>59.862119967589734</v>
      </c>
      <c r="GC114">
        <v>21.020039978029491</v>
      </c>
      <c r="GD114">
        <v>12.514962328225526</v>
      </c>
      <c r="GE114">
        <v>13.648552052620603</v>
      </c>
      <c r="GF114">
        <v>13.115007024463385</v>
      </c>
      <c r="GG114">
        <v>17.137608722715367</v>
      </c>
      <c r="GH114">
        <v>29.64140397244639</v>
      </c>
      <c r="GI114">
        <v>35.074166506745122</v>
      </c>
      <c r="GJ114"/>
      <c r="GK114"/>
      <c r="GL114"/>
      <c r="GM114"/>
    </row>
    <row r="115" spans="1:195" s="7" customFormat="1">
      <c r="A115" s="1"/>
      <c r="B115" s="76">
        <f ca="1">IF(C115="", "", RAND())</f>
        <v>2.0049544725070589E-2</v>
      </c>
      <c r="C115">
        <v>2</v>
      </c>
      <c r="D115">
        <v>39714</v>
      </c>
      <c r="E115">
        <v>0</v>
      </c>
      <c r="F115">
        <v>10.416666666666666</v>
      </c>
      <c r="G115">
        <v>0</v>
      </c>
      <c r="H115">
        <v>93.75</v>
      </c>
      <c r="I115">
        <v>0</v>
      </c>
      <c r="J115">
        <v>31.25</v>
      </c>
      <c r="K115">
        <v>20.833333333333332</v>
      </c>
      <c r="L115">
        <v>20.833333333333332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846.50600658070402</v>
      </c>
      <c r="AO115">
        <v>57.419826734358196</v>
      </c>
      <c r="AP115">
        <v>78.692136472083774</v>
      </c>
      <c r="AQ115">
        <v>405.02512724194747</v>
      </c>
      <c r="AR115">
        <v>56.398841613389827</v>
      </c>
      <c r="AS115">
        <v>436.13630197571774</v>
      </c>
      <c r="AT115">
        <v>28.359582328513955</v>
      </c>
      <c r="AU115">
        <v>-73.488118896448441</v>
      </c>
      <c r="AV115"/>
      <c r="AW115"/>
      <c r="AX115" s="146"/>
      <c r="AY115" s="76">
        <f t="shared" ca="1" si="87"/>
        <v>0.92237659542421735</v>
      </c>
      <c r="AZ115">
        <v>8</v>
      </c>
      <c r="BA115" s="129">
        <f t="shared" si="128"/>
        <v>39714</v>
      </c>
      <c r="BB115">
        <v>0</v>
      </c>
      <c r="BC115">
        <v>0</v>
      </c>
      <c r="BD115">
        <v>2</v>
      </c>
      <c r="BE115">
        <v>2</v>
      </c>
      <c r="BF115">
        <v>0</v>
      </c>
      <c r="BG115">
        <v>2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89"/>
        <v>0.29573562804151132</v>
      </c>
      <c r="CL115" s="179">
        <f t="shared" si="90"/>
        <v>8</v>
      </c>
      <c r="CM115" s="180">
        <f t="shared" si="91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0.6356708645424396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20.833333333333332</v>
      </c>
      <c r="DI115" s="161">
        <f t="shared" si="97"/>
        <v>20.833333333333332</v>
      </c>
      <c r="DJ115" s="161">
        <f t="shared" si="98"/>
        <v>0</v>
      </c>
      <c r="DK115" s="161">
        <f t="shared" si="99"/>
        <v>20.833333333333332</v>
      </c>
      <c r="DL115" s="161">
        <f t="shared" si="100"/>
        <v>0</v>
      </c>
      <c r="DM115" s="161">
        <f t="shared" si="101"/>
        <v>10.416666666666666</v>
      </c>
      <c r="DN115" s="161">
        <f t="shared" si="102"/>
        <v>10.416666666666666</v>
      </c>
      <c r="DO115" s="161">
        <f t="shared" si="103"/>
        <v>10.416666666666666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93.750000000000014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0.9723544143484395</v>
      </c>
      <c r="ES115" s="139">
        <f t="shared" si="58"/>
        <v>2.8952506533745592</v>
      </c>
      <c r="ET115" s="139">
        <f t="shared" si="59"/>
        <v>0</v>
      </c>
      <c r="EU115" s="139">
        <f t="shared" si="60"/>
        <v>11.446722475101499</v>
      </c>
      <c r="EV115" s="139">
        <f t="shared" si="61"/>
        <v>0</v>
      </c>
      <c r="EW115" s="139">
        <f t="shared" si="62"/>
        <v>14.154081822273552</v>
      </c>
      <c r="EX115" s="139">
        <f t="shared" si="63"/>
        <v>20.273934131663736</v>
      </c>
      <c r="EY115" s="139">
        <f t="shared" si="64"/>
        <v>27.83488741778454</v>
      </c>
      <c r="EZ115" s="139">
        <f t="shared" si="65"/>
        <v>0</v>
      </c>
      <c r="FA115" s="139">
        <f t="shared" si="66"/>
        <v>0</v>
      </c>
      <c r="FB115" s="139">
        <f t="shared" si="67"/>
        <v>0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77.57723091454632</v>
      </c>
      <c r="FV115" s="149"/>
      <c r="FY115" s="212">
        <v>110</v>
      </c>
      <c r="FZ115">
        <v>47.655413117352289</v>
      </c>
      <c r="GA115">
        <v>130.75245952925545</v>
      </c>
      <c r="GB115">
        <v>67.232111215458517</v>
      </c>
      <c r="GC115">
        <v>15.410797896419375</v>
      </c>
      <c r="GD115">
        <v>11.606513663413567</v>
      </c>
      <c r="GE115">
        <v>15.249319663536482</v>
      </c>
      <c r="GF115">
        <v>32.055690885265619</v>
      </c>
      <c r="GG115">
        <v>27.976791372344884</v>
      </c>
      <c r="GH115">
        <v>28.08291490732547</v>
      </c>
      <c r="GI115">
        <v>40.949954892589012</v>
      </c>
      <c r="GJ115"/>
      <c r="GK115"/>
      <c r="GL115"/>
      <c r="GM115"/>
    </row>
    <row r="116" spans="1:195" s="7" customFormat="1">
      <c r="A116" s="1"/>
      <c r="B116" s="76">
        <f ca="1">IF(C116="", "", RAND())</f>
        <v>0.64614064114122005</v>
      </c>
      <c r="C116">
        <v>1</v>
      </c>
      <c r="D116">
        <v>39714</v>
      </c>
      <c r="E116">
        <v>130.20833333333334</v>
      </c>
      <c r="F116">
        <v>65.104166666666671</v>
      </c>
      <c r="G116">
        <v>520.83333333333337</v>
      </c>
      <c r="H116">
        <v>85.9375</v>
      </c>
      <c r="I116">
        <v>10.416666666666666</v>
      </c>
      <c r="J116">
        <v>20.833333333333332</v>
      </c>
      <c r="K116">
        <v>10.416666666666666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794.39541197971175</v>
      </c>
      <c r="AO116">
        <v>50.904981475534662</v>
      </c>
      <c r="AP116">
        <v>67.537780976510092</v>
      </c>
      <c r="AQ116">
        <v>368.18019187358294</v>
      </c>
      <c r="AR116">
        <v>49.476737171152486</v>
      </c>
      <c r="AS116">
        <v>399.38979904935962</v>
      </c>
      <c r="AT116">
        <v>25.16369157321418</v>
      </c>
      <c r="AU116">
        <v>-80.736361873156071</v>
      </c>
      <c r="AV116"/>
      <c r="AW116"/>
      <c r="AX116" s="146"/>
      <c r="AY116" s="76">
        <f t="shared" ca="1" si="87"/>
        <v>8.8433600623262887E-2</v>
      </c>
      <c r="AZ116">
        <v>9</v>
      </c>
      <c r="BA116" s="129">
        <f t="shared" si="128"/>
        <v>39714</v>
      </c>
      <c r="BB116">
        <v>0</v>
      </c>
      <c r="BC116">
        <v>0</v>
      </c>
      <c r="BD116">
        <v>6</v>
      </c>
      <c r="BE116">
        <v>8</v>
      </c>
      <c r="BF116">
        <v>1</v>
      </c>
      <c r="BG116">
        <v>6</v>
      </c>
      <c r="BH116">
        <v>18</v>
      </c>
      <c r="BI116">
        <v>2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89"/>
        <v>0.16557762812681265</v>
      </c>
      <c r="CL116" s="179">
        <f t="shared" si="90"/>
        <v>9</v>
      </c>
      <c r="CM116" s="180">
        <f t="shared" si="91"/>
        <v>39714</v>
      </c>
      <c r="CN116">
        <v>3</v>
      </c>
      <c r="CO116">
        <v>15</v>
      </c>
      <c r="CP116">
        <v>23</v>
      </c>
      <c r="CQ116">
        <v>1</v>
      </c>
      <c r="CR116">
        <v>0</v>
      </c>
      <c r="CS116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0.86555163992380857</v>
      </c>
      <c r="DD116">
        <f t="shared" si="93"/>
        <v>9</v>
      </c>
      <c r="DE116" s="129">
        <f t="shared" si="127"/>
        <v>39714</v>
      </c>
      <c r="DF116" s="161">
        <f t="shared" si="94"/>
        <v>302.41935483870964</v>
      </c>
      <c r="DG116" s="161">
        <f t="shared" si="95"/>
        <v>1512.0967741935483</v>
      </c>
      <c r="DH116" s="161">
        <f t="shared" si="96"/>
        <v>2381.0483870967741</v>
      </c>
      <c r="DI116" s="161">
        <f t="shared" si="97"/>
        <v>184.13978494623657</v>
      </c>
      <c r="DJ116" s="161">
        <f t="shared" si="98"/>
        <v>10.416666666666666</v>
      </c>
      <c r="DK116" s="161">
        <f t="shared" si="99"/>
        <v>62.5</v>
      </c>
      <c r="DL116" s="161">
        <f t="shared" si="100"/>
        <v>187.5</v>
      </c>
      <c r="DM116" s="161">
        <f t="shared" si="101"/>
        <v>20.833333333333332</v>
      </c>
      <c r="DN116" s="161">
        <f t="shared" si="102"/>
        <v>0</v>
      </c>
      <c r="DO116" s="161">
        <f t="shared" si="103"/>
        <v>0</v>
      </c>
      <c r="DP116" s="161">
        <f t="shared" si="104"/>
        <v>0</v>
      </c>
      <c r="DQ116" s="161">
        <f t="shared" si="105"/>
        <v>0</v>
      </c>
      <c r="DR116" s="161">
        <f t="shared" si="106"/>
        <v>0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4660.9543010752686</v>
      </c>
      <c r="EL116" s="149"/>
      <c r="EN116" s="146"/>
      <c r="EO116" s="146"/>
      <c r="EP116" s="139">
        <f t="shared" si="55"/>
        <v>0.3384791903264735</v>
      </c>
      <c r="EQ116" s="139">
        <f t="shared" si="56"/>
        <v>10.928830645161289</v>
      </c>
      <c r="ER116" s="139">
        <f t="shared" si="57"/>
        <v>111.13069967859747</v>
      </c>
      <c r="ES116" s="139">
        <f t="shared" si="58"/>
        <v>25.590279968536432</v>
      </c>
      <c r="ET116" s="139">
        <f t="shared" si="59"/>
        <v>3.1395421122460458</v>
      </c>
      <c r="EU116" s="139">
        <f t="shared" si="60"/>
        <v>34.3401674253045</v>
      </c>
      <c r="EV116" s="139">
        <f t="shared" si="61"/>
        <v>168.26755956224881</v>
      </c>
      <c r="EW116" s="139">
        <f t="shared" si="62"/>
        <v>28.308163644547104</v>
      </c>
      <c r="EX116" s="139">
        <f t="shared" si="63"/>
        <v>0</v>
      </c>
      <c r="EY116" s="139">
        <f t="shared" si="64"/>
        <v>0</v>
      </c>
      <c r="EZ116" s="139">
        <f t="shared" si="65"/>
        <v>0</v>
      </c>
      <c r="FA116" s="139">
        <f t="shared" si="66"/>
        <v>0</v>
      </c>
      <c r="FB116" s="139">
        <f t="shared" si="67"/>
        <v>0</v>
      </c>
      <c r="FC116" s="139">
        <f t="shared" si="68"/>
        <v>0</v>
      </c>
      <c r="FD116" s="139">
        <f t="shared" si="69"/>
        <v>0</v>
      </c>
      <c r="FE116" s="139">
        <f t="shared" si="70"/>
        <v>0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382.04372222696816</v>
      </c>
      <c r="FV116" s="149"/>
      <c r="FY116" s="212">
        <v>111</v>
      </c>
      <c r="FZ116">
        <v>41.322863718384177</v>
      </c>
      <c r="GA116">
        <v>65.283783655531863</v>
      </c>
      <c r="GB116">
        <v>39.85983030053503</v>
      </c>
      <c r="GC116">
        <v>17.545127599732034</v>
      </c>
      <c r="GD116">
        <v>12.305355886144834</v>
      </c>
      <c r="GE116">
        <v>16.389907731041582</v>
      </c>
      <c r="GF116">
        <v>26.478797368167236</v>
      </c>
      <c r="GG116">
        <v>26.040491698678647</v>
      </c>
      <c r="GH116">
        <v>19.212229037871158</v>
      </c>
      <c r="GI116">
        <v>30.982465615697503</v>
      </c>
      <c r="GJ116"/>
      <c r="GK116"/>
      <c r="GL116"/>
      <c r="GM116"/>
    </row>
    <row r="117" spans="1:195" s="7" customFormat="1">
      <c r="A117" s="1"/>
      <c r="B117" s="76">
        <f ca="1">IF(C117="", "", RAND())</f>
        <v>0.76517085421609665</v>
      </c>
      <c r="C117">
        <v>7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673.53792886657652</v>
      </c>
      <c r="AO117">
        <v>44.219858674874985</v>
      </c>
      <c r="AP117">
        <v>60.268839969044251</v>
      </c>
      <c r="AQ117">
        <v>297.27745665058751</v>
      </c>
      <c r="AR117">
        <v>43.788816637585654</v>
      </c>
      <c r="AS117">
        <v>366.00889224192002</v>
      </c>
      <c r="AT117">
        <v>23.276960205193777</v>
      </c>
      <c r="AU117">
        <v>-8.4028100192001389</v>
      </c>
      <c r="AV117"/>
      <c r="AW117"/>
      <c r="AX117" s="146"/>
      <c r="AY117" s="76">
        <f t="shared" ca="1" si="87"/>
        <v>0.9052837507293674</v>
      </c>
      <c r="AZ117">
        <v>10</v>
      </c>
      <c r="BA117" s="129">
        <f t="shared" si="128"/>
        <v>39714</v>
      </c>
      <c r="BB117">
        <v>0</v>
      </c>
      <c r="BC117">
        <v>0</v>
      </c>
      <c r="BD117">
        <v>5</v>
      </c>
      <c r="BE117">
        <v>5</v>
      </c>
      <c r="BF117">
        <v>2</v>
      </c>
      <c r="BG117">
        <v>8</v>
      </c>
      <c r="BH117">
        <v>3</v>
      </c>
      <c r="BI117">
        <v>10</v>
      </c>
      <c r="BJ117">
        <v>1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89"/>
        <v>0.6724585271272292</v>
      </c>
      <c r="CL117" s="179">
        <f t="shared" si="90"/>
        <v>10</v>
      </c>
      <c r="CM117" s="180">
        <f t="shared" si="91"/>
        <v>39714</v>
      </c>
      <c r="CN117">
        <v>0</v>
      </c>
      <c r="CO117">
        <v>16</v>
      </c>
      <c r="CP117">
        <v>15</v>
      </c>
      <c r="CQ117">
        <v>3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0.77117580319479728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1428.5714285714284</v>
      </c>
      <c r="DH117" s="161">
        <f t="shared" si="96"/>
        <v>1391.3690476190475</v>
      </c>
      <c r="DI117" s="161">
        <f t="shared" si="97"/>
        <v>319.9404761904762</v>
      </c>
      <c r="DJ117" s="161">
        <f t="shared" si="98"/>
        <v>20.833333333333332</v>
      </c>
      <c r="DK117" s="161">
        <f t="shared" si="99"/>
        <v>83.333333333333329</v>
      </c>
      <c r="DL117" s="161">
        <f t="shared" si="100"/>
        <v>31.25</v>
      </c>
      <c r="DM117" s="161">
        <f t="shared" si="101"/>
        <v>104.16666666666667</v>
      </c>
      <c r="DN117" s="161">
        <f t="shared" si="102"/>
        <v>10.416666666666666</v>
      </c>
      <c r="DO117" s="161">
        <f t="shared" si="103"/>
        <v>0</v>
      </c>
      <c r="DP117" s="161">
        <f t="shared" si="104"/>
        <v>0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3389.8809523809523</v>
      </c>
      <c r="EL117" s="149"/>
      <c r="EN117" s="146"/>
      <c r="EO117" s="146"/>
      <c r="EP117" s="139">
        <f t="shared" si="55"/>
        <v>0</v>
      </c>
      <c r="EQ117" s="139">
        <f t="shared" si="56"/>
        <v>10.325142857142856</v>
      </c>
      <c r="ER117" s="139">
        <f t="shared" si="57"/>
        <v>64.939384101127928</v>
      </c>
      <c r="ES117" s="139">
        <f t="shared" si="58"/>
        <v>44.462777891109312</v>
      </c>
      <c r="ET117" s="139">
        <f t="shared" si="59"/>
        <v>6.2790842244920917</v>
      </c>
      <c r="EU117" s="139">
        <f t="shared" si="60"/>
        <v>45.786889900405995</v>
      </c>
      <c r="EV117" s="139">
        <f t="shared" si="61"/>
        <v>28.0445932603748</v>
      </c>
      <c r="EW117" s="139">
        <f t="shared" si="62"/>
        <v>141.54081822273554</v>
      </c>
      <c r="EX117" s="139">
        <f t="shared" si="63"/>
        <v>20.273934131663736</v>
      </c>
      <c r="EY117" s="139">
        <f t="shared" si="64"/>
        <v>0</v>
      </c>
      <c r="EZ117" s="139">
        <f t="shared" si="65"/>
        <v>0</v>
      </c>
      <c r="FA117" s="139">
        <f t="shared" si="66"/>
        <v>0</v>
      </c>
      <c r="FB117" s="139">
        <f t="shared" si="67"/>
        <v>0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361.65262458905227</v>
      </c>
      <c r="FV117" s="149"/>
      <c r="FY117" s="212">
        <v>112</v>
      </c>
      <c r="FZ117">
        <v>40.449143158530696</v>
      </c>
      <c r="GA117">
        <v>54.969948737016367</v>
      </c>
      <c r="GB117">
        <v>33.829242175202943</v>
      </c>
      <c r="GC117">
        <v>16.25744406658205</v>
      </c>
      <c r="GD117">
        <v>11.670927054624688</v>
      </c>
      <c r="GE117">
        <v>19.266079814443863</v>
      </c>
      <c r="GF117">
        <v>21.339090731017858</v>
      </c>
      <c r="GG117">
        <v>20.927287796152829</v>
      </c>
      <c r="GH117">
        <v>24.87177785868457</v>
      </c>
      <c r="GI117">
        <v>28.944214512526965</v>
      </c>
      <c r="GJ117"/>
      <c r="GK117"/>
      <c r="GL117"/>
      <c r="GM117"/>
    </row>
    <row r="118" spans="1:195" s="7" customFormat="1">
      <c r="A118" s="128"/>
      <c r="B118" s="76">
        <f ca="1">IF(C118="", "", RAND())</f>
        <v>0.39799315550907632</v>
      </c>
      <c r="C118">
        <v>6</v>
      </c>
      <c r="D118">
        <v>39747</v>
      </c>
      <c r="E118">
        <v>0</v>
      </c>
      <c r="F118">
        <v>1281.73828125</v>
      </c>
      <c r="G118">
        <v>1110.83984375</v>
      </c>
      <c r="H118">
        <v>352.21354166666669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960.36358454752315</v>
      </c>
      <c r="AO118">
        <v>59.072738020315271</v>
      </c>
      <c r="AP118">
        <v>66.483232134916648</v>
      </c>
      <c r="AQ118">
        <v>413.03945916053243</v>
      </c>
      <c r="AR118">
        <v>56.149404863491846</v>
      </c>
      <c r="AS118">
        <v>452.01397766658459</v>
      </c>
      <c r="AT118">
        <v>26.981844075088251</v>
      </c>
      <c r="AU118">
        <v>-72.379557520660313</v>
      </c>
      <c r="AV118"/>
      <c r="AW118"/>
      <c r="AX118" s="128"/>
      <c r="AY118" s="76">
        <f t="shared" ca="1" si="87"/>
        <v>7.3921337745577631E-2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1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89"/>
        <v>0.4582494943301374</v>
      </c>
      <c r="CL118" s="179">
        <f t="shared" si="90"/>
        <v>1</v>
      </c>
      <c r="CM118" s="180">
        <f t="shared" si="91"/>
        <v>39747</v>
      </c>
      <c r="CN118">
        <v>0</v>
      </c>
      <c r="CO118">
        <v>0</v>
      </c>
      <c r="CP118">
        <v>1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0.24736276877447105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86.805555555555557</v>
      </c>
      <c r="DI118" s="161">
        <f t="shared" si="97"/>
        <v>0</v>
      </c>
      <c r="DJ118" s="161">
        <f t="shared" si="98"/>
        <v>10.416666666666666</v>
      </c>
      <c r="DK118" s="161">
        <f t="shared" si="99"/>
        <v>0</v>
      </c>
      <c r="DL118" s="161">
        <f t="shared" si="100"/>
        <v>0</v>
      </c>
      <c r="DM118" s="161">
        <f t="shared" si="101"/>
        <v>0</v>
      </c>
      <c r="DN118" s="161">
        <f t="shared" si="102"/>
        <v>0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97.222222222222229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4.0514767264518321</v>
      </c>
      <c r="ES118" s="139">
        <f t="shared" si="58"/>
        <v>0</v>
      </c>
      <c r="ET118" s="139">
        <f t="shared" si="59"/>
        <v>3.1395421122460458</v>
      </c>
      <c r="EU118" s="139">
        <f t="shared" si="60"/>
        <v>0</v>
      </c>
      <c r="EV118" s="139">
        <f t="shared" si="61"/>
        <v>0</v>
      </c>
      <c r="EW118" s="139">
        <f t="shared" si="62"/>
        <v>0</v>
      </c>
      <c r="EX118" s="139">
        <f t="shared" si="63"/>
        <v>0</v>
      </c>
      <c r="EY118" s="139">
        <f t="shared" si="64"/>
        <v>0</v>
      </c>
      <c r="EZ118" s="139">
        <f t="shared" si="65"/>
        <v>0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0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7.1910188386978779</v>
      </c>
      <c r="FV118" s="149"/>
      <c r="FY118" s="212">
        <v>113</v>
      </c>
      <c r="FZ118">
        <v>36.398429216827495</v>
      </c>
      <c r="GA118">
        <v>59.697661540021812</v>
      </c>
      <c r="GB118">
        <v>33.340920032581138</v>
      </c>
      <c r="GC118">
        <v>17.250774626633262</v>
      </c>
      <c r="GD118">
        <v>11.717637842369545</v>
      </c>
      <c r="GE118">
        <v>14.630317457797972</v>
      </c>
      <c r="GF118">
        <v>6.1043635070444449</v>
      </c>
      <c r="GG118">
        <v>10.827316824267754</v>
      </c>
      <c r="GH118">
        <v>31.936187468431314</v>
      </c>
      <c r="GI118">
        <v>26.658451941535578</v>
      </c>
      <c r="GJ118"/>
      <c r="GK118"/>
      <c r="GL118"/>
      <c r="GM118"/>
    </row>
    <row r="119" spans="1:195" s="7" customFormat="1">
      <c r="A119" s="1"/>
      <c r="B119" s="76">
        <f ca="1">IF(C119="", "", RAND())</f>
        <v>0.19688589477379836</v>
      </c>
      <c r="C119">
        <v>3</v>
      </c>
      <c r="D119">
        <v>39747</v>
      </c>
      <c r="E119">
        <v>0</v>
      </c>
      <c r="F119">
        <v>0</v>
      </c>
      <c r="G119">
        <v>0</v>
      </c>
      <c r="H119">
        <v>10.416666666666666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751.41852399085985</v>
      </c>
      <c r="AO119">
        <v>58.58467510797859</v>
      </c>
      <c r="AP119">
        <v>46.877448319840866</v>
      </c>
      <c r="AQ119">
        <v>439.17643489019866</v>
      </c>
      <c r="AR119">
        <v>58.430324700714515</v>
      </c>
      <c r="AS119">
        <v>466.49379931051755</v>
      </c>
      <c r="AT119">
        <v>29.737158556627051</v>
      </c>
      <c r="AU119">
        <v>-84.134901573765461</v>
      </c>
      <c r="AV119"/>
      <c r="AW119"/>
      <c r="AX119" s="146"/>
      <c r="AY119" s="76">
        <f t="shared" ca="1" si="87"/>
        <v>0.33067757178029389</v>
      </c>
      <c r="AZ119">
        <v>2</v>
      </c>
      <c r="BA119" s="129">
        <f t="shared" ref="BA119:BA127" si="130">IF(AZ119="", "",$C$7)</f>
        <v>39747</v>
      </c>
      <c r="BB119">
        <v>0</v>
      </c>
      <c r="BC119">
        <v>0</v>
      </c>
      <c r="BD119">
        <v>0</v>
      </c>
      <c r="BE119">
        <v>1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89"/>
        <v>0.6641057626540654</v>
      </c>
      <c r="CL119" s="179">
        <f t="shared" si="90"/>
        <v>2</v>
      </c>
      <c r="CM119" s="180">
        <f t="shared" si="91"/>
        <v>39747</v>
      </c>
      <c r="CN119">
        <v>0</v>
      </c>
      <c r="CO119">
        <v>7</v>
      </c>
      <c r="CP119">
        <v>17</v>
      </c>
      <c r="CQ119">
        <v>3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0.34248910247777342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638.02083333333337</v>
      </c>
      <c r="DH119" s="161">
        <f t="shared" si="96"/>
        <v>1549.4791666666667</v>
      </c>
      <c r="DI119" s="161">
        <f t="shared" si="97"/>
        <v>299.47916666666669</v>
      </c>
      <c r="DJ119" s="161">
        <f t="shared" si="98"/>
        <v>0</v>
      </c>
      <c r="DK119" s="161">
        <f t="shared" si="99"/>
        <v>0</v>
      </c>
      <c r="DL119" s="161">
        <f t="shared" si="100"/>
        <v>0</v>
      </c>
      <c r="DM119" s="161">
        <f t="shared" si="101"/>
        <v>0</v>
      </c>
      <c r="DN119" s="161">
        <f t="shared" si="102"/>
        <v>0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2486.9791666666665</v>
      </c>
      <c r="EL119" s="149"/>
      <c r="EN119" s="146"/>
      <c r="EO119" s="146"/>
      <c r="EP119" s="139">
        <f t="shared" si="55"/>
        <v>0</v>
      </c>
      <c r="EQ119" s="139">
        <f t="shared" si="56"/>
        <v>4.6113593750000001</v>
      </c>
      <c r="ER119" s="139">
        <f t="shared" si="57"/>
        <v>72.318859567165205</v>
      </c>
      <c r="ES119" s="139">
        <f t="shared" si="58"/>
        <v>41.619228142259296</v>
      </c>
      <c r="ET119" s="139">
        <f t="shared" si="59"/>
        <v>0</v>
      </c>
      <c r="EU119" s="139">
        <f t="shared" si="60"/>
        <v>0</v>
      </c>
      <c r="EV119" s="139">
        <f t="shared" si="61"/>
        <v>0</v>
      </c>
      <c r="EW119" s="139">
        <f t="shared" si="62"/>
        <v>0</v>
      </c>
      <c r="EX119" s="139">
        <f t="shared" si="63"/>
        <v>0</v>
      </c>
      <c r="EY119" s="139">
        <f t="shared" si="64"/>
        <v>0</v>
      </c>
      <c r="EZ119" s="139">
        <f t="shared" si="65"/>
        <v>0</v>
      </c>
      <c r="FA119" s="139">
        <f t="shared" si="66"/>
        <v>0</v>
      </c>
      <c r="FB119" s="139">
        <f t="shared" si="67"/>
        <v>0</v>
      </c>
      <c r="FC119" s="139">
        <f t="shared" si="68"/>
        <v>0</v>
      </c>
      <c r="FD119" s="139">
        <f t="shared" si="69"/>
        <v>0</v>
      </c>
      <c r="FE119" s="139">
        <f t="shared" si="70"/>
        <v>0</v>
      </c>
      <c r="FF119" s="139">
        <f t="shared" si="71"/>
        <v>0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118.54944708442451</v>
      </c>
      <c r="FV119" s="149"/>
      <c r="FY119" s="212">
        <v>114</v>
      </c>
      <c r="FZ119">
        <v>35.547110562297625</v>
      </c>
      <c r="GA119">
        <v>96.69984923360343</v>
      </c>
      <c r="GB119">
        <v>57.719773446259651</v>
      </c>
      <c r="GC119">
        <v>18.791573069392307</v>
      </c>
      <c r="GD119">
        <v>14.01770850115769</v>
      </c>
      <c r="GE119">
        <v>20.056484330501313</v>
      </c>
      <c r="GF119">
        <v>25.491812622032892</v>
      </c>
      <c r="GG119">
        <v>22.186993724985754</v>
      </c>
      <c r="GH119">
        <v>25.25467290643136</v>
      </c>
      <c r="GI119">
        <v>36.423280295413456</v>
      </c>
      <c r="GJ119"/>
      <c r="GK119"/>
      <c r="GL119"/>
      <c r="GM119"/>
    </row>
    <row r="120" spans="1:195" s="7" customFormat="1">
      <c r="A120" s="1"/>
      <c r="B120" s="76">
        <f ca="1">IF(C120="", "", RAND())</f>
        <v>0.86679920082870066</v>
      </c>
      <c r="C120">
        <v>4</v>
      </c>
      <c r="D120">
        <v>39747</v>
      </c>
      <c r="E120">
        <v>0</v>
      </c>
      <c r="F120">
        <v>1060.748922413793</v>
      </c>
      <c r="G120">
        <v>919.3157327586207</v>
      </c>
      <c r="H120">
        <v>368.09365203761752</v>
      </c>
      <c r="I120">
        <v>28.409090909090907</v>
      </c>
      <c r="J120">
        <v>0</v>
      </c>
      <c r="K120">
        <v>28.409090909090907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746.50485388061156</v>
      </c>
      <c r="AO120">
        <v>49.173706454846553</v>
      </c>
      <c r="AP120">
        <v>88.094384096928366</v>
      </c>
      <c r="AQ120">
        <v>339.60811690485372</v>
      </c>
      <c r="AR120">
        <v>48.636855139099808</v>
      </c>
      <c r="AS120">
        <v>396.712156366535</v>
      </c>
      <c r="AT120">
        <v>25.604312528451882</v>
      </c>
      <c r="AU120">
        <v>-39.427500532615468</v>
      </c>
      <c r="AV120"/>
      <c r="AW120"/>
      <c r="AX120" s="146"/>
      <c r="AY120" s="76">
        <f t="shared" ca="1" si="87"/>
        <v>0.27491596853319322</v>
      </c>
      <c r="AZ120">
        <v>3</v>
      </c>
      <c r="BA120" s="129">
        <f t="shared" si="130"/>
        <v>39747</v>
      </c>
      <c r="BB120">
        <v>0</v>
      </c>
      <c r="BC120">
        <v>0</v>
      </c>
      <c r="BD120">
        <v>0</v>
      </c>
      <c r="BE120">
        <v>1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89"/>
        <v>0.70023979395825986</v>
      </c>
      <c r="CL120" s="179">
        <f t="shared" si="90"/>
        <v>3</v>
      </c>
      <c r="CM120" s="180">
        <f t="shared" si="91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0.73476380993059909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10.416666666666666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1">IF(DF120="", "", SUM(DF120:EJ120))</f>
        <v>10.416666666666666</v>
      </c>
      <c r="EL120" s="149"/>
      <c r="EN120" s="146"/>
      <c r="EO120" s="146"/>
      <c r="EP120" s="139">
        <f t="shared" ref="EP120:EP151" si="132">IF(DF120="", "", DF120*G$36)</f>
        <v>0</v>
      </c>
      <c r="EQ120" s="139">
        <f t="shared" ref="EQ120:EQ151" si="133">IF(DG120="", "", DG120*H$36)</f>
        <v>0</v>
      </c>
      <c r="ER120" s="139">
        <f t="shared" ref="ER120:ER151" si="134">IF(DH120="", "", DH120*I$36)</f>
        <v>0</v>
      </c>
      <c r="ES120" s="139">
        <f t="shared" ref="ES120:ES151" si="135">IF(DI120="", "", DI120*J$36)</f>
        <v>1.4476253266872796</v>
      </c>
      <c r="ET120" s="139">
        <f t="shared" ref="ET120:ET151" si="136">IF(DJ120="", "", DJ120*K$36)</f>
        <v>0</v>
      </c>
      <c r="EU120" s="139">
        <f t="shared" ref="EU120:EU151" si="137">IF(DK120="", "", DK120*L$36)</f>
        <v>0</v>
      </c>
      <c r="EV120" s="139">
        <f t="shared" ref="EV120:EV151" si="138">IF(DL120="", "", DL120*M$36)</f>
        <v>0</v>
      </c>
      <c r="EW120" s="139">
        <f t="shared" ref="EW120:EW151" si="139">IF(DM120="", "", DM120*N$36)</f>
        <v>0</v>
      </c>
      <c r="EX120" s="139">
        <f t="shared" ref="EX120:EX151" si="140">IF(DN120="", "", DN120*O$36)</f>
        <v>0</v>
      </c>
      <c r="EY120" s="139">
        <f t="shared" ref="EY120:EY151" si="141">IF(DO120="", "", DO120*P$36)</f>
        <v>0</v>
      </c>
      <c r="EZ120" s="139">
        <f t="shared" ref="EZ120:EZ151" si="142">IF(DP120="", "", DP120*Q$36)</f>
        <v>0</v>
      </c>
      <c r="FA120" s="139">
        <f t="shared" ref="FA120:FA151" si="143">IF(DQ120="", "", DQ120*R$36)</f>
        <v>0</v>
      </c>
      <c r="FB120" s="139">
        <f t="shared" ref="FB120:FB151" si="144">IF(DR120="", "", DR120*S$36)</f>
        <v>0</v>
      </c>
      <c r="FC120" s="139">
        <f t="shared" ref="FC120:FC151" si="145">IF(DS120="", "", DS120*T$36)</f>
        <v>0</v>
      </c>
      <c r="FD120" s="139">
        <f t="shared" ref="FD120:FD151" si="146">IF(DT120="", "", DT120*U$36)</f>
        <v>0</v>
      </c>
      <c r="FE120" s="139">
        <f t="shared" ref="FE120:FE151" si="147">IF(DU120="", "", DU120*V$36)</f>
        <v>0</v>
      </c>
      <c r="FF120" s="139">
        <f t="shared" ref="FF120:FF151" si="148">IF(DV120="", "", DV120*W$36)</f>
        <v>0</v>
      </c>
      <c r="FG120" s="139">
        <f t="shared" ref="FG120:FG151" si="149">IF(DW120="", "", DW120*X$36)</f>
        <v>0</v>
      </c>
      <c r="FH120" s="139">
        <f t="shared" ref="FH120:FH151" si="150">IF(DX120="", "", DX120*Y$36)</f>
        <v>0</v>
      </c>
      <c r="FI120" s="139">
        <f t="shared" ref="FI120:FI151" si="151">IF(DY120="", "", DY120*Z$36)</f>
        <v>0</v>
      </c>
      <c r="FJ120" s="139">
        <f t="shared" ref="FJ120:FJ151" si="152">IF(DZ120="", "", DZ120*AA$36)</f>
        <v>0</v>
      </c>
      <c r="FK120" s="139">
        <f t="shared" ref="FK120:FK151" si="153">IF(EA120="", "", EA120*AB$36)</f>
        <v>0</v>
      </c>
      <c r="FL120" s="139">
        <f t="shared" ref="FL120:FL151" si="154">IF(EB120="", "", EB120*AC$36)</f>
        <v>0</v>
      </c>
      <c r="FM120" s="139">
        <f t="shared" ref="FM120:FM151" si="155">IF(EC120="", "", EC120*AD$36)</f>
        <v>0</v>
      </c>
      <c r="FN120" s="139">
        <f t="shared" ref="FN120:FN151" si="156">IF(ED120="", "", ED120*AE$36)</f>
        <v>0</v>
      </c>
      <c r="FO120" s="139">
        <f t="shared" ref="FO120:FO151" si="157">IF(EE120="", "", EE120*AF$36)</f>
        <v>0</v>
      </c>
      <c r="FP120" s="139">
        <f t="shared" ref="FP120:FP151" si="158">IF(EF120="", "", EF120*AG$36)</f>
        <v>0</v>
      </c>
      <c r="FQ120" s="139">
        <f t="shared" ref="FQ120:FQ151" si="159">IF(EG120="", "", EG120*AH$36)</f>
        <v>0</v>
      </c>
      <c r="FR120" s="139">
        <f t="shared" ref="FR120:FR151" si="160">IF(EH120="", "", EH120*AI$36)</f>
        <v>0</v>
      </c>
      <c r="FS120" s="139">
        <f t="shared" ref="FS120:FS151" si="161">IF(EI120="", "", EI120*AJ$36)</f>
        <v>0</v>
      </c>
      <c r="FT120" s="139">
        <f t="shared" ref="FT120:FT151" si="162">IF(EJ120="", "", EJ120*AK$36)</f>
        <v>0</v>
      </c>
      <c r="FU120" s="148">
        <f t="shared" ref="FU120:FU151" si="163">IF(EP120="","",SUM(EP120:FT120))</f>
        <v>1.4476253266872796</v>
      </c>
      <c r="FV120" s="149"/>
      <c r="FY120" s="212">
        <v>115</v>
      </c>
      <c r="FZ120">
        <v>51.523090977734562</v>
      </c>
      <c r="GA120">
        <v>65.297899719660279</v>
      </c>
      <c r="GB120">
        <v>40.810598511135808</v>
      </c>
      <c r="GC120">
        <v>21.674964431532047</v>
      </c>
      <c r="GD120">
        <v>14.167672807979628</v>
      </c>
      <c r="GE120">
        <v>15.795170342537775</v>
      </c>
      <c r="GF120">
        <v>40.699101848431177</v>
      </c>
      <c r="GG120">
        <v>46.74827553906902</v>
      </c>
      <c r="GH120">
        <v>36.021415938553915</v>
      </c>
      <c r="GI120">
        <v>39.230335231627727</v>
      </c>
      <c r="GJ120"/>
      <c r="GK120"/>
      <c r="GL120"/>
      <c r="GM120"/>
    </row>
    <row r="121" spans="1:195" s="7" customFormat="1">
      <c r="A121" s="1"/>
      <c r="B121" s="76">
        <f ca="1">IF(C121="", "", RAND())</f>
        <v>0.32489697123468297</v>
      </c>
      <c r="C121">
        <v>7</v>
      </c>
      <c r="D121">
        <v>39747</v>
      </c>
      <c r="E121">
        <v>669.64285714285722</v>
      </c>
      <c r="F121">
        <v>744.04761904761904</v>
      </c>
      <c r="G121">
        <v>892.85714285714289</v>
      </c>
      <c r="H121">
        <v>148.80952380952382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705.60879903629836</v>
      </c>
      <c r="AO121">
        <v>49.992241598258538</v>
      </c>
      <c r="AP121">
        <v>55.812767113211635</v>
      </c>
      <c r="AQ121">
        <v>350.9400576644137</v>
      </c>
      <c r="AR121">
        <v>48.614037574118782</v>
      </c>
      <c r="AS121">
        <v>395.88703637723387</v>
      </c>
      <c r="AT121">
        <v>25.075896401202986</v>
      </c>
      <c r="AU121">
        <v>-42.004373616036638</v>
      </c>
      <c r="AV121"/>
      <c r="AW121"/>
      <c r="AX121" s="146"/>
      <c r="AY121" s="76">
        <f t="shared" ca="1" si="87"/>
        <v>0.35392684170586186</v>
      </c>
      <c r="AZ121">
        <v>4</v>
      </c>
      <c r="BA121" s="129">
        <f t="shared" si="130"/>
        <v>39747</v>
      </c>
      <c r="BB121">
        <v>0</v>
      </c>
      <c r="BC121">
        <v>0</v>
      </c>
      <c r="BD121">
        <v>0</v>
      </c>
      <c r="BE121">
        <v>3</v>
      </c>
      <c r="BF121">
        <v>1</v>
      </c>
      <c r="BG121">
        <v>0</v>
      </c>
      <c r="BH121">
        <v>1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89"/>
        <v>0.67840012628833191</v>
      </c>
      <c r="CL121" s="179">
        <f t="shared" si="90"/>
        <v>4</v>
      </c>
      <c r="CM121" s="180">
        <f t="shared" si="91"/>
        <v>39747</v>
      </c>
      <c r="CN121">
        <v>0</v>
      </c>
      <c r="CO121">
        <v>16.875</v>
      </c>
      <c r="CP121">
        <v>14.625</v>
      </c>
      <c r="CQ121">
        <v>4.5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0.7416658636916269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1060.748922413793</v>
      </c>
      <c r="DH121" s="161">
        <f t="shared" si="96"/>
        <v>919.3157327586207</v>
      </c>
      <c r="DI121" s="161">
        <f t="shared" si="97"/>
        <v>368.09365203761752</v>
      </c>
      <c r="DJ121" s="161">
        <f t="shared" si="98"/>
        <v>28.409090909090907</v>
      </c>
      <c r="DK121" s="161">
        <f t="shared" si="99"/>
        <v>0</v>
      </c>
      <c r="DL121" s="161">
        <f t="shared" si="100"/>
        <v>28.409090909090907</v>
      </c>
      <c r="DM121" s="161">
        <f t="shared" si="101"/>
        <v>0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1"/>
        <v>2404.9764890282131</v>
      </c>
      <c r="EL121" s="149"/>
      <c r="EN121" s="146"/>
      <c r="EO121" s="146"/>
      <c r="EP121" s="139">
        <f t="shared" si="132"/>
        <v>0</v>
      </c>
      <c r="EQ121" s="139">
        <f t="shared" si="133"/>
        <v>7.6666689116379301</v>
      </c>
      <c r="ER121" s="139">
        <f t="shared" si="134"/>
        <v>42.90723412453513</v>
      </c>
      <c r="ES121" s="139">
        <f t="shared" si="135"/>
        <v>51.154722555117118</v>
      </c>
      <c r="ET121" s="139">
        <f t="shared" si="136"/>
        <v>8.562387578852853</v>
      </c>
      <c r="EU121" s="139">
        <f t="shared" si="137"/>
        <v>0</v>
      </c>
      <c r="EV121" s="139">
        <f t="shared" si="138"/>
        <v>25.495084782158909</v>
      </c>
      <c r="EW121" s="139">
        <f t="shared" si="139"/>
        <v>0</v>
      </c>
      <c r="EX121" s="139">
        <f t="shared" si="140"/>
        <v>0</v>
      </c>
      <c r="EY121" s="139">
        <f t="shared" si="141"/>
        <v>0</v>
      </c>
      <c r="EZ121" s="139">
        <f t="shared" si="142"/>
        <v>0</v>
      </c>
      <c r="FA121" s="139">
        <f t="shared" si="143"/>
        <v>0</v>
      </c>
      <c r="FB121" s="139">
        <f t="shared" si="144"/>
        <v>0</v>
      </c>
      <c r="FC121" s="139">
        <f t="shared" si="145"/>
        <v>0</v>
      </c>
      <c r="FD121" s="139">
        <f t="shared" si="146"/>
        <v>0</v>
      </c>
      <c r="FE121" s="139">
        <f t="shared" si="147"/>
        <v>0</v>
      </c>
      <c r="FF121" s="139">
        <f t="shared" si="148"/>
        <v>0</v>
      </c>
      <c r="FG121" s="139">
        <f t="shared" si="149"/>
        <v>0</v>
      </c>
      <c r="FH121" s="139">
        <f t="shared" si="150"/>
        <v>0</v>
      </c>
      <c r="FI121" s="139">
        <f t="shared" si="151"/>
        <v>0</v>
      </c>
      <c r="FJ121" s="139">
        <f t="shared" si="152"/>
        <v>0</v>
      </c>
      <c r="FK121" s="139">
        <f t="shared" si="153"/>
        <v>0</v>
      </c>
      <c r="FL121" s="139">
        <f t="shared" si="154"/>
        <v>0</v>
      </c>
      <c r="FM121" s="139">
        <f t="shared" si="155"/>
        <v>0</v>
      </c>
      <c r="FN121" s="139">
        <f t="shared" si="156"/>
        <v>0</v>
      </c>
      <c r="FO121" s="139">
        <f t="shared" si="157"/>
        <v>0</v>
      </c>
      <c r="FP121" s="139">
        <f t="shared" si="158"/>
        <v>0</v>
      </c>
      <c r="FQ121" s="139">
        <f t="shared" si="159"/>
        <v>0</v>
      </c>
      <c r="FR121" s="139">
        <f t="shared" si="160"/>
        <v>0</v>
      </c>
      <c r="FS121" s="139">
        <f t="shared" si="161"/>
        <v>0</v>
      </c>
      <c r="FT121" s="139">
        <f t="shared" si="162"/>
        <v>0</v>
      </c>
      <c r="FU121" s="148">
        <f t="shared" si="163"/>
        <v>135.78609795230193</v>
      </c>
      <c r="FV121" s="149"/>
      <c r="FY121" s="212">
        <v>116</v>
      </c>
      <c r="FZ121">
        <v>56.56553272682104</v>
      </c>
      <c r="GA121">
        <v>133.48237180117599</v>
      </c>
      <c r="GB121">
        <v>66.208907476659263</v>
      </c>
      <c r="GC121">
        <v>20.962709771079094</v>
      </c>
      <c r="GD121">
        <v>13.29679705441689</v>
      </c>
      <c r="GE121">
        <v>14.804204002804749</v>
      </c>
      <c r="GF121">
        <v>24.731199067344434</v>
      </c>
      <c r="GG121">
        <v>26.029690934262561</v>
      </c>
      <c r="GH121">
        <v>24.664865485630301</v>
      </c>
      <c r="GI121">
        <v>40.9736448332634</v>
      </c>
      <c r="GJ121"/>
      <c r="GK121"/>
      <c r="GL121"/>
      <c r="GM121"/>
    </row>
    <row r="122" spans="1:195" s="7" customFormat="1">
      <c r="A122" s="1"/>
      <c r="B122" s="76">
        <f ca="1">IF(C122="", "", RAND())</f>
        <v>0.75307190134525559</v>
      </c>
      <c r="C122">
        <v>5</v>
      </c>
      <c r="D122">
        <v>39747</v>
      </c>
      <c r="E122">
        <v>110.47979797979797</v>
      </c>
      <c r="F122">
        <v>662.87878787878788</v>
      </c>
      <c r="G122">
        <v>994.31818181818176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702.91123164937017</v>
      </c>
      <c r="AO122">
        <v>53.910403174107479</v>
      </c>
      <c r="AP122">
        <v>72.991999968086759</v>
      </c>
      <c r="AQ122">
        <v>387.09028063611299</v>
      </c>
      <c r="AR122">
        <v>53.727539281146129</v>
      </c>
      <c r="AS122">
        <v>433.00672694599587</v>
      </c>
      <c r="AT122">
        <v>25.975017465035467</v>
      </c>
      <c r="AU122">
        <v>-1.8543829839720871</v>
      </c>
      <c r="AV122"/>
      <c r="AW122"/>
      <c r="AX122" s="146"/>
      <c r="AY122" s="76">
        <f t="shared" ca="1" si="87"/>
        <v>0.81820136477619543</v>
      </c>
      <c r="AZ122">
        <v>5</v>
      </c>
      <c r="BA122" s="129">
        <f t="shared" si="130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89"/>
        <v>0.3805317637550818</v>
      </c>
      <c r="CL122" s="179">
        <f t="shared" si="90"/>
        <v>5</v>
      </c>
      <c r="CM122" s="180">
        <f t="shared" si="91"/>
        <v>39747</v>
      </c>
      <c r="CN122">
        <v>1</v>
      </c>
      <c r="CO122">
        <v>6</v>
      </c>
      <c r="CP122">
        <v>9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0.10868117140456057</v>
      </c>
      <c r="DD122">
        <f t="shared" si="93"/>
        <v>5</v>
      </c>
      <c r="DE122" s="129">
        <f t="shared" si="129"/>
        <v>39747</v>
      </c>
      <c r="DF122" s="161">
        <f t="shared" si="94"/>
        <v>110.47979797979797</v>
      </c>
      <c r="DG122" s="161">
        <f t="shared" si="95"/>
        <v>662.87878787878788</v>
      </c>
      <c r="DH122" s="161">
        <f t="shared" si="96"/>
        <v>994.31818181818176</v>
      </c>
      <c r="DI122" s="161">
        <f t="shared" si="97"/>
        <v>0</v>
      </c>
      <c r="DJ122" s="161">
        <f t="shared" si="98"/>
        <v>0</v>
      </c>
      <c r="DK122" s="161">
        <f t="shared" si="99"/>
        <v>0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1"/>
        <v>1767.6767676767677</v>
      </c>
      <c r="EL122" s="149"/>
      <c r="EN122" s="146"/>
      <c r="EO122" s="146"/>
      <c r="EP122" s="139">
        <f t="shared" si="132"/>
        <v>0.12365317222364436</v>
      </c>
      <c r="EQ122" s="139">
        <f t="shared" si="133"/>
        <v>4.7910227272727273</v>
      </c>
      <c r="ER122" s="139">
        <f t="shared" si="134"/>
        <v>46.407824321175525</v>
      </c>
      <c r="ES122" s="139">
        <f t="shared" si="135"/>
        <v>0</v>
      </c>
      <c r="ET122" s="139">
        <f t="shared" si="136"/>
        <v>0</v>
      </c>
      <c r="EU122" s="139">
        <f t="shared" si="137"/>
        <v>0</v>
      </c>
      <c r="EV122" s="139">
        <f t="shared" si="138"/>
        <v>0</v>
      </c>
      <c r="EW122" s="139">
        <f t="shared" si="139"/>
        <v>0</v>
      </c>
      <c r="EX122" s="139">
        <f t="shared" si="140"/>
        <v>0</v>
      </c>
      <c r="EY122" s="139">
        <f t="shared" si="141"/>
        <v>0</v>
      </c>
      <c r="EZ122" s="139">
        <f t="shared" si="142"/>
        <v>0</v>
      </c>
      <c r="FA122" s="139">
        <f t="shared" si="143"/>
        <v>0</v>
      </c>
      <c r="FB122" s="139">
        <f t="shared" si="144"/>
        <v>0</v>
      </c>
      <c r="FC122" s="139">
        <f t="shared" si="145"/>
        <v>0</v>
      </c>
      <c r="FD122" s="139">
        <f t="shared" si="146"/>
        <v>0</v>
      </c>
      <c r="FE122" s="139">
        <f t="shared" si="147"/>
        <v>0</v>
      </c>
      <c r="FF122" s="139">
        <f t="shared" si="148"/>
        <v>0</v>
      </c>
      <c r="FG122" s="139">
        <f t="shared" si="149"/>
        <v>0</v>
      </c>
      <c r="FH122" s="139">
        <f t="shared" si="150"/>
        <v>0</v>
      </c>
      <c r="FI122" s="139">
        <f t="shared" si="151"/>
        <v>0</v>
      </c>
      <c r="FJ122" s="139">
        <f t="shared" si="152"/>
        <v>0</v>
      </c>
      <c r="FK122" s="139">
        <f t="shared" si="153"/>
        <v>0</v>
      </c>
      <c r="FL122" s="139">
        <f t="shared" si="154"/>
        <v>0</v>
      </c>
      <c r="FM122" s="139">
        <f t="shared" si="155"/>
        <v>0</v>
      </c>
      <c r="FN122" s="139">
        <f t="shared" si="156"/>
        <v>0</v>
      </c>
      <c r="FO122" s="139">
        <f t="shared" si="157"/>
        <v>0</v>
      </c>
      <c r="FP122" s="139">
        <f t="shared" si="158"/>
        <v>0</v>
      </c>
      <c r="FQ122" s="139">
        <f t="shared" si="159"/>
        <v>0</v>
      </c>
      <c r="FR122" s="139">
        <f t="shared" si="160"/>
        <v>0</v>
      </c>
      <c r="FS122" s="139">
        <f t="shared" si="161"/>
        <v>0</v>
      </c>
      <c r="FT122" s="139">
        <f t="shared" si="162"/>
        <v>0</v>
      </c>
      <c r="FU122" s="148">
        <f t="shared" si="163"/>
        <v>51.322500220671898</v>
      </c>
      <c r="FV122" s="149"/>
      <c r="FY122" s="212">
        <v>117</v>
      </c>
      <c r="FZ122">
        <v>58.261000966439155</v>
      </c>
      <c r="GA122">
        <v>111.68000288661125</v>
      </c>
      <c r="GB122">
        <v>66.453562866619492</v>
      </c>
      <c r="GC122">
        <v>19.157258436541657</v>
      </c>
      <c r="GD122">
        <v>10.837779390847034</v>
      </c>
      <c r="GE122">
        <v>14.828024098187345</v>
      </c>
      <c r="GF122">
        <v>17.181473368631234</v>
      </c>
      <c r="GG122">
        <v>18.960116133095664</v>
      </c>
      <c r="GH122">
        <v>25.216320680316858</v>
      </c>
      <c r="GI122">
        <v>38.60718207603</v>
      </c>
      <c r="GJ122"/>
      <c r="GK122"/>
      <c r="GL122"/>
      <c r="GM122"/>
    </row>
    <row r="123" spans="1:195" s="7" customFormat="1">
      <c r="A123" s="1"/>
      <c r="B123" s="76">
        <f ca="1">IF(C123="", "", RAND())</f>
        <v>0.73786443772584032</v>
      </c>
      <c r="C123">
        <v>8</v>
      </c>
      <c r="D123">
        <v>39747</v>
      </c>
      <c r="E123">
        <v>0</v>
      </c>
      <c r="F123">
        <v>631.00961538461536</v>
      </c>
      <c r="G123">
        <v>350.5608974358974</v>
      </c>
      <c r="H123">
        <v>210.33653846153848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715.14893412493893</v>
      </c>
      <c r="AO123">
        <v>43.786796748703011</v>
      </c>
      <c r="AP123">
        <v>60.892976107413006</v>
      </c>
      <c r="AQ123">
        <v>291.05713202468883</v>
      </c>
      <c r="AR123">
        <v>42.318816207279426</v>
      </c>
      <c r="AS123">
        <v>357.85860034081406</v>
      </c>
      <c r="AT123">
        <v>22.046484048193591</v>
      </c>
      <c r="AU123">
        <v>-20.705956368204625</v>
      </c>
      <c r="AV123"/>
      <c r="AW123"/>
      <c r="AX123" s="146"/>
      <c r="AY123" s="76">
        <f t="shared" ca="1" si="87"/>
        <v>0.31366445651282771</v>
      </c>
      <c r="AZ123">
        <v>6</v>
      </c>
      <c r="BA123" s="129">
        <f t="shared" si="130"/>
        <v>39747</v>
      </c>
      <c r="BB123">
        <v>0</v>
      </c>
      <c r="BC123">
        <v>0</v>
      </c>
      <c r="BD123">
        <v>0</v>
      </c>
      <c r="BE123">
        <v>1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89"/>
        <v>0.67310859819651947</v>
      </c>
      <c r="CL123" s="179">
        <f t="shared" si="90"/>
        <v>6</v>
      </c>
      <c r="CM123" s="180">
        <f t="shared" si="91"/>
        <v>39747</v>
      </c>
      <c r="CN123">
        <v>0</v>
      </c>
      <c r="CO123">
        <v>19.6875</v>
      </c>
      <c r="CP123">
        <v>17.0625</v>
      </c>
      <c r="CQ123">
        <v>5.25</v>
      </c>
      <c r="CR123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0.6638715054344857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1281.73828125</v>
      </c>
      <c r="DH123" s="161">
        <f t="shared" si="96"/>
        <v>1110.83984375</v>
      </c>
      <c r="DI123" s="161">
        <f t="shared" si="97"/>
        <v>352.21354166666669</v>
      </c>
      <c r="DJ123" s="161">
        <f t="shared" si="98"/>
        <v>0</v>
      </c>
      <c r="DK123" s="161">
        <f t="shared" si="99"/>
        <v>0</v>
      </c>
      <c r="DL123" s="161">
        <f t="shared" si="100"/>
        <v>0</v>
      </c>
      <c r="DM123" s="161">
        <f t="shared" si="101"/>
        <v>0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1"/>
        <v>2744.7916666666665</v>
      </c>
      <c r="EL123" s="149"/>
      <c r="EN123" s="146"/>
      <c r="EO123" s="146"/>
      <c r="EP123" s="139">
        <f t="shared" si="132"/>
        <v>0</v>
      </c>
      <c r="EQ123" s="139">
        <f t="shared" si="133"/>
        <v>9.2638916015625004</v>
      </c>
      <c r="ER123" s="139">
        <f t="shared" si="134"/>
        <v>51.846241233813281</v>
      </c>
      <c r="ES123" s="139">
        <f t="shared" si="135"/>
        <v>48.947831358613648</v>
      </c>
      <c r="ET123" s="139">
        <f t="shared" si="136"/>
        <v>0</v>
      </c>
      <c r="EU123" s="139">
        <f t="shared" si="137"/>
        <v>0</v>
      </c>
      <c r="EV123" s="139">
        <f t="shared" si="138"/>
        <v>0</v>
      </c>
      <c r="EW123" s="139">
        <f t="shared" si="139"/>
        <v>0</v>
      </c>
      <c r="EX123" s="139">
        <f t="shared" si="140"/>
        <v>0</v>
      </c>
      <c r="EY123" s="139">
        <f t="shared" si="141"/>
        <v>0</v>
      </c>
      <c r="EZ123" s="139">
        <f t="shared" si="142"/>
        <v>0</v>
      </c>
      <c r="FA123" s="139">
        <f t="shared" si="143"/>
        <v>0</v>
      </c>
      <c r="FB123" s="139">
        <f t="shared" si="144"/>
        <v>0</v>
      </c>
      <c r="FC123" s="139">
        <f t="shared" si="145"/>
        <v>0</v>
      </c>
      <c r="FD123" s="139">
        <f t="shared" si="146"/>
        <v>0</v>
      </c>
      <c r="FE123" s="139">
        <f t="shared" si="147"/>
        <v>0</v>
      </c>
      <c r="FF123" s="139">
        <f t="shared" si="148"/>
        <v>0</v>
      </c>
      <c r="FG123" s="139">
        <f t="shared" si="149"/>
        <v>0</v>
      </c>
      <c r="FH123" s="139">
        <f t="shared" si="150"/>
        <v>0</v>
      </c>
      <c r="FI123" s="139">
        <f t="shared" si="151"/>
        <v>0</v>
      </c>
      <c r="FJ123" s="139">
        <f t="shared" si="152"/>
        <v>0</v>
      </c>
      <c r="FK123" s="139">
        <f t="shared" si="153"/>
        <v>0</v>
      </c>
      <c r="FL123" s="139">
        <f t="shared" si="154"/>
        <v>0</v>
      </c>
      <c r="FM123" s="139">
        <f t="shared" si="155"/>
        <v>0</v>
      </c>
      <c r="FN123" s="139">
        <f t="shared" si="156"/>
        <v>0</v>
      </c>
      <c r="FO123" s="139">
        <f t="shared" si="157"/>
        <v>0</v>
      </c>
      <c r="FP123" s="139">
        <f t="shared" si="158"/>
        <v>0</v>
      </c>
      <c r="FQ123" s="139">
        <f t="shared" si="159"/>
        <v>0</v>
      </c>
      <c r="FR123" s="139">
        <f t="shared" si="160"/>
        <v>0</v>
      </c>
      <c r="FS123" s="139">
        <f t="shared" si="161"/>
        <v>0</v>
      </c>
      <c r="FT123" s="139">
        <f t="shared" si="162"/>
        <v>0</v>
      </c>
      <c r="FU123" s="148">
        <f t="shared" si="163"/>
        <v>110.05796419398942</v>
      </c>
      <c r="FV123" s="149"/>
      <c r="FY123" s="212">
        <v>118</v>
      </c>
      <c r="FZ123">
        <v>67.678092466666953</v>
      </c>
      <c r="GA123">
        <v>65.253786120865698</v>
      </c>
      <c r="GB123">
        <v>35.203809430412647</v>
      </c>
      <c r="GC123">
        <v>20.818462695847565</v>
      </c>
      <c r="GD123">
        <v>12.658965742142037</v>
      </c>
      <c r="GE123">
        <v>16.835897329760265</v>
      </c>
      <c r="GF123">
        <v>19.791965851686754</v>
      </c>
      <c r="GG123">
        <v>10.355814128889968</v>
      </c>
      <c r="GH123">
        <v>24.593472770922943</v>
      </c>
      <c r="GI123">
        <v>33.680278000886375</v>
      </c>
      <c r="GJ123"/>
      <c r="GK123"/>
      <c r="GL123"/>
      <c r="GM123"/>
    </row>
    <row r="124" spans="1:195" s="7" customFormat="1">
      <c r="A124" s="1"/>
      <c r="B124" s="76">
        <f ca="1">IF(C124="", "", RAND())</f>
        <v>0.86358048118581898</v>
      </c>
      <c r="C124">
        <v>2</v>
      </c>
      <c r="D124">
        <v>39747</v>
      </c>
      <c r="E124">
        <v>0</v>
      </c>
      <c r="F124">
        <v>638.02083333333337</v>
      </c>
      <c r="G124">
        <v>1549.4791666666667</v>
      </c>
      <c r="H124">
        <v>299.47916666666669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850.53577388896917</v>
      </c>
      <c r="AO124">
        <v>51.90815677293174</v>
      </c>
      <c r="AP124">
        <v>49.588593815006661</v>
      </c>
      <c r="AQ124">
        <v>360.83758783237613</v>
      </c>
      <c r="AR124">
        <v>50.820931773341933</v>
      </c>
      <c r="AS124">
        <v>433.26613123780646</v>
      </c>
      <c r="AT124">
        <v>26.318016153005356</v>
      </c>
      <c r="AU124">
        <v>-93.132342167609892</v>
      </c>
      <c r="AV124"/>
      <c r="AW124"/>
      <c r="AX124" s="146"/>
      <c r="AY124" s="76">
        <f t="shared" ca="1" si="87"/>
        <v>0.9151830023253178</v>
      </c>
      <c r="AZ124">
        <v>7</v>
      </c>
      <c r="BA124" s="129">
        <f t="shared" si="130"/>
        <v>39747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89"/>
        <v>0.20733206784728164</v>
      </c>
      <c r="CL124" s="179">
        <f t="shared" si="90"/>
        <v>7</v>
      </c>
      <c r="CM124" s="180">
        <f t="shared" si="91"/>
        <v>39747</v>
      </c>
      <c r="CN124">
        <v>9</v>
      </c>
      <c r="CO124">
        <v>10</v>
      </c>
      <c r="CP124">
        <v>12</v>
      </c>
      <c r="CQ124">
        <v>2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5.074413887792284E-3</v>
      </c>
      <c r="DD124">
        <f t="shared" si="93"/>
        <v>7</v>
      </c>
      <c r="DE124" s="129">
        <f t="shared" si="129"/>
        <v>39747</v>
      </c>
      <c r="DF124" s="161">
        <f t="shared" si="94"/>
        <v>669.64285714285722</v>
      </c>
      <c r="DG124" s="161">
        <f t="shared" si="95"/>
        <v>744.04761904761904</v>
      </c>
      <c r="DH124" s="161">
        <f t="shared" si="96"/>
        <v>892.85714285714289</v>
      </c>
      <c r="DI124" s="161">
        <f t="shared" si="97"/>
        <v>148.80952380952382</v>
      </c>
      <c r="DJ124" s="161">
        <f t="shared" si="98"/>
        <v>0</v>
      </c>
      <c r="DK124" s="161">
        <f t="shared" si="99"/>
        <v>0</v>
      </c>
      <c r="DL124" s="161">
        <f t="shared" si="100"/>
        <v>0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1"/>
        <v>2455.3571428571431</v>
      </c>
      <c r="EL124" s="149"/>
      <c r="EN124" s="146"/>
      <c r="EO124" s="146"/>
      <c r="EP124" s="139">
        <f t="shared" si="132"/>
        <v>0.74948963572290572</v>
      </c>
      <c r="EQ124" s="139">
        <f t="shared" si="133"/>
        <v>5.3776785714285715</v>
      </c>
      <c r="ER124" s="139">
        <f t="shared" si="134"/>
        <v>41.672332043504554</v>
      </c>
      <c r="ES124" s="139">
        <f t="shared" si="135"/>
        <v>20.680361809818283</v>
      </c>
      <c r="ET124" s="139">
        <f t="shared" si="136"/>
        <v>0</v>
      </c>
      <c r="EU124" s="139">
        <f t="shared" si="137"/>
        <v>0</v>
      </c>
      <c r="EV124" s="139">
        <f t="shared" si="138"/>
        <v>0</v>
      </c>
      <c r="EW124" s="139">
        <f t="shared" si="139"/>
        <v>0</v>
      </c>
      <c r="EX124" s="139">
        <f t="shared" si="140"/>
        <v>0</v>
      </c>
      <c r="EY124" s="139">
        <f t="shared" si="141"/>
        <v>0</v>
      </c>
      <c r="EZ124" s="139">
        <f t="shared" si="142"/>
        <v>0</v>
      </c>
      <c r="FA124" s="139">
        <f t="shared" si="143"/>
        <v>0</v>
      </c>
      <c r="FB124" s="139">
        <f t="shared" si="144"/>
        <v>0</v>
      </c>
      <c r="FC124" s="139">
        <f t="shared" si="145"/>
        <v>0</v>
      </c>
      <c r="FD124" s="139">
        <f t="shared" si="146"/>
        <v>0</v>
      </c>
      <c r="FE124" s="139">
        <f t="shared" si="147"/>
        <v>0</v>
      </c>
      <c r="FF124" s="139">
        <f t="shared" si="148"/>
        <v>0</v>
      </c>
      <c r="FG124" s="139">
        <f t="shared" si="149"/>
        <v>0</v>
      </c>
      <c r="FH124" s="139">
        <f t="shared" si="150"/>
        <v>0</v>
      </c>
      <c r="FI124" s="139">
        <f t="shared" si="151"/>
        <v>0</v>
      </c>
      <c r="FJ124" s="139">
        <f t="shared" si="152"/>
        <v>0</v>
      </c>
      <c r="FK124" s="139">
        <f t="shared" si="153"/>
        <v>0</v>
      </c>
      <c r="FL124" s="139">
        <f t="shared" si="154"/>
        <v>0</v>
      </c>
      <c r="FM124" s="139">
        <f t="shared" si="155"/>
        <v>0</v>
      </c>
      <c r="FN124" s="139">
        <f t="shared" si="156"/>
        <v>0</v>
      </c>
      <c r="FO124" s="139">
        <f t="shared" si="157"/>
        <v>0</v>
      </c>
      <c r="FP124" s="139">
        <f t="shared" si="158"/>
        <v>0</v>
      </c>
      <c r="FQ124" s="139">
        <f t="shared" si="159"/>
        <v>0</v>
      </c>
      <c r="FR124" s="139">
        <f t="shared" si="160"/>
        <v>0</v>
      </c>
      <c r="FS124" s="139">
        <f t="shared" si="161"/>
        <v>0</v>
      </c>
      <c r="FT124" s="139">
        <f t="shared" si="162"/>
        <v>0</v>
      </c>
      <c r="FU124" s="148">
        <f t="shared" si="163"/>
        <v>68.479862060474318</v>
      </c>
      <c r="FV124" s="149"/>
      <c r="FY124" s="212">
        <v>119</v>
      </c>
      <c r="FZ124">
        <v>53.625002207036438</v>
      </c>
      <c r="GA124">
        <v>106.55131595127784</v>
      </c>
      <c r="GB124">
        <v>54.427059242408255</v>
      </c>
      <c r="GC124">
        <v>19.244228874408506</v>
      </c>
      <c r="GD124">
        <v>12.272791691241833</v>
      </c>
      <c r="GE124">
        <v>14.913893640351564</v>
      </c>
      <c r="GF124">
        <v>30.940689823523066</v>
      </c>
      <c r="GG124">
        <v>24.252651537870022</v>
      </c>
      <c r="GH124">
        <v>22.789387623525084</v>
      </c>
      <c r="GI124">
        <v>37.879065504322746</v>
      </c>
      <c r="GJ124"/>
      <c r="GK124"/>
      <c r="GL124"/>
      <c r="GM124"/>
    </row>
    <row r="125" spans="1:195" s="7" customFormat="1">
      <c r="A125" s="1"/>
      <c r="B125" s="76">
        <f ca="1">IF(C125="", "", RAND())</f>
        <v>7.8568477962913441E-2</v>
      </c>
      <c r="C125">
        <v>1</v>
      </c>
      <c r="D125">
        <v>39747</v>
      </c>
      <c r="E125">
        <v>0</v>
      </c>
      <c r="F125">
        <v>0</v>
      </c>
      <c r="G125">
        <v>86.805555555555557</v>
      </c>
      <c r="H125">
        <v>0</v>
      </c>
      <c r="I125">
        <v>10.416666666666666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713.64716817620661</v>
      </c>
      <c r="AO125">
        <v>48.85761965359471</v>
      </c>
      <c r="AP125">
        <v>60.429672261727987</v>
      </c>
      <c r="AQ125">
        <v>338.73486945479112</v>
      </c>
      <c r="AR125">
        <v>48.266731170457788</v>
      </c>
      <c r="AS125">
        <v>402.96131688179804</v>
      </c>
      <c r="AT125">
        <v>25.128263819448907</v>
      </c>
      <c r="AU125">
        <v>-60.554730732206849</v>
      </c>
      <c r="AV125"/>
      <c r="AW125"/>
      <c r="AX125" s="146"/>
      <c r="AY125" s="76">
        <f t="shared" ca="1" si="87"/>
        <v>0.65391536953591167</v>
      </c>
      <c r="AZ125">
        <v>8</v>
      </c>
      <c r="BA125" s="129">
        <f t="shared" si="130"/>
        <v>39747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89"/>
        <v>0.47473035131095376</v>
      </c>
      <c r="CL125" s="179">
        <f t="shared" si="90"/>
        <v>8</v>
      </c>
      <c r="CM125" s="180">
        <f t="shared" si="91"/>
        <v>39747</v>
      </c>
      <c r="CN125">
        <v>0</v>
      </c>
      <c r="CO125">
        <v>9</v>
      </c>
      <c r="CP125">
        <v>5</v>
      </c>
      <c r="CQ125">
        <v>3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0.83831766258779794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631.00961538461536</v>
      </c>
      <c r="DH125" s="161">
        <f t="shared" si="96"/>
        <v>350.5608974358974</v>
      </c>
      <c r="DI125" s="161">
        <f t="shared" si="97"/>
        <v>210.33653846153848</v>
      </c>
      <c r="DJ125" s="161">
        <f t="shared" si="98"/>
        <v>0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0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1"/>
        <v>1191.9070512820513</v>
      </c>
      <c r="EL125" s="149"/>
      <c r="EN125" s="146"/>
      <c r="EO125" s="146"/>
      <c r="EP125" s="139">
        <f t="shared" si="132"/>
        <v>0</v>
      </c>
      <c r="EQ125" s="139">
        <f t="shared" si="133"/>
        <v>4.5606850961538461</v>
      </c>
      <c r="ER125" s="139">
        <f t="shared" si="134"/>
        <v>16.361732933747781</v>
      </c>
      <c r="ES125" s="139">
        <f t="shared" si="135"/>
        <v>29.230896019646998</v>
      </c>
      <c r="ET125" s="139">
        <f t="shared" si="136"/>
        <v>0</v>
      </c>
      <c r="EU125" s="139">
        <f t="shared" si="137"/>
        <v>0</v>
      </c>
      <c r="EV125" s="139">
        <f t="shared" si="138"/>
        <v>0</v>
      </c>
      <c r="EW125" s="139">
        <f t="shared" si="139"/>
        <v>0</v>
      </c>
      <c r="EX125" s="139">
        <f t="shared" si="140"/>
        <v>0</v>
      </c>
      <c r="EY125" s="139">
        <f t="shared" si="141"/>
        <v>0</v>
      </c>
      <c r="EZ125" s="139">
        <f t="shared" si="142"/>
        <v>0</v>
      </c>
      <c r="FA125" s="139">
        <f t="shared" si="143"/>
        <v>0</v>
      </c>
      <c r="FB125" s="139">
        <f t="shared" si="144"/>
        <v>0</v>
      </c>
      <c r="FC125" s="139">
        <f t="shared" si="145"/>
        <v>0</v>
      </c>
      <c r="FD125" s="139">
        <f t="shared" si="146"/>
        <v>0</v>
      </c>
      <c r="FE125" s="139">
        <f t="shared" si="147"/>
        <v>0</v>
      </c>
      <c r="FF125" s="139">
        <f t="shared" si="148"/>
        <v>0</v>
      </c>
      <c r="FG125" s="139">
        <f t="shared" si="149"/>
        <v>0</v>
      </c>
      <c r="FH125" s="139">
        <f t="shared" si="150"/>
        <v>0</v>
      </c>
      <c r="FI125" s="139">
        <f t="shared" si="151"/>
        <v>0</v>
      </c>
      <c r="FJ125" s="139">
        <f t="shared" si="152"/>
        <v>0</v>
      </c>
      <c r="FK125" s="139">
        <f t="shared" si="153"/>
        <v>0</v>
      </c>
      <c r="FL125" s="139">
        <f t="shared" si="154"/>
        <v>0</v>
      </c>
      <c r="FM125" s="139">
        <f t="shared" si="155"/>
        <v>0</v>
      </c>
      <c r="FN125" s="139">
        <f t="shared" si="156"/>
        <v>0</v>
      </c>
      <c r="FO125" s="139">
        <f t="shared" si="157"/>
        <v>0</v>
      </c>
      <c r="FP125" s="139">
        <f t="shared" si="158"/>
        <v>0</v>
      </c>
      <c r="FQ125" s="139">
        <f t="shared" si="159"/>
        <v>0</v>
      </c>
      <c r="FR125" s="139">
        <f t="shared" si="160"/>
        <v>0</v>
      </c>
      <c r="FS125" s="139">
        <f t="shared" si="161"/>
        <v>0</v>
      </c>
      <c r="FT125" s="139">
        <f t="shared" si="162"/>
        <v>0</v>
      </c>
      <c r="FU125" s="148">
        <f t="shared" si="163"/>
        <v>50.153314049548626</v>
      </c>
      <c r="FV125" s="149"/>
      <c r="FY125" s="212">
        <v>120</v>
      </c>
      <c r="FZ125">
        <v>45.767723968648177</v>
      </c>
      <c r="GA125">
        <v>89.571799185166611</v>
      </c>
      <c r="GB125">
        <v>50.189060134647889</v>
      </c>
      <c r="GC125">
        <v>18.576979069993349</v>
      </c>
      <c r="GD125">
        <v>11.126200208187907</v>
      </c>
      <c r="GE125">
        <v>14.695832970885874</v>
      </c>
      <c r="GF125">
        <v>26.349965466433549</v>
      </c>
      <c r="GG125">
        <v>23.716065203276788</v>
      </c>
      <c r="GH125">
        <v>18.363097149901819</v>
      </c>
      <c r="GI125">
        <v>33.428267197798448</v>
      </c>
      <c r="GJ125"/>
      <c r="GK125"/>
      <c r="GL125"/>
      <c r="GM125"/>
    </row>
    <row r="126" spans="1:195" s="7" customFormat="1">
      <c r="A126" s="1"/>
      <c r="B126" s="76">
        <f ca="1">IF(C126="", "", RAND())</f>
        <v>0.13528294525958717</v>
      </c>
      <c r="C126">
        <v>9</v>
      </c>
      <c r="D126">
        <v>39747</v>
      </c>
      <c r="E126">
        <v>0</v>
      </c>
      <c r="F126">
        <v>88.922764227642276</v>
      </c>
      <c r="G126">
        <v>177.84552845528455</v>
      </c>
      <c r="H126">
        <v>88.922764227642276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807.84144273699133</v>
      </c>
      <c r="AO126">
        <v>57.040713469601187</v>
      </c>
      <c r="AP126">
        <v>84.962918767055058</v>
      </c>
      <c r="AQ126">
        <v>416.97196714296064</v>
      </c>
      <c r="AR126">
        <v>56.588960944209369</v>
      </c>
      <c r="AS126">
        <v>481.07120421675739</v>
      </c>
      <c r="AT126">
        <v>27.978938694121812</v>
      </c>
      <c r="AU126">
        <v>-77.342180324401909</v>
      </c>
      <c r="AV126"/>
      <c r="AW126"/>
      <c r="AX126" s="146"/>
      <c r="AY126" s="76">
        <f t="shared" ca="1" si="87"/>
        <v>0.3373930910041727</v>
      </c>
      <c r="AZ126">
        <v>9</v>
      </c>
      <c r="BA126" s="129">
        <f t="shared" si="130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89"/>
        <v>0.84635011056751197</v>
      </c>
      <c r="CL126" s="179">
        <f t="shared" si="90"/>
        <v>9</v>
      </c>
      <c r="CM126" s="180">
        <f t="shared" si="91"/>
        <v>39747</v>
      </c>
      <c r="CN126">
        <v>0</v>
      </c>
      <c r="CO126">
        <v>1</v>
      </c>
      <c r="CP126">
        <v>2</v>
      </c>
      <c r="CQ126">
        <v>1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0.21684740227735766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88.922764227642276</v>
      </c>
      <c r="DH126" s="161">
        <f t="shared" si="96"/>
        <v>177.84552845528455</v>
      </c>
      <c r="DI126" s="161">
        <f t="shared" si="97"/>
        <v>88.922764227642276</v>
      </c>
      <c r="DJ126" s="161">
        <f t="shared" si="98"/>
        <v>0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1"/>
        <v>355.6910569105691</v>
      </c>
      <c r="EL126" s="149"/>
      <c r="EN126" s="146"/>
      <c r="EO126" s="146"/>
      <c r="EP126" s="139">
        <f t="shared" si="132"/>
        <v>0</v>
      </c>
      <c r="EQ126" s="139">
        <f t="shared" si="133"/>
        <v>0.64269817073170732</v>
      </c>
      <c r="ER126" s="139">
        <f t="shared" si="134"/>
        <v>8.3005864639500935</v>
      </c>
      <c r="ES126" s="139">
        <f t="shared" si="135"/>
        <v>12.357777179037754</v>
      </c>
      <c r="ET126" s="139">
        <f t="shared" si="136"/>
        <v>0</v>
      </c>
      <c r="EU126" s="139">
        <f t="shared" si="137"/>
        <v>0</v>
      </c>
      <c r="EV126" s="139">
        <f t="shared" si="138"/>
        <v>0</v>
      </c>
      <c r="EW126" s="139">
        <f t="shared" si="139"/>
        <v>0</v>
      </c>
      <c r="EX126" s="139">
        <f t="shared" si="140"/>
        <v>0</v>
      </c>
      <c r="EY126" s="139">
        <f t="shared" si="141"/>
        <v>0</v>
      </c>
      <c r="EZ126" s="139">
        <f t="shared" si="142"/>
        <v>0</v>
      </c>
      <c r="FA126" s="139">
        <f t="shared" si="143"/>
        <v>0</v>
      </c>
      <c r="FB126" s="139">
        <f t="shared" si="144"/>
        <v>0</v>
      </c>
      <c r="FC126" s="139">
        <f t="shared" si="145"/>
        <v>0</v>
      </c>
      <c r="FD126" s="139">
        <f t="shared" si="146"/>
        <v>0</v>
      </c>
      <c r="FE126" s="139">
        <f t="shared" si="147"/>
        <v>0</v>
      </c>
      <c r="FF126" s="139">
        <f t="shared" si="148"/>
        <v>0</v>
      </c>
      <c r="FG126" s="139">
        <f t="shared" si="149"/>
        <v>0</v>
      </c>
      <c r="FH126" s="139">
        <f t="shared" si="150"/>
        <v>0</v>
      </c>
      <c r="FI126" s="139">
        <f t="shared" si="151"/>
        <v>0</v>
      </c>
      <c r="FJ126" s="139">
        <f t="shared" si="152"/>
        <v>0</v>
      </c>
      <c r="FK126" s="139">
        <f t="shared" si="153"/>
        <v>0</v>
      </c>
      <c r="FL126" s="139">
        <f t="shared" si="154"/>
        <v>0</v>
      </c>
      <c r="FM126" s="139">
        <f t="shared" si="155"/>
        <v>0</v>
      </c>
      <c r="FN126" s="139">
        <f t="shared" si="156"/>
        <v>0</v>
      </c>
      <c r="FO126" s="139">
        <f t="shared" si="157"/>
        <v>0</v>
      </c>
      <c r="FP126" s="139">
        <f t="shared" si="158"/>
        <v>0</v>
      </c>
      <c r="FQ126" s="139">
        <f t="shared" si="159"/>
        <v>0</v>
      </c>
      <c r="FR126" s="139">
        <f t="shared" si="160"/>
        <v>0</v>
      </c>
      <c r="FS126" s="139">
        <f t="shared" si="161"/>
        <v>0</v>
      </c>
      <c r="FT126" s="139">
        <f t="shared" si="162"/>
        <v>0</v>
      </c>
      <c r="FU126" s="148">
        <f t="shared" si="163"/>
        <v>21.301061813719556</v>
      </c>
      <c r="FV126" s="149"/>
      <c r="FY126" s="212">
        <v>121</v>
      </c>
      <c r="FZ126">
        <v>38.108803554814422</v>
      </c>
      <c r="GA126">
        <v>87.440937225764415</v>
      </c>
      <c r="GB126">
        <v>52.9904035777883</v>
      </c>
      <c r="GC126">
        <v>19.08587907369294</v>
      </c>
      <c r="GD126">
        <v>9.6944986958115908</v>
      </c>
      <c r="GE126">
        <v>9.607214076395671</v>
      </c>
      <c r="GF126">
        <v>18.505834832185094</v>
      </c>
      <c r="GG126">
        <v>21.263250296145969</v>
      </c>
      <c r="GH126">
        <v>27.572688396728655</v>
      </c>
      <c r="GI126">
        <v>32.135307332557751</v>
      </c>
      <c r="GJ126"/>
      <c r="GK126"/>
      <c r="GL126"/>
      <c r="GM126"/>
    </row>
    <row r="127" spans="1:195" s="7" customFormat="1">
      <c r="A127" s="1"/>
      <c r="B127" s="76">
        <f ca="1">IF(C127="", "", RAND())</f>
        <v>5.779279823118344E-2</v>
      </c>
      <c r="C127">
        <v>10</v>
      </c>
      <c r="D127">
        <v>39747</v>
      </c>
      <c r="E127">
        <v>0</v>
      </c>
      <c r="F127">
        <v>716.14583333333337</v>
      </c>
      <c r="G127">
        <v>585.9375</v>
      </c>
      <c r="H127">
        <v>260.41666666666669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653.99763296167089</v>
      </c>
      <c r="AO127">
        <v>43.250183791496141</v>
      </c>
      <c r="AP127">
        <v>41.801440029437821</v>
      </c>
      <c r="AQ127">
        <v>295.42085261178408</v>
      </c>
      <c r="AR127">
        <v>42.393393967285647</v>
      </c>
      <c r="AS127">
        <v>382.49931213358104</v>
      </c>
      <c r="AT127">
        <v>22.458365009882542</v>
      </c>
      <c r="AU127">
        <v>-23.99550330797744</v>
      </c>
      <c r="AV127"/>
      <c r="AW127"/>
      <c r="AX127" s="146"/>
      <c r="AY127" s="76">
        <f t="shared" ca="1" si="87"/>
        <v>0.93219983786426308</v>
      </c>
      <c r="AZ127">
        <v>10</v>
      </c>
      <c r="BA127" s="129">
        <f t="shared" si="130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89"/>
        <v>0.12018218588590557</v>
      </c>
      <c r="CL127" s="179">
        <f t="shared" si="90"/>
        <v>10</v>
      </c>
      <c r="CM127" s="180">
        <f t="shared" si="91"/>
        <v>39747</v>
      </c>
      <c r="CN127">
        <v>0</v>
      </c>
      <c r="CO127">
        <v>11</v>
      </c>
      <c r="CP127">
        <v>9</v>
      </c>
      <c r="CQ127">
        <v>4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0.37555993934218623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716.14583333333337</v>
      </c>
      <c r="DH127" s="161">
        <f t="shared" si="96"/>
        <v>585.9375</v>
      </c>
      <c r="DI127" s="161">
        <f t="shared" si="97"/>
        <v>260.41666666666669</v>
      </c>
      <c r="DJ127" s="161">
        <f t="shared" si="98"/>
        <v>0</v>
      </c>
      <c r="DK127" s="161">
        <f t="shared" si="99"/>
        <v>0</v>
      </c>
      <c r="DL127" s="161">
        <f t="shared" si="100"/>
        <v>0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1"/>
        <v>1562.5000000000002</v>
      </c>
      <c r="EL127" s="149"/>
      <c r="EN127" s="146"/>
      <c r="EO127" s="146"/>
      <c r="EP127" s="139">
        <f t="shared" si="132"/>
        <v>0</v>
      </c>
      <c r="EQ127" s="139">
        <f t="shared" si="133"/>
        <v>5.1760156249999998</v>
      </c>
      <c r="ER127" s="139">
        <f t="shared" si="134"/>
        <v>27.347467903549862</v>
      </c>
      <c r="ES127" s="139">
        <f t="shared" si="135"/>
        <v>36.190633167182</v>
      </c>
      <c r="ET127" s="139">
        <f t="shared" si="136"/>
        <v>0</v>
      </c>
      <c r="EU127" s="139">
        <f t="shared" si="137"/>
        <v>0</v>
      </c>
      <c r="EV127" s="139">
        <f t="shared" si="138"/>
        <v>0</v>
      </c>
      <c r="EW127" s="139">
        <f t="shared" si="139"/>
        <v>0</v>
      </c>
      <c r="EX127" s="139">
        <f t="shared" si="140"/>
        <v>0</v>
      </c>
      <c r="EY127" s="139">
        <f t="shared" si="141"/>
        <v>0</v>
      </c>
      <c r="EZ127" s="139">
        <f t="shared" si="142"/>
        <v>0</v>
      </c>
      <c r="FA127" s="139">
        <f t="shared" si="143"/>
        <v>0</v>
      </c>
      <c r="FB127" s="139">
        <f t="shared" si="144"/>
        <v>0</v>
      </c>
      <c r="FC127" s="139">
        <f t="shared" si="145"/>
        <v>0</v>
      </c>
      <c r="FD127" s="139">
        <f t="shared" si="146"/>
        <v>0</v>
      </c>
      <c r="FE127" s="139">
        <f t="shared" si="147"/>
        <v>0</v>
      </c>
      <c r="FF127" s="139">
        <f t="shared" si="148"/>
        <v>0</v>
      </c>
      <c r="FG127" s="139">
        <f t="shared" si="149"/>
        <v>0</v>
      </c>
      <c r="FH127" s="139">
        <f t="shared" si="150"/>
        <v>0</v>
      </c>
      <c r="FI127" s="139">
        <f t="shared" si="151"/>
        <v>0</v>
      </c>
      <c r="FJ127" s="139">
        <f t="shared" si="152"/>
        <v>0</v>
      </c>
      <c r="FK127" s="139">
        <f t="shared" si="153"/>
        <v>0</v>
      </c>
      <c r="FL127" s="139">
        <f t="shared" si="154"/>
        <v>0</v>
      </c>
      <c r="FM127" s="139">
        <f t="shared" si="155"/>
        <v>0</v>
      </c>
      <c r="FN127" s="139">
        <f t="shared" si="156"/>
        <v>0</v>
      </c>
      <c r="FO127" s="139">
        <f t="shared" si="157"/>
        <v>0</v>
      </c>
      <c r="FP127" s="139">
        <f t="shared" si="158"/>
        <v>0</v>
      </c>
      <c r="FQ127" s="139">
        <f t="shared" si="159"/>
        <v>0</v>
      </c>
      <c r="FR127" s="139">
        <f t="shared" si="160"/>
        <v>0</v>
      </c>
      <c r="FS127" s="139">
        <f t="shared" si="161"/>
        <v>0</v>
      </c>
      <c r="FT127" s="139">
        <f t="shared" si="162"/>
        <v>0</v>
      </c>
      <c r="FU127" s="148">
        <f t="shared" si="163"/>
        <v>68.71411669573186</v>
      </c>
      <c r="FV127" s="149"/>
      <c r="FY127" s="212">
        <v>122</v>
      </c>
      <c r="FZ127">
        <v>38.992964905191471</v>
      </c>
      <c r="GA127">
        <v>84.274333623807706</v>
      </c>
      <c r="GB127">
        <v>52.446372206605268</v>
      </c>
      <c r="GC127">
        <v>21.798446501175015</v>
      </c>
      <c r="GD127">
        <v>13.696464914468214</v>
      </c>
      <c r="GE127">
        <v>15.63910551979828</v>
      </c>
      <c r="GF127">
        <v>32.954380048923383</v>
      </c>
      <c r="GG127">
        <v>39.873230922736703</v>
      </c>
      <c r="GH127">
        <v>42.512781492938323</v>
      </c>
      <c r="GI127">
        <v>39.495162815791183</v>
      </c>
      <c r="GJ127"/>
      <c r="GK127"/>
      <c r="GL127"/>
      <c r="GM127"/>
    </row>
    <row r="128" spans="1:195" s="7" customFormat="1">
      <c r="A128" s="128"/>
      <c r="B128" s="76">
        <f ca="1">IF(C128="", "", RAND())</f>
        <v>0.21289667562823311</v>
      </c>
      <c r="C128">
        <v>5</v>
      </c>
      <c r="D128">
        <v>39775</v>
      </c>
      <c r="E128">
        <v>0</v>
      </c>
      <c r="F128">
        <v>381.94345238095241</v>
      </c>
      <c r="G128">
        <v>625</v>
      </c>
      <c r="H128">
        <v>34.722023809523812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649.68346759515123</v>
      </c>
      <c r="AO128">
        <v>40.178697559547793</v>
      </c>
      <c r="AP128">
        <v>61.408390374131997</v>
      </c>
      <c r="AQ128">
        <v>272.52515590478282</v>
      </c>
      <c r="AR128">
        <v>39.675234454048379</v>
      </c>
      <c r="AS128">
        <v>342.71398173226703</v>
      </c>
      <c r="AT128">
        <v>21.077030834374295</v>
      </c>
      <c r="AU128">
        <v>-33.124480115137885</v>
      </c>
      <c r="AV128"/>
      <c r="AW128"/>
      <c r="AX128" s="128"/>
      <c r="AY128" s="76">
        <f t="shared" ca="1" si="87"/>
        <v>2.6582616896655864E-2</v>
      </c>
      <c r="AZ128">
        <v>1</v>
      </c>
      <c r="BA128" s="129">
        <f>IF(AZ128="", "",$C$8)</f>
        <v>39775</v>
      </c>
      <c r="BB128">
        <v>0</v>
      </c>
      <c r="BC128">
        <v>2</v>
      </c>
      <c r="BD128">
        <v>1</v>
      </c>
      <c r="BE128">
        <v>1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89"/>
        <v>0.50353200238205087</v>
      </c>
      <c r="CL128" s="179">
        <f t="shared" si="90"/>
        <v>1</v>
      </c>
      <c r="CM128" s="180">
        <f t="shared" si="91"/>
        <v>39775</v>
      </c>
      <c r="CN128">
        <v>0</v>
      </c>
      <c r="CO128">
        <v>17.24324</v>
      </c>
      <c r="CP128">
        <v>29.783799999999999</v>
      </c>
      <c r="CQ128">
        <v>4.7027029999999996</v>
      </c>
      <c r="CR128">
        <v>6.27027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0.45427955617793447</v>
      </c>
      <c r="DD128">
        <f t="shared" si="93"/>
        <v>1</v>
      </c>
      <c r="DE128" s="129">
        <f t="shared" ref="DE128:DE137" si="164">IF((DD128)="", "", $C$8)</f>
        <v>39775</v>
      </c>
      <c r="DF128" s="161">
        <f t="shared" si="94"/>
        <v>0</v>
      </c>
      <c r="DG128" s="161">
        <f t="shared" si="95"/>
        <v>441.29843910256415</v>
      </c>
      <c r="DH128" s="161">
        <f t="shared" si="96"/>
        <v>683.5719070512821</v>
      </c>
      <c r="DI128" s="161">
        <f t="shared" si="97"/>
        <v>134.92291017628204</v>
      </c>
      <c r="DJ128" s="161">
        <f t="shared" si="98"/>
        <v>137.16215625000001</v>
      </c>
      <c r="DK128" s="161">
        <f t="shared" si="99"/>
        <v>0</v>
      </c>
      <c r="DL128" s="161">
        <f t="shared" si="100"/>
        <v>0</v>
      </c>
      <c r="DM128" s="161">
        <f t="shared" si="101"/>
        <v>0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1"/>
        <v>1396.9554125801283</v>
      </c>
      <c r="EL128" s="149"/>
      <c r="EN128" s="146"/>
      <c r="EO128" s="146"/>
      <c r="EP128" s="139">
        <f t="shared" si="132"/>
        <v>0</v>
      </c>
      <c r="EQ128" s="139">
        <f t="shared" si="133"/>
        <v>3.1895285984576924</v>
      </c>
      <c r="ER128" s="139">
        <f t="shared" si="134"/>
        <v>31.904359744602978</v>
      </c>
      <c r="ES128" s="139">
        <f t="shared" si="135"/>
        <v>18.750510904467724</v>
      </c>
      <c r="ET128" s="139">
        <f t="shared" si="136"/>
        <v>41.340131112321338</v>
      </c>
      <c r="EU128" s="139">
        <f t="shared" si="137"/>
        <v>0</v>
      </c>
      <c r="EV128" s="139">
        <f t="shared" si="138"/>
        <v>0</v>
      </c>
      <c r="EW128" s="139">
        <f t="shared" si="139"/>
        <v>0</v>
      </c>
      <c r="EX128" s="139">
        <f t="shared" si="140"/>
        <v>0</v>
      </c>
      <c r="EY128" s="139">
        <f t="shared" si="141"/>
        <v>0</v>
      </c>
      <c r="EZ128" s="139">
        <f t="shared" si="142"/>
        <v>0</v>
      </c>
      <c r="FA128" s="139">
        <f t="shared" si="143"/>
        <v>0</v>
      </c>
      <c r="FB128" s="139">
        <f t="shared" si="144"/>
        <v>0</v>
      </c>
      <c r="FC128" s="139">
        <f t="shared" si="145"/>
        <v>0</v>
      </c>
      <c r="FD128" s="139">
        <f t="shared" si="146"/>
        <v>0</v>
      </c>
      <c r="FE128" s="139">
        <f t="shared" si="147"/>
        <v>0</v>
      </c>
      <c r="FF128" s="139">
        <f t="shared" si="148"/>
        <v>0</v>
      </c>
      <c r="FG128" s="139">
        <f t="shared" si="149"/>
        <v>0</v>
      </c>
      <c r="FH128" s="139">
        <f t="shared" si="150"/>
        <v>0</v>
      </c>
      <c r="FI128" s="139">
        <f t="shared" si="151"/>
        <v>0</v>
      </c>
      <c r="FJ128" s="139">
        <f t="shared" si="152"/>
        <v>0</v>
      </c>
      <c r="FK128" s="139">
        <f t="shared" si="153"/>
        <v>0</v>
      </c>
      <c r="FL128" s="139">
        <f t="shared" si="154"/>
        <v>0</v>
      </c>
      <c r="FM128" s="139">
        <f t="shared" si="155"/>
        <v>0</v>
      </c>
      <c r="FN128" s="139">
        <f t="shared" si="156"/>
        <v>0</v>
      </c>
      <c r="FO128" s="139">
        <f t="shared" si="157"/>
        <v>0</v>
      </c>
      <c r="FP128" s="139">
        <f t="shared" si="158"/>
        <v>0</v>
      </c>
      <c r="FQ128" s="139">
        <f t="shared" si="159"/>
        <v>0</v>
      </c>
      <c r="FR128" s="139">
        <f t="shared" si="160"/>
        <v>0</v>
      </c>
      <c r="FS128" s="139">
        <f t="shared" si="161"/>
        <v>0</v>
      </c>
      <c r="FT128" s="139">
        <f t="shared" si="162"/>
        <v>0</v>
      </c>
      <c r="FU128" s="148">
        <f t="shared" si="163"/>
        <v>95.184530359849731</v>
      </c>
      <c r="FV128" s="149"/>
      <c r="FY128" s="212">
        <v>123</v>
      </c>
      <c r="FZ128">
        <v>27.984979382482994</v>
      </c>
      <c r="GA128">
        <v>147.52937489088896</v>
      </c>
      <c r="GB128">
        <v>93.618039387621877</v>
      </c>
      <c r="GC128">
        <v>22.999946294032412</v>
      </c>
      <c r="GD128">
        <v>11.299315306389872</v>
      </c>
      <c r="GE128">
        <v>14.967143227411139</v>
      </c>
      <c r="GF128">
        <v>34.365632051232545</v>
      </c>
      <c r="GG128">
        <v>28.852386044343099</v>
      </c>
      <c r="GH128">
        <v>23.439108430439276</v>
      </c>
      <c r="GI128">
        <v>44.033754965609766</v>
      </c>
      <c r="GJ128"/>
      <c r="GK128"/>
      <c r="GL128"/>
      <c r="GM128"/>
    </row>
    <row r="129" spans="1:195" s="7" customFormat="1">
      <c r="A129" s="1"/>
      <c r="B129" s="76">
        <f ca="1">IF(C129="", "", RAND())</f>
        <v>0.41170731542759231</v>
      </c>
      <c r="C129">
        <v>4</v>
      </c>
      <c r="D129">
        <v>39775</v>
      </c>
      <c r="E129">
        <v>0</v>
      </c>
      <c r="F129">
        <v>177.08333333333334</v>
      </c>
      <c r="G129">
        <v>416.66666666666669</v>
      </c>
      <c r="H129">
        <v>20.833333333333332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519.52615440184923</v>
      </c>
      <c r="AO129">
        <v>36.845557522046747</v>
      </c>
      <c r="AP129">
        <v>103.81572889608445</v>
      </c>
      <c r="AQ129">
        <v>248.56206045751034</v>
      </c>
      <c r="AR129">
        <v>36.67590767592506</v>
      </c>
      <c r="AS129">
        <v>293.01100626434248</v>
      </c>
      <c r="AT129">
        <v>19.728807269883202</v>
      </c>
      <c r="AU129">
        <v>-105.89801743856327</v>
      </c>
      <c r="AV129"/>
      <c r="AW129"/>
      <c r="AX129" s="146"/>
      <c r="AY129" s="76">
        <f t="shared" ca="1" si="87"/>
        <v>0.38180159104906597</v>
      </c>
      <c r="AZ129">
        <v>2</v>
      </c>
      <c r="BA129" s="129">
        <f t="shared" ref="BA129:BA137" si="165">IF(AZ129="", "",$C$8)</f>
        <v>39775</v>
      </c>
      <c r="BB129">
        <v>0</v>
      </c>
      <c r="BC129">
        <v>0</v>
      </c>
      <c r="BD129">
        <v>1</v>
      </c>
      <c r="BE129">
        <v>1</v>
      </c>
      <c r="BF129">
        <v>0</v>
      </c>
      <c r="BG129">
        <v>1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89"/>
        <v>0.88195079615728655</v>
      </c>
      <c r="CL129" s="179">
        <f t="shared" si="90"/>
        <v>2</v>
      </c>
      <c r="CM129" s="180">
        <f t="shared" si="91"/>
        <v>39775</v>
      </c>
      <c r="CN129">
        <v>0</v>
      </c>
      <c r="CO129">
        <v>18.571400000000001</v>
      </c>
      <c r="CP129">
        <v>33.428570000000001</v>
      </c>
      <c r="CQ129">
        <v>13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0.28881120490033396</v>
      </c>
      <c r="DD129">
        <f t="shared" si="93"/>
        <v>2</v>
      </c>
      <c r="DE129" s="129">
        <f t="shared" si="164"/>
        <v>39775</v>
      </c>
      <c r="DF129" s="161">
        <f t="shared" si="94"/>
        <v>0</v>
      </c>
      <c r="DG129" s="161">
        <f t="shared" si="95"/>
        <v>351.73106060606062</v>
      </c>
      <c r="DH129" s="161">
        <f t="shared" si="96"/>
        <v>643.53352272727273</v>
      </c>
      <c r="DI129" s="161">
        <f t="shared" si="97"/>
        <v>256.62878787878788</v>
      </c>
      <c r="DJ129" s="161">
        <f t="shared" si="98"/>
        <v>0</v>
      </c>
      <c r="DK129" s="161">
        <f t="shared" si="99"/>
        <v>10.416666666666666</v>
      </c>
      <c r="DL129" s="161">
        <f t="shared" si="100"/>
        <v>0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1"/>
        <v>1262.3100378787879</v>
      </c>
      <c r="EL129" s="149"/>
      <c r="EN129" s="146"/>
      <c r="EO129" s="146"/>
      <c r="EP129" s="139">
        <f t="shared" si="132"/>
        <v>0</v>
      </c>
      <c r="EQ129" s="139">
        <f t="shared" si="133"/>
        <v>2.5421714136363636</v>
      </c>
      <c r="ER129" s="139">
        <f t="shared" si="134"/>
        <v>30.035647757043144</v>
      </c>
      <c r="ES129" s="139">
        <f t="shared" si="135"/>
        <v>35.664223957477532</v>
      </c>
      <c r="ET129" s="139">
        <f t="shared" si="136"/>
        <v>0</v>
      </c>
      <c r="EU129" s="139">
        <f t="shared" si="137"/>
        <v>5.7233612375507494</v>
      </c>
      <c r="EV129" s="139">
        <f t="shared" si="138"/>
        <v>0</v>
      </c>
      <c r="EW129" s="139">
        <f t="shared" si="139"/>
        <v>0</v>
      </c>
      <c r="EX129" s="139">
        <f t="shared" si="140"/>
        <v>0</v>
      </c>
      <c r="EY129" s="139">
        <f t="shared" si="141"/>
        <v>0</v>
      </c>
      <c r="EZ129" s="139">
        <f t="shared" si="142"/>
        <v>0</v>
      </c>
      <c r="FA129" s="139">
        <f t="shared" si="143"/>
        <v>0</v>
      </c>
      <c r="FB129" s="139">
        <f t="shared" si="144"/>
        <v>0</v>
      </c>
      <c r="FC129" s="139">
        <f t="shared" si="145"/>
        <v>0</v>
      </c>
      <c r="FD129" s="139">
        <f t="shared" si="146"/>
        <v>0</v>
      </c>
      <c r="FE129" s="139">
        <f t="shared" si="147"/>
        <v>0</v>
      </c>
      <c r="FF129" s="139">
        <f t="shared" si="148"/>
        <v>0</v>
      </c>
      <c r="FG129" s="139">
        <f t="shared" si="149"/>
        <v>0</v>
      </c>
      <c r="FH129" s="139">
        <f t="shared" si="150"/>
        <v>0</v>
      </c>
      <c r="FI129" s="139">
        <f t="shared" si="151"/>
        <v>0</v>
      </c>
      <c r="FJ129" s="139">
        <f t="shared" si="152"/>
        <v>0</v>
      </c>
      <c r="FK129" s="139">
        <f t="shared" si="153"/>
        <v>0</v>
      </c>
      <c r="FL129" s="139">
        <f t="shared" si="154"/>
        <v>0</v>
      </c>
      <c r="FM129" s="139">
        <f t="shared" si="155"/>
        <v>0</v>
      </c>
      <c r="FN129" s="139">
        <f t="shared" si="156"/>
        <v>0</v>
      </c>
      <c r="FO129" s="139">
        <f t="shared" si="157"/>
        <v>0</v>
      </c>
      <c r="FP129" s="139">
        <f t="shared" si="158"/>
        <v>0</v>
      </c>
      <c r="FQ129" s="139">
        <f t="shared" si="159"/>
        <v>0</v>
      </c>
      <c r="FR129" s="139">
        <f t="shared" si="160"/>
        <v>0</v>
      </c>
      <c r="FS129" s="139">
        <f t="shared" si="161"/>
        <v>0</v>
      </c>
      <c r="FT129" s="139">
        <f t="shared" si="162"/>
        <v>0</v>
      </c>
      <c r="FU129" s="148">
        <f t="shared" si="163"/>
        <v>73.965404365707784</v>
      </c>
      <c r="FV129" s="149"/>
      <c r="FY129" s="212">
        <v>124</v>
      </c>
      <c r="FZ129">
        <v>52.610245831093792</v>
      </c>
      <c r="GA129">
        <v>129.29272494000401</v>
      </c>
      <c r="GB129">
        <v>68.926293705676471</v>
      </c>
      <c r="GC129">
        <v>20.530151039227508</v>
      </c>
      <c r="GD129">
        <v>10.418923109315157</v>
      </c>
      <c r="GE129">
        <v>9.5277311979955783</v>
      </c>
      <c r="GF129">
        <v>24.63760699214966</v>
      </c>
      <c r="GG129">
        <v>24.358018994749983</v>
      </c>
      <c r="GH129">
        <v>17.313835709463181</v>
      </c>
      <c r="GI129">
        <v>38.229193842574354</v>
      </c>
      <c r="GJ129"/>
      <c r="GK129"/>
      <c r="GL129"/>
      <c r="GM129"/>
    </row>
    <row r="130" spans="1:195" s="7" customFormat="1">
      <c r="A130" s="1"/>
      <c r="B130" s="76">
        <f ca="1">IF(C130="", "", RAND())</f>
        <v>0.34740418275834273</v>
      </c>
      <c r="C130">
        <v>7</v>
      </c>
      <c r="D130">
        <v>39775</v>
      </c>
      <c r="E130">
        <v>0</v>
      </c>
      <c r="F130">
        <v>425.87899831649833</v>
      </c>
      <c r="G130">
        <v>1131.8597222222222</v>
      </c>
      <c r="H130">
        <v>250.44653855629463</v>
      </c>
      <c r="I130">
        <v>14.204545454545453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832.34006692304649</v>
      </c>
      <c r="AO130">
        <v>51.234302938042809</v>
      </c>
      <c r="AP130">
        <v>85.633834443019964</v>
      </c>
      <c r="AQ130">
        <v>352.18925869207555</v>
      </c>
      <c r="AR130">
        <v>50.146532692486133</v>
      </c>
      <c r="AS130">
        <v>401.08471529502322</v>
      </c>
      <c r="AT130">
        <v>24.766552316619919</v>
      </c>
      <c r="AU130">
        <v>-96.651807522750346</v>
      </c>
      <c r="AV130"/>
      <c r="AW130"/>
      <c r="AX130" s="146"/>
      <c r="AY130" s="76">
        <f t="shared" ca="1" si="87"/>
        <v>0.21590781034937301</v>
      </c>
      <c r="AZ130">
        <v>3</v>
      </c>
      <c r="BA130" s="129">
        <f t="shared" si="165"/>
        <v>39775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89"/>
        <v>5.1590517861399121E-2</v>
      </c>
      <c r="CL130" s="179">
        <f t="shared" si="90"/>
        <v>3</v>
      </c>
      <c r="CM130" s="180">
        <f t="shared" si="91"/>
        <v>39775</v>
      </c>
      <c r="CN130">
        <v>0</v>
      </c>
      <c r="CO130">
        <v>8</v>
      </c>
      <c r="CP130">
        <v>15</v>
      </c>
      <c r="CQ130">
        <v>3</v>
      </c>
      <c r="CR130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0.45528202069469703</v>
      </c>
      <c r="DD130">
        <f t="shared" si="93"/>
        <v>3</v>
      </c>
      <c r="DE130" s="129">
        <f t="shared" si="164"/>
        <v>39775</v>
      </c>
      <c r="DF130" s="161">
        <f t="shared" si="94"/>
        <v>0</v>
      </c>
      <c r="DG130" s="161">
        <f t="shared" si="95"/>
        <v>416.66666666666669</v>
      </c>
      <c r="DH130" s="161">
        <f t="shared" si="96"/>
        <v>781.25</v>
      </c>
      <c r="DI130" s="161">
        <f t="shared" si="97"/>
        <v>156.25</v>
      </c>
      <c r="DJ130" s="161">
        <f t="shared" si="98"/>
        <v>0</v>
      </c>
      <c r="DK130" s="161">
        <f t="shared" si="99"/>
        <v>0</v>
      </c>
      <c r="DL130" s="161">
        <f t="shared" si="100"/>
        <v>0</v>
      </c>
      <c r="DM130" s="161">
        <f t="shared" si="101"/>
        <v>0</v>
      </c>
      <c r="DN130" s="161">
        <f t="shared" si="102"/>
        <v>0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1"/>
        <v>1354.1666666666667</v>
      </c>
      <c r="EL130" s="149"/>
      <c r="EN130" s="146"/>
      <c r="EO130" s="146"/>
      <c r="EP130" s="139">
        <f t="shared" si="132"/>
        <v>0</v>
      </c>
      <c r="EQ130" s="139">
        <f t="shared" si="133"/>
        <v>3.0114999999999998</v>
      </c>
      <c r="ER130" s="139">
        <f t="shared" si="134"/>
        <v>36.463290538066488</v>
      </c>
      <c r="ES130" s="139">
        <f t="shared" si="135"/>
        <v>21.714379900309197</v>
      </c>
      <c r="ET130" s="139">
        <f t="shared" si="136"/>
        <v>0</v>
      </c>
      <c r="EU130" s="139">
        <f t="shared" si="137"/>
        <v>0</v>
      </c>
      <c r="EV130" s="139">
        <f t="shared" si="138"/>
        <v>0</v>
      </c>
      <c r="EW130" s="139">
        <f t="shared" si="139"/>
        <v>0</v>
      </c>
      <c r="EX130" s="139">
        <f t="shared" si="140"/>
        <v>0</v>
      </c>
      <c r="EY130" s="139">
        <f t="shared" si="141"/>
        <v>0</v>
      </c>
      <c r="EZ130" s="139">
        <f t="shared" si="142"/>
        <v>0</v>
      </c>
      <c r="FA130" s="139">
        <f t="shared" si="143"/>
        <v>0</v>
      </c>
      <c r="FB130" s="139">
        <f t="shared" si="144"/>
        <v>0</v>
      </c>
      <c r="FC130" s="139">
        <f t="shared" si="145"/>
        <v>0</v>
      </c>
      <c r="FD130" s="139">
        <f t="shared" si="146"/>
        <v>0</v>
      </c>
      <c r="FE130" s="139">
        <f t="shared" si="147"/>
        <v>0</v>
      </c>
      <c r="FF130" s="139">
        <f t="shared" si="148"/>
        <v>0</v>
      </c>
      <c r="FG130" s="139">
        <f t="shared" si="149"/>
        <v>0</v>
      </c>
      <c r="FH130" s="139">
        <f t="shared" si="150"/>
        <v>0</v>
      </c>
      <c r="FI130" s="139">
        <f t="shared" si="151"/>
        <v>0</v>
      </c>
      <c r="FJ130" s="139">
        <f t="shared" si="152"/>
        <v>0</v>
      </c>
      <c r="FK130" s="139">
        <f t="shared" si="153"/>
        <v>0</v>
      </c>
      <c r="FL130" s="139">
        <f t="shared" si="154"/>
        <v>0</v>
      </c>
      <c r="FM130" s="139">
        <f t="shared" si="155"/>
        <v>0</v>
      </c>
      <c r="FN130" s="139">
        <f t="shared" si="156"/>
        <v>0</v>
      </c>
      <c r="FO130" s="139">
        <f t="shared" si="157"/>
        <v>0</v>
      </c>
      <c r="FP130" s="139">
        <f t="shared" si="158"/>
        <v>0</v>
      </c>
      <c r="FQ130" s="139">
        <f t="shared" si="159"/>
        <v>0</v>
      </c>
      <c r="FR130" s="139">
        <f t="shared" si="160"/>
        <v>0</v>
      </c>
      <c r="FS130" s="139">
        <f t="shared" si="161"/>
        <v>0</v>
      </c>
      <c r="FT130" s="139">
        <f t="shared" si="162"/>
        <v>0</v>
      </c>
      <c r="FU130" s="148">
        <f t="shared" si="163"/>
        <v>61.189170438375683</v>
      </c>
      <c r="FV130" s="149"/>
      <c r="FY130" s="212">
        <v>125</v>
      </c>
      <c r="FZ130">
        <v>56.957136682468679</v>
      </c>
      <c r="GA130">
        <v>91.179115410769271</v>
      </c>
      <c r="GB130">
        <v>41.675959734509867</v>
      </c>
      <c r="GC130">
        <v>17.115683546279797</v>
      </c>
      <c r="GD130">
        <v>10.211247479747675</v>
      </c>
      <c r="GE130">
        <v>10.480990269537774</v>
      </c>
      <c r="GF130">
        <v>24.582107492234144</v>
      </c>
      <c r="GG130">
        <v>24.956032755426776</v>
      </c>
      <c r="GH130">
        <v>17.866627240903693</v>
      </c>
      <c r="GI130">
        <v>32.078905584417484</v>
      </c>
      <c r="GJ130"/>
      <c r="GK130"/>
      <c r="GL130"/>
      <c r="GM130"/>
    </row>
    <row r="131" spans="1:195" s="7" customFormat="1">
      <c r="A131" s="1"/>
      <c r="B131" s="76">
        <f ca="1">IF(C131="", "", RAND())</f>
        <v>0.37248508903418931</v>
      </c>
      <c r="C131">
        <v>6</v>
      </c>
      <c r="D131">
        <v>39775</v>
      </c>
      <c r="E131">
        <v>0</v>
      </c>
      <c r="F131">
        <v>52.083333333333336</v>
      </c>
      <c r="G131">
        <v>197.91666666666666</v>
      </c>
      <c r="H131">
        <v>83.333333333333329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810.15681616562347</v>
      </c>
      <c r="AO131">
        <v>54.589461041390066</v>
      </c>
      <c r="AP131">
        <v>170.39390399656497</v>
      </c>
      <c r="AQ131">
        <v>371.96852534826195</v>
      </c>
      <c r="AR131">
        <v>54.140701142464813</v>
      </c>
      <c r="AS131">
        <v>445.38996800952145</v>
      </c>
      <c r="AT131">
        <v>29.765888473868603</v>
      </c>
      <c r="AU131">
        <v>-217.58709378321703</v>
      </c>
      <c r="AV131"/>
      <c r="AW131"/>
      <c r="AX131" s="146"/>
      <c r="AY131" s="76">
        <f t="shared" ca="1" si="87"/>
        <v>0.78930716855359595</v>
      </c>
      <c r="AZ131">
        <v>4</v>
      </c>
      <c r="BA131" s="129">
        <f t="shared" si="165"/>
        <v>39775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89"/>
        <v>0.12284485163893843</v>
      </c>
      <c r="CL131" s="179">
        <f t="shared" si="90"/>
        <v>4</v>
      </c>
      <c r="CM131" s="180">
        <f t="shared" si="91"/>
        <v>39775</v>
      </c>
      <c r="CN131">
        <v>0</v>
      </c>
      <c r="CO131">
        <v>17</v>
      </c>
      <c r="CP131">
        <v>40</v>
      </c>
      <c r="CQ131">
        <v>2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0.72244026294731789</v>
      </c>
      <c r="DD131">
        <f t="shared" si="93"/>
        <v>4</v>
      </c>
      <c r="DE131" s="129">
        <f t="shared" si="164"/>
        <v>39775</v>
      </c>
      <c r="DF131" s="161">
        <f t="shared" si="94"/>
        <v>0</v>
      </c>
      <c r="DG131" s="161">
        <f t="shared" si="95"/>
        <v>177.08333333333334</v>
      </c>
      <c r="DH131" s="161">
        <f t="shared" si="96"/>
        <v>416.66666666666669</v>
      </c>
      <c r="DI131" s="161">
        <f t="shared" si="97"/>
        <v>20.833333333333332</v>
      </c>
      <c r="DJ131" s="161">
        <f t="shared" si="98"/>
        <v>0</v>
      </c>
      <c r="DK131" s="161">
        <f t="shared" si="99"/>
        <v>0</v>
      </c>
      <c r="DL131" s="161">
        <f t="shared" si="100"/>
        <v>0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1"/>
        <v>614.58333333333337</v>
      </c>
      <c r="EL131" s="149"/>
      <c r="EN131" s="146"/>
      <c r="EO131" s="146"/>
      <c r="EP131" s="139">
        <f t="shared" si="132"/>
        <v>0</v>
      </c>
      <c r="EQ131" s="139">
        <f t="shared" si="133"/>
        <v>1.2798875000000001</v>
      </c>
      <c r="ER131" s="139">
        <f t="shared" si="134"/>
        <v>19.447088286968793</v>
      </c>
      <c r="ES131" s="139">
        <f t="shared" si="135"/>
        <v>2.8952506533745592</v>
      </c>
      <c r="ET131" s="139">
        <f t="shared" si="136"/>
        <v>0</v>
      </c>
      <c r="EU131" s="139">
        <f t="shared" si="137"/>
        <v>0</v>
      </c>
      <c r="EV131" s="139">
        <f t="shared" si="138"/>
        <v>0</v>
      </c>
      <c r="EW131" s="139">
        <f t="shared" si="139"/>
        <v>0</v>
      </c>
      <c r="EX131" s="139">
        <f t="shared" si="140"/>
        <v>0</v>
      </c>
      <c r="EY131" s="139">
        <f t="shared" si="141"/>
        <v>0</v>
      </c>
      <c r="EZ131" s="139">
        <f t="shared" si="142"/>
        <v>0</v>
      </c>
      <c r="FA131" s="139">
        <f t="shared" si="143"/>
        <v>0</v>
      </c>
      <c r="FB131" s="139">
        <f t="shared" si="144"/>
        <v>0</v>
      </c>
      <c r="FC131" s="139">
        <f t="shared" si="145"/>
        <v>0</v>
      </c>
      <c r="FD131" s="139">
        <f t="shared" si="146"/>
        <v>0</v>
      </c>
      <c r="FE131" s="139">
        <f t="shared" si="147"/>
        <v>0</v>
      </c>
      <c r="FF131" s="139">
        <f t="shared" si="148"/>
        <v>0</v>
      </c>
      <c r="FG131" s="139">
        <f t="shared" si="149"/>
        <v>0</v>
      </c>
      <c r="FH131" s="139">
        <f t="shared" si="150"/>
        <v>0</v>
      </c>
      <c r="FI131" s="139">
        <f t="shared" si="151"/>
        <v>0</v>
      </c>
      <c r="FJ131" s="139">
        <f t="shared" si="152"/>
        <v>0</v>
      </c>
      <c r="FK131" s="139">
        <f t="shared" si="153"/>
        <v>0</v>
      </c>
      <c r="FL131" s="139">
        <f t="shared" si="154"/>
        <v>0</v>
      </c>
      <c r="FM131" s="139">
        <f t="shared" si="155"/>
        <v>0</v>
      </c>
      <c r="FN131" s="139">
        <f t="shared" si="156"/>
        <v>0</v>
      </c>
      <c r="FO131" s="139">
        <f t="shared" si="157"/>
        <v>0</v>
      </c>
      <c r="FP131" s="139">
        <f t="shared" si="158"/>
        <v>0</v>
      </c>
      <c r="FQ131" s="139">
        <f t="shared" si="159"/>
        <v>0</v>
      </c>
      <c r="FR131" s="139">
        <f t="shared" si="160"/>
        <v>0</v>
      </c>
      <c r="FS131" s="139">
        <f t="shared" si="161"/>
        <v>0</v>
      </c>
      <c r="FT131" s="139">
        <f t="shared" si="162"/>
        <v>0</v>
      </c>
      <c r="FU131" s="148">
        <f t="shared" si="163"/>
        <v>23.622226440343354</v>
      </c>
      <c r="FV131" s="149"/>
      <c r="FY131" s="212">
        <v>126</v>
      </c>
      <c r="FZ131">
        <v>56.69918407709271</v>
      </c>
      <c r="GA131">
        <v>67.107017307592329</v>
      </c>
      <c r="GB131">
        <v>40.521348125880323</v>
      </c>
      <c r="GC131">
        <v>19.610667706129444</v>
      </c>
      <c r="GD131">
        <v>9.1844523405414069</v>
      </c>
      <c r="GE131">
        <v>8.5325923315412826</v>
      </c>
      <c r="GF131">
        <v>17.274403271372044</v>
      </c>
      <c r="GG131">
        <v>18.968098428636274</v>
      </c>
      <c r="GH131">
        <v>23.381494524836526</v>
      </c>
      <c r="GI131">
        <v>30.692265341857162</v>
      </c>
      <c r="GJ131"/>
      <c r="GK131"/>
      <c r="GL131"/>
      <c r="GM131"/>
    </row>
    <row r="132" spans="1:195" s="7" customFormat="1">
      <c r="A132" s="1"/>
      <c r="B132" s="76">
        <f ca="1">IF(C132="", "", RAND())</f>
        <v>0.80321403294239979</v>
      </c>
      <c r="C132">
        <v>9</v>
      </c>
      <c r="D132">
        <v>39775</v>
      </c>
      <c r="E132">
        <v>0</v>
      </c>
      <c r="F132">
        <v>20.833333333333332</v>
      </c>
      <c r="G132">
        <v>83.333333333333329</v>
      </c>
      <c r="H132">
        <v>20.833333333333332</v>
      </c>
      <c r="I132">
        <v>0</v>
      </c>
      <c r="J132">
        <v>10.416666666666666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920.23469897842483</v>
      </c>
      <c r="AO132">
        <v>58.281488859022751</v>
      </c>
      <c r="AP132">
        <v>61.758903235740149</v>
      </c>
      <c r="AQ132">
        <v>421.71992315345773</v>
      </c>
      <c r="AR132">
        <v>56.288098368266787</v>
      </c>
      <c r="AS132">
        <v>478.8348449951614</v>
      </c>
      <c r="AT132">
        <v>28.324612132712293</v>
      </c>
      <c r="AU132">
        <v>-91.683988242924784</v>
      </c>
      <c r="AV132"/>
      <c r="AW132"/>
      <c r="AX132" s="146"/>
      <c r="AY132" s="76">
        <f t="shared" ca="1" si="87"/>
        <v>0.50355199731791367</v>
      </c>
      <c r="AZ132">
        <v>5</v>
      </c>
      <c r="BA132" s="129">
        <f t="shared" si="165"/>
        <v>39775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89"/>
        <v>0.27860890552915785</v>
      </c>
      <c r="CL132" s="179">
        <f t="shared" si="90"/>
        <v>5</v>
      </c>
      <c r="CM132" s="180">
        <f t="shared" si="91"/>
        <v>39775</v>
      </c>
      <c r="CN132">
        <v>0</v>
      </c>
      <c r="CO132">
        <v>12.833299999999999</v>
      </c>
      <c r="CP132">
        <v>21</v>
      </c>
      <c r="CQ132">
        <v>1.16666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0.24820238046683762</v>
      </c>
      <c r="DD132">
        <f t="shared" si="93"/>
        <v>5</v>
      </c>
      <c r="DE132" s="129">
        <f t="shared" si="164"/>
        <v>39775</v>
      </c>
      <c r="DF132" s="161">
        <f t="shared" si="94"/>
        <v>0</v>
      </c>
      <c r="DG132" s="161">
        <f t="shared" si="95"/>
        <v>381.94345238095241</v>
      </c>
      <c r="DH132" s="161">
        <f t="shared" si="96"/>
        <v>625</v>
      </c>
      <c r="DI132" s="161">
        <f t="shared" si="97"/>
        <v>34.722023809523812</v>
      </c>
      <c r="DJ132" s="161">
        <f t="shared" si="98"/>
        <v>0</v>
      </c>
      <c r="DK132" s="161">
        <f t="shared" si="99"/>
        <v>0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1"/>
        <v>1041.6654761904763</v>
      </c>
      <c r="EL132" s="149"/>
      <c r="EN132" s="146"/>
      <c r="EO132" s="146"/>
      <c r="EP132" s="139">
        <f t="shared" si="132"/>
        <v>0</v>
      </c>
      <c r="EQ132" s="139">
        <f t="shared" si="133"/>
        <v>2.7605344964285714</v>
      </c>
      <c r="ER132" s="139">
        <f t="shared" si="134"/>
        <v>29.170632430453189</v>
      </c>
      <c r="ES132" s="139">
        <f t="shared" si="135"/>
        <v>4.8253901818085199</v>
      </c>
      <c r="ET132" s="139">
        <f t="shared" si="136"/>
        <v>0</v>
      </c>
      <c r="EU132" s="139">
        <f t="shared" si="137"/>
        <v>0</v>
      </c>
      <c r="EV132" s="139">
        <f t="shared" si="138"/>
        <v>0</v>
      </c>
      <c r="EW132" s="139">
        <f t="shared" si="139"/>
        <v>0</v>
      </c>
      <c r="EX132" s="139">
        <f t="shared" si="140"/>
        <v>0</v>
      </c>
      <c r="EY132" s="139">
        <f t="shared" si="141"/>
        <v>0</v>
      </c>
      <c r="EZ132" s="139">
        <f t="shared" si="142"/>
        <v>0</v>
      </c>
      <c r="FA132" s="139">
        <f t="shared" si="143"/>
        <v>0</v>
      </c>
      <c r="FB132" s="139">
        <f t="shared" si="144"/>
        <v>0</v>
      </c>
      <c r="FC132" s="139">
        <f t="shared" si="145"/>
        <v>0</v>
      </c>
      <c r="FD132" s="139">
        <f t="shared" si="146"/>
        <v>0</v>
      </c>
      <c r="FE132" s="139">
        <f t="shared" si="147"/>
        <v>0</v>
      </c>
      <c r="FF132" s="139">
        <f t="shared" si="148"/>
        <v>0</v>
      </c>
      <c r="FG132" s="139">
        <f t="shared" si="149"/>
        <v>0</v>
      </c>
      <c r="FH132" s="139">
        <f t="shared" si="150"/>
        <v>0</v>
      </c>
      <c r="FI132" s="139">
        <f t="shared" si="151"/>
        <v>0</v>
      </c>
      <c r="FJ132" s="139">
        <f t="shared" si="152"/>
        <v>0</v>
      </c>
      <c r="FK132" s="139">
        <f t="shared" si="153"/>
        <v>0</v>
      </c>
      <c r="FL132" s="139">
        <f t="shared" si="154"/>
        <v>0</v>
      </c>
      <c r="FM132" s="139">
        <f t="shared" si="155"/>
        <v>0</v>
      </c>
      <c r="FN132" s="139">
        <f t="shared" si="156"/>
        <v>0</v>
      </c>
      <c r="FO132" s="139">
        <f t="shared" si="157"/>
        <v>0</v>
      </c>
      <c r="FP132" s="139">
        <f t="shared" si="158"/>
        <v>0</v>
      </c>
      <c r="FQ132" s="139">
        <f t="shared" si="159"/>
        <v>0</v>
      </c>
      <c r="FR132" s="139">
        <f t="shared" si="160"/>
        <v>0</v>
      </c>
      <c r="FS132" s="139">
        <f t="shared" si="161"/>
        <v>0</v>
      </c>
      <c r="FT132" s="139">
        <f t="shared" si="162"/>
        <v>0</v>
      </c>
      <c r="FU132" s="148">
        <f t="shared" si="163"/>
        <v>36.756557108690281</v>
      </c>
      <c r="FV132" s="149"/>
      <c r="FY132" s="212">
        <v>127</v>
      </c>
      <c r="FZ132">
        <v>41.964485844167193</v>
      </c>
      <c r="GA132">
        <v>111.93489242902301</v>
      </c>
      <c r="GB132">
        <v>69.225393904965543</v>
      </c>
      <c r="GC132">
        <v>24.09489024520796</v>
      </c>
      <c r="GD132">
        <v>13.466473803063012</v>
      </c>
      <c r="GE132">
        <v>13.30896156846458</v>
      </c>
      <c r="GF132">
        <v>40.723789126549406</v>
      </c>
      <c r="GG132">
        <v>43.385839971901653</v>
      </c>
      <c r="GH132">
        <v>23.54914131204421</v>
      </c>
      <c r="GI132">
        <v>42.445399474944722</v>
      </c>
      <c r="GJ132"/>
      <c r="GK132"/>
      <c r="GL132"/>
      <c r="GM132"/>
    </row>
    <row r="133" spans="1:195" s="7" customFormat="1">
      <c r="A133" s="1"/>
      <c r="B133" s="76">
        <f ca="1">IF(C133="", "", RAND())</f>
        <v>0.24448325954866412</v>
      </c>
      <c r="C133">
        <v>10</v>
      </c>
      <c r="D133">
        <v>39775</v>
      </c>
      <c r="E133">
        <v>10.416666666666666</v>
      </c>
      <c r="F133">
        <v>62.5</v>
      </c>
      <c r="G133">
        <v>104.16666666666667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799.06038774699368</v>
      </c>
      <c r="AO133">
        <v>53.075501556757807</v>
      </c>
      <c r="AP133">
        <v>51.375603357353292</v>
      </c>
      <c r="AQ133">
        <v>381.18272090331982</v>
      </c>
      <c r="AR133">
        <v>53.229507992912929</v>
      </c>
      <c r="AS133">
        <v>430.57728202083831</v>
      </c>
      <c r="AT133">
        <v>27.002449474712535</v>
      </c>
      <c r="AU133">
        <v>-53.100479808253944</v>
      </c>
      <c r="AV133"/>
      <c r="AW133"/>
      <c r="AX133" s="146"/>
      <c r="AY133" s="76">
        <f t="shared" ca="1" si="87"/>
        <v>5.2962552889614045E-2</v>
      </c>
      <c r="AZ133">
        <v>6</v>
      </c>
      <c r="BA133" s="129">
        <f t="shared" si="165"/>
        <v>39775</v>
      </c>
      <c r="BB133">
        <v>0</v>
      </c>
      <c r="BC133">
        <v>0</v>
      </c>
      <c r="BD133">
        <v>1</v>
      </c>
      <c r="BE133">
        <v>1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89"/>
        <v>0.54094276921336704</v>
      </c>
      <c r="CL133" s="179">
        <f t="shared" si="90"/>
        <v>6</v>
      </c>
      <c r="CM133" s="180">
        <f t="shared" si="91"/>
        <v>39775</v>
      </c>
      <c r="CN133">
        <v>0</v>
      </c>
      <c r="CO133">
        <v>5</v>
      </c>
      <c r="CP133">
        <v>18</v>
      </c>
      <c r="CQ133">
        <v>7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0.67368463561768244</v>
      </c>
      <c r="DD133">
        <f t="shared" si="93"/>
        <v>6</v>
      </c>
      <c r="DE133" s="129">
        <f t="shared" si="164"/>
        <v>39775</v>
      </c>
      <c r="DF133" s="161">
        <f t="shared" si="94"/>
        <v>0</v>
      </c>
      <c r="DG133" s="161">
        <f t="shared" si="95"/>
        <v>52.083333333333336</v>
      </c>
      <c r="DH133" s="161">
        <f t="shared" si="96"/>
        <v>197.91666666666666</v>
      </c>
      <c r="DI133" s="161">
        <f t="shared" si="97"/>
        <v>83.333333333333329</v>
      </c>
      <c r="DJ133" s="161">
        <f t="shared" si="98"/>
        <v>0</v>
      </c>
      <c r="DK133" s="161">
        <f t="shared" si="99"/>
        <v>0</v>
      </c>
      <c r="DL133" s="161">
        <f t="shared" si="100"/>
        <v>0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1"/>
        <v>333.33333333333331</v>
      </c>
      <c r="EL133" s="149"/>
      <c r="EN133" s="146"/>
      <c r="EO133" s="146"/>
      <c r="EP133" s="139">
        <f t="shared" si="132"/>
        <v>0</v>
      </c>
      <c r="EQ133" s="139">
        <f t="shared" si="133"/>
        <v>0.37643749999999998</v>
      </c>
      <c r="ER133" s="139">
        <f t="shared" si="134"/>
        <v>9.2373669363101758</v>
      </c>
      <c r="ES133" s="139">
        <f t="shared" si="135"/>
        <v>11.581002613498237</v>
      </c>
      <c r="ET133" s="139">
        <f t="shared" si="136"/>
        <v>0</v>
      </c>
      <c r="EU133" s="139">
        <f t="shared" si="137"/>
        <v>0</v>
      </c>
      <c r="EV133" s="139">
        <f t="shared" si="138"/>
        <v>0</v>
      </c>
      <c r="EW133" s="139">
        <f t="shared" si="139"/>
        <v>0</v>
      </c>
      <c r="EX133" s="139">
        <f t="shared" si="140"/>
        <v>0</v>
      </c>
      <c r="EY133" s="139">
        <f t="shared" si="141"/>
        <v>0</v>
      </c>
      <c r="EZ133" s="139">
        <f t="shared" si="142"/>
        <v>0</v>
      </c>
      <c r="FA133" s="139">
        <f t="shared" si="143"/>
        <v>0</v>
      </c>
      <c r="FB133" s="139">
        <f t="shared" si="144"/>
        <v>0</v>
      </c>
      <c r="FC133" s="139">
        <f t="shared" si="145"/>
        <v>0</v>
      </c>
      <c r="FD133" s="139">
        <f t="shared" si="146"/>
        <v>0</v>
      </c>
      <c r="FE133" s="139">
        <f t="shared" si="147"/>
        <v>0</v>
      </c>
      <c r="FF133" s="139">
        <f t="shared" si="148"/>
        <v>0</v>
      </c>
      <c r="FG133" s="139">
        <f t="shared" si="149"/>
        <v>0</v>
      </c>
      <c r="FH133" s="139">
        <f t="shared" si="150"/>
        <v>0</v>
      </c>
      <c r="FI133" s="139">
        <f t="shared" si="151"/>
        <v>0</v>
      </c>
      <c r="FJ133" s="139">
        <f t="shared" si="152"/>
        <v>0</v>
      </c>
      <c r="FK133" s="139">
        <f t="shared" si="153"/>
        <v>0</v>
      </c>
      <c r="FL133" s="139">
        <f t="shared" si="154"/>
        <v>0</v>
      </c>
      <c r="FM133" s="139">
        <f t="shared" si="155"/>
        <v>0</v>
      </c>
      <c r="FN133" s="139">
        <f t="shared" si="156"/>
        <v>0</v>
      </c>
      <c r="FO133" s="139">
        <f t="shared" si="157"/>
        <v>0</v>
      </c>
      <c r="FP133" s="139">
        <f t="shared" si="158"/>
        <v>0</v>
      </c>
      <c r="FQ133" s="139">
        <f t="shared" si="159"/>
        <v>0</v>
      </c>
      <c r="FR133" s="139">
        <f t="shared" si="160"/>
        <v>0</v>
      </c>
      <c r="FS133" s="139">
        <f t="shared" si="161"/>
        <v>0</v>
      </c>
      <c r="FT133" s="139">
        <f t="shared" si="162"/>
        <v>0</v>
      </c>
      <c r="FU133" s="148">
        <f t="shared" si="163"/>
        <v>21.194807049808411</v>
      </c>
      <c r="FV133" s="149"/>
      <c r="FY133" s="212">
        <v>128</v>
      </c>
      <c r="FZ133">
        <v>38.007194242940102</v>
      </c>
      <c r="GA133">
        <v>110.08759999876153</v>
      </c>
      <c r="GB133">
        <v>59.830219615756036</v>
      </c>
      <c r="GC133">
        <v>17.018146022982943</v>
      </c>
      <c r="GD133">
        <v>8.5891038592865172</v>
      </c>
      <c r="GE133">
        <v>12.592707998773752</v>
      </c>
      <c r="GF133">
        <v>52.323076501384818</v>
      </c>
      <c r="GG133">
        <v>49.111887374445075</v>
      </c>
      <c r="GH133">
        <v>24.295676299902137</v>
      </c>
      <c r="GI133">
        <v>38.894841573445639</v>
      </c>
      <c r="GJ133"/>
      <c r="GK133"/>
      <c r="GL133"/>
      <c r="GM133"/>
    </row>
    <row r="134" spans="1:195" s="7" customFormat="1">
      <c r="A134" s="1"/>
      <c r="B134" s="76">
        <f ca="1">IF(C134="", "", RAND())</f>
        <v>0.9674165919464901</v>
      </c>
      <c r="C134">
        <v>3</v>
      </c>
      <c r="D134">
        <v>39775</v>
      </c>
      <c r="E134">
        <v>0</v>
      </c>
      <c r="F134">
        <v>416.66666666666669</v>
      </c>
      <c r="G134">
        <v>781.25</v>
      </c>
      <c r="H134">
        <v>156.25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601.07611465738182</v>
      </c>
      <c r="AO134">
        <v>44.598998742546001</v>
      </c>
      <c r="AP134">
        <v>129.95860691818757</v>
      </c>
      <c r="AQ134">
        <v>306.87054453808116</v>
      </c>
      <c r="AR134">
        <v>46.40897322590839</v>
      </c>
      <c r="AS134">
        <v>353.51104969490308</v>
      </c>
      <c r="AT134">
        <v>27.12334434819364</v>
      </c>
      <c r="AU134">
        <v>-232.12522747696028</v>
      </c>
      <c r="AV134"/>
      <c r="AW134"/>
      <c r="AX134" s="146"/>
      <c r="AY134" s="76">
        <f t="shared" ca="1" si="87"/>
        <v>7.245873418849591E-2</v>
      </c>
      <c r="AZ134">
        <v>7</v>
      </c>
      <c r="BA134" s="129">
        <f t="shared" si="165"/>
        <v>39775</v>
      </c>
      <c r="BB134">
        <v>0</v>
      </c>
      <c r="BC134">
        <v>2</v>
      </c>
      <c r="BD134">
        <v>11</v>
      </c>
      <c r="BE134">
        <v>10</v>
      </c>
      <c r="BF134">
        <v>1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89"/>
        <v>7.5558149119827167E-2</v>
      </c>
      <c r="CL134" s="179">
        <f t="shared" si="90"/>
        <v>7</v>
      </c>
      <c r="CM134" s="180">
        <f t="shared" si="91"/>
        <v>39775</v>
      </c>
      <c r="CN134">
        <v>0</v>
      </c>
      <c r="CO134">
        <v>17.1707</v>
      </c>
      <c r="CP134">
        <v>42.146340000000002</v>
      </c>
      <c r="CQ134">
        <v>4.6829268292682924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0.17455983052748558</v>
      </c>
      <c r="DD134">
        <f t="shared" si="93"/>
        <v>7</v>
      </c>
      <c r="DE134" s="129">
        <f t="shared" si="164"/>
        <v>39775</v>
      </c>
      <c r="DF134" s="161">
        <f t="shared" si="94"/>
        <v>0</v>
      </c>
      <c r="DG134" s="161">
        <f t="shared" si="95"/>
        <v>425.87899831649833</v>
      </c>
      <c r="DH134" s="161">
        <f t="shared" si="96"/>
        <v>1131.8597222222222</v>
      </c>
      <c r="DI134" s="161">
        <f t="shared" si="97"/>
        <v>250.44653855629463</v>
      </c>
      <c r="DJ134" s="161">
        <f t="shared" si="98"/>
        <v>14.204545454545453</v>
      </c>
      <c r="DK134" s="161">
        <f t="shared" si="99"/>
        <v>0</v>
      </c>
      <c r="DL134" s="161">
        <f t="shared" si="100"/>
        <v>0</v>
      </c>
      <c r="DM134" s="161">
        <f t="shared" si="101"/>
        <v>0</v>
      </c>
      <c r="DN134" s="161">
        <f t="shared" si="102"/>
        <v>0</v>
      </c>
      <c r="DO134" s="161">
        <f t="shared" si="103"/>
        <v>0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0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1"/>
        <v>1822.3898045495607</v>
      </c>
      <c r="EL134" s="149"/>
      <c r="EN134" s="146"/>
      <c r="EO134" s="146"/>
      <c r="EP134" s="139">
        <f t="shared" si="132"/>
        <v>0</v>
      </c>
      <c r="EQ134" s="139">
        <f t="shared" si="133"/>
        <v>3.0780830482323234</v>
      </c>
      <c r="ER134" s="139">
        <f t="shared" si="134"/>
        <v>52.827302271646865</v>
      </c>
      <c r="ES134" s="139">
        <f t="shared" si="135"/>
        <v>34.805064210744426</v>
      </c>
      <c r="ET134" s="139">
        <f t="shared" si="136"/>
        <v>4.2811937894264265</v>
      </c>
      <c r="EU134" s="139">
        <f t="shared" si="137"/>
        <v>0</v>
      </c>
      <c r="EV134" s="139">
        <f t="shared" si="138"/>
        <v>0</v>
      </c>
      <c r="EW134" s="139">
        <f t="shared" si="139"/>
        <v>0</v>
      </c>
      <c r="EX134" s="139">
        <f t="shared" si="140"/>
        <v>0</v>
      </c>
      <c r="EY134" s="139">
        <f t="shared" si="141"/>
        <v>0</v>
      </c>
      <c r="EZ134" s="139">
        <f t="shared" si="142"/>
        <v>0</v>
      </c>
      <c r="FA134" s="139">
        <f t="shared" si="143"/>
        <v>0</v>
      </c>
      <c r="FB134" s="139">
        <f t="shared" si="144"/>
        <v>0</v>
      </c>
      <c r="FC134" s="139">
        <f t="shared" si="145"/>
        <v>0</v>
      </c>
      <c r="FD134" s="139">
        <f t="shared" si="146"/>
        <v>0</v>
      </c>
      <c r="FE134" s="139">
        <f t="shared" si="147"/>
        <v>0</v>
      </c>
      <c r="FF134" s="139">
        <f t="shared" si="148"/>
        <v>0</v>
      </c>
      <c r="FG134" s="139">
        <f t="shared" si="149"/>
        <v>0</v>
      </c>
      <c r="FH134" s="139">
        <f t="shared" si="150"/>
        <v>0</v>
      </c>
      <c r="FI134" s="139">
        <f t="shared" si="151"/>
        <v>0</v>
      </c>
      <c r="FJ134" s="139">
        <f t="shared" si="152"/>
        <v>0</v>
      </c>
      <c r="FK134" s="139">
        <f t="shared" si="153"/>
        <v>0</v>
      </c>
      <c r="FL134" s="139">
        <f t="shared" si="154"/>
        <v>0</v>
      </c>
      <c r="FM134" s="139">
        <f t="shared" si="155"/>
        <v>0</v>
      </c>
      <c r="FN134" s="139">
        <f t="shared" si="156"/>
        <v>0</v>
      </c>
      <c r="FO134" s="139">
        <f t="shared" si="157"/>
        <v>0</v>
      </c>
      <c r="FP134" s="139">
        <f t="shared" si="158"/>
        <v>0</v>
      </c>
      <c r="FQ134" s="139">
        <f t="shared" si="159"/>
        <v>0</v>
      </c>
      <c r="FR134" s="139">
        <f t="shared" si="160"/>
        <v>0</v>
      </c>
      <c r="FS134" s="139">
        <f t="shared" si="161"/>
        <v>0</v>
      </c>
      <c r="FT134" s="139">
        <f t="shared" si="162"/>
        <v>0</v>
      </c>
      <c r="FU134" s="148">
        <f t="shared" si="163"/>
        <v>94.991643320050031</v>
      </c>
      <c r="FV134" s="149"/>
      <c r="FY134" s="212">
        <v>129</v>
      </c>
      <c r="FZ134">
        <v>47.826265119461453</v>
      </c>
      <c r="GA134">
        <v>105.01088939773854</v>
      </c>
      <c r="GB134">
        <v>51.751889598238066</v>
      </c>
      <c r="GC134">
        <v>15.815214967721671</v>
      </c>
      <c r="GD134">
        <v>10.659695791237725</v>
      </c>
      <c r="GE134">
        <v>16.138309222866763</v>
      </c>
      <c r="GF134">
        <v>41.147026697228384</v>
      </c>
      <c r="GG134">
        <v>32.134906271595227</v>
      </c>
      <c r="GH134">
        <v>24.275816148382876</v>
      </c>
      <c r="GI134">
        <v>37.397957950530042</v>
      </c>
      <c r="GJ134"/>
      <c r="GK134"/>
      <c r="GL134"/>
      <c r="GM134"/>
    </row>
    <row r="135" spans="1:195" s="7" customFormat="1">
      <c r="A135" s="1"/>
      <c r="B135" s="76">
        <f ca="1">IF(C135="", "", RAND())</f>
        <v>0.25621986203339331</v>
      </c>
      <c r="C135">
        <v>1</v>
      </c>
      <c r="D135">
        <v>39775</v>
      </c>
      <c r="E135">
        <v>0</v>
      </c>
      <c r="F135">
        <v>441.29843910256415</v>
      </c>
      <c r="G135">
        <v>683.5719070512821</v>
      </c>
      <c r="H135">
        <v>134.92291017628204</v>
      </c>
      <c r="I135">
        <v>137.16215625000001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770.14374964619662</v>
      </c>
      <c r="AO135">
        <v>52.715991859136658</v>
      </c>
      <c r="AP135">
        <v>69.156974310189966</v>
      </c>
      <c r="AQ135">
        <v>376.89608609596536</v>
      </c>
      <c r="AR135">
        <v>52.133719022242758</v>
      </c>
      <c r="AS135">
        <v>426.10970531355338</v>
      </c>
      <c r="AT135">
        <v>27.296134579189186</v>
      </c>
      <c r="AU135">
        <v>-67.387660839655339</v>
      </c>
      <c r="AV135"/>
      <c r="AW135"/>
      <c r="AX135" s="146"/>
      <c r="AY135" s="76">
        <f t="shared" ca="1" si="87"/>
        <v>0.63324091147323536</v>
      </c>
      <c r="AZ135">
        <v>8</v>
      </c>
      <c r="BA135" s="129">
        <f t="shared" si="165"/>
        <v>39775</v>
      </c>
      <c r="BB135">
        <v>0</v>
      </c>
      <c r="BC135">
        <v>0</v>
      </c>
      <c r="BD135">
        <v>0</v>
      </c>
      <c r="BE135">
        <v>2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89"/>
        <v>0.42532390540340903</v>
      </c>
      <c r="CL135" s="179">
        <f t="shared" si="90"/>
        <v>8</v>
      </c>
      <c r="CM135" s="180">
        <f t="shared" si="91"/>
        <v>39775</v>
      </c>
      <c r="CN135">
        <v>0</v>
      </c>
      <c r="CO135">
        <v>11</v>
      </c>
      <c r="CP135">
        <v>17</v>
      </c>
      <c r="CQ135">
        <v>4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0.27869564569510441</v>
      </c>
      <c r="DD135">
        <f t="shared" si="93"/>
        <v>8</v>
      </c>
      <c r="DE135" s="129">
        <f t="shared" si="164"/>
        <v>39775</v>
      </c>
      <c r="DF135" s="161">
        <f t="shared" si="94"/>
        <v>0</v>
      </c>
      <c r="DG135" s="161">
        <f t="shared" si="95"/>
        <v>572.91666666666663</v>
      </c>
      <c r="DH135" s="161">
        <f t="shared" si="96"/>
        <v>885.41666666666663</v>
      </c>
      <c r="DI135" s="161">
        <f t="shared" si="97"/>
        <v>277.77777777777777</v>
      </c>
      <c r="DJ135" s="161">
        <f t="shared" si="98"/>
        <v>0</v>
      </c>
      <c r="DK135" s="161">
        <f t="shared" si="99"/>
        <v>0</v>
      </c>
      <c r="DL135" s="161">
        <f t="shared" si="100"/>
        <v>0</v>
      </c>
      <c r="DM135" s="161">
        <f t="shared" si="101"/>
        <v>0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1"/>
        <v>1736.1111111111111</v>
      </c>
      <c r="EL135" s="149"/>
      <c r="EN135" s="146"/>
      <c r="EO135" s="146"/>
      <c r="EP135" s="139">
        <f t="shared" si="132"/>
        <v>0</v>
      </c>
      <c r="EQ135" s="139">
        <f t="shared" si="133"/>
        <v>4.1408125</v>
      </c>
      <c r="ER135" s="139">
        <f t="shared" si="134"/>
        <v>41.325062609808683</v>
      </c>
      <c r="ES135" s="139">
        <f t="shared" si="135"/>
        <v>38.603342044994129</v>
      </c>
      <c r="ET135" s="139">
        <f t="shared" si="136"/>
        <v>0</v>
      </c>
      <c r="EU135" s="139">
        <f t="shared" si="137"/>
        <v>0</v>
      </c>
      <c r="EV135" s="139">
        <f t="shared" si="138"/>
        <v>0</v>
      </c>
      <c r="EW135" s="139">
        <f t="shared" si="139"/>
        <v>0</v>
      </c>
      <c r="EX135" s="139">
        <f t="shared" si="140"/>
        <v>0</v>
      </c>
      <c r="EY135" s="139">
        <f t="shared" si="141"/>
        <v>0</v>
      </c>
      <c r="EZ135" s="139">
        <f t="shared" si="142"/>
        <v>0</v>
      </c>
      <c r="FA135" s="139">
        <f t="shared" si="143"/>
        <v>0</v>
      </c>
      <c r="FB135" s="139">
        <f t="shared" si="144"/>
        <v>0</v>
      </c>
      <c r="FC135" s="139">
        <f t="shared" si="145"/>
        <v>0</v>
      </c>
      <c r="FD135" s="139">
        <f t="shared" si="146"/>
        <v>0</v>
      </c>
      <c r="FE135" s="139">
        <f t="shared" si="147"/>
        <v>0</v>
      </c>
      <c r="FF135" s="139">
        <f t="shared" si="148"/>
        <v>0</v>
      </c>
      <c r="FG135" s="139">
        <f t="shared" si="149"/>
        <v>0</v>
      </c>
      <c r="FH135" s="139">
        <f t="shared" si="150"/>
        <v>0</v>
      </c>
      <c r="FI135" s="139">
        <f t="shared" si="151"/>
        <v>0</v>
      </c>
      <c r="FJ135" s="139">
        <f t="shared" si="152"/>
        <v>0</v>
      </c>
      <c r="FK135" s="139">
        <f t="shared" si="153"/>
        <v>0</v>
      </c>
      <c r="FL135" s="139">
        <f t="shared" si="154"/>
        <v>0</v>
      </c>
      <c r="FM135" s="139">
        <f t="shared" si="155"/>
        <v>0</v>
      </c>
      <c r="FN135" s="139">
        <f t="shared" si="156"/>
        <v>0</v>
      </c>
      <c r="FO135" s="139">
        <f t="shared" si="157"/>
        <v>0</v>
      </c>
      <c r="FP135" s="139">
        <f t="shared" si="158"/>
        <v>0</v>
      </c>
      <c r="FQ135" s="139">
        <f t="shared" si="159"/>
        <v>0</v>
      </c>
      <c r="FR135" s="139">
        <f t="shared" si="160"/>
        <v>0</v>
      </c>
      <c r="FS135" s="139">
        <f t="shared" si="161"/>
        <v>0</v>
      </c>
      <c r="FT135" s="139">
        <f t="shared" si="162"/>
        <v>0</v>
      </c>
      <c r="FU135" s="148">
        <f t="shared" si="163"/>
        <v>84.069217154802814</v>
      </c>
      <c r="FV135" s="149"/>
      <c r="FY135" s="212">
        <v>130</v>
      </c>
      <c r="FZ135">
        <v>56.648170304851334</v>
      </c>
      <c r="GA135">
        <v>100.37718777197014</v>
      </c>
      <c r="GB135">
        <v>51.443246740675562</v>
      </c>
      <c r="GC135">
        <v>13.941119329720637</v>
      </c>
      <c r="GD135">
        <v>9.8664256987807626</v>
      </c>
      <c r="GE135">
        <v>11.826944496858882</v>
      </c>
      <c r="GF135">
        <v>14.9360455833201</v>
      </c>
      <c r="GG135">
        <v>14.798118222368698</v>
      </c>
      <c r="GH135">
        <v>21.418504957562515</v>
      </c>
      <c r="GI135">
        <v>33.072597575461039</v>
      </c>
      <c r="GJ135"/>
      <c r="GK135"/>
      <c r="GL135"/>
      <c r="GM135"/>
    </row>
    <row r="136" spans="1:195" s="7" customFormat="1">
      <c r="A136" s="1"/>
      <c r="B136" s="76">
        <f ca="1">IF(C136="", "", RAND())</f>
        <v>0.45657316084672783</v>
      </c>
      <c r="C136">
        <v>8</v>
      </c>
      <c r="D136">
        <v>39775</v>
      </c>
      <c r="E136">
        <v>0</v>
      </c>
      <c r="F136">
        <v>572.91666666666663</v>
      </c>
      <c r="G136">
        <v>885.41666666666663</v>
      </c>
      <c r="H136">
        <v>277.77777777777777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707.14591964902786</v>
      </c>
      <c r="AO136">
        <v>47.131969203735316</v>
      </c>
      <c r="AP136">
        <v>61.655358376243129</v>
      </c>
      <c r="AQ136">
        <v>331.78499055494041</v>
      </c>
      <c r="AR136">
        <v>45.886758501453322</v>
      </c>
      <c r="AS136">
        <v>395.13160472797802</v>
      </c>
      <c r="AT136">
        <v>24.290384060383275</v>
      </c>
      <c r="AU136">
        <v>-46.798718047321913</v>
      </c>
      <c r="AV136"/>
      <c r="AW136"/>
      <c r="AX136" s="146"/>
      <c r="AY136" s="76">
        <f t="shared" ca="1" si="87"/>
        <v>0.99177120496401105</v>
      </c>
      <c r="AZ136">
        <v>9</v>
      </c>
      <c r="BA136" s="129">
        <f t="shared" si="165"/>
        <v>39775</v>
      </c>
      <c r="BB136">
        <v>0</v>
      </c>
      <c r="BC136">
        <v>0</v>
      </c>
      <c r="BD136">
        <v>0</v>
      </c>
      <c r="BE136">
        <v>2</v>
      </c>
      <c r="BF136">
        <v>0</v>
      </c>
      <c r="BG136">
        <v>1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89"/>
        <v>0.43005604068797698</v>
      </c>
      <c r="CL136" s="179">
        <f t="shared" si="90"/>
        <v>9</v>
      </c>
      <c r="CM136" s="180">
        <f t="shared" si="91"/>
        <v>39775</v>
      </c>
      <c r="CN136">
        <v>0</v>
      </c>
      <c r="CO136">
        <v>2</v>
      </c>
      <c r="CP136">
        <v>8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0.84584618936509703</v>
      </c>
      <c r="DD136">
        <f t="shared" si="93"/>
        <v>9</v>
      </c>
      <c r="DE136" s="129">
        <f t="shared" si="164"/>
        <v>39775</v>
      </c>
      <c r="DF136" s="161">
        <f t="shared" si="94"/>
        <v>0</v>
      </c>
      <c r="DG136" s="161">
        <f t="shared" si="95"/>
        <v>20.833333333333332</v>
      </c>
      <c r="DH136" s="161">
        <f t="shared" si="96"/>
        <v>83.333333333333329</v>
      </c>
      <c r="DI136" s="161">
        <f t="shared" si="97"/>
        <v>20.833333333333332</v>
      </c>
      <c r="DJ136" s="161">
        <f t="shared" si="98"/>
        <v>0</v>
      </c>
      <c r="DK136" s="161">
        <f t="shared" si="99"/>
        <v>10.416666666666666</v>
      </c>
      <c r="DL136" s="161">
        <f t="shared" si="100"/>
        <v>0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1"/>
        <v>135.41666666666666</v>
      </c>
      <c r="EL136" s="149"/>
      <c r="EN136" s="146"/>
      <c r="EO136" s="146"/>
      <c r="EP136" s="139">
        <f t="shared" si="132"/>
        <v>0</v>
      </c>
      <c r="EQ136" s="139">
        <f t="shared" si="133"/>
        <v>0.15057499999999999</v>
      </c>
      <c r="ER136" s="139">
        <f t="shared" si="134"/>
        <v>3.889417657393758</v>
      </c>
      <c r="ES136" s="139">
        <f t="shared" si="135"/>
        <v>2.8952506533745592</v>
      </c>
      <c r="ET136" s="139">
        <f t="shared" si="136"/>
        <v>0</v>
      </c>
      <c r="EU136" s="139">
        <f t="shared" si="137"/>
        <v>5.7233612375507494</v>
      </c>
      <c r="EV136" s="139">
        <f t="shared" si="138"/>
        <v>0</v>
      </c>
      <c r="EW136" s="139">
        <f t="shared" si="139"/>
        <v>0</v>
      </c>
      <c r="EX136" s="139">
        <f t="shared" si="140"/>
        <v>0</v>
      </c>
      <c r="EY136" s="139">
        <f t="shared" si="141"/>
        <v>0</v>
      </c>
      <c r="EZ136" s="139">
        <f t="shared" si="142"/>
        <v>0</v>
      </c>
      <c r="FA136" s="139">
        <f t="shared" si="143"/>
        <v>0</v>
      </c>
      <c r="FB136" s="139">
        <f t="shared" si="144"/>
        <v>0</v>
      </c>
      <c r="FC136" s="139">
        <f t="shared" si="145"/>
        <v>0</v>
      </c>
      <c r="FD136" s="139">
        <f t="shared" si="146"/>
        <v>0</v>
      </c>
      <c r="FE136" s="139">
        <f t="shared" si="147"/>
        <v>0</v>
      </c>
      <c r="FF136" s="139">
        <f t="shared" si="148"/>
        <v>0</v>
      </c>
      <c r="FG136" s="139">
        <f t="shared" si="149"/>
        <v>0</v>
      </c>
      <c r="FH136" s="139">
        <f t="shared" si="150"/>
        <v>0</v>
      </c>
      <c r="FI136" s="139">
        <f t="shared" si="151"/>
        <v>0</v>
      </c>
      <c r="FJ136" s="139">
        <f t="shared" si="152"/>
        <v>0</v>
      </c>
      <c r="FK136" s="139">
        <f t="shared" si="153"/>
        <v>0</v>
      </c>
      <c r="FL136" s="139">
        <f t="shared" si="154"/>
        <v>0</v>
      </c>
      <c r="FM136" s="139">
        <f t="shared" si="155"/>
        <v>0</v>
      </c>
      <c r="FN136" s="139">
        <f t="shared" si="156"/>
        <v>0</v>
      </c>
      <c r="FO136" s="139">
        <f t="shared" si="157"/>
        <v>0</v>
      </c>
      <c r="FP136" s="139">
        <f t="shared" si="158"/>
        <v>0</v>
      </c>
      <c r="FQ136" s="139">
        <f t="shared" si="159"/>
        <v>0</v>
      </c>
      <c r="FR136" s="139">
        <f t="shared" si="160"/>
        <v>0</v>
      </c>
      <c r="FS136" s="139">
        <f t="shared" si="161"/>
        <v>0</v>
      </c>
      <c r="FT136" s="139">
        <f t="shared" si="162"/>
        <v>0</v>
      </c>
      <c r="FU136" s="148">
        <f t="shared" si="163"/>
        <v>12.658604548319067</v>
      </c>
      <c r="FV136" s="149"/>
      <c r="FY136" s="212">
        <v>131</v>
      </c>
      <c r="FZ136">
        <v>41.935021247617925</v>
      </c>
      <c r="GA136">
        <v>113.88226215132396</v>
      </c>
      <c r="GB136">
        <v>64.725816837391662</v>
      </c>
      <c r="GC136">
        <v>20.901461576103422</v>
      </c>
      <c r="GD136">
        <v>15.254933911246757</v>
      </c>
      <c r="GE136">
        <v>18.356596477070386</v>
      </c>
      <c r="GF136">
        <v>29.691613985080277</v>
      </c>
      <c r="GG136">
        <v>33.853428478138703</v>
      </c>
      <c r="GH136">
        <v>34.112607418307498</v>
      </c>
      <c r="GI136">
        <v>41.940831022842737</v>
      </c>
      <c r="GJ136"/>
      <c r="GK136"/>
      <c r="GL136"/>
      <c r="GM136"/>
    </row>
    <row r="137" spans="1:195" s="7" customFormat="1">
      <c r="A137" s="1"/>
      <c r="B137" s="76">
        <f ca="1">IF(C137="", "", RAND())</f>
        <v>7.4520647999553269E-2</v>
      </c>
      <c r="C137">
        <v>2</v>
      </c>
      <c r="D137">
        <v>39775</v>
      </c>
      <c r="E137">
        <v>0</v>
      </c>
      <c r="F137">
        <v>351.73106060606062</v>
      </c>
      <c r="G137">
        <v>643.53352272727273</v>
      </c>
      <c r="H137">
        <v>256.62878787878788</v>
      </c>
      <c r="I137">
        <v>0</v>
      </c>
      <c r="J137">
        <v>10.416666666666666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735.6747621400275</v>
      </c>
      <c r="AO137">
        <v>44.720666521230314</v>
      </c>
      <c r="AP137">
        <v>72.254671330109971</v>
      </c>
      <c r="AQ137">
        <v>316.4048170618849</v>
      </c>
      <c r="AR137">
        <v>44.151236346591297</v>
      </c>
      <c r="AS137">
        <v>360.19379187768567</v>
      </c>
      <c r="AT137">
        <v>22.737525815288162</v>
      </c>
      <c r="AU137">
        <v>-80.434480816489042</v>
      </c>
      <c r="AV137"/>
      <c r="AW137"/>
      <c r="AX137" s="146"/>
      <c r="AY137" s="76">
        <f t="shared" ca="1" si="87"/>
        <v>3.6773559532284672E-2</v>
      </c>
      <c r="AZ137">
        <v>10</v>
      </c>
      <c r="BA137" s="129">
        <f t="shared" si="165"/>
        <v>39775</v>
      </c>
      <c r="BB137">
        <v>0</v>
      </c>
      <c r="BC137">
        <v>0</v>
      </c>
      <c r="BD137">
        <v>3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89"/>
        <v>0.86974439438728979</v>
      </c>
      <c r="CL137" s="179">
        <f t="shared" si="90"/>
        <v>10</v>
      </c>
      <c r="CM137" s="180">
        <f t="shared" si="91"/>
        <v>39775</v>
      </c>
      <c r="CN137">
        <v>1</v>
      </c>
      <c r="CO137">
        <v>6</v>
      </c>
      <c r="CP137">
        <v>7</v>
      </c>
      <c r="CQ137">
        <v>0</v>
      </c>
      <c r="CR137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0.6663181053520677</v>
      </c>
      <c r="DD137">
        <f t="shared" si="93"/>
        <v>10</v>
      </c>
      <c r="DE137" s="129">
        <f t="shared" si="164"/>
        <v>39775</v>
      </c>
      <c r="DF137" s="161">
        <f t="shared" si="94"/>
        <v>10.416666666666666</v>
      </c>
      <c r="DG137" s="161">
        <f t="shared" si="95"/>
        <v>62.5</v>
      </c>
      <c r="DH137" s="161">
        <f t="shared" si="96"/>
        <v>104.16666666666667</v>
      </c>
      <c r="DI137" s="161">
        <f t="shared" si="97"/>
        <v>0</v>
      </c>
      <c r="DJ137" s="161">
        <f t="shared" si="98"/>
        <v>0</v>
      </c>
      <c r="DK137" s="161">
        <f t="shared" si="99"/>
        <v>0</v>
      </c>
      <c r="DL137" s="161">
        <f t="shared" si="100"/>
        <v>0</v>
      </c>
      <c r="DM137" s="161">
        <f t="shared" si="101"/>
        <v>0</v>
      </c>
      <c r="DN137" s="161">
        <f t="shared" si="102"/>
        <v>0</v>
      </c>
      <c r="DO137" s="161">
        <f t="shared" si="103"/>
        <v>0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1"/>
        <v>177.08333333333334</v>
      </c>
      <c r="EL137" s="149"/>
      <c r="EN137" s="146"/>
      <c r="EO137" s="146"/>
      <c r="EP137" s="139">
        <f t="shared" si="132"/>
        <v>1.1658727666800754E-2</v>
      </c>
      <c r="EQ137" s="139">
        <f t="shared" si="133"/>
        <v>0.45172499999999999</v>
      </c>
      <c r="ER137" s="139">
        <f t="shared" si="134"/>
        <v>4.8617720717421982</v>
      </c>
      <c r="ES137" s="139">
        <f t="shared" si="135"/>
        <v>0</v>
      </c>
      <c r="ET137" s="139">
        <f t="shared" si="136"/>
        <v>0</v>
      </c>
      <c r="EU137" s="139">
        <f t="shared" si="137"/>
        <v>0</v>
      </c>
      <c r="EV137" s="139">
        <f t="shared" si="138"/>
        <v>0</v>
      </c>
      <c r="EW137" s="139">
        <f t="shared" si="139"/>
        <v>0</v>
      </c>
      <c r="EX137" s="139">
        <f t="shared" si="140"/>
        <v>0</v>
      </c>
      <c r="EY137" s="139">
        <f t="shared" si="141"/>
        <v>0</v>
      </c>
      <c r="EZ137" s="139">
        <f t="shared" si="142"/>
        <v>0</v>
      </c>
      <c r="FA137" s="139">
        <f t="shared" si="143"/>
        <v>0</v>
      </c>
      <c r="FB137" s="139">
        <f t="shared" si="144"/>
        <v>0</v>
      </c>
      <c r="FC137" s="139">
        <f t="shared" si="145"/>
        <v>0</v>
      </c>
      <c r="FD137" s="139">
        <f t="shared" si="146"/>
        <v>0</v>
      </c>
      <c r="FE137" s="139">
        <f t="shared" si="147"/>
        <v>0</v>
      </c>
      <c r="FF137" s="139">
        <f t="shared" si="148"/>
        <v>0</v>
      </c>
      <c r="FG137" s="139">
        <f t="shared" si="149"/>
        <v>0</v>
      </c>
      <c r="FH137" s="139">
        <f t="shared" si="150"/>
        <v>0</v>
      </c>
      <c r="FI137" s="139">
        <f t="shared" si="151"/>
        <v>0</v>
      </c>
      <c r="FJ137" s="139">
        <f t="shared" si="152"/>
        <v>0</v>
      </c>
      <c r="FK137" s="139">
        <f t="shared" si="153"/>
        <v>0</v>
      </c>
      <c r="FL137" s="139">
        <f t="shared" si="154"/>
        <v>0</v>
      </c>
      <c r="FM137" s="139">
        <f t="shared" si="155"/>
        <v>0</v>
      </c>
      <c r="FN137" s="139">
        <f t="shared" si="156"/>
        <v>0</v>
      </c>
      <c r="FO137" s="139">
        <f t="shared" si="157"/>
        <v>0</v>
      </c>
      <c r="FP137" s="139">
        <f t="shared" si="158"/>
        <v>0</v>
      </c>
      <c r="FQ137" s="139">
        <f t="shared" si="159"/>
        <v>0</v>
      </c>
      <c r="FR137" s="139">
        <f t="shared" si="160"/>
        <v>0</v>
      </c>
      <c r="FS137" s="139">
        <f t="shared" si="161"/>
        <v>0</v>
      </c>
      <c r="FT137" s="139">
        <f t="shared" si="162"/>
        <v>0</v>
      </c>
      <c r="FU137" s="148">
        <f t="shared" si="163"/>
        <v>5.3251557994089991</v>
      </c>
      <c r="FV137" s="149"/>
      <c r="FY137" s="212">
        <v>132</v>
      </c>
      <c r="FZ137">
        <v>35.263739878374999</v>
      </c>
      <c r="GA137">
        <v>77.923059843306348</v>
      </c>
      <c r="GB137">
        <v>43.295530752111873</v>
      </c>
      <c r="GC137">
        <v>17.305517570380175</v>
      </c>
      <c r="GD137">
        <v>15.689839687569819</v>
      </c>
      <c r="GE137">
        <v>22.52502241032143</v>
      </c>
      <c r="GF137">
        <v>25.921484430058715</v>
      </c>
      <c r="GG137">
        <v>23.405244480297263</v>
      </c>
      <c r="GH137">
        <v>15.447151003319433</v>
      </c>
      <c r="GI137">
        <v>32.203807408431672</v>
      </c>
      <c r="GJ137"/>
      <c r="GK137"/>
      <c r="GL137"/>
      <c r="GM137"/>
    </row>
    <row r="138" spans="1:195" s="7" customFormat="1">
      <c r="A138" s="128"/>
      <c r="B138" s="76">
        <f ca="1">IF(C138="", "", RAND())</f>
        <v>0.45351500993175442</v>
      </c>
      <c r="C138">
        <v>10</v>
      </c>
      <c r="D138">
        <v>39799</v>
      </c>
      <c r="E138">
        <v>0</v>
      </c>
      <c r="F138">
        <v>20.833333333333332</v>
      </c>
      <c r="G138">
        <v>104.16666666666667</v>
      </c>
      <c r="H138">
        <v>20.833333333333332</v>
      </c>
      <c r="I138">
        <v>10.416666666666666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817.59740213648161</v>
      </c>
      <c r="AO138">
        <v>55.240156825756671</v>
      </c>
      <c r="AP138">
        <v>75.436976915663237</v>
      </c>
      <c r="AQ138">
        <v>381.68324295143549</v>
      </c>
      <c r="AR138">
        <v>54.271971344397826</v>
      </c>
      <c r="AS138">
        <v>472.3431579275225</v>
      </c>
      <c r="AT138">
        <v>28.095885652138737</v>
      </c>
      <c r="AU138">
        <v>-27.006023224540108</v>
      </c>
      <c r="AV138"/>
      <c r="AW138"/>
      <c r="AX138" s="128"/>
      <c r="AY138" s="76">
        <f t="shared" ca="1" si="87"/>
        <v>0.50566888319697867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89"/>
        <v>0.17060922333556316</v>
      </c>
      <c r="CL138" s="179">
        <f t="shared" si="90"/>
        <v>1</v>
      </c>
      <c r="CM138" s="180">
        <f t="shared" si="91"/>
        <v>39799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0.34450005702870734</v>
      </c>
      <c r="DD138">
        <f t="shared" si="93"/>
        <v>1</v>
      </c>
      <c r="DE138" s="129">
        <f t="shared" ref="DE138:DE147" si="166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0</v>
      </c>
      <c r="DI138" s="161">
        <f t="shared" si="97"/>
        <v>0</v>
      </c>
      <c r="DJ138" s="161">
        <f t="shared" si="98"/>
        <v>0</v>
      </c>
      <c r="DK138" s="161">
        <f t="shared" si="99"/>
        <v>0</v>
      </c>
      <c r="DL138" s="161">
        <f t="shared" si="100"/>
        <v>0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1"/>
        <v>0</v>
      </c>
      <c r="EL138" s="149"/>
      <c r="EN138" s="146"/>
      <c r="EO138" s="146"/>
      <c r="EP138" s="139">
        <f t="shared" si="132"/>
        <v>0</v>
      </c>
      <c r="EQ138" s="139">
        <f t="shared" si="133"/>
        <v>0</v>
      </c>
      <c r="ER138" s="139">
        <f t="shared" si="134"/>
        <v>0</v>
      </c>
      <c r="ES138" s="139">
        <f t="shared" si="135"/>
        <v>0</v>
      </c>
      <c r="ET138" s="139">
        <f t="shared" si="136"/>
        <v>0</v>
      </c>
      <c r="EU138" s="139">
        <f t="shared" si="137"/>
        <v>0</v>
      </c>
      <c r="EV138" s="139">
        <f t="shared" si="138"/>
        <v>0</v>
      </c>
      <c r="EW138" s="139">
        <f t="shared" si="139"/>
        <v>0</v>
      </c>
      <c r="EX138" s="139">
        <f t="shared" si="140"/>
        <v>0</v>
      </c>
      <c r="EY138" s="139">
        <f t="shared" si="141"/>
        <v>0</v>
      </c>
      <c r="EZ138" s="139">
        <f t="shared" si="142"/>
        <v>0</v>
      </c>
      <c r="FA138" s="139">
        <f t="shared" si="143"/>
        <v>0</v>
      </c>
      <c r="FB138" s="139">
        <f t="shared" si="144"/>
        <v>0</v>
      </c>
      <c r="FC138" s="139">
        <f t="shared" si="145"/>
        <v>0</v>
      </c>
      <c r="FD138" s="139">
        <f t="shared" si="146"/>
        <v>0</v>
      </c>
      <c r="FE138" s="139">
        <f t="shared" si="147"/>
        <v>0</v>
      </c>
      <c r="FF138" s="139">
        <f t="shared" si="148"/>
        <v>0</v>
      </c>
      <c r="FG138" s="139">
        <f t="shared" si="149"/>
        <v>0</v>
      </c>
      <c r="FH138" s="139">
        <f t="shared" si="150"/>
        <v>0</v>
      </c>
      <c r="FI138" s="139">
        <f t="shared" si="151"/>
        <v>0</v>
      </c>
      <c r="FJ138" s="139">
        <f t="shared" si="152"/>
        <v>0</v>
      </c>
      <c r="FK138" s="139">
        <f t="shared" si="153"/>
        <v>0</v>
      </c>
      <c r="FL138" s="139">
        <f t="shared" si="154"/>
        <v>0</v>
      </c>
      <c r="FM138" s="139">
        <f t="shared" si="155"/>
        <v>0</v>
      </c>
      <c r="FN138" s="139">
        <f t="shared" si="156"/>
        <v>0</v>
      </c>
      <c r="FO138" s="139">
        <f t="shared" si="157"/>
        <v>0</v>
      </c>
      <c r="FP138" s="139">
        <f t="shared" si="158"/>
        <v>0</v>
      </c>
      <c r="FQ138" s="139">
        <f t="shared" si="159"/>
        <v>0</v>
      </c>
      <c r="FR138" s="139">
        <f t="shared" si="160"/>
        <v>0</v>
      </c>
      <c r="FS138" s="139">
        <f t="shared" si="161"/>
        <v>0</v>
      </c>
      <c r="FT138" s="139">
        <f t="shared" si="162"/>
        <v>0</v>
      </c>
      <c r="FU138" s="148">
        <f t="shared" si="163"/>
        <v>0</v>
      </c>
      <c r="FV138" s="149"/>
      <c r="FY138" s="212">
        <v>133</v>
      </c>
      <c r="FZ138">
        <v>37.982897601421541</v>
      </c>
      <c r="GA138">
        <v>99.417008091707288</v>
      </c>
      <c r="GB138">
        <v>51.203018769227945</v>
      </c>
      <c r="GC138">
        <v>16.954864836474385</v>
      </c>
      <c r="GD138">
        <v>11.922694446737459</v>
      </c>
      <c r="GE138">
        <v>22.071207852981416</v>
      </c>
      <c r="GF138">
        <v>35.679204023647173</v>
      </c>
      <c r="GG138">
        <v>31.852788116874567</v>
      </c>
      <c r="GH138">
        <v>28.119441151247962</v>
      </c>
      <c r="GI138">
        <v>36.218892116429508</v>
      </c>
      <c r="GJ138"/>
      <c r="GK138"/>
      <c r="GL138"/>
      <c r="GM138"/>
    </row>
    <row r="139" spans="1:195" s="7" customFormat="1">
      <c r="A139" s="1"/>
      <c r="B139" s="76">
        <f ca="1">IF(C139="", "", RAND())</f>
        <v>0.49818813293506725</v>
      </c>
      <c r="C139">
        <v>2</v>
      </c>
      <c r="D139">
        <v>39799</v>
      </c>
      <c r="E139">
        <v>41.666666666666664</v>
      </c>
      <c r="F139">
        <v>322.91666666666669</v>
      </c>
      <c r="G139">
        <v>229.16666666666666</v>
      </c>
      <c r="H139">
        <v>93.75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935.26547939893919</v>
      </c>
      <c r="AO139">
        <v>63.27871574229448</v>
      </c>
      <c r="AP139">
        <v>68.791190471208296</v>
      </c>
      <c r="AQ139">
        <v>449.08967998045199</v>
      </c>
      <c r="AR139">
        <v>60.693608538937418</v>
      </c>
      <c r="AS139">
        <v>501.40276145944489</v>
      </c>
      <c r="AT139">
        <v>29.175664014747721</v>
      </c>
      <c r="AU139">
        <v>-156.89281962858979</v>
      </c>
      <c r="AV139"/>
      <c r="AW139"/>
      <c r="AX139" s="146"/>
      <c r="AY139" s="76">
        <f t="shared" ca="1" si="87"/>
        <v>0.51869394278739822</v>
      </c>
      <c r="AZ139">
        <v>2</v>
      </c>
      <c r="BA139" s="129">
        <f t="shared" ref="BA139:BA147" si="167">IF(AZ139="", "",$C$9)</f>
        <v>39799</v>
      </c>
      <c r="BB139">
        <v>0</v>
      </c>
      <c r="BC139">
        <v>0</v>
      </c>
      <c r="BD139">
        <v>0</v>
      </c>
      <c r="BE139">
        <v>4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89"/>
        <v>4.081324126561281E-2</v>
      </c>
      <c r="CL139" s="179">
        <f t="shared" si="90"/>
        <v>2</v>
      </c>
      <c r="CM139" s="180">
        <f t="shared" si="91"/>
        <v>39799</v>
      </c>
      <c r="CN139">
        <v>4</v>
      </c>
      <c r="CO139">
        <v>31</v>
      </c>
      <c r="CP139">
        <v>22</v>
      </c>
      <c r="CQ139">
        <v>5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0.47682122638644531</v>
      </c>
      <c r="DD139">
        <f t="shared" si="93"/>
        <v>2</v>
      </c>
      <c r="DE139" s="129">
        <f t="shared" si="166"/>
        <v>39799</v>
      </c>
      <c r="DF139" s="161">
        <f t="shared" si="94"/>
        <v>41.666666666666664</v>
      </c>
      <c r="DG139" s="161">
        <f t="shared" si="95"/>
        <v>322.91666666666669</v>
      </c>
      <c r="DH139" s="161">
        <f t="shared" si="96"/>
        <v>229.16666666666666</v>
      </c>
      <c r="DI139" s="161">
        <f t="shared" si="97"/>
        <v>93.75</v>
      </c>
      <c r="DJ139" s="161">
        <f t="shared" si="98"/>
        <v>0</v>
      </c>
      <c r="DK139" s="161">
        <f t="shared" si="99"/>
        <v>0</v>
      </c>
      <c r="DL139" s="161">
        <f t="shared" si="100"/>
        <v>0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1"/>
        <v>687.5</v>
      </c>
      <c r="EL139" s="149"/>
      <c r="EN139" s="146"/>
      <c r="EO139" s="146"/>
      <c r="EP139" s="139">
        <f t="shared" si="132"/>
        <v>4.6634910667203017E-2</v>
      </c>
      <c r="EQ139" s="139">
        <f t="shared" si="133"/>
        <v>2.3339125000000003</v>
      </c>
      <c r="ER139" s="139">
        <f t="shared" si="134"/>
        <v>10.695898557832836</v>
      </c>
      <c r="ES139" s="139">
        <f t="shared" si="135"/>
        <v>13.028627940185519</v>
      </c>
      <c r="ET139" s="139">
        <f t="shared" si="136"/>
        <v>0</v>
      </c>
      <c r="EU139" s="139">
        <f t="shared" si="137"/>
        <v>0</v>
      </c>
      <c r="EV139" s="139">
        <f t="shared" si="138"/>
        <v>0</v>
      </c>
      <c r="EW139" s="139">
        <f t="shared" si="139"/>
        <v>0</v>
      </c>
      <c r="EX139" s="139">
        <f t="shared" si="140"/>
        <v>0</v>
      </c>
      <c r="EY139" s="139">
        <f t="shared" si="141"/>
        <v>0</v>
      </c>
      <c r="EZ139" s="139">
        <f t="shared" si="142"/>
        <v>0</v>
      </c>
      <c r="FA139" s="139">
        <f t="shared" si="143"/>
        <v>0</v>
      </c>
      <c r="FB139" s="139">
        <f t="shared" si="144"/>
        <v>0</v>
      </c>
      <c r="FC139" s="139">
        <f t="shared" si="145"/>
        <v>0</v>
      </c>
      <c r="FD139" s="139">
        <f t="shared" si="146"/>
        <v>0</v>
      </c>
      <c r="FE139" s="139">
        <f t="shared" si="147"/>
        <v>0</v>
      </c>
      <c r="FF139" s="139">
        <f t="shared" si="148"/>
        <v>0</v>
      </c>
      <c r="FG139" s="139">
        <f t="shared" si="149"/>
        <v>0</v>
      </c>
      <c r="FH139" s="139">
        <f t="shared" si="150"/>
        <v>0</v>
      </c>
      <c r="FI139" s="139">
        <f t="shared" si="151"/>
        <v>0</v>
      </c>
      <c r="FJ139" s="139">
        <f t="shared" si="152"/>
        <v>0</v>
      </c>
      <c r="FK139" s="139">
        <f t="shared" si="153"/>
        <v>0</v>
      </c>
      <c r="FL139" s="139">
        <f t="shared" si="154"/>
        <v>0</v>
      </c>
      <c r="FM139" s="139">
        <f t="shared" si="155"/>
        <v>0</v>
      </c>
      <c r="FN139" s="139">
        <f t="shared" si="156"/>
        <v>0</v>
      </c>
      <c r="FO139" s="139">
        <f t="shared" si="157"/>
        <v>0</v>
      </c>
      <c r="FP139" s="139">
        <f t="shared" si="158"/>
        <v>0</v>
      </c>
      <c r="FQ139" s="139">
        <f t="shared" si="159"/>
        <v>0</v>
      </c>
      <c r="FR139" s="139">
        <f t="shared" si="160"/>
        <v>0</v>
      </c>
      <c r="FS139" s="139">
        <f t="shared" si="161"/>
        <v>0</v>
      </c>
      <c r="FT139" s="139">
        <f t="shared" si="162"/>
        <v>0</v>
      </c>
      <c r="FU139" s="148">
        <f t="shared" si="163"/>
        <v>26.105073908685558</v>
      </c>
      <c r="FV139" s="149"/>
      <c r="FY139" s="212">
        <v>134</v>
      </c>
      <c r="FZ139">
        <v>48.469559014552274</v>
      </c>
      <c r="GA139">
        <v>129.99744564075149</v>
      </c>
      <c r="GB139">
        <v>67.191899605359609</v>
      </c>
      <c r="GC139">
        <v>20.500560104023606</v>
      </c>
      <c r="GD139">
        <v>14.121200901831664</v>
      </c>
      <c r="GE139">
        <v>16.198421367899126</v>
      </c>
      <c r="GF139">
        <v>14.428983694250986</v>
      </c>
      <c r="GG139">
        <v>18.344536150498868</v>
      </c>
      <c r="GH139">
        <v>22.608286419008444</v>
      </c>
      <c r="GI139">
        <v>38.36644079120591</v>
      </c>
      <c r="GJ139"/>
      <c r="GK139"/>
      <c r="GL139"/>
      <c r="GM139"/>
    </row>
    <row r="140" spans="1:195" s="7" customFormat="1">
      <c r="A140" s="1"/>
      <c r="B140" s="76">
        <f ca="1">IF(C140="", "", RAND())</f>
        <v>0.35368920101504475</v>
      </c>
      <c r="C140">
        <v>9</v>
      </c>
      <c r="D140">
        <v>39799</v>
      </c>
      <c r="E140">
        <v>0</v>
      </c>
      <c r="F140">
        <v>0</v>
      </c>
      <c r="G140">
        <v>57.53391472868217</v>
      </c>
      <c r="H140">
        <v>57.53391472868217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764.57472098598373</v>
      </c>
      <c r="AO140">
        <v>54.319152802363554</v>
      </c>
      <c r="AP140">
        <v>44.238994883867207</v>
      </c>
      <c r="AQ140">
        <v>395.84472536224968</v>
      </c>
      <c r="AR140">
        <v>52.562909373004111</v>
      </c>
      <c r="AS140">
        <v>434.09028823960017</v>
      </c>
      <c r="AT140">
        <v>26.497375519853804</v>
      </c>
      <c r="AU140">
        <v>-82.686453995952618</v>
      </c>
      <c r="AV140"/>
      <c r="AW140"/>
      <c r="AX140" s="146"/>
      <c r="AY140" s="76">
        <f t="shared" ca="1" si="87"/>
        <v>0.35252025681938859</v>
      </c>
      <c r="AZ140">
        <v>3</v>
      </c>
      <c r="BA140" s="129">
        <f t="shared" si="167"/>
        <v>39799</v>
      </c>
      <c r="BB140">
        <v>0</v>
      </c>
      <c r="BC140">
        <v>0</v>
      </c>
      <c r="BD140">
        <v>0</v>
      </c>
      <c r="BE140">
        <v>4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89"/>
        <v>0.76126112756423936</v>
      </c>
      <c r="CL140" s="179">
        <f t="shared" si="90"/>
        <v>3</v>
      </c>
      <c r="CM140" s="180">
        <f t="shared" si="91"/>
        <v>39799</v>
      </c>
      <c r="CN140">
        <v>15</v>
      </c>
      <c r="CO140">
        <v>23</v>
      </c>
      <c r="CP140">
        <v>5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9.8473767026425296E-2</v>
      </c>
      <c r="DD140">
        <f t="shared" si="93"/>
        <v>3</v>
      </c>
      <c r="DE140" s="129">
        <f t="shared" si="166"/>
        <v>39799</v>
      </c>
      <c r="DF140" s="161">
        <f t="shared" si="94"/>
        <v>1250</v>
      </c>
      <c r="DG140" s="161">
        <f t="shared" si="95"/>
        <v>1916.6666666666665</v>
      </c>
      <c r="DH140" s="161">
        <f t="shared" si="96"/>
        <v>416.66666666666669</v>
      </c>
      <c r="DI140" s="161">
        <f t="shared" si="97"/>
        <v>96.153846153846146</v>
      </c>
      <c r="DJ140" s="161">
        <f t="shared" si="98"/>
        <v>0</v>
      </c>
      <c r="DK140" s="161">
        <f t="shared" si="99"/>
        <v>0</v>
      </c>
      <c r="DL140" s="161">
        <f t="shared" si="100"/>
        <v>0</v>
      </c>
      <c r="DM140" s="161">
        <f t="shared" si="101"/>
        <v>0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1"/>
        <v>3679.4871794871792</v>
      </c>
      <c r="EL140" s="149"/>
      <c r="EN140" s="146"/>
      <c r="EO140" s="146"/>
      <c r="EP140" s="139">
        <f t="shared" si="132"/>
        <v>1.3990473200160907</v>
      </c>
      <c r="EQ140" s="139">
        <f t="shared" si="133"/>
        <v>13.852899999999998</v>
      </c>
      <c r="ER140" s="139">
        <f t="shared" si="134"/>
        <v>19.447088286968793</v>
      </c>
      <c r="ES140" s="139">
        <f t="shared" si="135"/>
        <v>13.362695323267197</v>
      </c>
      <c r="ET140" s="139">
        <f t="shared" si="136"/>
        <v>0</v>
      </c>
      <c r="EU140" s="139">
        <f t="shared" si="137"/>
        <v>0</v>
      </c>
      <c r="EV140" s="139">
        <f t="shared" si="138"/>
        <v>0</v>
      </c>
      <c r="EW140" s="139">
        <f t="shared" si="139"/>
        <v>0</v>
      </c>
      <c r="EX140" s="139">
        <f t="shared" si="140"/>
        <v>0</v>
      </c>
      <c r="EY140" s="139">
        <f t="shared" si="141"/>
        <v>0</v>
      </c>
      <c r="EZ140" s="139">
        <f t="shared" si="142"/>
        <v>0</v>
      </c>
      <c r="FA140" s="139">
        <f t="shared" si="143"/>
        <v>0</v>
      </c>
      <c r="FB140" s="139">
        <f t="shared" si="144"/>
        <v>0</v>
      </c>
      <c r="FC140" s="139">
        <f t="shared" si="145"/>
        <v>0</v>
      </c>
      <c r="FD140" s="139">
        <f t="shared" si="146"/>
        <v>0</v>
      </c>
      <c r="FE140" s="139">
        <f t="shared" si="147"/>
        <v>0</v>
      </c>
      <c r="FF140" s="139">
        <f t="shared" si="148"/>
        <v>0</v>
      </c>
      <c r="FG140" s="139">
        <f t="shared" si="149"/>
        <v>0</v>
      </c>
      <c r="FH140" s="139">
        <f t="shared" si="150"/>
        <v>0</v>
      </c>
      <c r="FI140" s="139">
        <f t="shared" si="151"/>
        <v>0</v>
      </c>
      <c r="FJ140" s="139">
        <f t="shared" si="152"/>
        <v>0</v>
      </c>
      <c r="FK140" s="139">
        <f t="shared" si="153"/>
        <v>0</v>
      </c>
      <c r="FL140" s="139">
        <f t="shared" si="154"/>
        <v>0</v>
      </c>
      <c r="FM140" s="139">
        <f t="shared" si="155"/>
        <v>0</v>
      </c>
      <c r="FN140" s="139">
        <f t="shared" si="156"/>
        <v>0</v>
      </c>
      <c r="FO140" s="139">
        <f t="shared" si="157"/>
        <v>0</v>
      </c>
      <c r="FP140" s="139">
        <f t="shared" si="158"/>
        <v>0</v>
      </c>
      <c r="FQ140" s="139">
        <f t="shared" si="159"/>
        <v>0</v>
      </c>
      <c r="FR140" s="139">
        <f t="shared" si="160"/>
        <v>0</v>
      </c>
      <c r="FS140" s="139">
        <f t="shared" si="161"/>
        <v>0</v>
      </c>
      <c r="FT140" s="139">
        <f t="shared" si="162"/>
        <v>0</v>
      </c>
      <c r="FU140" s="148">
        <f t="shared" si="163"/>
        <v>48.061730930252075</v>
      </c>
      <c r="FV140" s="149"/>
      <c r="FY140" s="212">
        <v>135</v>
      </c>
      <c r="FZ140">
        <v>37.423281937337705</v>
      </c>
      <c r="GA140">
        <v>99.206211026988356</v>
      </c>
      <c r="GB140">
        <v>64.384362481272376</v>
      </c>
      <c r="GC140">
        <v>24.850212972339683</v>
      </c>
      <c r="GD140">
        <v>12.568005483844326</v>
      </c>
      <c r="GE140">
        <v>13.899492848801822</v>
      </c>
      <c r="GF140">
        <v>16.630710539393785</v>
      </c>
      <c r="GG140">
        <v>23.172304962670406</v>
      </c>
      <c r="GH140">
        <v>46.415916426265973</v>
      </c>
      <c r="GI140">
        <v>39.313979993395165</v>
      </c>
      <c r="GJ140"/>
      <c r="GK140"/>
      <c r="GL140"/>
      <c r="GM140"/>
    </row>
    <row r="141" spans="1:195" s="7" customFormat="1">
      <c r="A141" s="1"/>
      <c r="B141" s="76">
        <f ca="1">IF(C141="", "", RAND())</f>
        <v>0.78266032525632334</v>
      </c>
      <c r="C141">
        <v>6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41.666666666666664</v>
      </c>
      <c r="J141">
        <v>20.833333333333332</v>
      </c>
      <c r="K141">
        <v>20.833333333333332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609.60660236827903</v>
      </c>
      <c r="AO141">
        <v>45.188394306835391</v>
      </c>
      <c r="AP141">
        <v>106.90717644352857</v>
      </c>
      <c r="AQ141">
        <v>327.10380619629518</v>
      </c>
      <c r="AR141">
        <v>44.125266599538982</v>
      </c>
      <c r="AS141">
        <v>346.22895531414167</v>
      </c>
      <c r="AT141">
        <v>23.31166984828452</v>
      </c>
      <c r="AU141">
        <v>-10.299759303478403</v>
      </c>
      <c r="AV141"/>
      <c r="AW141"/>
      <c r="AX141" s="146"/>
      <c r="AY141" s="76">
        <f t="shared" ca="1" si="87"/>
        <v>0.40025090108652339</v>
      </c>
      <c r="AZ141">
        <v>4</v>
      </c>
      <c r="BA141" s="129">
        <f t="shared" si="167"/>
        <v>39799</v>
      </c>
      <c r="BB141">
        <v>0</v>
      </c>
      <c r="BC141">
        <v>0</v>
      </c>
      <c r="BD141">
        <v>0</v>
      </c>
      <c r="BE141">
        <v>0</v>
      </c>
      <c r="BF141">
        <v>1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89"/>
        <v>0.30331169381434098</v>
      </c>
      <c r="CL141" s="179">
        <f t="shared" si="90"/>
        <v>4</v>
      </c>
      <c r="CM141" s="180">
        <f t="shared" si="91"/>
        <v>39799</v>
      </c>
      <c r="CN141">
        <v>1</v>
      </c>
      <c r="CO141">
        <v>6</v>
      </c>
      <c r="CP141">
        <v>4</v>
      </c>
      <c r="CQ141">
        <v>1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0.79533670920997279</v>
      </c>
      <c r="DD141">
        <f t="shared" si="93"/>
        <v>4</v>
      </c>
      <c r="DE141" s="129">
        <f t="shared" si="166"/>
        <v>39799</v>
      </c>
      <c r="DF141" s="161">
        <f t="shared" si="94"/>
        <v>292.44652406417111</v>
      </c>
      <c r="DG141" s="161">
        <f t="shared" si="95"/>
        <v>1754.6791443850266</v>
      </c>
      <c r="DH141" s="161">
        <f t="shared" si="96"/>
        <v>1169.7860962566845</v>
      </c>
      <c r="DI141" s="161">
        <f t="shared" si="97"/>
        <v>292.44652406417111</v>
      </c>
      <c r="DJ141" s="161">
        <f t="shared" si="98"/>
        <v>37.878787878787875</v>
      </c>
      <c r="DK141" s="161">
        <f t="shared" si="99"/>
        <v>0</v>
      </c>
      <c r="DL141" s="161">
        <f t="shared" si="100"/>
        <v>0</v>
      </c>
      <c r="DM141" s="161">
        <f t="shared" si="101"/>
        <v>0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1"/>
        <v>3547.2370766488411</v>
      </c>
      <c r="EL141" s="149"/>
      <c r="EN141" s="146"/>
      <c r="EO141" s="146"/>
      <c r="EP141" s="139">
        <f t="shared" si="132"/>
        <v>0.3273172205919998</v>
      </c>
      <c r="EQ141" s="139">
        <f t="shared" si="133"/>
        <v>12.682118983957217</v>
      </c>
      <c r="ER141" s="139">
        <f t="shared" si="134"/>
        <v>54.597440377853559</v>
      </c>
      <c r="ES141" s="139">
        <f t="shared" si="135"/>
        <v>40.641887513947694</v>
      </c>
      <c r="ET141" s="139">
        <f t="shared" si="136"/>
        <v>11.416516771803803</v>
      </c>
      <c r="EU141" s="139">
        <f t="shared" si="137"/>
        <v>0</v>
      </c>
      <c r="EV141" s="139">
        <f t="shared" si="138"/>
        <v>0</v>
      </c>
      <c r="EW141" s="139">
        <f t="shared" si="139"/>
        <v>0</v>
      </c>
      <c r="EX141" s="139">
        <f t="shared" si="140"/>
        <v>0</v>
      </c>
      <c r="EY141" s="139">
        <f t="shared" si="141"/>
        <v>0</v>
      </c>
      <c r="EZ141" s="139">
        <f t="shared" si="142"/>
        <v>0</v>
      </c>
      <c r="FA141" s="139">
        <f t="shared" si="143"/>
        <v>0</v>
      </c>
      <c r="FB141" s="139">
        <f t="shared" si="144"/>
        <v>0</v>
      </c>
      <c r="FC141" s="139">
        <f t="shared" si="145"/>
        <v>0</v>
      </c>
      <c r="FD141" s="139">
        <f t="shared" si="146"/>
        <v>0</v>
      </c>
      <c r="FE141" s="139">
        <f t="shared" si="147"/>
        <v>0</v>
      </c>
      <c r="FF141" s="139">
        <f t="shared" si="148"/>
        <v>0</v>
      </c>
      <c r="FG141" s="139">
        <f t="shared" si="149"/>
        <v>0</v>
      </c>
      <c r="FH141" s="139">
        <f t="shared" si="150"/>
        <v>0</v>
      </c>
      <c r="FI141" s="139">
        <f t="shared" si="151"/>
        <v>0</v>
      </c>
      <c r="FJ141" s="139">
        <f t="shared" si="152"/>
        <v>0</v>
      </c>
      <c r="FK141" s="139">
        <f t="shared" si="153"/>
        <v>0</v>
      </c>
      <c r="FL141" s="139">
        <f t="shared" si="154"/>
        <v>0</v>
      </c>
      <c r="FM141" s="139">
        <f t="shared" si="155"/>
        <v>0</v>
      </c>
      <c r="FN141" s="139">
        <f t="shared" si="156"/>
        <v>0</v>
      </c>
      <c r="FO141" s="139">
        <f t="shared" si="157"/>
        <v>0</v>
      </c>
      <c r="FP141" s="139">
        <f t="shared" si="158"/>
        <v>0</v>
      </c>
      <c r="FQ141" s="139">
        <f t="shared" si="159"/>
        <v>0</v>
      </c>
      <c r="FR141" s="139">
        <f t="shared" si="160"/>
        <v>0</v>
      </c>
      <c r="FS141" s="139">
        <f t="shared" si="161"/>
        <v>0</v>
      </c>
      <c r="FT141" s="139">
        <f t="shared" si="162"/>
        <v>0</v>
      </c>
      <c r="FU141" s="148">
        <f t="shared" si="163"/>
        <v>119.66528086815427</v>
      </c>
      <c r="FV141" s="149"/>
      <c r="FY141" s="212">
        <v>136</v>
      </c>
      <c r="FZ141">
        <v>24.206701134525218</v>
      </c>
      <c r="GA141">
        <v>68.3734652711222</v>
      </c>
      <c r="GB141">
        <v>50.477076737305254</v>
      </c>
      <c r="GC141">
        <v>20.0220285417785</v>
      </c>
      <c r="GD141">
        <v>10.287985402698856</v>
      </c>
      <c r="GE141">
        <v>20.348247271889427</v>
      </c>
      <c r="GF141">
        <v>41.000102156752014</v>
      </c>
      <c r="GG141">
        <v>27.61979067856727</v>
      </c>
      <c r="GH141">
        <v>22.761396648916488</v>
      </c>
      <c r="GI141">
        <v>33.183355677832509</v>
      </c>
      <c r="GJ141"/>
      <c r="GK141"/>
      <c r="GL141"/>
      <c r="GM141"/>
    </row>
    <row r="142" spans="1:195" s="7" customFormat="1">
      <c r="A142" s="1"/>
      <c r="B142" s="76">
        <f ca="1">IF(C142="", "", RAND())</f>
        <v>7.2735357448507898E-2</v>
      </c>
      <c r="C142">
        <v>1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587.4430667725062</v>
      </c>
      <c r="AO142">
        <v>41.533711300328477</v>
      </c>
      <c r="AP142">
        <v>145.18561745355336</v>
      </c>
      <c r="AQ142">
        <v>291.97152345547948</v>
      </c>
      <c r="AR142">
        <v>42.286064717454984</v>
      </c>
      <c r="AS142">
        <v>351.72184971834474</v>
      </c>
      <c r="AT142">
        <v>24.672239804074835</v>
      </c>
      <c r="AU142">
        <v>-312.59704625837759</v>
      </c>
      <c r="AV142"/>
      <c r="AW142"/>
      <c r="AX142" s="146"/>
      <c r="AY142" s="76">
        <f t="shared" ca="1" si="87"/>
        <v>0.50905672554079762</v>
      </c>
      <c r="AZ142">
        <v>5</v>
      </c>
      <c r="BA142" s="129">
        <f t="shared" si="167"/>
        <v>39799</v>
      </c>
      <c r="BB142">
        <v>0</v>
      </c>
      <c r="BC142">
        <v>0</v>
      </c>
      <c r="BD142">
        <v>0</v>
      </c>
      <c r="BE142">
        <v>3</v>
      </c>
      <c r="BF142">
        <v>1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89"/>
        <v>0.17964628046761044</v>
      </c>
      <c r="CL142" s="179">
        <f t="shared" si="90"/>
        <v>5</v>
      </c>
      <c r="CM142" s="180">
        <f t="shared" si="91"/>
        <v>39799</v>
      </c>
      <c r="CN142">
        <v>1</v>
      </c>
      <c r="CO142">
        <v>2</v>
      </c>
      <c r="CP142">
        <v>2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0.5328967386692014</v>
      </c>
      <c r="DD142">
        <f t="shared" si="93"/>
        <v>5</v>
      </c>
      <c r="DE142" s="129">
        <f t="shared" si="166"/>
        <v>39799</v>
      </c>
      <c r="DF142" s="161">
        <f t="shared" si="94"/>
        <v>70.112179487179489</v>
      </c>
      <c r="DG142" s="161">
        <f t="shared" si="95"/>
        <v>140.22435897435898</v>
      </c>
      <c r="DH142" s="161">
        <f t="shared" si="96"/>
        <v>140.22435897435898</v>
      </c>
      <c r="DI142" s="161">
        <f t="shared" si="97"/>
        <v>31.25</v>
      </c>
      <c r="DJ142" s="161">
        <f t="shared" si="98"/>
        <v>10.416666666666666</v>
      </c>
      <c r="DK142" s="161">
        <f t="shared" si="99"/>
        <v>0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1"/>
        <v>392.22756410256414</v>
      </c>
      <c r="EL142" s="149"/>
      <c r="EN142" s="146"/>
      <c r="EO142" s="146"/>
      <c r="EP142" s="139">
        <f t="shared" si="132"/>
        <v>7.8472205449620469E-2</v>
      </c>
      <c r="EQ142" s="139">
        <f t="shared" si="133"/>
        <v>1.0134855769230768</v>
      </c>
      <c r="ER142" s="139">
        <f t="shared" si="134"/>
        <v>6.5446931734991125</v>
      </c>
      <c r="ES142" s="139">
        <f t="shared" si="135"/>
        <v>4.3428759800618391</v>
      </c>
      <c r="ET142" s="139">
        <f t="shared" si="136"/>
        <v>3.1395421122460458</v>
      </c>
      <c r="EU142" s="139">
        <f t="shared" si="137"/>
        <v>0</v>
      </c>
      <c r="EV142" s="139">
        <f t="shared" si="138"/>
        <v>0</v>
      </c>
      <c r="EW142" s="139">
        <f t="shared" si="139"/>
        <v>0</v>
      </c>
      <c r="EX142" s="139">
        <f t="shared" si="140"/>
        <v>0</v>
      </c>
      <c r="EY142" s="139">
        <f t="shared" si="141"/>
        <v>0</v>
      </c>
      <c r="EZ142" s="139">
        <f t="shared" si="142"/>
        <v>0</v>
      </c>
      <c r="FA142" s="139">
        <f t="shared" si="143"/>
        <v>0</v>
      </c>
      <c r="FB142" s="139">
        <f t="shared" si="144"/>
        <v>0</v>
      </c>
      <c r="FC142" s="139">
        <f t="shared" si="145"/>
        <v>0</v>
      </c>
      <c r="FD142" s="139">
        <f t="shared" si="146"/>
        <v>0</v>
      </c>
      <c r="FE142" s="139">
        <f t="shared" si="147"/>
        <v>0</v>
      </c>
      <c r="FF142" s="139">
        <f t="shared" si="148"/>
        <v>0</v>
      </c>
      <c r="FG142" s="139">
        <f t="shared" si="149"/>
        <v>0</v>
      </c>
      <c r="FH142" s="139">
        <f t="shared" si="150"/>
        <v>0</v>
      </c>
      <c r="FI142" s="139">
        <f t="shared" si="151"/>
        <v>0</v>
      </c>
      <c r="FJ142" s="139">
        <f t="shared" si="152"/>
        <v>0</v>
      </c>
      <c r="FK142" s="139">
        <f t="shared" si="153"/>
        <v>0</v>
      </c>
      <c r="FL142" s="139">
        <f t="shared" si="154"/>
        <v>0</v>
      </c>
      <c r="FM142" s="139">
        <f t="shared" si="155"/>
        <v>0</v>
      </c>
      <c r="FN142" s="139">
        <f t="shared" si="156"/>
        <v>0</v>
      </c>
      <c r="FO142" s="139">
        <f t="shared" si="157"/>
        <v>0</v>
      </c>
      <c r="FP142" s="139">
        <f t="shared" si="158"/>
        <v>0</v>
      </c>
      <c r="FQ142" s="139">
        <f t="shared" si="159"/>
        <v>0</v>
      </c>
      <c r="FR142" s="139">
        <f t="shared" si="160"/>
        <v>0</v>
      </c>
      <c r="FS142" s="139">
        <f t="shared" si="161"/>
        <v>0</v>
      </c>
      <c r="FT142" s="139">
        <f t="shared" si="162"/>
        <v>0</v>
      </c>
      <c r="FU142" s="148">
        <f t="shared" si="163"/>
        <v>15.119069048179695</v>
      </c>
      <c r="FV142" s="149"/>
      <c r="FY142" s="212">
        <v>137</v>
      </c>
      <c r="FZ142">
        <v>38.694956294864177</v>
      </c>
      <c r="GA142">
        <v>66.663906503903547</v>
      </c>
      <c r="GB142">
        <v>43.850251597288427</v>
      </c>
      <c r="GC142">
        <v>22.221621602725914</v>
      </c>
      <c r="GD142">
        <v>12.106765937480182</v>
      </c>
      <c r="GE142">
        <v>16.096900889677155</v>
      </c>
      <c r="GF142">
        <v>21.778780387357294</v>
      </c>
      <c r="GG142">
        <v>25.215707745692313</v>
      </c>
      <c r="GH142">
        <v>27.70527022301702</v>
      </c>
      <c r="GI142">
        <v>32.091119436523137</v>
      </c>
      <c r="GJ142"/>
      <c r="GK142"/>
      <c r="GL142"/>
      <c r="GM142"/>
    </row>
    <row r="143" spans="1:195" s="7" customFormat="1">
      <c r="A143" s="1"/>
      <c r="B143" s="76">
        <f ca="1">IF(C143="", "", RAND())</f>
        <v>0.16844362622004727</v>
      </c>
      <c r="C143">
        <v>3</v>
      </c>
      <c r="D143">
        <v>39799</v>
      </c>
      <c r="E143">
        <v>1250</v>
      </c>
      <c r="F143">
        <v>1916.6666666666665</v>
      </c>
      <c r="G143">
        <v>416.66666666666669</v>
      </c>
      <c r="H143">
        <v>96.153846153846146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876.59864149754981</v>
      </c>
      <c r="AO143">
        <v>60.897662257805372</v>
      </c>
      <c r="AP143">
        <v>101.35521480224561</v>
      </c>
      <c r="AQ143">
        <v>424.09926768033125</v>
      </c>
      <c r="AR143">
        <v>58.392977425542057</v>
      </c>
      <c r="AS143">
        <v>453.51718170880775</v>
      </c>
      <c r="AT143">
        <v>29.267445519606881</v>
      </c>
      <c r="AU143">
        <v>-15.654176818932939</v>
      </c>
      <c r="AV143"/>
      <c r="AW143"/>
      <c r="AX143" s="146"/>
      <c r="AY143" s="76">
        <f t="shared" ca="1" si="87"/>
        <v>0.33846487363796829</v>
      </c>
      <c r="AZ143">
        <v>6</v>
      </c>
      <c r="BA143" s="129">
        <f t="shared" si="167"/>
        <v>39799</v>
      </c>
      <c r="BB143">
        <v>0</v>
      </c>
      <c r="BC143">
        <v>0</v>
      </c>
      <c r="BD143">
        <v>0</v>
      </c>
      <c r="BE143">
        <v>0</v>
      </c>
      <c r="BF143">
        <v>4</v>
      </c>
      <c r="BG143">
        <v>2</v>
      </c>
      <c r="BH143">
        <v>2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89"/>
        <v>0.11911681659834628</v>
      </c>
      <c r="CL143" s="179">
        <f t="shared" si="90"/>
        <v>6</v>
      </c>
      <c r="CM143" s="180">
        <f t="shared" si="91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0.47554769493193039</v>
      </c>
      <c r="DD143">
        <f t="shared" si="93"/>
        <v>6</v>
      </c>
      <c r="DE143" s="129">
        <f t="shared" si="166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41.666666666666664</v>
      </c>
      <c r="DK143" s="161">
        <f t="shared" si="99"/>
        <v>20.833333333333332</v>
      </c>
      <c r="DL143" s="161">
        <f t="shared" si="100"/>
        <v>20.833333333333332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1"/>
        <v>83.333333333333329</v>
      </c>
      <c r="EL143" s="149"/>
      <c r="EN143" s="146"/>
      <c r="EO143" s="146"/>
      <c r="EP143" s="139">
        <f t="shared" si="132"/>
        <v>0</v>
      </c>
      <c r="EQ143" s="139">
        <f t="shared" si="133"/>
        <v>0</v>
      </c>
      <c r="ER143" s="139">
        <f t="shared" si="134"/>
        <v>0</v>
      </c>
      <c r="ES143" s="139">
        <f t="shared" si="135"/>
        <v>0</v>
      </c>
      <c r="ET143" s="139">
        <f t="shared" si="136"/>
        <v>12.558168448984183</v>
      </c>
      <c r="EU143" s="139">
        <f t="shared" si="137"/>
        <v>11.446722475101499</v>
      </c>
      <c r="EV143" s="139">
        <f t="shared" si="138"/>
        <v>18.696395506916534</v>
      </c>
      <c r="EW143" s="139">
        <f t="shared" si="139"/>
        <v>0</v>
      </c>
      <c r="EX143" s="139">
        <f t="shared" si="140"/>
        <v>0</v>
      </c>
      <c r="EY143" s="139">
        <f t="shared" si="141"/>
        <v>0</v>
      </c>
      <c r="EZ143" s="139">
        <f t="shared" si="142"/>
        <v>0</v>
      </c>
      <c r="FA143" s="139">
        <f t="shared" si="143"/>
        <v>0</v>
      </c>
      <c r="FB143" s="139">
        <f t="shared" si="144"/>
        <v>0</v>
      </c>
      <c r="FC143" s="139">
        <f t="shared" si="145"/>
        <v>0</v>
      </c>
      <c r="FD143" s="139">
        <f t="shared" si="146"/>
        <v>0</v>
      </c>
      <c r="FE143" s="139">
        <f t="shared" si="147"/>
        <v>0</v>
      </c>
      <c r="FF143" s="139">
        <f t="shared" si="148"/>
        <v>0</v>
      </c>
      <c r="FG143" s="139">
        <f t="shared" si="149"/>
        <v>0</v>
      </c>
      <c r="FH143" s="139">
        <f t="shared" si="150"/>
        <v>0</v>
      </c>
      <c r="FI143" s="139">
        <f t="shared" si="151"/>
        <v>0</v>
      </c>
      <c r="FJ143" s="139">
        <f t="shared" si="152"/>
        <v>0</v>
      </c>
      <c r="FK143" s="139">
        <f t="shared" si="153"/>
        <v>0</v>
      </c>
      <c r="FL143" s="139">
        <f t="shared" si="154"/>
        <v>0</v>
      </c>
      <c r="FM143" s="139">
        <f t="shared" si="155"/>
        <v>0</v>
      </c>
      <c r="FN143" s="139">
        <f t="shared" si="156"/>
        <v>0</v>
      </c>
      <c r="FO143" s="139">
        <f t="shared" si="157"/>
        <v>0</v>
      </c>
      <c r="FP143" s="139">
        <f t="shared" si="158"/>
        <v>0</v>
      </c>
      <c r="FQ143" s="139">
        <f t="shared" si="159"/>
        <v>0</v>
      </c>
      <c r="FR143" s="139">
        <f t="shared" si="160"/>
        <v>0</v>
      </c>
      <c r="FS143" s="139">
        <f t="shared" si="161"/>
        <v>0</v>
      </c>
      <c r="FT143" s="139">
        <f t="shared" si="162"/>
        <v>0</v>
      </c>
      <c r="FU143" s="148">
        <f t="shared" si="163"/>
        <v>42.701286431002217</v>
      </c>
      <c r="FV143" s="149"/>
      <c r="FY143" s="212">
        <v>138</v>
      </c>
      <c r="FZ143">
        <v>44.967500212199845</v>
      </c>
      <c r="GA143">
        <v>65.811072131444618</v>
      </c>
      <c r="GB143">
        <v>47.700240651580927</v>
      </c>
      <c r="GC143">
        <v>22.147855840999778</v>
      </c>
      <c r="GD143">
        <v>11.178734705295302</v>
      </c>
      <c r="GE143">
        <v>13.980007447905841</v>
      </c>
      <c r="GF143">
        <v>31.47592897226248</v>
      </c>
      <c r="GG143">
        <v>33.817443139891843</v>
      </c>
      <c r="GH143">
        <v>35.278749792887282</v>
      </c>
      <c r="GI143">
        <v>36.31460003882254</v>
      </c>
      <c r="GJ143"/>
      <c r="GK143"/>
      <c r="GL143"/>
      <c r="GM143"/>
    </row>
    <row r="144" spans="1:195" s="7" customFormat="1">
      <c r="A144" s="1"/>
      <c r="B144" s="76">
        <f ca="1">IF(C144="", "", RAND())</f>
        <v>0.39490460168364483</v>
      </c>
      <c r="C144">
        <v>8</v>
      </c>
      <c r="D144">
        <v>39799</v>
      </c>
      <c r="E144">
        <v>372.02380952380952</v>
      </c>
      <c r="F144">
        <v>1116.0714285714287</v>
      </c>
      <c r="G144">
        <v>446.42857142857144</v>
      </c>
      <c r="H144">
        <v>318.45238095238096</v>
      </c>
      <c r="I144">
        <v>10.416666666666666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891.39311467906805</v>
      </c>
      <c r="AO144">
        <v>56.235514844428067</v>
      </c>
      <c r="AP144">
        <v>131.85407233035633</v>
      </c>
      <c r="AQ144">
        <v>410.75045348767856</v>
      </c>
      <c r="AR144">
        <v>53.453584517633125</v>
      </c>
      <c r="AS144">
        <v>446.63568293308748</v>
      </c>
      <c r="AT144">
        <v>26.567974789972386</v>
      </c>
      <c r="AU144">
        <v>-36.382944826627572</v>
      </c>
      <c r="AV144"/>
      <c r="AW144"/>
      <c r="AX144" s="146"/>
      <c r="AY144" s="76">
        <f t="shared" ca="1" si="87"/>
        <v>0.90973136086348383</v>
      </c>
      <c r="AZ144">
        <v>7</v>
      </c>
      <c r="BA144" s="129">
        <f t="shared" si="167"/>
        <v>39799</v>
      </c>
      <c r="BB144">
        <v>0</v>
      </c>
      <c r="BC144">
        <v>0</v>
      </c>
      <c r="BD144">
        <v>1</v>
      </c>
      <c r="BE144">
        <v>12</v>
      </c>
      <c r="BF144">
        <v>3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89"/>
        <v>0.57798457579431717</v>
      </c>
      <c r="CL144" s="179">
        <f t="shared" si="90"/>
        <v>7</v>
      </c>
      <c r="CM144" s="180">
        <f t="shared" si="91"/>
        <v>39799</v>
      </c>
      <c r="CN144">
        <v>1</v>
      </c>
      <c r="CO144">
        <v>11</v>
      </c>
      <c r="CP144">
        <v>5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0.31566047162280975</v>
      </c>
      <c r="DD144">
        <f t="shared" si="93"/>
        <v>7</v>
      </c>
      <c r="DE144" s="129">
        <f t="shared" si="166"/>
        <v>39799</v>
      </c>
      <c r="DF144" s="161">
        <f t="shared" si="94"/>
        <v>60.763888888888886</v>
      </c>
      <c r="DG144" s="161">
        <f t="shared" si="95"/>
        <v>668.40277777777771</v>
      </c>
      <c r="DH144" s="161">
        <f t="shared" si="96"/>
        <v>314.23611111111109</v>
      </c>
      <c r="DI144" s="161">
        <f t="shared" si="97"/>
        <v>125</v>
      </c>
      <c r="DJ144" s="161">
        <f t="shared" si="98"/>
        <v>31.25</v>
      </c>
      <c r="DK144" s="161">
        <f t="shared" si="99"/>
        <v>0</v>
      </c>
      <c r="DL144" s="161">
        <f t="shared" si="100"/>
        <v>0</v>
      </c>
      <c r="DM144" s="161">
        <f t="shared" si="101"/>
        <v>0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1"/>
        <v>1199.6527777777778</v>
      </c>
      <c r="EL144" s="149"/>
      <c r="EN144" s="146"/>
      <c r="EO144" s="146"/>
      <c r="EP144" s="139">
        <f t="shared" si="132"/>
        <v>6.8009244723004403E-2</v>
      </c>
      <c r="EQ144" s="139">
        <f t="shared" si="133"/>
        <v>4.8309479166666662</v>
      </c>
      <c r="ER144" s="139">
        <f t="shared" si="134"/>
        <v>14.66634574975563</v>
      </c>
      <c r="ES144" s="139">
        <f t="shared" si="135"/>
        <v>17.371503920247356</v>
      </c>
      <c r="ET144" s="139">
        <f t="shared" si="136"/>
        <v>9.4186263367381393</v>
      </c>
      <c r="EU144" s="139">
        <f t="shared" si="137"/>
        <v>0</v>
      </c>
      <c r="EV144" s="139">
        <f t="shared" si="138"/>
        <v>0</v>
      </c>
      <c r="EW144" s="139">
        <f t="shared" si="139"/>
        <v>0</v>
      </c>
      <c r="EX144" s="139">
        <f t="shared" si="140"/>
        <v>0</v>
      </c>
      <c r="EY144" s="139">
        <f t="shared" si="141"/>
        <v>0</v>
      </c>
      <c r="EZ144" s="139">
        <f t="shared" si="142"/>
        <v>0</v>
      </c>
      <c r="FA144" s="139">
        <f t="shared" si="143"/>
        <v>0</v>
      </c>
      <c r="FB144" s="139">
        <f t="shared" si="144"/>
        <v>0</v>
      </c>
      <c r="FC144" s="139">
        <f t="shared" si="145"/>
        <v>0</v>
      </c>
      <c r="FD144" s="139">
        <f t="shared" si="146"/>
        <v>0</v>
      </c>
      <c r="FE144" s="139">
        <f t="shared" si="147"/>
        <v>0</v>
      </c>
      <c r="FF144" s="139">
        <f t="shared" si="148"/>
        <v>0</v>
      </c>
      <c r="FG144" s="139">
        <f t="shared" si="149"/>
        <v>0</v>
      </c>
      <c r="FH144" s="139">
        <f t="shared" si="150"/>
        <v>0</v>
      </c>
      <c r="FI144" s="139">
        <f t="shared" si="151"/>
        <v>0</v>
      </c>
      <c r="FJ144" s="139">
        <f t="shared" si="152"/>
        <v>0</v>
      </c>
      <c r="FK144" s="139">
        <f t="shared" si="153"/>
        <v>0</v>
      </c>
      <c r="FL144" s="139">
        <f t="shared" si="154"/>
        <v>0</v>
      </c>
      <c r="FM144" s="139">
        <f t="shared" si="155"/>
        <v>0</v>
      </c>
      <c r="FN144" s="139">
        <f t="shared" si="156"/>
        <v>0</v>
      </c>
      <c r="FO144" s="139">
        <f t="shared" si="157"/>
        <v>0</v>
      </c>
      <c r="FP144" s="139">
        <f t="shared" si="158"/>
        <v>0</v>
      </c>
      <c r="FQ144" s="139">
        <f t="shared" si="159"/>
        <v>0</v>
      </c>
      <c r="FR144" s="139">
        <f t="shared" si="160"/>
        <v>0</v>
      </c>
      <c r="FS144" s="139">
        <f t="shared" si="161"/>
        <v>0</v>
      </c>
      <c r="FT144" s="139">
        <f t="shared" si="162"/>
        <v>0</v>
      </c>
      <c r="FU144" s="148">
        <f t="shared" si="163"/>
        <v>46.355433168130801</v>
      </c>
      <c r="FV144" s="149"/>
      <c r="FY144" s="212">
        <v>139</v>
      </c>
      <c r="FZ144">
        <v>30.602645208698871</v>
      </c>
      <c r="GA144">
        <v>116.44620601825477</v>
      </c>
      <c r="GB144">
        <v>56.835812620360208</v>
      </c>
      <c r="GC144">
        <v>14.332137629816115</v>
      </c>
      <c r="GD144">
        <v>13.037894101138091</v>
      </c>
      <c r="GE144">
        <v>15.9690032197142</v>
      </c>
      <c r="GF144">
        <v>23.230161528184929</v>
      </c>
      <c r="GG144">
        <v>26.219838917300336</v>
      </c>
      <c r="GH144">
        <v>27.22605483011613</v>
      </c>
      <c r="GI144">
        <v>34.839958416985333</v>
      </c>
      <c r="GJ144"/>
      <c r="GK144"/>
      <c r="GL144"/>
      <c r="GM144"/>
    </row>
    <row r="145" spans="1:195" s="7" customFormat="1">
      <c r="A145" s="1"/>
      <c r="B145" s="76">
        <f ca="1">IF(C145="", "", RAND())</f>
        <v>0.7529178001861685</v>
      </c>
      <c r="C145">
        <v>5</v>
      </c>
      <c r="D145">
        <v>39799</v>
      </c>
      <c r="E145">
        <v>70.112179487179489</v>
      </c>
      <c r="F145">
        <v>140.22435897435898</v>
      </c>
      <c r="G145">
        <v>140.22435897435898</v>
      </c>
      <c r="H145">
        <v>31.25</v>
      </c>
      <c r="I145">
        <v>10.416666666666666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854.11924551643335</v>
      </c>
      <c r="AO145">
        <v>52.209691805419844</v>
      </c>
      <c r="AP145">
        <v>100.9784576347124</v>
      </c>
      <c r="AQ145">
        <v>382.15797116500079</v>
      </c>
      <c r="AR145">
        <v>51.220636822935582</v>
      </c>
      <c r="AS145">
        <v>427.71041698337137</v>
      </c>
      <c r="AT145">
        <v>27.315774319124866</v>
      </c>
      <c r="AU145">
        <v>-49.656601008059134</v>
      </c>
      <c r="AV145"/>
      <c r="AW145"/>
      <c r="AX145" s="146"/>
      <c r="AY145" s="76">
        <f t="shared" ca="1" si="87"/>
        <v>0.22990217652008571</v>
      </c>
      <c r="AZ145">
        <v>8</v>
      </c>
      <c r="BA145" s="129">
        <f t="shared" si="167"/>
        <v>39799</v>
      </c>
      <c r="BB145">
        <v>0</v>
      </c>
      <c r="BC145">
        <v>0</v>
      </c>
      <c r="BD145">
        <v>0</v>
      </c>
      <c r="BE145">
        <v>2</v>
      </c>
      <c r="BF145">
        <v>1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89"/>
        <v>0.39055474662734113</v>
      </c>
      <c r="CL145" s="179">
        <f t="shared" si="90"/>
        <v>8</v>
      </c>
      <c r="CM145" s="180">
        <f t="shared" si="91"/>
        <v>39799</v>
      </c>
      <c r="CN145">
        <v>5</v>
      </c>
      <c r="CO145">
        <v>15</v>
      </c>
      <c r="CP145">
        <v>6</v>
      </c>
      <c r="CQ145">
        <v>4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0.31162713655445073</v>
      </c>
      <c r="DD145">
        <f t="shared" si="93"/>
        <v>8</v>
      </c>
      <c r="DE145" s="129">
        <f t="shared" si="166"/>
        <v>39799</v>
      </c>
      <c r="DF145" s="161">
        <f t="shared" si="94"/>
        <v>372.02380952380952</v>
      </c>
      <c r="DG145" s="161">
        <f t="shared" si="95"/>
        <v>1116.0714285714287</v>
      </c>
      <c r="DH145" s="161">
        <f t="shared" si="96"/>
        <v>446.42857142857144</v>
      </c>
      <c r="DI145" s="161">
        <f t="shared" si="97"/>
        <v>318.45238095238096</v>
      </c>
      <c r="DJ145" s="161">
        <f t="shared" si="98"/>
        <v>10.416666666666666</v>
      </c>
      <c r="DK145" s="161">
        <f t="shared" si="99"/>
        <v>0</v>
      </c>
      <c r="DL145" s="161">
        <f t="shared" si="100"/>
        <v>0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1"/>
        <v>2263.3928571428573</v>
      </c>
      <c r="EL145" s="149"/>
      <c r="EN145" s="146"/>
      <c r="EO145" s="146"/>
      <c r="EP145" s="139">
        <f t="shared" si="132"/>
        <v>0.41638313095716983</v>
      </c>
      <c r="EQ145" s="139">
        <f t="shared" si="133"/>
        <v>8.0665178571428573</v>
      </c>
      <c r="ER145" s="139">
        <f t="shared" si="134"/>
        <v>20.836166021752277</v>
      </c>
      <c r="ES145" s="139">
        <f t="shared" si="135"/>
        <v>44.255974273011127</v>
      </c>
      <c r="ET145" s="139">
        <f t="shared" si="136"/>
        <v>3.1395421122460458</v>
      </c>
      <c r="EU145" s="139">
        <f t="shared" si="137"/>
        <v>0</v>
      </c>
      <c r="EV145" s="139">
        <f t="shared" si="138"/>
        <v>0</v>
      </c>
      <c r="EW145" s="139">
        <f t="shared" si="139"/>
        <v>0</v>
      </c>
      <c r="EX145" s="139">
        <f t="shared" si="140"/>
        <v>0</v>
      </c>
      <c r="EY145" s="139">
        <f t="shared" si="141"/>
        <v>0</v>
      </c>
      <c r="EZ145" s="139">
        <f t="shared" si="142"/>
        <v>0</v>
      </c>
      <c r="FA145" s="139">
        <f t="shared" si="143"/>
        <v>0</v>
      </c>
      <c r="FB145" s="139">
        <f t="shared" si="144"/>
        <v>0</v>
      </c>
      <c r="FC145" s="139">
        <f t="shared" si="145"/>
        <v>0</v>
      </c>
      <c r="FD145" s="139">
        <f t="shared" si="146"/>
        <v>0</v>
      </c>
      <c r="FE145" s="139">
        <f t="shared" si="147"/>
        <v>0</v>
      </c>
      <c r="FF145" s="139">
        <f t="shared" si="148"/>
        <v>0</v>
      </c>
      <c r="FG145" s="139">
        <f t="shared" si="149"/>
        <v>0</v>
      </c>
      <c r="FH145" s="139">
        <f t="shared" si="150"/>
        <v>0</v>
      </c>
      <c r="FI145" s="139">
        <f t="shared" si="151"/>
        <v>0</v>
      </c>
      <c r="FJ145" s="139">
        <f t="shared" si="152"/>
        <v>0</v>
      </c>
      <c r="FK145" s="139">
        <f t="shared" si="153"/>
        <v>0</v>
      </c>
      <c r="FL145" s="139">
        <f t="shared" si="154"/>
        <v>0</v>
      </c>
      <c r="FM145" s="139">
        <f t="shared" si="155"/>
        <v>0</v>
      </c>
      <c r="FN145" s="139">
        <f t="shared" si="156"/>
        <v>0</v>
      </c>
      <c r="FO145" s="139">
        <f t="shared" si="157"/>
        <v>0</v>
      </c>
      <c r="FP145" s="139">
        <f t="shared" si="158"/>
        <v>0</v>
      </c>
      <c r="FQ145" s="139">
        <f t="shared" si="159"/>
        <v>0</v>
      </c>
      <c r="FR145" s="139">
        <f t="shared" si="160"/>
        <v>0</v>
      </c>
      <c r="FS145" s="139">
        <f t="shared" si="161"/>
        <v>0</v>
      </c>
      <c r="FT145" s="139">
        <f t="shared" si="162"/>
        <v>0</v>
      </c>
      <c r="FU145" s="148">
        <f t="shared" si="163"/>
        <v>76.714583395109472</v>
      </c>
      <c r="FV145" s="149"/>
      <c r="FY145" s="212">
        <v>140</v>
      </c>
      <c r="FZ145">
        <v>35.42166626680433</v>
      </c>
      <c r="GA145">
        <v>98.872954032479683</v>
      </c>
      <c r="GB145">
        <v>55.50068613530533</v>
      </c>
      <c r="GC145">
        <v>18.333667756118793</v>
      </c>
      <c r="GD145">
        <v>11.987084245889212</v>
      </c>
      <c r="GE145">
        <v>15.262547169787164</v>
      </c>
      <c r="GF145">
        <v>38.430503068049944</v>
      </c>
      <c r="GG145">
        <v>35.166849879575018</v>
      </c>
      <c r="GH145">
        <v>21.547315691227229</v>
      </c>
      <c r="GI145">
        <v>36.462462025837794</v>
      </c>
      <c r="GJ145"/>
      <c r="GK145"/>
      <c r="GL145"/>
      <c r="GM145"/>
    </row>
    <row r="146" spans="1:195" s="7" customFormat="1">
      <c r="A146" s="1"/>
      <c r="B146" s="76">
        <f ca="1">IF(C146="", "", RAND())</f>
        <v>5.8925095554877682E-2</v>
      </c>
      <c r="C146">
        <v>4</v>
      </c>
      <c r="D146">
        <v>39799</v>
      </c>
      <c r="E146">
        <v>292.44652406417111</v>
      </c>
      <c r="F146">
        <v>1754.6791443850266</v>
      </c>
      <c r="G146">
        <v>1169.7860962566845</v>
      </c>
      <c r="H146">
        <v>292.44652406417111</v>
      </c>
      <c r="I146">
        <v>37.878787878787875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611.60088200511166</v>
      </c>
      <c r="AO146">
        <v>44.793324183165915</v>
      </c>
      <c r="AP146">
        <v>40.975189171449465</v>
      </c>
      <c r="AQ146">
        <v>328.32836068156968</v>
      </c>
      <c r="AR146">
        <v>45.66656541349365</v>
      </c>
      <c r="AS146">
        <v>346.5338114569891</v>
      </c>
      <c r="AT146">
        <v>23.470065768118356</v>
      </c>
      <c r="AU146">
        <v>-50.701921320185349</v>
      </c>
      <c r="AV146"/>
      <c r="AW146"/>
      <c r="AX146" s="146"/>
      <c r="AY146" s="76">
        <f t="shared" ca="1" si="87"/>
        <v>0.59686864911684823</v>
      </c>
      <c r="AZ146">
        <v>9</v>
      </c>
      <c r="BA146" s="129">
        <f t="shared" si="167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89"/>
        <v>0.21309401929612903</v>
      </c>
      <c r="CL146" s="179">
        <f t="shared" si="90"/>
        <v>9</v>
      </c>
      <c r="CM146" s="180">
        <f t="shared" si="91"/>
        <v>39799</v>
      </c>
      <c r="CN146">
        <v>0</v>
      </c>
      <c r="CO146">
        <v>0</v>
      </c>
      <c r="CP146">
        <v>1</v>
      </c>
      <c r="CQ146">
        <v>1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0.34814738374143328</v>
      </c>
      <c r="DD146">
        <f t="shared" si="93"/>
        <v>9</v>
      </c>
      <c r="DE146" s="129">
        <f t="shared" si="166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57.53391472868217</v>
      </c>
      <c r="DI146" s="161">
        <f t="shared" si="97"/>
        <v>57.53391472868217</v>
      </c>
      <c r="DJ146" s="161">
        <f t="shared" si="98"/>
        <v>0</v>
      </c>
      <c r="DK146" s="161">
        <f t="shared" si="99"/>
        <v>0</v>
      </c>
      <c r="DL146" s="161">
        <f t="shared" si="100"/>
        <v>0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1"/>
        <v>115.06782945736434</v>
      </c>
      <c r="EL146" s="149"/>
      <c r="EN146" s="146"/>
      <c r="EO146" s="146"/>
      <c r="EP146" s="139">
        <f t="shared" si="132"/>
        <v>0</v>
      </c>
      <c r="EQ146" s="139">
        <f t="shared" si="133"/>
        <v>0</v>
      </c>
      <c r="ER146" s="139">
        <f t="shared" si="134"/>
        <v>2.6852810861366789</v>
      </c>
      <c r="ES146" s="139">
        <f t="shared" si="135"/>
        <v>7.9956050020518363</v>
      </c>
      <c r="ET146" s="139">
        <f t="shared" si="136"/>
        <v>0</v>
      </c>
      <c r="EU146" s="139">
        <f t="shared" si="137"/>
        <v>0</v>
      </c>
      <c r="EV146" s="139">
        <f t="shared" si="138"/>
        <v>0</v>
      </c>
      <c r="EW146" s="139">
        <f t="shared" si="139"/>
        <v>0</v>
      </c>
      <c r="EX146" s="139">
        <f t="shared" si="140"/>
        <v>0</v>
      </c>
      <c r="EY146" s="139">
        <f t="shared" si="141"/>
        <v>0</v>
      </c>
      <c r="EZ146" s="139">
        <f t="shared" si="142"/>
        <v>0</v>
      </c>
      <c r="FA146" s="139">
        <f t="shared" si="143"/>
        <v>0</v>
      </c>
      <c r="FB146" s="139">
        <f t="shared" si="144"/>
        <v>0</v>
      </c>
      <c r="FC146" s="139">
        <f t="shared" si="145"/>
        <v>0</v>
      </c>
      <c r="FD146" s="139">
        <f t="shared" si="146"/>
        <v>0</v>
      </c>
      <c r="FE146" s="139">
        <f t="shared" si="147"/>
        <v>0</v>
      </c>
      <c r="FF146" s="139">
        <f t="shared" si="148"/>
        <v>0</v>
      </c>
      <c r="FG146" s="139">
        <f t="shared" si="149"/>
        <v>0</v>
      </c>
      <c r="FH146" s="139">
        <f t="shared" si="150"/>
        <v>0</v>
      </c>
      <c r="FI146" s="139">
        <f t="shared" si="151"/>
        <v>0</v>
      </c>
      <c r="FJ146" s="139">
        <f t="shared" si="152"/>
        <v>0</v>
      </c>
      <c r="FK146" s="139">
        <f t="shared" si="153"/>
        <v>0</v>
      </c>
      <c r="FL146" s="139">
        <f t="shared" si="154"/>
        <v>0</v>
      </c>
      <c r="FM146" s="139">
        <f t="shared" si="155"/>
        <v>0</v>
      </c>
      <c r="FN146" s="139">
        <f t="shared" si="156"/>
        <v>0</v>
      </c>
      <c r="FO146" s="139">
        <f t="shared" si="157"/>
        <v>0</v>
      </c>
      <c r="FP146" s="139">
        <f t="shared" si="158"/>
        <v>0</v>
      </c>
      <c r="FQ146" s="139">
        <f t="shared" si="159"/>
        <v>0</v>
      </c>
      <c r="FR146" s="139">
        <f t="shared" si="160"/>
        <v>0</v>
      </c>
      <c r="FS146" s="139">
        <f t="shared" si="161"/>
        <v>0</v>
      </c>
      <c r="FT146" s="139">
        <f t="shared" si="162"/>
        <v>0</v>
      </c>
      <c r="FU146" s="148">
        <f t="shared" si="163"/>
        <v>10.680886088188515</v>
      </c>
      <c r="FV146" s="149"/>
      <c r="FY146" s="212">
        <v>141</v>
      </c>
      <c r="FZ146">
        <v>34.472560069027566</v>
      </c>
      <c r="GA146">
        <v>76.797230951886576</v>
      </c>
      <c r="GB146">
        <v>45.153840530959272</v>
      </c>
      <c r="GC146">
        <v>18.460820029480558</v>
      </c>
      <c r="GD146">
        <v>10.071733065716204</v>
      </c>
      <c r="GE146">
        <v>13.150083299645555</v>
      </c>
      <c r="GF146">
        <v>24.267282843330658</v>
      </c>
      <c r="GG146">
        <v>27.92628210843516</v>
      </c>
      <c r="GH146">
        <v>32.103723133120873</v>
      </c>
      <c r="GI146">
        <v>31.608843334596724</v>
      </c>
      <c r="GJ146"/>
      <c r="GK146"/>
      <c r="GL146"/>
      <c r="GM146"/>
    </row>
    <row r="147" spans="1:195" s="7" customFormat="1">
      <c r="A147" s="1"/>
      <c r="B147" s="76">
        <f ca="1">IF(C147="", "", RAND())</f>
        <v>0.91112529848850898</v>
      </c>
      <c r="C147">
        <v>7</v>
      </c>
      <c r="D147">
        <v>39799</v>
      </c>
      <c r="E147">
        <v>60.763888888888886</v>
      </c>
      <c r="F147">
        <v>668.40277777777771</v>
      </c>
      <c r="G147">
        <v>314.23611111111109</v>
      </c>
      <c r="H147">
        <v>125</v>
      </c>
      <c r="I147">
        <v>31.25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835.94528664172844</v>
      </c>
      <c r="AO147">
        <v>59.088370838903359</v>
      </c>
      <c r="AP147">
        <v>102.12224258604891</v>
      </c>
      <c r="AQ147">
        <v>414.6545731051234</v>
      </c>
      <c r="AR147">
        <v>57.552936459127736</v>
      </c>
      <c r="AS147">
        <v>466.01433103324649</v>
      </c>
      <c r="AT147">
        <v>29.677945297685369</v>
      </c>
      <c r="AU147">
        <v>-36.295544822134133</v>
      </c>
      <c r="AV147"/>
      <c r="AW147"/>
      <c r="AX147" s="146"/>
      <c r="AY147" s="76">
        <f t="shared" ca="1" si="87"/>
        <v>0.24509455415760506</v>
      </c>
      <c r="AZ147">
        <v>10</v>
      </c>
      <c r="BA147" s="129">
        <f t="shared" si="167"/>
        <v>39799</v>
      </c>
      <c r="BB147">
        <v>0</v>
      </c>
      <c r="BC147">
        <v>0</v>
      </c>
      <c r="BD147">
        <v>0</v>
      </c>
      <c r="BE147">
        <v>1</v>
      </c>
      <c r="BF147">
        <v>1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89"/>
        <v>0.13011584241846341</v>
      </c>
      <c r="CL147" s="179">
        <f t="shared" si="90"/>
        <v>10</v>
      </c>
      <c r="CM147" s="180">
        <f t="shared" si="91"/>
        <v>39799</v>
      </c>
      <c r="CN147">
        <v>0</v>
      </c>
      <c r="CO147">
        <v>2</v>
      </c>
      <c r="CP147">
        <v>10</v>
      </c>
      <c r="CQ147">
        <v>1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0.29692989843475992</v>
      </c>
      <c r="DD147">
        <f t="shared" si="93"/>
        <v>10</v>
      </c>
      <c r="DE147" s="129">
        <f t="shared" si="166"/>
        <v>39799</v>
      </c>
      <c r="DF147" s="161">
        <f t="shared" si="94"/>
        <v>0</v>
      </c>
      <c r="DG147" s="161">
        <f t="shared" si="95"/>
        <v>20.833333333333332</v>
      </c>
      <c r="DH147" s="161">
        <f t="shared" si="96"/>
        <v>104.16666666666667</v>
      </c>
      <c r="DI147" s="161">
        <f t="shared" si="97"/>
        <v>20.833333333333332</v>
      </c>
      <c r="DJ147" s="161">
        <f t="shared" si="98"/>
        <v>10.416666666666666</v>
      </c>
      <c r="DK147" s="161">
        <f t="shared" si="99"/>
        <v>0</v>
      </c>
      <c r="DL147" s="161">
        <f t="shared" si="100"/>
        <v>0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1"/>
        <v>156.25</v>
      </c>
      <c r="EL147" s="149"/>
      <c r="EN147" s="146"/>
      <c r="EO147" s="146"/>
      <c r="EP147" s="139">
        <f t="shared" si="132"/>
        <v>0</v>
      </c>
      <c r="EQ147" s="139">
        <f t="shared" si="133"/>
        <v>0.15057499999999999</v>
      </c>
      <c r="ER147" s="139">
        <f t="shared" si="134"/>
        <v>4.8617720717421982</v>
      </c>
      <c r="ES147" s="139">
        <f t="shared" si="135"/>
        <v>2.8952506533745592</v>
      </c>
      <c r="ET147" s="139">
        <f t="shared" si="136"/>
        <v>3.1395421122460458</v>
      </c>
      <c r="EU147" s="139">
        <f t="shared" si="137"/>
        <v>0</v>
      </c>
      <c r="EV147" s="139">
        <f t="shared" si="138"/>
        <v>0</v>
      </c>
      <c r="EW147" s="139">
        <f t="shared" si="139"/>
        <v>0</v>
      </c>
      <c r="EX147" s="139">
        <f t="shared" si="140"/>
        <v>0</v>
      </c>
      <c r="EY147" s="139">
        <f t="shared" si="141"/>
        <v>0</v>
      </c>
      <c r="EZ147" s="139">
        <f t="shared" si="142"/>
        <v>0</v>
      </c>
      <c r="FA147" s="139">
        <f t="shared" si="143"/>
        <v>0</v>
      </c>
      <c r="FB147" s="139">
        <f t="shared" si="144"/>
        <v>0</v>
      </c>
      <c r="FC147" s="139">
        <f t="shared" si="145"/>
        <v>0</v>
      </c>
      <c r="FD147" s="139">
        <f t="shared" si="146"/>
        <v>0</v>
      </c>
      <c r="FE147" s="139">
        <f t="shared" si="147"/>
        <v>0</v>
      </c>
      <c r="FF147" s="139">
        <f t="shared" si="148"/>
        <v>0</v>
      </c>
      <c r="FG147" s="139">
        <f t="shared" si="149"/>
        <v>0</v>
      </c>
      <c r="FH147" s="139">
        <f t="shared" si="150"/>
        <v>0</v>
      </c>
      <c r="FI147" s="139">
        <f t="shared" si="151"/>
        <v>0</v>
      </c>
      <c r="FJ147" s="139">
        <f t="shared" si="152"/>
        <v>0</v>
      </c>
      <c r="FK147" s="139">
        <f t="shared" si="153"/>
        <v>0</v>
      </c>
      <c r="FL147" s="139">
        <f t="shared" si="154"/>
        <v>0</v>
      </c>
      <c r="FM147" s="139">
        <f t="shared" si="155"/>
        <v>0</v>
      </c>
      <c r="FN147" s="139">
        <f t="shared" si="156"/>
        <v>0</v>
      </c>
      <c r="FO147" s="139">
        <f t="shared" si="157"/>
        <v>0</v>
      </c>
      <c r="FP147" s="139">
        <f t="shared" si="158"/>
        <v>0</v>
      </c>
      <c r="FQ147" s="139">
        <f t="shared" si="159"/>
        <v>0</v>
      </c>
      <c r="FR147" s="139">
        <f t="shared" si="160"/>
        <v>0</v>
      </c>
      <c r="FS147" s="139">
        <f t="shared" si="161"/>
        <v>0</v>
      </c>
      <c r="FT147" s="139">
        <f t="shared" si="162"/>
        <v>0</v>
      </c>
      <c r="FU147" s="148">
        <f t="shared" si="163"/>
        <v>11.047139837362803</v>
      </c>
      <c r="FV147" s="149"/>
      <c r="FY147" s="212">
        <v>142</v>
      </c>
      <c r="FZ147">
        <v>44.991398226281234</v>
      </c>
      <c r="GA147">
        <v>98.650792672727334</v>
      </c>
      <c r="GB147">
        <v>57.320358880303061</v>
      </c>
      <c r="GC147">
        <v>17.562017942505484</v>
      </c>
      <c r="GD147">
        <v>11.505971669634432</v>
      </c>
      <c r="GE147">
        <v>16.997571300787847</v>
      </c>
      <c r="GF147">
        <v>20.404371219480225</v>
      </c>
      <c r="GG147">
        <v>16.867727579209163</v>
      </c>
      <c r="GH147">
        <v>25.76475035246019</v>
      </c>
      <c r="GI147">
        <v>35.402490215841404</v>
      </c>
      <c r="GJ147"/>
      <c r="GK147"/>
      <c r="GL147"/>
      <c r="GM147"/>
    </row>
    <row r="148" spans="1:195" s="7" customFormat="1">
      <c r="A148" s="128"/>
      <c r="B148" s="76">
        <f ca="1">IF(C148="", "", RAND())</f>
        <v>0.26075164914579751</v>
      </c>
      <c r="C148">
        <v>4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10.416666666666666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770.64678028481762</v>
      </c>
      <c r="AO148">
        <v>46.107451222931317</v>
      </c>
      <c r="AP148">
        <v>64.40959589083775</v>
      </c>
      <c r="AQ148">
        <v>308.98039746417174</v>
      </c>
      <c r="AR148">
        <v>44.099187942335362</v>
      </c>
      <c r="AS148">
        <v>378.54338573408171</v>
      </c>
      <c r="AT148">
        <v>22.150013843784389</v>
      </c>
      <c r="AU148">
        <v>-9.2578006637411931</v>
      </c>
      <c r="AV148"/>
      <c r="AW148"/>
      <c r="AX148" s="128"/>
      <c r="AY148" s="76">
        <f t="shared" ca="1" si="87"/>
        <v>0.76562082506101037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8</v>
      </c>
      <c r="BF148">
        <v>1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89"/>
        <v>0.17576421153374167</v>
      </c>
      <c r="CL148" s="179">
        <f t="shared" si="90"/>
        <v>1</v>
      </c>
      <c r="CM148" s="180">
        <f t="shared" si="91"/>
        <v>39847</v>
      </c>
      <c r="CN148">
        <v>6.7142857142857144</v>
      </c>
      <c r="CO148">
        <v>25.738095238095237</v>
      </c>
      <c r="CP148">
        <v>11.19047619047619</v>
      </c>
      <c r="CQ148">
        <v>3.3571428571428572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0.69676628240285354</v>
      </c>
      <c r="DD148">
        <f t="shared" si="93"/>
        <v>1</v>
      </c>
      <c r="DE148" s="129">
        <f t="shared" ref="DE148:DE157" si="168">IF((DD148)="", "", $C$10)</f>
        <v>39847</v>
      </c>
      <c r="DF148" s="161">
        <f t="shared" si="94"/>
        <v>69.94047619047619</v>
      </c>
      <c r="DG148" s="161">
        <f t="shared" si="95"/>
        <v>268.10515873015873</v>
      </c>
      <c r="DH148" s="161">
        <f t="shared" si="96"/>
        <v>116.5674603174603</v>
      </c>
      <c r="DI148" s="161">
        <f t="shared" si="97"/>
        <v>118.30357142857143</v>
      </c>
      <c r="DJ148" s="161">
        <f t="shared" si="98"/>
        <v>10.416666666666666</v>
      </c>
      <c r="DK148" s="161">
        <f t="shared" si="99"/>
        <v>0</v>
      </c>
      <c r="DL148" s="161">
        <f t="shared" si="100"/>
        <v>0</v>
      </c>
      <c r="DM148" s="161">
        <f t="shared" si="101"/>
        <v>0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1"/>
        <v>583.33333333333326</v>
      </c>
      <c r="EL148" s="149"/>
      <c r="EN148" s="146"/>
      <c r="EO148" s="146"/>
      <c r="EP148" s="139">
        <f t="shared" si="132"/>
        <v>7.8280028619947928E-2</v>
      </c>
      <c r="EQ148" s="139">
        <f t="shared" si="133"/>
        <v>1.9377568452380953</v>
      </c>
      <c r="ER148" s="139">
        <f t="shared" si="134"/>
        <v>5.4405544612353163</v>
      </c>
      <c r="ES148" s="139">
        <f t="shared" si="135"/>
        <v>16.440887638805535</v>
      </c>
      <c r="ET148" s="139">
        <f t="shared" si="136"/>
        <v>3.1395421122460458</v>
      </c>
      <c r="EU148" s="139">
        <f t="shared" si="137"/>
        <v>0</v>
      </c>
      <c r="EV148" s="139">
        <f t="shared" si="138"/>
        <v>0</v>
      </c>
      <c r="EW148" s="139">
        <f t="shared" si="139"/>
        <v>0</v>
      </c>
      <c r="EX148" s="139">
        <f t="shared" si="140"/>
        <v>0</v>
      </c>
      <c r="EY148" s="139">
        <f t="shared" si="141"/>
        <v>0</v>
      </c>
      <c r="EZ148" s="139">
        <f t="shared" si="142"/>
        <v>0</v>
      </c>
      <c r="FA148" s="139">
        <f t="shared" si="143"/>
        <v>0</v>
      </c>
      <c r="FB148" s="139">
        <f t="shared" si="144"/>
        <v>0</v>
      </c>
      <c r="FC148" s="139">
        <f t="shared" si="145"/>
        <v>0</v>
      </c>
      <c r="FD148" s="139">
        <f t="shared" si="146"/>
        <v>0</v>
      </c>
      <c r="FE148" s="139">
        <f t="shared" si="147"/>
        <v>0</v>
      </c>
      <c r="FF148" s="139">
        <f t="shared" si="148"/>
        <v>0</v>
      </c>
      <c r="FG148" s="139">
        <f t="shared" si="149"/>
        <v>0</v>
      </c>
      <c r="FH148" s="139">
        <f t="shared" si="150"/>
        <v>0</v>
      </c>
      <c r="FI148" s="139">
        <f t="shared" si="151"/>
        <v>0</v>
      </c>
      <c r="FJ148" s="139">
        <f t="shared" si="152"/>
        <v>0</v>
      </c>
      <c r="FK148" s="139">
        <f t="shared" si="153"/>
        <v>0</v>
      </c>
      <c r="FL148" s="139">
        <f t="shared" si="154"/>
        <v>0</v>
      </c>
      <c r="FM148" s="139">
        <f t="shared" si="155"/>
        <v>0</v>
      </c>
      <c r="FN148" s="139">
        <f t="shared" si="156"/>
        <v>0</v>
      </c>
      <c r="FO148" s="139">
        <f t="shared" si="157"/>
        <v>0</v>
      </c>
      <c r="FP148" s="139">
        <f t="shared" si="158"/>
        <v>0</v>
      </c>
      <c r="FQ148" s="139">
        <f t="shared" si="159"/>
        <v>0</v>
      </c>
      <c r="FR148" s="139">
        <f t="shared" si="160"/>
        <v>0</v>
      </c>
      <c r="FS148" s="139">
        <f t="shared" si="161"/>
        <v>0</v>
      </c>
      <c r="FT148" s="139">
        <f t="shared" si="162"/>
        <v>0</v>
      </c>
      <c r="FU148" s="148">
        <f t="shared" si="163"/>
        <v>27.037021086144939</v>
      </c>
      <c r="FV148" s="149"/>
      <c r="FY148" s="212">
        <v>143</v>
      </c>
      <c r="FZ148">
        <v>61.345785955219903</v>
      </c>
      <c r="GA148">
        <v>82.444448415785217</v>
      </c>
      <c r="GB148">
        <v>47.298558672007154</v>
      </c>
      <c r="GC148">
        <v>20.728817754850589</v>
      </c>
      <c r="GD148">
        <v>10.898390662897599</v>
      </c>
      <c r="GE148">
        <v>8.6259281192793331</v>
      </c>
      <c r="GF148">
        <v>36.196740871861962</v>
      </c>
      <c r="GG148">
        <v>40.732274703749987</v>
      </c>
      <c r="GH148">
        <v>32.271776312228106</v>
      </c>
      <c r="GI148">
        <v>38.882876263017259</v>
      </c>
      <c r="GJ148"/>
      <c r="GK148"/>
      <c r="GL148"/>
      <c r="GM148"/>
    </row>
    <row r="149" spans="1:195" s="7" customFormat="1">
      <c r="A149" s="77"/>
      <c r="B149" s="76">
        <f ca="1">IF(C149="", "", RAND())</f>
        <v>0.62463119469865647</v>
      </c>
      <c r="C149">
        <v>6</v>
      </c>
      <c r="D149">
        <v>39847</v>
      </c>
      <c r="E149">
        <v>0</v>
      </c>
      <c r="F149">
        <v>0</v>
      </c>
      <c r="G149">
        <v>10.416666666666666</v>
      </c>
      <c r="H149">
        <v>0</v>
      </c>
      <c r="I149">
        <v>20.833333333333332</v>
      </c>
      <c r="J149">
        <v>20.833333333333332</v>
      </c>
      <c r="K149">
        <v>10.416666666666666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859.65794526395916</v>
      </c>
      <c r="AO149">
        <v>52.388743504117848</v>
      </c>
      <c r="AP149">
        <v>94.171363627761536</v>
      </c>
      <c r="AQ149">
        <v>371.42201700674923</v>
      </c>
      <c r="AR149">
        <v>49.709983718170193</v>
      </c>
      <c r="AS149">
        <v>396.82485571741336</v>
      </c>
      <c r="AT149">
        <v>25.367794349271406</v>
      </c>
      <c r="AU149">
        <v>-49.453824366787735</v>
      </c>
      <c r="AV149"/>
      <c r="AW149"/>
      <c r="AX149" s="151"/>
      <c r="AY149" s="76">
        <f t="shared" ca="1" si="87"/>
        <v>0.34901203203245079</v>
      </c>
      <c r="AZ149">
        <v>2</v>
      </c>
      <c r="BA149" s="129">
        <f t="shared" ref="BA149:BA157" si="169">IF(AZ149="", "",$C$10)</f>
        <v>39847</v>
      </c>
      <c r="BB149">
        <v>0</v>
      </c>
      <c r="BC149">
        <v>0</v>
      </c>
      <c r="BD149">
        <v>0</v>
      </c>
      <c r="BE149">
        <v>4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89"/>
        <v>0.90236581455341902</v>
      </c>
      <c r="CL149" s="179">
        <f t="shared" si="90"/>
        <v>2</v>
      </c>
      <c r="CM149" s="180">
        <f t="shared" si="91"/>
        <v>39847</v>
      </c>
      <c r="CN149">
        <v>0</v>
      </c>
      <c r="CO149">
        <v>15</v>
      </c>
      <c r="CP149">
        <v>9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3.231136888919206E-2</v>
      </c>
      <c r="DD149">
        <f t="shared" si="93"/>
        <v>2</v>
      </c>
      <c r="DE149" s="129">
        <f t="shared" si="168"/>
        <v>39847</v>
      </c>
      <c r="DF149" s="161">
        <f t="shared" si="94"/>
        <v>0</v>
      </c>
      <c r="DG149" s="161">
        <f t="shared" si="95"/>
        <v>1708.984375</v>
      </c>
      <c r="DH149" s="161">
        <f t="shared" si="96"/>
        <v>1025.390625</v>
      </c>
      <c r="DI149" s="161">
        <f t="shared" si="97"/>
        <v>138.88888888888889</v>
      </c>
      <c r="DJ149" s="161">
        <f t="shared" si="98"/>
        <v>0</v>
      </c>
      <c r="DK149" s="161">
        <f t="shared" si="99"/>
        <v>0</v>
      </c>
      <c r="DL149" s="161">
        <f t="shared" si="100"/>
        <v>0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1"/>
        <v>2873.2638888888887</v>
      </c>
      <c r="EL149" s="149"/>
      <c r="EN149" s="151"/>
      <c r="EO149" s="151"/>
      <c r="EP149" s="139">
        <f t="shared" si="132"/>
        <v>0</v>
      </c>
      <c r="EQ149" s="139">
        <f t="shared" si="133"/>
        <v>12.351855468749999</v>
      </c>
      <c r="ER149" s="139">
        <f t="shared" si="134"/>
        <v>47.858068831212265</v>
      </c>
      <c r="ES149" s="139">
        <f t="shared" si="135"/>
        <v>19.301671022497064</v>
      </c>
      <c r="ET149" s="139">
        <f t="shared" si="136"/>
        <v>0</v>
      </c>
      <c r="EU149" s="139">
        <f t="shared" si="137"/>
        <v>0</v>
      </c>
      <c r="EV149" s="139">
        <f t="shared" si="138"/>
        <v>0</v>
      </c>
      <c r="EW149" s="139">
        <f t="shared" si="139"/>
        <v>0</v>
      </c>
      <c r="EX149" s="139">
        <f t="shared" si="140"/>
        <v>0</v>
      </c>
      <c r="EY149" s="139">
        <f t="shared" si="141"/>
        <v>0</v>
      </c>
      <c r="EZ149" s="139">
        <f t="shared" si="142"/>
        <v>0</v>
      </c>
      <c r="FA149" s="139">
        <f t="shared" si="143"/>
        <v>0</v>
      </c>
      <c r="FB149" s="139">
        <f t="shared" si="144"/>
        <v>0</v>
      </c>
      <c r="FC149" s="139">
        <f t="shared" si="145"/>
        <v>0</v>
      </c>
      <c r="FD149" s="139">
        <f t="shared" si="146"/>
        <v>0</v>
      </c>
      <c r="FE149" s="139">
        <f t="shared" si="147"/>
        <v>0</v>
      </c>
      <c r="FF149" s="139">
        <f t="shared" si="148"/>
        <v>0</v>
      </c>
      <c r="FG149" s="139">
        <f t="shared" si="149"/>
        <v>0</v>
      </c>
      <c r="FH149" s="139">
        <f t="shared" si="150"/>
        <v>0</v>
      </c>
      <c r="FI149" s="139">
        <f t="shared" si="151"/>
        <v>0</v>
      </c>
      <c r="FJ149" s="139">
        <f t="shared" si="152"/>
        <v>0</v>
      </c>
      <c r="FK149" s="139">
        <f t="shared" si="153"/>
        <v>0</v>
      </c>
      <c r="FL149" s="139">
        <f t="shared" si="154"/>
        <v>0</v>
      </c>
      <c r="FM149" s="139">
        <f t="shared" si="155"/>
        <v>0</v>
      </c>
      <c r="FN149" s="139">
        <f t="shared" si="156"/>
        <v>0</v>
      </c>
      <c r="FO149" s="139">
        <f t="shared" si="157"/>
        <v>0</v>
      </c>
      <c r="FP149" s="139">
        <f t="shared" si="158"/>
        <v>0</v>
      </c>
      <c r="FQ149" s="139">
        <f t="shared" si="159"/>
        <v>0</v>
      </c>
      <c r="FR149" s="139">
        <f t="shared" si="160"/>
        <v>0</v>
      </c>
      <c r="FS149" s="139">
        <f t="shared" si="161"/>
        <v>0</v>
      </c>
      <c r="FT149" s="139">
        <f t="shared" si="162"/>
        <v>0</v>
      </c>
      <c r="FU149" s="148">
        <f t="shared" si="163"/>
        <v>79.511595322459328</v>
      </c>
      <c r="FV149" s="149"/>
      <c r="FY149" s="212">
        <v>144</v>
      </c>
      <c r="FZ149">
        <v>34.556790117167623</v>
      </c>
      <c r="GA149">
        <v>111.48531300574015</v>
      </c>
      <c r="GB149">
        <v>70.417063866939898</v>
      </c>
      <c r="GC149">
        <v>22.78769204470769</v>
      </c>
      <c r="GD149">
        <v>12.036010535996084</v>
      </c>
      <c r="GE149">
        <v>11.444285384710104</v>
      </c>
      <c r="GF149">
        <v>23.412553533848172</v>
      </c>
      <c r="GG149">
        <v>20.067501283321061</v>
      </c>
      <c r="GH149">
        <v>13.413062740244081</v>
      </c>
      <c r="GI149">
        <v>35.963450346929925</v>
      </c>
      <c r="GJ149"/>
      <c r="GK149"/>
      <c r="GL149"/>
      <c r="GM149"/>
    </row>
    <row r="150" spans="1:195" s="7" customFormat="1">
      <c r="A150" s="77"/>
      <c r="B150" s="76">
        <f ca="1">IF(C150="", "", RAND())</f>
        <v>0.70313049637785374</v>
      </c>
      <c r="C150">
        <v>10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819.02187414659306</v>
      </c>
      <c r="AO150">
        <v>55.047812421981348</v>
      </c>
      <c r="AP150">
        <v>47.783986867737511</v>
      </c>
      <c r="AQ150">
        <v>390.22733368938196</v>
      </c>
      <c r="AR150">
        <v>52.920993803221258</v>
      </c>
      <c r="AS150">
        <v>436.06682152974679</v>
      </c>
      <c r="AT150">
        <v>26.544663906387857</v>
      </c>
      <c r="AU150">
        <v>-75.889671308771142</v>
      </c>
      <c r="AV150"/>
      <c r="AW150"/>
      <c r="AX150" s="151"/>
      <c r="AY150" s="76">
        <f t="shared" ca="1" si="87"/>
        <v>0.49819367273913273</v>
      </c>
      <c r="AZ150">
        <v>3</v>
      </c>
      <c r="BA150" s="129">
        <f t="shared" si="169"/>
        <v>39847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>
        <f t="shared" ca="1" si="89"/>
        <v>0.97890703559615133</v>
      </c>
      <c r="CL150" s="179">
        <f t="shared" si="90"/>
        <v>3</v>
      </c>
      <c r="CM150" s="180">
        <f t="shared" si="91"/>
        <v>39847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>
        <v>1</v>
      </c>
      <c r="CX150">
        <v>1</v>
      </c>
      <c r="CY150" s="160"/>
      <c r="CZ150" s="177">
        <f t="shared" si="92"/>
        <v>9.6000000000000002E-2</v>
      </c>
      <c r="DB150" s="151"/>
      <c r="DC150" s="76">
        <f t="shared" ca="1" si="50"/>
        <v>0.93700712172161915</v>
      </c>
      <c r="DD150">
        <f t="shared" si="93"/>
        <v>3</v>
      </c>
      <c r="DE150" s="129">
        <f t="shared" si="168"/>
        <v>39847</v>
      </c>
      <c r="DF150" s="161">
        <f t="shared" si="94"/>
        <v>0</v>
      </c>
      <c r="DG150" s="161">
        <f t="shared" si="95"/>
        <v>0</v>
      </c>
      <c r="DH150" s="161">
        <f t="shared" si="96"/>
        <v>0</v>
      </c>
      <c r="DI150" s="161">
        <f t="shared" si="97"/>
        <v>0</v>
      </c>
      <c r="DJ150" s="161">
        <f t="shared" si="98"/>
        <v>0</v>
      </c>
      <c r="DK150" s="161">
        <f t="shared" si="99"/>
        <v>0</v>
      </c>
      <c r="DL150" s="161">
        <f t="shared" si="100"/>
        <v>0</v>
      </c>
      <c r="DM150" s="161">
        <f t="shared" si="101"/>
        <v>0</v>
      </c>
      <c r="DN150" s="161">
        <f t="shared" si="102"/>
        <v>0</v>
      </c>
      <c r="DO150" s="161">
        <f t="shared" si="103"/>
        <v>0</v>
      </c>
      <c r="DP150" s="161">
        <f t="shared" si="104"/>
        <v>0</v>
      </c>
      <c r="DQ150" s="161">
        <f t="shared" si="105"/>
        <v>0</v>
      </c>
      <c r="DR150" s="161">
        <f t="shared" si="106"/>
        <v>0</v>
      </c>
      <c r="DS150" s="161">
        <f t="shared" si="107"/>
        <v>0</v>
      </c>
      <c r="DT150" s="161">
        <f t="shared" si="108"/>
        <v>0</v>
      </c>
      <c r="DU150" s="161">
        <f t="shared" si="109"/>
        <v>0</v>
      </c>
      <c r="DV150" s="161">
        <f t="shared" si="110"/>
        <v>0</v>
      </c>
      <c r="DW150" s="161">
        <f t="shared" si="111"/>
        <v>0</v>
      </c>
      <c r="DX150" s="161">
        <f t="shared" si="112"/>
        <v>0</v>
      </c>
      <c r="DY150" s="161">
        <f t="shared" si="113"/>
        <v>0</v>
      </c>
      <c r="DZ150" s="161">
        <f t="shared" si="114"/>
        <v>0</v>
      </c>
      <c r="EA150" s="161">
        <f t="shared" si="115"/>
        <v>0</v>
      </c>
      <c r="EB150" s="161">
        <f t="shared" si="116"/>
        <v>0</v>
      </c>
      <c r="EC150" s="161">
        <f t="shared" si="117"/>
        <v>0</v>
      </c>
      <c r="ED150" s="161">
        <f t="shared" si="118"/>
        <v>0</v>
      </c>
      <c r="EE150" s="161">
        <f t="shared" si="119"/>
        <v>0</v>
      </c>
      <c r="EF150" s="161">
        <f t="shared" si="120"/>
        <v>0</v>
      </c>
      <c r="EG150" s="161">
        <f t="shared" si="121"/>
        <v>0</v>
      </c>
      <c r="EH150" s="161">
        <f t="shared" si="122"/>
        <v>0</v>
      </c>
      <c r="EI150" s="161">
        <f t="shared" si="123"/>
        <v>0</v>
      </c>
      <c r="EJ150" s="161">
        <f t="shared" si="124"/>
        <v>0</v>
      </c>
      <c r="EK150" s="147">
        <f t="shared" si="131"/>
        <v>0</v>
      </c>
      <c r="EL150" s="149"/>
      <c r="EN150" s="151"/>
      <c r="EO150" s="151"/>
      <c r="EP150" s="139">
        <f t="shared" si="132"/>
        <v>0</v>
      </c>
      <c r="EQ150" s="139">
        <f t="shared" si="133"/>
        <v>0</v>
      </c>
      <c r="ER150" s="139">
        <f t="shared" si="134"/>
        <v>0</v>
      </c>
      <c r="ES150" s="139">
        <f t="shared" si="135"/>
        <v>0</v>
      </c>
      <c r="ET150" s="139">
        <f t="shared" si="136"/>
        <v>0</v>
      </c>
      <c r="EU150" s="139">
        <f t="shared" si="137"/>
        <v>0</v>
      </c>
      <c r="EV150" s="139">
        <f t="shared" si="138"/>
        <v>0</v>
      </c>
      <c r="EW150" s="139">
        <f t="shared" si="139"/>
        <v>0</v>
      </c>
      <c r="EX150" s="139">
        <f t="shared" si="140"/>
        <v>0</v>
      </c>
      <c r="EY150" s="139">
        <f t="shared" si="141"/>
        <v>0</v>
      </c>
      <c r="EZ150" s="139">
        <f t="shared" si="142"/>
        <v>0</v>
      </c>
      <c r="FA150" s="139">
        <f t="shared" si="143"/>
        <v>0</v>
      </c>
      <c r="FB150" s="139">
        <f t="shared" si="144"/>
        <v>0</v>
      </c>
      <c r="FC150" s="139">
        <f t="shared" si="145"/>
        <v>0</v>
      </c>
      <c r="FD150" s="139">
        <f t="shared" si="146"/>
        <v>0</v>
      </c>
      <c r="FE150" s="139">
        <f t="shared" si="147"/>
        <v>0</v>
      </c>
      <c r="FF150" s="139">
        <f t="shared" si="148"/>
        <v>0</v>
      </c>
      <c r="FG150" s="139">
        <f t="shared" si="149"/>
        <v>0</v>
      </c>
      <c r="FH150" s="139">
        <f t="shared" si="150"/>
        <v>0</v>
      </c>
      <c r="FI150" s="139">
        <f t="shared" si="151"/>
        <v>0</v>
      </c>
      <c r="FJ150" s="139">
        <f t="shared" si="152"/>
        <v>0</v>
      </c>
      <c r="FK150" s="139">
        <f t="shared" si="153"/>
        <v>0</v>
      </c>
      <c r="FL150" s="139">
        <f t="shared" si="154"/>
        <v>0</v>
      </c>
      <c r="FM150" s="139">
        <f t="shared" si="155"/>
        <v>0</v>
      </c>
      <c r="FN150" s="139">
        <f t="shared" si="156"/>
        <v>0</v>
      </c>
      <c r="FO150" s="139">
        <f t="shared" si="157"/>
        <v>0</v>
      </c>
      <c r="FP150" s="139">
        <f t="shared" si="158"/>
        <v>0</v>
      </c>
      <c r="FQ150" s="139">
        <f t="shared" si="159"/>
        <v>0</v>
      </c>
      <c r="FR150" s="139">
        <f t="shared" si="160"/>
        <v>0</v>
      </c>
      <c r="FS150" s="139">
        <f t="shared" si="161"/>
        <v>0</v>
      </c>
      <c r="FT150" s="139">
        <f t="shared" si="162"/>
        <v>0</v>
      </c>
      <c r="FU150" s="148">
        <f t="shared" si="163"/>
        <v>0</v>
      </c>
      <c r="FV150" s="149"/>
      <c r="FY150" s="212">
        <v>145</v>
      </c>
      <c r="FZ150">
        <v>41.454790295194158</v>
      </c>
      <c r="GA150">
        <v>97.606196451892686</v>
      </c>
      <c r="GB150">
        <v>52.098903857316131</v>
      </c>
      <c r="GC150">
        <v>17.203630908417118</v>
      </c>
      <c r="GD150">
        <v>13.130883031311415</v>
      </c>
      <c r="GE150">
        <v>16.438370589615037</v>
      </c>
      <c r="GF150">
        <v>17.384843372372366</v>
      </c>
      <c r="GG150">
        <v>21.765696934737413</v>
      </c>
      <c r="GH150">
        <v>35.098829356563598</v>
      </c>
      <c r="GI150">
        <v>35.39346394964528</v>
      </c>
      <c r="GJ150"/>
      <c r="GK150"/>
      <c r="GL150"/>
      <c r="GM150"/>
    </row>
    <row r="151" spans="1:195" s="7" customFormat="1">
      <c r="A151" s="77"/>
      <c r="B151" s="76">
        <f ca="1">IF(C151="", "", RAND())</f>
        <v>0.23680693104398176</v>
      </c>
      <c r="C151">
        <v>7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756.39325906465012</v>
      </c>
      <c r="AO151">
        <v>54.828157161996366</v>
      </c>
      <c r="AP151">
        <v>66.44661937467778</v>
      </c>
      <c r="AQ151">
        <v>377.86447867230959</v>
      </c>
      <c r="AR151">
        <v>54.249808811323241</v>
      </c>
      <c r="AS151">
        <v>428.53727501773898</v>
      </c>
      <c r="AT151">
        <v>26.844608279786858</v>
      </c>
      <c r="AU151">
        <v>-53.127856515919277</v>
      </c>
      <c r="AV151"/>
      <c r="AW151"/>
      <c r="AX151" s="151"/>
      <c r="AY151" s="76">
        <f t="shared" ca="1" si="87"/>
        <v>0.87706512921597723</v>
      </c>
      <c r="AZ151">
        <v>4</v>
      </c>
      <c r="BA151" s="129">
        <f t="shared" si="169"/>
        <v>39847</v>
      </c>
      <c r="BB151">
        <v>0</v>
      </c>
      <c r="BC151">
        <v>0</v>
      </c>
      <c r="BD151">
        <v>0</v>
      </c>
      <c r="BE151">
        <v>0</v>
      </c>
      <c r="BF151">
        <v>1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>
        <f t="shared" ca="1" si="89"/>
        <v>3.1011040362538989E-2</v>
      </c>
      <c r="CL151" s="179">
        <f t="shared" si="90"/>
        <v>4</v>
      </c>
      <c r="CM151" s="180">
        <f t="shared" si="91"/>
        <v>39847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>
        <v>1</v>
      </c>
      <c r="CX151">
        <v>1</v>
      </c>
      <c r="CY151" s="160"/>
      <c r="CZ151" s="177">
        <f t="shared" si="92"/>
        <v>9.6000000000000002E-2</v>
      </c>
      <c r="DB151" s="151"/>
      <c r="DC151" s="76">
        <f t="shared" ca="1" si="50"/>
        <v>0.73502742835756707</v>
      </c>
      <c r="DD151">
        <f t="shared" si="93"/>
        <v>4</v>
      </c>
      <c r="DE151" s="129">
        <f t="shared" si="168"/>
        <v>39847</v>
      </c>
      <c r="DF151" s="161">
        <f t="shared" si="94"/>
        <v>0</v>
      </c>
      <c r="DG151" s="161">
        <f t="shared" si="95"/>
        <v>0</v>
      </c>
      <c r="DH151" s="161">
        <f t="shared" si="96"/>
        <v>0</v>
      </c>
      <c r="DI151" s="161">
        <f t="shared" si="97"/>
        <v>0</v>
      </c>
      <c r="DJ151" s="161">
        <f t="shared" si="98"/>
        <v>10.416666666666666</v>
      </c>
      <c r="DK151" s="161">
        <f t="shared" si="99"/>
        <v>0</v>
      </c>
      <c r="DL151" s="161">
        <f t="shared" si="100"/>
        <v>0</v>
      </c>
      <c r="DM151" s="161">
        <f t="shared" si="101"/>
        <v>0</v>
      </c>
      <c r="DN151" s="161">
        <f t="shared" si="102"/>
        <v>0</v>
      </c>
      <c r="DO151" s="161">
        <f t="shared" si="103"/>
        <v>0</v>
      </c>
      <c r="DP151" s="161">
        <f t="shared" si="104"/>
        <v>0</v>
      </c>
      <c r="DQ151" s="161">
        <f t="shared" si="105"/>
        <v>0</v>
      </c>
      <c r="DR151" s="161">
        <f t="shared" si="106"/>
        <v>0</v>
      </c>
      <c r="DS151" s="161">
        <f t="shared" si="107"/>
        <v>0</v>
      </c>
      <c r="DT151" s="161">
        <f t="shared" si="108"/>
        <v>0</v>
      </c>
      <c r="DU151" s="161">
        <f t="shared" si="109"/>
        <v>0</v>
      </c>
      <c r="DV151" s="161">
        <f t="shared" si="110"/>
        <v>0</v>
      </c>
      <c r="DW151" s="161">
        <f t="shared" si="111"/>
        <v>0</v>
      </c>
      <c r="DX151" s="161">
        <f t="shared" si="112"/>
        <v>0</v>
      </c>
      <c r="DY151" s="161">
        <f t="shared" si="113"/>
        <v>0</v>
      </c>
      <c r="DZ151" s="161">
        <f t="shared" si="114"/>
        <v>0</v>
      </c>
      <c r="EA151" s="161">
        <f t="shared" si="115"/>
        <v>0</v>
      </c>
      <c r="EB151" s="161">
        <f t="shared" si="116"/>
        <v>0</v>
      </c>
      <c r="EC151" s="161">
        <f t="shared" si="117"/>
        <v>0</v>
      </c>
      <c r="ED151" s="161">
        <f t="shared" si="118"/>
        <v>0</v>
      </c>
      <c r="EE151" s="161">
        <f t="shared" si="119"/>
        <v>0</v>
      </c>
      <c r="EF151" s="161">
        <f t="shared" si="120"/>
        <v>0</v>
      </c>
      <c r="EG151" s="161">
        <f t="shared" si="121"/>
        <v>0</v>
      </c>
      <c r="EH151" s="161">
        <f t="shared" si="122"/>
        <v>0</v>
      </c>
      <c r="EI151" s="161">
        <f t="shared" si="123"/>
        <v>0</v>
      </c>
      <c r="EJ151" s="161">
        <f t="shared" si="124"/>
        <v>0</v>
      </c>
      <c r="EK151" s="147">
        <f t="shared" si="131"/>
        <v>10.416666666666666</v>
      </c>
      <c r="EL151" s="149"/>
      <c r="EN151" s="151"/>
      <c r="EO151" s="151"/>
      <c r="EP151" s="139">
        <f t="shared" si="132"/>
        <v>0</v>
      </c>
      <c r="EQ151" s="139">
        <f t="shared" si="133"/>
        <v>0</v>
      </c>
      <c r="ER151" s="139">
        <f t="shared" si="134"/>
        <v>0</v>
      </c>
      <c r="ES151" s="139">
        <f t="shared" si="135"/>
        <v>0</v>
      </c>
      <c r="ET151" s="139">
        <f t="shared" si="136"/>
        <v>3.1395421122460458</v>
      </c>
      <c r="EU151" s="139">
        <f t="shared" si="137"/>
        <v>0</v>
      </c>
      <c r="EV151" s="139">
        <f t="shared" si="138"/>
        <v>0</v>
      </c>
      <c r="EW151" s="139">
        <f t="shared" si="139"/>
        <v>0</v>
      </c>
      <c r="EX151" s="139">
        <f t="shared" si="140"/>
        <v>0</v>
      </c>
      <c r="EY151" s="139">
        <f t="shared" si="141"/>
        <v>0</v>
      </c>
      <c r="EZ151" s="139">
        <f t="shared" si="142"/>
        <v>0</v>
      </c>
      <c r="FA151" s="139">
        <f t="shared" si="143"/>
        <v>0</v>
      </c>
      <c r="FB151" s="139">
        <f t="shared" si="144"/>
        <v>0</v>
      </c>
      <c r="FC151" s="139">
        <f t="shared" si="145"/>
        <v>0</v>
      </c>
      <c r="FD151" s="139">
        <f t="shared" si="146"/>
        <v>0</v>
      </c>
      <c r="FE151" s="139">
        <f t="shared" si="147"/>
        <v>0</v>
      </c>
      <c r="FF151" s="139">
        <f t="shared" si="148"/>
        <v>0</v>
      </c>
      <c r="FG151" s="139">
        <f t="shared" si="149"/>
        <v>0</v>
      </c>
      <c r="FH151" s="139">
        <f t="shared" si="150"/>
        <v>0</v>
      </c>
      <c r="FI151" s="139">
        <f t="shared" si="151"/>
        <v>0</v>
      </c>
      <c r="FJ151" s="139">
        <f t="shared" si="152"/>
        <v>0</v>
      </c>
      <c r="FK151" s="139">
        <f t="shared" si="153"/>
        <v>0</v>
      </c>
      <c r="FL151" s="139">
        <f t="shared" si="154"/>
        <v>0</v>
      </c>
      <c r="FM151" s="139">
        <f t="shared" si="155"/>
        <v>0</v>
      </c>
      <c r="FN151" s="139">
        <f t="shared" si="156"/>
        <v>0</v>
      </c>
      <c r="FO151" s="139">
        <f t="shared" si="157"/>
        <v>0</v>
      </c>
      <c r="FP151" s="139">
        <f t="shared" si="158"/>
        <v>0</v>
      </c>
      <c r="FQ151" s="139">
        <f t="shared" si="159"/>
        <v>0</v>
      </c>
      <c r="FR151" s="139">
        <f t="shared" si="160"/>
        <v>0</v>
      </c>
      <c r="FS151" s="139">
        <f t="shared" si="161"/>
        <v>0</v>
      </c>
      <c r="FT151" s="139">
        <f t="shared" si="162"/>
        <v>0</v>
      </c>
      <c r="FU151" s="148">
        <f t="shared" si="163"/>
        <v>3.1395421122460458</v>
      </c>
      <c r="FV151" s="149"/>
      <c r="FY151" s="212">
        <v>146</v>
      </c>
      <c r="FZ151">
        <v>59.520089242468089</v>
      </c>
      <c r="GA151">
        <v>94.013360757305691</v>
      </c>
      <c r="GB151">
        <v>46.503508734849348</v>
      </c>
      <c r="GC151">
        <v>14.566208167717372</v>
      </c>
      <c r="GD151">
        <v>10.707352660327915</v>
      </c>
      <c r="GE151">
        <v>12.432841598594331</v>
      </c>
      <c r="GF151">
        <v>29.100385999711236</v>
      </c>
      <c r="GG151">
        <v>29.109580550139814</v>
      </c>
      <c r="GH151">
        <v>22.546075283385896</v>
      </c>
      <c r="GI151">
        <v>35.540804156992735</v>
      </c>
      <c r="GJ151"/>
      <c r="GK151"/>
      <c r="GL151"/>
      <c r="GM151"/>
    </row>
    <row r="152" spans="1:195" s="7" customFormat="1">
      <c r="A152" s="77"/>
      <c r="B152" s="76">
        <f ca="1">IF(C152="", "", RAND())</f>
        <v>0.80963547300870364</v>
      </c>
      <c r="C152">
        <v>1</v>
      </c>
      <c r="D152">
        <v>39847</v>
      </c>
      <c r="E152">
        <v>69.94047619047619</v>
      </c>
      <c r="F152">
        <v>268.10515873015873</v>
      </c>
      <c r="G152">
        <v>116.5674603174603</v>
      </c>
      <c r="H152">
        <v>118.30357142857143</v>
      </c>
      <c r="I152">
        <v>10.416666666666666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822.05152420893921</v>
      </c>
      <c r="AO152">
        <v>47.176098036280322</v>
      </c>
      <c r="AP152">
        <v>74.06380796916946</v>
      </c>
      <c r="AQ152">
        <v>318.28014952138778</v>
      </c>
      <c r="AR152">
        <v>45.514149185919777</v>
      </c>
      <c r="AS152">
        <v>416.53223585733656</v>
      </c>
      <c r="AT152">
        <v>23.066188098984743</v>
      </c>
      <c r="AU152">
        <v>-36.526500882557315</v>
      </c>
      <c r="AV152"/>
      <c r="AW152"/>
      <c r="AX152" s="151"/>
      <c r="AY152" s="76">
        <f t="shared" ref="AY152:AY207" ca="1" si="170">IF(AZ152="", "", RAND())</f>
        <v>0.29024918592061977</v>
      </c>
      <c r="AZ152">
        <v>5</v>
      </c>
      <c r="BA152" s="129">
        <f t="shared" si="169"/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89"/>
        <v>3.8240681281897615E-2</v>
      </c>
      <c r="CL152" s="179">
        <f t="shared" si="90"/>
        <v>5</v>
      </c>
      <c r="CM152" s="180">
        <f t="shared" si="91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1">IF(DD152="", "", RAND())</f>
        <v>0.12085796401923909</v>
      </c>
      <c r="DD152">
        <f t="shared" si="93"/>
        <v>5</v>
      </c>
      <c r="DE152" s="129">
        <f t="shared" si="168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0</v>
      </c>
      <c r="DK152" s="161">
        <f t="shared" si="99"/>
        <v>0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2">IF(DF152="", "", SUM(DF152:EJ152))</f>
        <v>0</v>
      </c>
      <c r="EL152" s="149"/>
      <c r="EN152" s="151"/>
      <c r="EO152" s="151"/>
      <c r="EP152" s="139">
        <f t="shared" ref="EP152:EP183" si="173">IF(DF152="", "", DF152*G$36)</f>
        <v>0</v>
      </c>
      <c r="EQ152" s="139">
        <f t="shared" ref="EQ152:EQ183" si="174">IF(DG152="", "", DG152*H$36)</f>
        <v>0</v>
      </c>
      <c r="ER152" s="139">
        <f t="shared" ref="ER152:ER183" si="175">IF(DH152="", "", DH152*I$36)</f>
        <v>0</v>
      </c>
      <c r="ES152" s="139">
        <f t="shared" ref="ES152:ES183" si="176">IF(DI152="", "", DI152*J$36)</f>
        <v>0</v>
      </c>
      <c r="ET152" s="139">
        <f t="shared" ref="ET152:ET183" si="177">IF(DJ152="", "", DJ152*K$36)</f>
        <v>0</v>
      </c>
      <c r="EU152" s="139">
        <f t="shared" ref="EU152:EU183" si="178">IF(DK152="", "", DK152*L$36)</f>
        <v>0</v>
      </c>
      <c r="EV152" s="139">
        <f t="shared" ref="EV152:EV183" si="179">IF(DL152="", "", DL152*M$36)</f>
        <v>0</v>
      </c>
      <c r="EW152" s="139">
        <f t="shared" ref="EW152:EW183" si="180">IF(DM152="", "", DM152*N$36)</f>
        <v>0</v>
      </c>
      <c r="EX152" s="139">
        <f t="shared" ref="EX152:EX183" si="181">IF(DN152="", "", DN152*O$36)</f>
        <v>0</v>
      </c>
      <c r="EY152" s="139">
        <f t="shared" ref="EY152:EY183" si="182">IF(DO152="", "", DO152*P$36)</f>
        <v>0</v>
      </c>
      <c r="EZ152" s="139">
        <f t="shared" ref="EZ152:EZ183" si="183">IF(DP152="", "", DP152*Q$36)</f>
        <v>0</v>
      </c>
      <c r="FA152" s="139">
        <f t="shared" ref="FA152:FA183" si="184">IF(DQ152="", "", DQ152*R$36)</f>
        <v>0</v>
      </c>
      <c r="FB152" s="139">
        <f t="shared" ref="FB152:FB183" si="185">IF(DR152="", "", DR152*S$36)</f>
        <v>0</v>
      </c>
      <c r="FC152" s="139">
        <f t="shared" ref="FC152:FC183" si="186">IF(DS152="", "", DS152*T$36)</f>
        <v>0</v>
      </c>
      <c r="FD152" s="139">
        <f t="shared" ref="FD152:FD183" si="187">IF(DT152="", "", DT152*U$36)</f>
        <v>0</v>
      </c>
      <c r="FE152" s="139">
        <f t="shared" ref="FE152:FE183" si="188">IF(DU152="", "", DU152*V$36)</f>
        <v>0</v>
      </c>
      <c r="FF152" s="139">
        <f t="shared" ref="FF152:FF183" si="189">IF(DV152="", "", DV152*W$36)</f>
        <v>0</v>
      </c>
      <c r="FG152" s="139">
        <f t="shared" ref="FG152:FG183" si="190">IF(DW152="", "", DW152*X$36)</f>
        <v>0</v>
      </c>
      <c r="FH152" s="139">
        <f t="shared" ref="FH152:FH183" si="191">IF(DX152="", "", DX152*Y$36)</f>
        <v>0</v>
      </c>
      <c r="FI152" s="139">
        <f t="shared" ref="FI152:FI183" si="192">IF(DY152="", "", DY152*Z$36)</f>
        <v>0</v>
      </c>
      <c r="FJ152" s="139">
        <f t="shared" ref="FJ152:FJ183" si="193">IF(DZ152="", "", DZ152*AA$36)</f>
        <v>0</v>
      </c>
      <c r="FK152" s="139">
        <f t="shared" ref="FK152:FK183" si="194">IF(EA152="", "", EA152*AB$36)</f>
        <v>0</v>
      </c>
      <c r="FL152" s="139">
        <f t="shared" ref="FL152:FL183" si="195">IF(EB152="", "", EB152*AC$36)</f>
        <v>0</v>
      </c>
      <c r="FM152" s="139">
        <f t="shared" ref="FM152:FM183" si="196">IF(EC152="", "", EC152*AD$36)</f>
        <v>0</v>
      </c>
      <c r="FN152" s="139">
        <f t="shared" ref="FN152:FN183" si="197">IF(ED152="", "", ED152*AE$36)</f>
        <v>0</v>
      </c>
      <c r="FO152" s="139">
        <f t="shared" ref="FO152:FO183" si="198">IF(EE152="", "", EE152*AF$36)</f>
        <v>0</v>
      </c>
      <c r="FP152" s="139">
        <f t="shared" ref="FP152:FP183" si="199">IF(EF152="", "", EF152*AG$36)</f>
        <v>0</v>
      </c>
      <c r="FQ152" s="139">
        <f t="shared" ref="FQ152:FQ183" si="200">IF(EG152="", "", EG152*AH$36)</f>
        <v>0</v>
      </c>
      <c r="FR152" s="139">
        <f t="shared" ref="FR152:FR183" si="201">IF(EH152="", "", EH152*AI$36)</f>
        <v>0</v>
      </c>
      <c r="FS152" s="139">
        <f t="shared" ref="FS152:FS183" si="202">IF(EI152="", "", EI152*AJ$36)</f>
        <v>0</v>
      </c>
      <c r="FT152" s="139">
        <f t="shared" ref="FT152:FT183" si="203">IF(EJ152="", "", EJ152*AK$36)</f>
        <v>0</v>
      </c>
      <c r="FU152" s="148">
        <f t="shared" ref="FU152:FU183" si="204">IF(EP152="","",SUM(EP152:FT152))</f>
        <v>0</v>
      </c>
      <c r="FV152" s="149"/>
      <c r="FY152" s="212">
        <v>147</v>
      </c>
      <c r="FZ152">
        <v>49.314087736831596</v>
      </c>
      <c r="GA152">
        <v>118.55248303187507</v>
      </c>
      <c r="GB152">
        <v>61.73163296905841</v>
      </c>
      <c r="GC152">
        <v>20.459662780157011</v>
      </c>
      <c r="GD152">
        <v>11.842401452893837</v>
      </c>
      <c r="GE152">
        <v>13.89483350051847</v>
      </c>
      <c r="GF152">
        <v>23.605700794491813</v>
      </c>
      <c r="GG152">
        <v>18.980181699099319</v>
      </c>
      <c r="GH152">
        <v>29.418413920984335</v>
      </c>
      <c r="GI152">
        <v>38.516368907972605</v>
      </c>
      <c r="GJ152"/>
      <c r="GK152"/>
      <c r="GL152"/>
      <c r="GM152"/>
    </row>
    <row r="153" spans="1:195" s="7" customFormat="1">
      <c r="A153" s="77"/>
      <c r="B153" s="76">
        <f ca="1">IF(C153="", "", RAND())</f>
        <v>0.36762082036928856</v>
      </c>
      <c r="C153">
        <v>3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712.06160950531489</v>
      </c>
      <c r="AO153">
        <v>45.915173338277079</v>
      </c>
      <c r="AP153">
        <v>90.793714756942464</v>
      </c>
      <c r="AQ153">
        <v>306.42528061852914</v>
      </c>
      <c r="AR153">
        <v>44.281441286388102</v>
      </c>
      <c r="AS153">
        <v>378.11927450244809</v>
      </c>
      <c r="AT153">
        <v>24.203967936410347</v>
      </c>
      <c r="AU153">
        <v>-117.04096290428905</v>
      </c>
      <c r="AV153"/>
      <c r="AW153"/>
      <c r="AX153" s="151"/>
      <c r="AY153" s="76">
        <f t="shared" ca="1" si="170"/>
        <v>0.47665979398435643</v>
      </c>
      <c r="AZ153">
        <v>6</v>
      </c>
      <c r="BA153" s="129">
        <f t="shared" si="169"/>
        <v>39847</v>
      </c>
      <c r="BB153">
        <v>0</v>
      </c>
      <c r="BC153">
        <v>0</v>
      </c>
      <c r="BD153">
        <v>1</v>
      </c>
      <c r="BE153">
        <v>0</v>
      </c>
      <c r="BF153">
        <v>2</v>
      </c>
      <c r="BG153">
        <v>2</v>
      </c>
      <c r="BH153">
        <v>1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5">IF(AZ153="", "", RAND())</f>
        <v>0.89520418629828935</v>
      </c>
      <c r="CL153" s="179">
        <f t="shared" ref="CL153:CL207" si="206">IF(AZ153="", "", AZ153)</f>
        <v>6</v>
      </c>
      <c r="CM153" s="180">
        <f t="shared" ref="CM153:CM207" si="207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08">IF(AZ153="", "", $G$15)</f>
        <v>9.6000000000000002E-2</v>
      </c>
      <c r="DB153" s="151"/>
      <c r="DC153" s="76">
        <f t="shared" ca="1" si="171"/>
        <v>0.7423441663622441</v>
      </c>
      <c r="DD153">
        <f t="shared" ref="DD153:DD207" si="209">IF(AZ153="", "", AZ153)</f>
        <v>6</v>
      </c>
      <c r="DE153" s="129">
        <f t="shared" si="168"/>
        <v>39847</v>
      </c>
      <c r="DF153" s="161">
        <f t="shared" ref="DF153:DF187" si="210">IF($AZ153="", "", ((BB153*$CW153)+(CN153*$CX153))/$CZ153)</f>
        <v>0</v>
      </c>
      <c r="DG153" s="161">
        <f t="shared" ref="DG153:DG187" si="211">IF($AZ153="", "", ((BC153*$CW153)+(CO153*$CX153))/$CZ153)</f>
        <v>0</v>
      </c>
      <c r="DH153" s="161">
        <f t="shared" ref="DH153:DH187" si="212">IF($AZ153="", "", ((BD153*$CW153)+(CP153*$CX153))/$CZ153)</f>
        <v>10.416666666666666</v>
      </c>
      <c r="DI153" s="161">
        <f t="shared" ref="DI153:DI187" si="213">IF($AZ153="", "", ((BE153*$CW153)+(CQ153*$CX153))/$CZ153)</f>
        <v>0</v>
      </c>
      <c r="DJ153" s="161">
        <f t="shared" ref="DJ153:DJ187" si="214">IF($AZ153="", "", ((BF153*$CW153)+(CR153*$CX153))/$CZ153)</f>
        <v>20.833333333333332</v>
      </c>
      <c r="DK153" s="161">
        <f t="shared" ref="DK153:DK187" si="215">IF($AZ153="", "", ((BG153*$CW153)+(CS153*$CX153))/$CZ153)</f>
        <v>20.833333333333332</v>
      </c>
      <c r="DL153" s="161">
        <f t="shared" ref="DL153:DL187" si="216">IF($AZ153="", "", ((BH153*$CW153)+(CT153*$CX153))/$CZ153)</f>
        <v>10.416666666666666</v>
      </c>
      <c r="DM153" s="161">
        <f t="shared" ref="DM153:DM187" si="217">IF($AZ153="", "", ((BI153*$CW153)+(CU153*$CX153))/$CZ153)</f>
        <v>0</v>
      </c>
      <c r="DN153" s="161">
        <f t="shared" ref="DN153:DN187" si="218">IF($AZ153="", "", (BJ153*$CW153)/$CZ153)</f>
        <v>0</v>
      </c>
      <c r="DO153" s="161">
        <f t="shared" ref="DO153:DO187" si="219">IF($AZ153="", "", (BK153*$CW153)/$CZ153)</f>
        <v>0</v>
      </c>
      <c r="DP153" s="161">
        <f t="shared" ref="DP153:DP187" si="220">IF($AZ153="", "", (BL153*$CW153)/$CZ153)</f>
        <v>0</v>
      </c>
      <c r="DQ153" s="161">
        <f t="shared" ref="DQ153:DQ187" si="221">IF($AZ153="", "", (BM153*$CW153)/$CZ153)</f>
        <v>0</v>
      </c>
      <c r="DR153" s="161">
        <f t="shared" ref="DR153:DR187" si="222">IF($AZ153="", "", (BN153*$CW153)/$CZ153)</f>
        <v>0</v>
      </c>
      <c r="DS153" s="161">
        <f t="shared" ref="DS153:DS187" si="223">IF($AZ153="", "", (BO153*$CW153)/$CZ153)</f>
        <v>0</v>
      </c>
      <c r="DT153" s="161">
        <f t="shared" ref="DT153:DT187" si="224">IF($AZ153="", "", (BP153*$CW153)/$CZ153)</f>
        <v>0</v>
      </c>
      <c r="DU153" s="161">
        <f t="shared" ref="DU153:DU187" si="225">IF($AZ153="", "", (BQ153*$CW153)/$CZ153)</f>
        <v>0</v>
      </c>
      <c r="DV153" s="161">
        <f t="shared" ref="DV153:DV187" si="226">IF($AZ153="", "", (BR153*$CW153)/$CZ153)</f>
        <v>0</v>
      </c>
      <c r="DW153" s="161">
        <f t="shared" ref="DW153:DW187" si="227">IF($AZ153="", "", (BS153*$CW153)/$CZ153)</f>
        <v>0</v>
      </c>
      <c r="DX153" s="161">
        <f t="shared" ref="DX153:DX187" si="228">IF($AZ153="", "", (BT153*$CW153)/$CZ153)</f>
        <v>0</v>
      </c>
      <c r="DY153" s="161">
        <f t="shared" ref="DY153:DY187" si="229">IF($AZ153="", "", (BU153*$CW153)/$CZ153)</f>
        <v>0</v>
      </c>
      <c r="DZ153" s="161">
        <f t="shared" ref="DZ153:DZ187" si="230">IF($AZ153="", "", (BV153*$CW153)/$CZ153)</f>
        <v>0</v>
      </c>
      <c r="EA153" s="161">
        <f t="shared" ref="EA153:EA187" si="231">IF($AZ153="", "", (BW153*$CW153)/$CZ153)</f>
        <v>0</v>
      </c>
      <c r="EB153" s="161">
        <f t="shared" ref="EB153:EB187" si="232">IF($AZ153="", "", (BX153*$CW153)/$CZ153)</f>
        <v>0</v>
      </c>
      <c r="EC153" s="161">
        <f t="shared" ref="EC153:EC187" si="233">IF($AZ153="", "", (BY153*$CW153)/$CZ153)</f>
        <v>0</v>
      </c>
      <c r="ED153" s="161">
        <f t="shared" ref="ED153:ED187" si="234">IF($AZ153="", "", (BZ153*$CW153)/$CZ153)</f>
        <v>0</v>
      </c>
      <c r="EE153" s="161">
        <f t="shared" ref="EE153:EE187" si="235">IF($AZ153="", "", (CA153*$CW153)/$CZ153)</f>
        <v>0</v>
      </c>
      <c r="EF153" s="161">
        <f t="shared" ref="EF153:EF187" si="236">IF($AZ153="", "", (CB153*$CW153)/$CZ153)</f>
        <v>0</v>
      </c>
      <c r="EG153" s="161">
        <f t="shared" ref="EG153:EG187" si="237">IF($AZ153="", "", (CC153*$CW153)/$CZ153)</f>
        <v>0</v>
      </c>
      <c r="EH153" s="161">
        <f t="shared" ref="EH153:EH187" si="238">IF($AZ153="", "", (CD153*$CW153)/$CZ153)</f>
        <v>0</v>
      </c>
      <c r="EI153" s="161">
        <f t="shared" ref="EI153:EI187" si="239">IF($AZ153="", "", (CE153*$CW153)/$CZ153)</f>
        <v>0</v>
      </c>
      <c r="EJ153" s="161">
        <f t="shared" ref="EJ153:EJ187" si="240">IF($AZ153="", "", (CF153*$CW153)/$CZ153)</f>
        <v>0</v>
      </c>
      <c r="EK153" s="147">
        <f t="shared" si="172"/>
        <v>62.499999999999993</v>
      </c>
      <c r="EL153" s="149"/>
      <c r="EN153" s="151"/>
      <c r="EO153" s="151"/>
      <c r="EP153" s="139">
        <f t="shared" si="173"/>
        <v>0</v>
      </c>
      <c r="EQ153" s="139">
        <f t="shared" si="174"/>
        <v>0</v>
      </c>
      <c r="ER153" s="139">
        <f t="shared" si="175"/>
        <v>0.48617720717421975</v>
      </c>
      <c r="ES153" s="139">
        <f t="shared" si="176"/>
        <v>0</v>
      </c>
      <c r="ET153" s="139">
        <f t="shared" si="177"/>
        <v>6.2790842244920917</v>
      </c>
      <c r="EU153" s="139">
        <f t="shared" si="178"/>
        <v>11.446722475101499</v>
      </c>
      <c r="EV153" s="139">
        <f t="shared" si="179"/>
        <v>9.3481977534582672</v>
      </c>
      <c r="EW153" s="139">
        <f t="shared" si="180"/>
        <v>0</v>
      </c>
      <c r="EX153" s="139">
        <f t="shared" si="181"/>
        <v>0</v>
      </c>
      <c r="EY153" s="139">
        <f t="shared" si="182"/>
        <v>0</v>
      </c>
      <c r="EZ153" s="139">
        <f t="shared" si="183"/>
        <v>0</v>
      </c>
      <c r="FA153" s="139">
        <f t="shared" si="184"/>
        <v>0</v>
      </c>
      <c r="FB153" s="139">
        <f t="shared" si="185"/>
        <v>0</v>
      </c>
      <c r="FC153" s="139">
        <f t="shared" si="186"/>
        <v>0</v>
      </c>
      <c r="FD153" s="139">
        <f t="shared" si="187"/>
        <v>0</v>
      </c>
      <c r="FE153" s="139">
        <f t="shared" si="188"/>
        <v>0</v>
      </c>
      <c r="FF153" s="139">
        <f t="shared" si="189"/>
        <v>0</v>
      </c>
      <c r="FG153" s="139">
        <f t="shared" si="190"/>
        <v>0</v>
      </c>
      <c r="FH153" s="139">
        <f t="shared" si="191"/>
        <v>0</v>
      </c>
      <c r="FI153" s="139">
        <f t="shared" si="192"/>
        <v>0</v>
      </c>
      <c r="FJ153" s="139">
        <f t="shared" si="193"/>
        <v>0</v>
      </c>
      <c r="FK153" s="139">
        <f t="shared" si="194"/>
        <v>0</v>
      </c>
      <c r="FL153" s="139">
        <f t="shared" si="195"/>
        <v>0</v>
      </c>
      <c r="FM153" s="139">
        <f t="shared" si="196"/>
        <v>0</v>
      </c>
      <c r="FN153" s="139">
        <f t="shared" si="197"/>
        <v>0</v>
      </c>
      <c r="FO153" s="139">
        <f t="shared" si="198"/>
        <v>0</v>
      </c>
      <c r="FP153" s="139">
        <f t="shared" si="199"/>
        <v>0</v>
      </c>
      <c r="FQ153" s="139">
        <f t="shared" si="200"/>
        <v>0</v>
      </c>
      <c r="FR153" s="139">
        <f t="shared" si="201"/>
        <v>0</v>
      </c>
      <c r="FS153" s="139">
        <f t="shared" si="202"/>
        <v>0</v>
      </c>
      <c r="FT153" s="139">
        <f t="shared" si="203"/>
        <v>0</v>
      </c>
      <c r="FU153" s="148">
        <f t="shared" si="204"/>
        <v>27.560181660226078</v>
      </c>
      <c r="FV153" s="149"/>
      <c r="FY153" s="212">
        <v>148</v>
      </c>
      <c r="FZ153">
        <v>33.920369832210127</v>
      </c>
      <c r="GA153">
        <v>94.369347084221801</v>
      </c>
      <c r="GB153">
        <v>55.588441985225558</v>
      </c>
      <c r="GC153">
        <v>17.503938497349736</v>
      </c>
      <c r="GD153">
        <v>14.923925125091149</v>
      </c>
      <c r="GE153">
        <v>22.213666297350759</v>
      </c>
      <c r="GF153">
        <v>31.68887717024236</v>
      </c>
      <c r="GG153">
        <v>26.848024984365832</v>
      </c>
      <c r="GH153">
        <v>18.80896623258911</v>
      </c>
      <c r="GI153">
        <v>36.182153353000885</v>
      </c>
      <c r="GJ153"/>
      <c r="GK153"/>
      <c r="GL153"/>
      <c r="GM153"/>
    </row>
    <row r="154" spans="1:195" s="7" customFormat="1">
      <c r="A154" s="77"/>
      <c r="B154" s="76">
        <f ca="1">IF(C154="", "", RAND())</f>
        <v>0.62807634515724597</v>
      </c>
      <c r="C154">
        <v>5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657.52781057574214</v>
      </c>
      <c r="AO154">
        <v>49.849760398145648</v>
      </c>
      <c r="AP154">
        <v>81.323679193550248</v>
      </c>
      <c r="AQ154">
        <v>342.67213293329047</v>
      </c>
      <c r="AR154">
        <v>49.803474378712572</v>
      </c>
      <c r="AS154">
        <v>403.24067265188307</v>
      </c>
      <c r="AT154">
        <v>26.869412913710335</v>
      </c>
      <c r="AU154">
        <v>-30.129137519156053</v>
      </c>
      <c r="AV154"/>
      <c r="AW154"/>
      <c r="AX154" s="151"/>
      <c r="AY154" s="76">
        <f t="shared" ca="1" si="170"/>
        <v>0.87777717407387601</v>
      </c>
      <c r="AZ154">
        <v>7</v>
      </c>
      <c r="BA154" s="129">
        <f t="shared" si="169"/>
        <v>39847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5"/>
        <v>0.64403818047899364</v>
      </c>
      <c r="CL154" s="179">
        <f t="shared" si="206"/>
        <v>7</v>
      </c>
      <c r="CM154" s="180">
        <f t="shared" si="207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08"/>
        <v>9.6000000000000002E-2</v>
      </c>
      <c r="DB154" s="151"/>
      <c r="DC154" s="76">
        <f t="shared" ca="1" si="171"/>
        <v>0.68205670682712016</v>
      </c>
      <c r="DD154">
        <f t="shared" si="209"/>
        <v>7</v>
      </c>
      <c r="DE154" s="129">
        <f t="shared" si="168"/>
        <v>39847</v>
      </c>
      <c r="DF154" s="161">
        <f t="shared" si="210"/>
        <v>0</v>
      </c>
      <c r="DG154" s="161">
        <f t="shared" si="211"/>
        <v>0</v>
      </c>
      <c r="DH154" s="161">
        <f t="shared" si="212"/>
        <v>0</v>
      </c>
      <c r="DI154" s="161">
        <f t="shared" si="213"/>
        <v>0</v>
      </c>
      <c r="DJ154" s="161">
        <f t="shared" si="214"/>
        <v>0</v>
      </c>
      <c r="DK154" s="161">
        <f t="shared" si="215"/>
        <v>0</v>
      </c>
      <c r="DL154" s="161">
        <f t="shared" si="216"/>
        <v>0</v>
      </c>
      <c r="DM154" s="161">
        <f t="shared" si="217"/>
        <v>0</v>
      </c>
      <c r="DN154" s="161">
        <f t="shared" si="218"/>
        <v>0</v>
      </c>
      <c r="DO154" s="161">
        <f t="shared" si="219"/>
        <v>0</v>
      </c>
      <c r="DP154" s="161">
        <f t="shared" si="220"/>
        <v>0</v>
      </c>
      <c r="DQ154" s="161">
        <f t="shared" si="221"/>
        <v>0</v>
      </c>
      <c r="DR154" s="161">
        <f t="shared" si="222"/>
        <v>0</v>
      </c>
      <c r="DS154" s="161">
        <f t="shared" si="223"/>
        <v>0</v>
      </c>
      <c r="DT154" s="161">
        <f t="shared" si="224"/>
        <v>0</v>
      </c>
      <c r="DU154" s="161">
        <f t="shared" si="225"/>
        <v>0</v>
      </c>
      <c r="DV154" s="161">
        <f t="shared" si="226"/>
        <v>0</v>
      </c>
      <c r="DW154" s="161">
        <f t="shared" si="227"/>
        <v>0</v>
      </c>
      <c r="DX154" s="161">
        <f t="shared" si="228"/>
        <v>0</v>
      </c>
      <c r="DY154" s="161">
        <f t="shared" si="229"/>
        <v>0</v>
      </c>
      <c r="DZ154" s="161">
        <f t="shared" si="230"/>
        <v>0</v>
      </c>
      <c r="EA154" s="161">
        <f t="shared" si="231"/>
        <v>0</v>
      </c>
      <c r="EB154" s="161">
        <f t="shared" si="232"/>
        <v>0</v>
      </c>
      <c r="EC154" s="161">
        <f t="shared" si="233"/>
        <v>0</v>
      </c>
      <c r="ED154" s="161">
        <f t="shared" si="234"/>
        <v>0</v>
      </c>
      <c r="EE154" s="161">
        <f t="shared" si="235"/>
        <v>0</v>
      </c>
      <c r="EF154" s="161">
        <f t="shared" si="236"/>
        <v>0</v>
      </c>
      <c r="EG154" s="161">
        <f t="shared" si="237"/>
        <v>0</v>
      </c>
      <c r="EH154" s="161">
        <f t="shared" si="238"/>
        <v>0</v>
      </c>
      <c r="EI154" s="161">
        <f t="shared" si="239"/>
        <v>0</v>
      </c>
      <c r="EJ154" s="161">
        <f t="shared" si="240"/>
        <v>0</v>
      </c>
      <c r="EK154" s="147">
        <f t="shared" si="172"/>
        <v>0</v>
      </c>
      <c r="EL154" s="149"/>
      <c r="EN154" s="151"/>
      <c r="EO154" s="151"/>
      <c r="EP154" s="139">
        <f t="shared" si="173"/>
        <v>0</v>
      </c>
      <c r="EQ154" s="139">
        <f t="shared" si="174"/>
        <v>0</v>
      </c>
      <c r="ER154" s="139">
        <f t="shared" si="175"/>
        <v>0</v>
      </c>
      <c r="ES154" s="139">
        <f t="shared" si="176"/>
        <v>0</v>
      </c>
      <c r="ET154" s="139">
        <f t="shared" si="177"/>
        <v>0</v>
      </c>
      <c r="EU154" s="139">
        <f t="shared" si="178"/>
        <v>0</v>
      </c>
      <c r="EV154" s="139">
        <f t="shared" si="179"/>
        <v>0</v>
      </c>
      <c r="EW154" s="139">
        <f t="shared" si="180"/>
        <v>0</v>
      </c>
      <c r="EX154" s="139">
        <f t="shared" si="181"/>
        <v>0</v>
      </c>
      <c r="EY154" s="139">
        <f t="shared" si="182"/>
        <v>0</v>
      </c>
      <c r="EZ154" s="139">
        <f t="shared" si="183"/>
        <v>0</v>
      </c>
      <c r="FA154" s="139">
        <f t="shared" si="184"/>
        <v>0</v>
      </c>
      <c r="FB154" s="139">
        <f t="shared" si="185"/>
        <v>0</v>
      </c>
      <c r="FC154" s="139">
        <f t="shared" si="186"/>
        <v>0</v>
      </c>
      <c r="FD154" s="139">
        <f t="shared" si="187"/>
        <v>0</v>
      </c>
      <c r="FE154" s="139">
        <f t="shared" si="188"/>
        <v>0</v>
      </c>
      <c r="FF154" s="139">
        <f t="shared" si="189"/>
        <v>0</v>
      </c>
      <c r="FG154" s="139">
        <f t="shared" si="190"/>
        <v>0</v>
      </c>
      <c r="FH154" s="139">
        <f t="shared" si="191"/>
        <v>0</v>
      </c>
      <c r="FI154" s="139">
        <f t="shared" si="192"/>
        <v>0</v>
      </c>
      <c r="FJ154" s="139">
        <f t="shared" si="193"/>
        <v>0</v>
      </c>
      <c r="FK154" s="139">
        <f t="shared" si="194"/>
        <v>0</v>
      </c>
      <c r="FL154" s="139">
        <f t="shared" si="195"/>
        <v>0</v>
      </c>
      <c r="FM154" s="139">
        <f t="shared" si="196"/>
        <v>0</v>
      </c>
      <c r="FN154" s="139">
        <f t="shared" si="197"/>
        <v>0</v>
      </c>
      <c r="FO154" s="139">
        <f t="shared" si="198"/>
        <v>0</v>
      </c>
      <c r="FP154" s="139">
        <f t="shared" si="199"/>
        <v>0</v>
      </c>
      <c r="FQ154" s="139">
        <f t="shared" si="200"/>
        <v>0</v>
      </c>
      <c r="FR154" s="139">
        <f t="shared" si="201"/>
        <v>0</v>
      </c>
      <c r="FS154" s="139">
        <f t="shared" si="202"/>
        <v>0</v>
      </c>
      <c r="FT154" s="139">
        <f t="shared" si="203"/>
        <v>0</v>
      </c>
      <c r="FU154" s="148">
        <f t="shared" si="204"/>
        <v>0</v>
      </c>
      <c r="FV154" s="149"/>
      <c r="FY154" s="212">
        <v>149</v>
      </c>
      <c r="FZ154">
        <v>52.797389062106518</v>
      </c>
      <c r="GA154">
        <v>86.791286768888583</v>
      </c>
      <c r="GB154">
        <v>41.860464546940726</v>
      </c>
      <c r="GC154">
        <v>17.706728805056365</v>
      </c>
      <c r="GD154">
        <v>12.695476585225133</v>
      </c>
      <c r="GE154">
        <v>12.194204541576687</v>
      </c>
      <c r="GF154">
        <v>25.248210180153453</v>
      </c>
      <c r="GG154">
        <v>28.059861360567481</v>
      </c>
      <c r="GH154">
        <v>23.72813880150867</v>
      </c>
      <c r="GI154">
        <v>34.046862053220565</v>
      </c>
      <c r="GJ154"/>
      <c r="GK154"/>
      <c r="GL154"/>
      <c r="GM154"/>
    </row>
    <row r="155" spans="1:195" s="7" customFormat="1">
      <c r="A155" s="77"/>
      <c r="B155" s="76">
        <f ca="1">IF(C155="", "", RAND())</f>
        <v>8.6209039272187038E-2</v>
      </c>
      <c r="C155">
        <v>8</v>
      </c>
      <c r="D155">
        <v>39847</v>
      </c>
      <c r="E155">
        <v>0</v>
      </c>
      <c r="F155">
        <v>69.444444444444443</v>
      </c>
      <c r="G155">
        <v>138.88888888888889</v>
      </c>
      <c r="H155">
        <v>10.416666666666666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725.5154600055605</v>
      </c>
      <c r="AO155">
        <v>50.157296211302423</v>
      </c>
      <c r="AP155">
        <v>81.180627253279596</v>
      </c>
      <c r="AQ155">
        <v>358.73971249056893</v>
      </c>
      <c r="AR155">
        <v>48.039117191873082</v>
      </c>
      <c r="AS155">
        <v>377.32195644238311</v>
      </c>
      <c r="AT155">
        <v>23.741943984125001</v>
      </c>
      <c r="AU155">
        <v>-91.936099988720457</v>
      </c>
      <c r="AV155"/>
      <c r="AW155"/>
      <c r="AX155" s="151"/>
      <c r="AY155" s="76">
        <f t="shared" ca="1" si="170"/>
        <v>0.31315814046312895</v>
      </c>
      <c r="AZ155">
        <v>8</v>
      </c>
      <c r="BA155" s="129">
        <f t="shared" si="169"/>
        <v>39847</v>
      </c>
      <c r="BB155">
        <v>0</v>
      </c>
      <c r="BC155">
        <v>0</v>
      </c>
      <c r="BD155">
        <v>0</v>
      </c>
      <c r="BE155">
        <v>1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5"/>
        <v>0.38080797089432883</v>
      </c>
      <c r="CL155" s="179">
        <f t="shared" si="206"/>
        <v>8</v>
      </c>
      <c r="CM155" s="180">
        <f t="shared" si="207"/>
        <v>39847</v>
      </c>
      <c r="CN155">
        <v>0</v>
      </c>
      <c r="CO155">
        <v>1</v>
      </c>
      <c r="CP155">
        <v>2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08"/>
        <v>9.6000000000000002E-2</v>
      </c>
      <c r="DB155" s="151"/>
      <c r="DC155" s="76">
        <f t="shared" ca="1" si="171"/>
        <v>0.41333924101270636</v>
      </c>
      <c r="DD155">
        <f t="shared" si="209"/>
        <v>8</v>
      </c>
      <c r="DE155" s="129">
        <f t="shared" si="168"/>
        <v>39847</v>
      </c>
      <c r="DF155" s="161">
        <f t="shared" si="210"/>
        <v>0</v>
      </c>
      <c r="DG155" s="161">
        <f t="shared" si="211"/>
        <v>69.444444444444443</v>
      </c>
      <c r="DH155" s="161">
        <f t="shared" si="212"/>
        <v>138.88888888888889</v>
      </c>
      <c r="DI155" s="161">
        <f t="shared" si="213"/>
        <v>10.416666666666666</v>
      </c>
      <c r="DJ155" s="161">
        <f t="shared" si="214"/>
        <v>0</v>
      </c>
      <c r="DK155" s="161">
        <f t="shared" si="215"/>
        <v>0</v>
      </c>
      <c r="DL155" s="161">
        <f t="shared" si="216"/>
        <v>0</v>
      </c>
      <c r="DM155" s="161">
        <f t="shared" si="217"/>
        <v>0</v>
      </c>
      <c r="DN155" s="161">
        <f t="shared" si="218"/>
        <v>0</v>
      </c>
      <c r="DO155" s="161">
        <f t="shared" si="219"/>
        <v>0</v>
      </c>
      <c r="DP155" s="161">
        <f t="shared" si="220"/>
        <v>0</v>
      </c>
      <c r="DQ155" s="161">
        <f t="shared" si="221"/>
        <v>0</v>
      </c>
      <c r="DR155" s="161">
        <f t="shared" si="222"/>
        <v>0</v>
      </c>
      <c r="DS155" s="161">
        <f t="shared" si="223"/>
        <v>0</v>
      </c>
      <c r="DT155" s="161">
        <f t="shared" si="224"/>
        <v>0</v>
      </c>
      <c r="DU155" s="161">
        <f t="shared" si="225"/>
        <v>0</v>
      </c>
      <c r="DV155" s="161">
        <f t="shared" si="226"/>
        <v>0</v>
      </c>
      <c r="DW155" s="161">
        <f t="shared" si="227"/>
        <v>0</v>
      </c>
      <c r="DX155" s="161">
        <f t="shared" si="228"/>
        <v>0</v>
      </c>
      <c r="DY155" s="161">
        <f t="shared" si="229"/>
        <v>0</v>
      </c>
      <c r="DZ155" s="161">
        <f t="shared" si="230"/>
        <v>0</v>
      </c>
      <c r="EA155" s="161">
        <f t="shared" si="231"/>
        <v>0</v>
      </c>
      <c r="EB155" s="161">
        <f t="shared" si="232"/>
        <v>0</v>
      </c>
      <c r="EC155" s="161">
        <f t="shared" si="233"/>
        <v>0</v>
      </c>
      <c r="ED155" s="161">
        <f t="shared" si="234"/>
        <v>0</v>
      </c>
      <c r="EE155" s="161">
        <f t="shared" si="235"/>
        <v>0</v>
      </c>
      <c r="EF155" s="161">
        <f t="shared" si="236"/>
        <v>0</v>
      </c>
      <c r="EG155" s="161">
        <f t="shared" si="237"/>
        <v>0</v>
      </c>
      <c r="EH155" s="161">
        <f t="shared" si="238"/>
        <v>0</v>
      </c>
      <c r="EI155" s="161">
        <f t="shared" si="239"/>
        <v>0</v>
      </c>
      <c r="EJ155" s="161">
        <f t="shared" si="240"/>
        <v>0</v>
      </c>
      <c r="EK155" s="147">
        <f t="shared" si="172"/>
        <v>218.74999999999997</v>
      </c>
      <c r="EL155" s="149"/>
      <c r="EN155" s="151"/>
      <c r="EO155" s="151"/>
      <c r="EP155" s="139">
        <f t="shared" si="173"/>
        <v>0</v>
      </c>
      <c r="EQ155" s="139">
        <f t="shared" si="174"/>
        <v>0.50191666666666668</v>
      </c>
      <c r="ER155" s="139">
        <f t="shared" si="175"/>
        <v>6.4823627623229303</v>
      </c>
      <c r="ES155" s="139">
        <f t="shared" si="176"/>
        <v>1.4476253266872796</v>
      </c>
      <c r="ET155" s="139">
        <f t="shared" si="177"/>
        <v>0</v>
      </c>
      <c r="EU155" s="139">
        <f t="shared" si="178"/>
        <v>0</v>
      </c>
      <c r="EV155" s="139">
        <f t="shared" si="179"/>
        <v>0</v>
      </c>
      <c r="EW155" s="139">
        <f t="shared" si="180"/>
        <v>0</v>
      </c>
      <c r="EX155" s="139">
        <f t="shared" si="181"/>
        <v>0</v>
      </c>
      <c r="EY155" s="139">
        <f t="shared" si="182"/>
        <v>0</v>
      </c>
      <c r="EZ155" s="139">
        <f t="shared" si="183"/>
        <v>0</v>
      </c>
      <c r="FA155" s="139">
        <f t="shared" si="184"/>
        <v>0</v>
      </c>
      <c r="FB155" s="139">
        <f t="shared" si="185"/>
        <v>0</v>
      </c>
      <c r="FC155" s="139">
        <f t="shared" si="186"/>
        <v>0</v>
      </c>
      <c r="FD155" s="139">
        <f t="shared" si="187"/>
        <v>0</v>
      </c>
      <c r="FE155" s="139">
        <f t="shared" si="188"/>
        <v>0</v>
      </c>
      <c r="FF155" s="139">
        <f t="shared" si="189"/>
        <v>0</v>
      </c>
      <c r="FG155" s="139">
        <f t="shared" si="190"/>
        <v>0</v>
      </c>
      <c r="FH155" s="139">
        <f t="shared" si="191"/>
        <v>0</v>
      </c>
      <c r="FI155" s="139">
        <f t="shared" si="192"/>
        <v>0</v>
      </c>
      <c r="FJ155" s="139">
        <f t="shared" si="193"/>
        <v>0</v>
      </c>
      <c r="FK155" s="139">
        <f t="shared" si="194"/>
        <v>0</v>
      </c>
      <c r="FL155" s="139">
        <f t="shared" si="195"/>
        <v>0</v>
      </c>
      <c r="FM155" s="139">
        <f t="shared" si="196"/>
        <v>0</v>
      </c>
      <c r="FN155" s="139">
        <f t="shared" si="197"/>
        <v>0</v>
      </c>
      <c r="FO155" s="139">
        <f t="shared" si="198"/>
        <v>0</v>
      </c>
      <c r="FP155" s="139">
        <f t="shared" si="199"/>
        <v>0</v>
      </c>
      <c r="FQ155" s="139">
        <f t="shared" si="200"/>
        <v>0</v>
      </c>
      <c r="FR155" s="139">
        <f t="shared" si="201"/>
        <v>0</v>
      </c>
      <c r="FS155" s="139">
        <f t="shared" si="202"/>
        <v>0</v>
      </c>
      <c r="FT155" s="139">
        <f t="shared" si="203"/>
        <v>0</v>
      </c>
      <c r="FU155" s="148">
        <f t="shared" si="204"/>
        <v>8.4319047556768769</v>
      </c>
      <c r="FV155" s="149"/>
      <c r="FY155" s="212">
        <v>150</v>
      </c>
      <c r="FZ155">
        <v>33.56609045773989</v>
      </c>
      <c r="GA155">
        <v>94.400219659047892</v>
      </c>
      <c r="GB155">
        <v>45.887130687446515</v>
      </c>
      <c r="GC155">
        <v>12.946058214572957</v>
      </c>
      <c r="GD155">
        <v>10.722455856226317</v>
      </c>
      <c r="GE155">
        <v>12.497964490396805</v>
      </c>
      <c r="GF155">
        <v>34.005194929281238</v>
      </c>
      <c r="GG155">
        <v>38.731080817275256</v>
      </c>
      <c r="GH155">
        <v>36.22687304121056</v>
      </c>
      <c r="GI155">
        <v>34.63085471528192</v>
      </c>
      <c r="GJ155"/>
      <c r="GK155"/>
      <c r="GL155"/>
      <c r="GM155"/>
    </row>
    <row r="156" spans="1:195" s="7" customFormat="1">
      <c r="A156" s="77"/>
      <c r="B156" s="76">
        <f ca="1">IF(C156="", "", RAND())</f>
        <v>0.92090606192261149</v>
      </c>
      <c r="C156">
        <v>2</v>
      </c>
      <c r="D156">
        <v>39847</v>
      </c>
      <c r="E156">
        <v>0</v>
      </c>
      <c r="F156">
        <v>1708.984375</v>
      </c>
      <c r="G156">
        <v>1025.390625</v>
      </c>
      <c r="H156">
        <v>138.88888888888889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741.55011517832224</v>
      </c>
      <c r="AO156">
        <v>52.27503698605652</v>
      </c>
      <c r="AP156">
        <v>81.853013940307818</v>
      </c>
      <c r="AQ156">
        <v>366.98573627107453</v>
      </c>
      <c r="AR156">
        <v>50.177341805328439</v>
      </c>
      <c r="AS156">
        <v>403.70331972827108</v>
      </c>
      <c r="AT156">
        <v>25.47307570102571</v>
      </c>
      <c r="AU156">
        <v>-67.928801985203819</v>
      </c>
      <c r="AV156"/>
      <c r="AW156"/>
      <c r="AX156" s="151"/>
      <c r="AY156" s="76">
        <f t="shared" ca="1" si="170"/>
        <v>0.24618849228808659</v>
      </c>
      <c r="AZ156">
        <v>9</v>
      </c>
      <c r="BA156" s="129">
        <f t="shared" si="169"/>
        <v>39847</v>
      </c>
      <c r="BB156">
        <v>0</v>
      </c>
      <c r="BC156">
        <v>0</v>
      </c>
      <c r="BD156">
        <v>0</v>
      </c>
      <c r="BE156">
        <v>1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5"/>
        <v>0.80366891218474135</v>
      </c>
      <c r="CL156" s="179">
        <f t="shared" si="206"/>
        <v>9</v>
      </c>
      <c r="CM156" s="180">
        <f t="shared" si="207"/>
        <v>39847</v>
      </c>
      <c r="CN156">
        <v>2</v>
      </c>
      <c r="CO156">
        <v>7</v>
      </c>
      <c r="CP156">
        <v>2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08"/>
        <v>9.6000000000000002E-2</v>
      </c>
      <c r="DB156" s="151"/>
      <c r="DC156" s="76">
        <f t="shared" ca="1" si="171"/>
        <v>0.63360322977081429</v>
      </c>
      <c r="DD156">
        <f t="shared" si="209"/>
        <v>9</v>
      </c>
      <c r="DE156" s="129">
        <f t="shared" si="168"/>
        <v>39847</v>
      </c>
      <c r="DF156" s="161">
        <f t="shared" si="210"/>
        <v>130.20833333333334</v>
      </c>
      <c r="DG156" s="161">
        <f t="shared" si="211"/>
        <v>455.72916666666663</v>
      </c>
      <c r="DH156" s="161">
        <f t="shared" si="212"/>
        <v>130.20833333333334</v>
      </c>
      <c r="DI156" s="161">
        <f t="shared" si="213"/>
        <v>10.416666666666666</v>
      </c>
      <c r="DJ156" s="161">
        <f t="shared" si="214"/>
        <v>0</v>
      </c>
      <c r="DK156" s="161">
        <f t="shared" si="215"/>
        <v>0</v>
      </c>
      <c r="DL156" s="161">
        <f t="shared" si="216"/>
        <v>0</v>
      </c>
      <c r="DM156" s="161">
        <f t="shared" si="217"/>
        <v>0</v>
      </c>
      <c r="DN156" s="161">
        <f t="shared" si="218"/>
        <v>0</v>
      </c>
      <c r="DO156" s="161">
        <f t="shared" si="219"/>
        <v>0</v>
      </c>
      <c r="DP156" s="161">
        <f t="shared" si="220"/>
        <v>0</v>
      </c>
      <c r="DQ156" s="161">
        <f t="shared" si="221"/>
        <v>0</v>
      </c>
      <c r="DR156" s="161">
        <f t="shared" si="222"/>
        <v>0</v>
      </c>
      <c r="DS156" s="161">
        <f t="shared" si="223"/>
        <v>0</v>
      </c>
      <c r="DT156" s="161">
        <f t="shared" si="224"/>
        <v>0</v>
      </c>
      <c r="DU156" s="161">
        <f t="shared" si="225"/>
        <v>0</v>
      </c>
      <c r="DV156" s="161">
        <f t="shared" si="226"/>
        <v>0</v>
      </c>
      <c r="DW156" s="161">
        <f t="shared" si="227"/>
        <v>0</v>
      </c>
      <c r="DX156" s="161">
        <f t="shared" si="228"/>
        <v>0</v>
      </c>
      <c r="DY156" s="161">
        <f t="shared" si="229"/>
        <v>0</v>
      </c>
      <c r="DZ156" s="161">
        <f t="shared" si="230"/>
        <v>0</v>
      </c>
      <c r="EA156" s="161">
        <f t="shared" si="231"/>
        <v>0</v>
      </c>
      <c r="EB156" s="161">
        <f t="shared" si="232"/>
        <v>0</v>
      </c>
      <c r="EC156" s="161">
        <f t="shared" si="233"/>
        <v>0</v>
      </c>
      <c r="ED156" s="161">
        <f t="shared" si="234"/>
        <v>0</v>
      </c>
      <c r="EE156" s="161">
        <f t="shared" si="235"/>
        <v>0</v>
      </c>
      <c r="EF156" s="161">
        <f t="shared" si="236"/>
        <v>0</v>
      </c>
      <c r="EG156" s="161">
        <f t="shared" si="237"/>
        <v>0</v>
      </c>
      <c r="EH156" s="161">
        <f t="shared" si="238"/>
        <v>0</v>
      </c>
      <c r="EI156" s="161">
        <f t="shared" si="239"/>
        <v>0</v>
      </c>
      <c r="EJ156" s="161">
        <f t="shared" si="240"/>
        <v>0</v>
      </c>
      <c r="EK156" s="147">
        <f t="shared" si="172"/>
        <v>726.5625</v>
      </c>
      <c r="EL156" s="149"/>
      <c r="EN156" s="151"/>
      <c r="EO156" s="151"/>
      <c r="EP156" s="139">
        <f t="shared" si="173"/>
        <v>0.14573409583500946</v>
      </c>
      <c r="EQ156" s="139">
        <f t="shared" si="174"/>
        <v>3.2938281249999997</v>
      </c>
      <c r="ER156" s="139">
        <f t="shared" si="175"/>
        <v>6.0772150896777477</v>
      </c>
      <c r="ES156" s="139">
        <f t="shared" si="176"/>
        <v>1.4476253266872796</v>
      </c>
      <c r="ET156" s="139">
        <f t="shared" si="177"/>
        <v>0</v>
      </c>
      <c r="EU156" s="139">
        <f t="shared" si="178"/>
        <v>0</v>
      </c>
      <c r="EV156" s="139">
        <f t="shared" si="179"/>
        <v>0</v>
      </c>
      <c r="EW156" s="139">
        <f t="shared" si="180"/>
        <v>0</v>
      </c>
      <c r="EX156" s="139">
        <f t="shared" si="181"/>
        <v>0</v>
      </c>
      <c r="EY156" s="139">
        <f t="shared" si="182"/>
        <v>0</v>
      </c>
      <c r="EZ156" s="139">
        <f t="shared" si="183"/>
        <v>0</v>
      </c>
      <c r="FA156" s="139">
        <f t="shared" si="184"/>
        <v>0</v>
      </c>
      <c r="FB156" s="139">
        <f t="shared" si="185"/>
        <v>0</v>
      </c>
      <c r="FC156" s="139">
        <f t="shared" si="186"/>
        <v>0</v>
      </c>
      <c r="FD156" s="139">
        <f t="shared" si="187"/>
        <v>0</v>
      </c>
      <c r="FE156" s="139">
        <f t="shared" si="188"/>
        <v>0</v>
      </c>
      <c r="FF156" s="139">
        <f t="shared" si="189"/>
        <v>0</v>
      </c>
      <c r="FG156" s="139">
        <f t="shared" si="190"/>
        <v>0</v>
      </c>
      <c r="FH156" s="139">
        <f t="shared" si="191"/>
        <v>0</v>
      </c>
      <c r="FI156" s="139">
        <f t="shared" si="192"/>
        <v>0</v>
      </c>
      <c r="FJ156" s="139">
        <f t="shared" si="193"/>
        <v>0</v>
      </c>
      <c r="FK156" s="139">
        <f t="shared" si="194"/>
        <v>0</v>
      </c>
      <c r="FL156" s="139">
        <f t="shared" si="195"/>
        <v>0</v>
      </c>
      <c r="FM156" s="139">
        <f t="shared" si="196"/>
        <v>0</v>
      </c>
      <c r="FN156" s="139">
        <f t="shared" si="197"/>
        <v>0</v>
      </c>
      <c r="FO156" s="139">
        <f t="shared" si="198"/>
        <v>0</v>
      </c>
      <c r="FP156" s="139">
        <f t="shared" si="199"/>
        <v>0</v>
      </c>
      <c r="FQ156" s="139">
        <f t="shared" si="200"/>
        <v>0</v>
      </c>
      <c r="FR156" s="139">
        <f t="shared" si="201"/>
        <v>0</v>
      </c>
      <c r="FS156" s="139">
        <f t="shared" si="202"/>
        <v>0</v>
      </c>
      <c r="FT156" s="139">
        <f t="shared" si="203"/>
        <v>0</v>
      </c>
      <c r="FU156" s="148">
        <f t="shared" si="204"/>
        <v>10.964402637200036</v>
      </c>
      <c r="FV156" s="149"/>
      <c r="FY156" s="212">
        <v>151</v>
      </c>
      <c r="FZ156">
        <v>39.076685289810762</v>
      </c>
      <c r="GA156">
        <v>103.01634777720007</v>
      </c>
      <c r="GB156">
        <v>69.344912430502603</v>
      </c>
      <c r="GC156">
        <v>25.344739477487462</v>
      </c>
      <c r="GD156">
        <v>12.085440951887495</v>
      </c>
      <c r="GE156">
        <v>9.123593174743716</v>
      </c>
      <c r="GF156">
        <v>29.556006154177304</v>
      </c>
      <c r="GG156">
        <v>30.652530080857492</v>
      </c>
      <c r="GH156">
        <v>17.98995796170373</v>
      </c>
      <c r="GI156">
        <v>38.359526693718195</v>
      </c>
      <c r="GJ156"/>
      <c r="GK156"/>
      <c r="GL156"/>
      <c r="GM156"/>
    </row>
    <row r="157" spans="1:195" s="7" customFormat="1">
      <c r="A157" s="77"/>
      <c r="B157" s="76">
        <f ca="1">IF(C157="", "", RAND())</f>
        <v>0.81158025387330079</v>
      </c>
      <c r="C157">
        <v>9</v>
      </c>
      <c r="D157">
        <v>39847</v>
      </c>
      <c r="E157">
        <v>130.20833333333334</v>
      </c>
      <c r="F157">
        <v>455.72916666666663</v>
      </c>
      <c r="G157">
        <v>130.20833333333334</v>
      </c>
      <c r="H157">
        <v>10.416666666666666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670.09211195844046</v>
      </c>
      <c r="AO157">
        <v>44.693022006603954</v>
      </c>
      <c r="AP157">
        <v>64.406258613090969</v>
      </c>
      <c r="AQ157">
        <v>314.01239936619913</v>
      </c>
      <c r="AR157">
        <v>43.298067199236975</v>
      </c>
      <c r="AS157">
        <v>376.0026448481907</v>
      </c>
      <c r="AT157">
        <v>23.202632877128945</v>
      </c>
      <c r="AU157">
        <v>-39.949662861960931</v>
      </c>
      <c r="AV157"/>
      <c r="AW157"/>
      <c r="AX157" s="151"/>
      <c r="AY157" s="76">
        <f t="shared" ca="1" si="170"/>
        <v>0.52097187254264377</v>
      </c>
      <c r="AZ157">
        <v>10</v>
      </c>
      <c r="BA157" s="129">
        <f t="shared" si="169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5"/>
        <v>0.20388209442001015</v>
      </c>
      <c r="CL157" s="179">
        <f t="shared" si="206"/>
        <v>10</v>
      </c>
      <c r="CM157" s="180">
        <f t="shared" si="207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08"/>
        <v>9.6000000000000002E-2</v>
      </c>
      <c r="DB157" s="151"/>
      <c r="DC157" s="76">
        <f t="shared" ca="1" si="171"/>
        <v>0.50794342402942316</v>
      </c>
      <c r="DD157">
        <f t="shared" si="209"/>
        <v>10</v>
      </c>
      <c r="DE157" s="129">
        <f t="shared" si="168"/>
        <v>39847</v>
      </c>
      <c r="DF157" s="161">
        <f t="shared" si="210"/>
        <v>0</v>
      </c>
      <c r="DG157" s="161">
        <f t="shared" si="211"/>
        <v>0</v>
      </c>
      <c r="DH157" s="161">
        <f t="shared" si="212"/>
        <v>0</v>
      </c>
      <c r="DI157" s="161">
        <f t="shared" si="213"/>
        <v>0</v>
      </c>
      <c r="DJ157" s="161">
        <f t="shared" si="214"/>
        <v>0</v>
      </c>
      <c r="DK157" s="161">
        <f t="shared" si="215"/>
        <v>0</v>
      </c>
      <c r="DL157" s="161">
        <f t="shared" si="216"/>
        <v>0</v>
      </c>
      <c r="DM157" s="161">
        <f t="shared" si="217"/>
        <v>0</v>
      </c>
      <c r="DN157" s="161">
        <f t="shared" si="218"/>
        <v>0</v>
      </c>
      <c r="DO157" s="161">
        <f t="shared" si="219"/>
        <v>0</v>
      </c>
      <c r="DP157" s="161">
        <f t="shared" si="220"/>
        <v>0</v>
      </c>
      <c r="DQ157" s="161">
        <f t="shared" si="221"/>
        <v>0</v>
      </c>
      <c r="DR157" s="161">
        <f t="shared" si="222"/>
        <v>0</v>
      </c>
      <c r="DS157" s="161">
        <f t="shared" si="223"/>
        <v>0</v>
      </c>
      <c r="DT157" s="161">
        <f t="shared" si="224"/>
        <v>0</v>
      </c>
      <c r="DU157" s="161">
        <f t="shared" si="225"/>
        <v>0</v>
      </c>
      <c r="DV157" s="161">
        <f t="shared" si="226"/>
        <v>0</v>
      </c>
      <c r="DW157" s="161">
        <f t="shared" si="227"/>
        <v>0</v>
      </c>
      <c r="DX157" s="161">
        <f t="shared" si="228"/>
        <v>0</v>
      </c>
      <c r="DY157" s="161">
        <f t="shared" si="229"/>
        <v>0</v>
      </c>
      <c r="DZ157" s="161">
        <f t="shared" si="230"/>
        <v>0</v>
      </c>
      <c r="EA157" s="161">
        <f t="shared" si="231"/>
        <v>0</v>
      </c>
      <c r="EB157" s="161">
        <f t="shared" si="232"/>
        <v>0</v>
      </c>
      <c r="EC157" s="161">
        <f t="shared" si="233"/>
        <v>0</v>
      </c>
      <c r="ED157" s="161">
        <f t="shared" si="234"/>
        <v>0</v>
      </c>
      <c r="EE157" s="161">
        <f t="shared" si="235"/>
        <v>0</v>
      </c>
      <c r="EF157" s="161">
        <f t="shared" si="236"/>
        <v>0</v>
      </c>
      <c r="EG157" s="161">
        <f t="shared" si="237"/>
        <v>0</v>
      </c>
      <c r="EH157" s="161">
        <f t="shared" si="238"/>
        <v>0</v>
      </c>
      <c r="EI157" s="161">
        <f t="shared" si="239"/>
        <v>0</v>
      </c>
      <c r="EJ157" s="161">
        <f t="shared" si="240"/>
        <v>0</v>
      </c>
      <c r="EK157" s="147">
        <f t="shared" si="172"/>
        <v>0</v>
      </c>
      <c r="EL157" s="149"/>
      <c r="EN157" s="151"/>
      <c r="EO157" s="151"/>
      <c r="EP157" s="139">
        <f t="shared" si="173"/>
        <v>0</v>
      </c>
      <c r="EQ157" s="139">
        <f t="shared" si="174"/>
        <v>0</v>
      </c>
      <c r="ER157" s="139">
        <f t="shared" si="175"/>
        <v>0</v>
      </c>
      <c r="ES157" s="139">
        <f t="shared" si="176"/>
        <v>0</v>
      </c>
      <c r="ET157" s="139">
        <f t="shared" si="177"/>
        <v>0</v>
      </c>
      <c r="EU157" s="139">
        <f t="shared" si="178"/>
        <v>0</v>
      </c>
      <c r="EV157" s="139">
        <f t="shared" si="179"/>
        <v>0</v>
      </c>
      <c r="EW157" s="139">
        <f t="shared" si="180"/>
        <v>0</v>
      </c>
      <c r="EX157" s="139">
        <f t="shared" si="181"/>
        <v>0</v>
      </c>
      <c r="EY157" s="139">
        <f t="shared" si="182"/>
        <v>0</v>
      </c>
      <c r="EZ157" s="139">
        <f t="shared" si="183"/>
        <v>0</v>
      </c>
      <c r="FA157" s="139">
        <f t="shared" si="184"/>
        <v>0</v>
      </c>
      <c r="FB157" s="139">
        <f t="shared" si="185"/>
        <v>0</v>
      </c>
      <c r="FC157" s="139">
        <f t="shared" si="186"/>
        <v>0</v>
      </c>
      <c r="FD157" s="139">
        <f t="shared" si="187"/>
        <v>0</v>
      </c>
      <c r="FE157" s="139">
        <f t="shared" si="188"/>
        <v>0</v>
      </c>
      <c r="FF157" s="139">
        <f t="shared" si="189"/>
        <v>0</v>
      </c>
      <c r="FG157" s="139">
        <f t="shared" si="190"/>
        <v>0</v>
      </c>
      <c r="FH157" s="139">
        <f t="shared" si="191"/>
        <v>0</v>
      </c>
      <c r="FI157" s="139">
        <f t="shared" si="192"/>
        <v>0</v>
      </c>
      <c r="FJ157" s="139">
        <f t="shared" si="193"/>
        <v>0</v>
      </c>
      <c r="FK157" s="139">
        <f t="shared" si="194"/>
        <v>0</v>
      </c>
      <c r="FL157" s="139">
        <f t="shared" si="195"/>
        <v>0</v>
      </c>
      <c r="FM157" s="139">
        <f t="shared" si="196"/>
        <v>0</v>
      </c>
      <c r="FN157" s="139">
        <f t="shared" si="197"/>
        <v>0</v>
      </c>
      <c r="FO157" s="139">
        <f t="shared" si="198"/>
        <v>0</v>
      </c>
      <c r="FP157" s="139">
        <f t="shared" si="199"/>
        <v>0</v>
      </c>
      <c r="FQ157" s="139">
        <f t="shared" si="200"/>
        <v>0</v>
      </c>
      <c r="FR157" s="139">
        <f t="shared" si="201"/>
        <v>0</v>
      </c>
      <c r="FS157" s="139">
        <f t="shared" si="202"/>
        <v>0</v>
      </c>
      <c r="FT157" s="139">
        <f t="shared" si="203"/>
        <v>0</v>
      </c>
      <c r="FU157" s="148">
        <f t="shared" si="204"/>
        <v>0</v>
      </c>
      <c r="FV157" s="149"/>
      <c r="FY157" s="212">
        <v>152</v>
      </c>
      <c r="FZ157">
        <v>49.082186288750421</v>
      </c>
      <c r="GA157">
        <v>77.64214965549543</v>
      </c>
      <c r="GB157">
        <v>48.530735810515722</v>
      </c>
      <c r="GC157">
        <v>22.111334506263926</v>
      </c>
      <c r="GD157">
        <v>13.816023007714836</v>
      </c>
      <c r="GE157">
        <v>18.104644626296757</v>
      </c>
      <c r="GF157">
        <v>33.147156308218968</v>
      </c>
      <c r="GG157">
        <v>26.649370696237561</v>
      </c>
      <c r="GH157">
        <v>23.012260607784508</v>
      </c>
      <c r="GI157">
        <v>37.144029505759811</v>
      </c>
      <c r="GJ157"/>
      <c r="GK157"/>
      <c r="GL157"/>
      <c r="GM157"/>
    </row>
    <row r="158" spans="1:195" s="7" customFormat="1">
      <c r="A158" s="128"/>
      <c r="B158" s="76">
        <f ca="1">IF(C158="", "", RAND())</f>
        <v>0.13033618660515778</v>
      </c>
      <c r="C158">
        <v>10</v>
      </c>
      <c r="D158">
        <v>39910</v>
      </c>
      <c r="E158">
        <v>208.33333333333334</v>
      </c>
      <c r="F158">
        <v>312.5</v>
      </c>
      <c r="G158">
        <v>937.5</v>
      </c>
      <c r="H158">
        <v>208.33333333333334</v>
      </c>
      <c r="I158">
        <v>177.08333333333334</v>
      </c>
      <c r="J158">
        <v>10.416666666666666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744.68779433487384</v>
      </c>
      <c r="AO158">
        <v>48.882651232502106</v>
      </c>
      <c r="AP158">
        <v>54.566627796382654</v>
      </c>
      <c r="AQ158">
        <v>345.46745005923032</v>
      </c>
      <c r="AR158">
        <v>48.788478070160714</v>
      </c>
      <c r="AS158">
        <v>392.34854698588481</v>
      </c>
      <c r="AT158">
        <v>24.810399075059866</v>
      </c>
      <c r="AU158">
        <v>-66.843998198837795</v>
      </c>
      <c r="AV158"/>
      <c r="AW158"/>
      <c r="AX158" s="128"/>
      <c r="AY158" s="76">
        <f t="shared" ca="1" si="170"/>
        <v>0.59665367399902736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5"/>
        <v>0.22145555521344207</v>
      </c>
      <c r="CL158" s="179">
        <f t="shared" si="206"/>
        <v>1</v>
      </c>
      <c r="CM158" s="180">
        <f t="shared" si="207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08"/>
        <v>9.6000000000000002E-2</v>
      </c>
      <c r="DB158" s="128"/>
      <c r="DC158" s="76">
        <f t="shared" ca="1" si="171"/>
        <v>0.33881431631388992</v>
      </c>
      <c r="DD158">
        <f t="shared" si="209"/>
        <v>1</v>
      </c>
      <c r="DE158" s="129">
        <f t="shared" ref="DE158:DE167" si="241">IF((DD158)="", "", $C$11)</f>
        <v>39910</v>
      </c>
      <c r="DF158" s="161">
        <f t="shared" si="210"/>
        <v>0</v>
      </c>
      <c r="DG158" s="161">
        <f t="shared" si="211"/>
        <v>0</v>
      </c>
      <c r="DH158" s="161">
        <f t="shared" si="212"/>
        <v>0</v>
      </c>
      <c r="DI158" s="161">
        <f t="shared" si="213"/>
        <v>10.416666666666666</v>
      </c>
      <c r="DJ158" s="161">
        <f t="shared" si="214"/>
        <v>10.416666666666666</v>
      </c>
      <c r="DK158" s="161">
        <f t="shared" si="215"/>
        <v>10.416666666666666</v>
      </c>
      <c r="DL158" s="161">
        <f t="shared" si="216"/>
        <v>0</v>
      </c>
      <c r="DM158" s="161">
        <f t="shared" si="217"/>
        <v>0</v>
      </c>
      <c r="DN158" s="161">
        <f t="shared" si="218"/>
        <v>0</v>
      </c>
      <c r="DO158" s="161">
        <f t="shared" si="219"/>
        <v>0</v>
      </c>
      <c r="DP158" s="161">
        <f t="shared" si="220"/>
        <v>0</v>
      </c>
      <c r="DQ158" s="161">
        <f t="shared" si="221"/>
        <v>0</v>
      </c>
      <c r="DR158" s="161">
        <f t="shared" si="222"/>
        <v>0</v>
      </c>
      <c r="DS158" s="161">
        <f t="shared" si="223"/>
        <v>0</v>
      </c>
      <c r="DT158" s="161">
        <f t="shared" si="224"/>
        <v>0</v>
      </c>
      <c r="DU158" s="161">
        <f t="shared" si="225"/>
        <v>0</v>
      </c>
      <c r="DV158" s="161">
        <f t="shared" si="226"/>
        <v>0</v>
      </c>
      <c r="DW158" s="161">
        <f t="shared" si="227"/>
        <v>0</v>
      </c>
      <c r="DX158" s="161">
        <f t="shared" si="228"/>
        <v>0</v>
      </c>
      <c r="DY158" s="161">
        <f t="shared" si="229"/>
        <v>0</v>
      </c>
      <c r="DZ158" s="161">
        <f t="shared" si="230"/>
        <v>0</v>
      </c>
      <c r="EA158" s="161">
        <f t="shared" si="231"/>
        <v>0</v>
      </c>
      <c r="EB158" s="161">
        <f t="shared" si="232"/>
        <v>0</v>
      </c>
      <c r="EC158" s="161">
        <f t="shared" si="233"/>
        <v>0</v>
      </c>
      <c r="ED158" s="161">
        <f t="shared" si="234"/>
        <v>0</v>
      </c>
      <c r="EE158" s="161">
        <f t="shared" si="235"/>
        <v>0</v>
      </c>
      <c r="EF158" s="161">
        <f t="shared" si="236"/>
        <v>0</v>
      </c>
      <c r="EG158" s="161">
        <f t="shared" si="237"/>
        <v>0</v>
      </c>
      <c r="EH158" s="161">
        <f t="shared" si="238"/>
        <v>0</v>
      </c>
      <c r="EI158" s="161">
        <f t="shared" si="239"/>
        <v>0</v>
      </c>
      <c r="EJ158" s="161">
        <f t="shared" si="240"/>
        <v>0</v>
      </c>
      <c r="EK158" s="147">
        <f t="shared" si="172"/>
        <v>31.25</v>
      </c>
      <c r="EL158" s="149"/>
      <c r="EN158" s="146"/>
      <c r="EO158" s="146"/>
      <c r="EP158" s="139">
        <f t="shared" si="173"/>
        <v>0</v>
      </c>
      <c r="EQ158" s="139">
        <f t="shared" si="174"/>
        <v>0</v>
      </c>
      <c r="ER158" s="139">
        <f t="shared" si="175"/>
        <v>0</v>
      </c>
      <c r="ES158" s="139">
        <f t="shared" si="176"/>
        <v>1.4476253266872796</v>
      </c>
      <c r="ET158" s="139">
        <f t="shared" si="177"/>
        <v>3.1395421122460458</v>
      </c>
      <c r="EU158" s="139">
        <f t="shared" si="178"/>
        <v>5.7233612375507494</v>
      </c>
      <c r="EV158" s="139">
        <f t="shared" si="179"/>
        <v>0</v>
      </c>
      <c r="EW158" s="139">
        <f t="shared" si="180"/>
        <v>0</v>
      </c>
      <c r="EX158" s="139">
        <f t="shared" si="181"/>
        <v>0</v>
      </c>
      <c r="EY158" s="139">
        <f t="shared" si="182"/>
        <v>0</v>
      </c>
      <c r="EZ158" s="139">
        <f t="shared" si="183"/>
        <v>0</v>
      </c>
      <c r="FA158" s="139">
        <f t="shared" si="184"/>
        <v>0</v>
      </c>
      <c r="FB158" s="139">
        <f t="shared" si="185"/>
        <v>0</v>
      </c>
      <c r="FC158" s="139">
        <f t="shared" si="186"/>
        <v>0</v>
      </c>
      <c r="FD158" s="139">
        <f t="shared" si="187"/>
        <v>0</v>
      </c>
      <c r="FE158" s="139">
        <f t="shared" si="188"/>
        <v>0</v>
      </c>
      <c r="FF158" s="139">
        <f t="shared" si="189"/>
        <v>0</v>
      </c>
      <c r="FG158" s="139">
        <f t="shared" si="190"/>
        <v>0</v>
      </c>
      <c r="FH158" s="139">
        <f t="shared" si="191"/>
        <v>0</v>
      </c>
      <c r="FI158" s="139">
        <f t="shared" si="192"/>
        <v>0</v>
      </c>
      <c r="FJ158" s="139">
        <f t="shared" si="193"/>
        <v>0</v>
      </c>
      <c r="FK158" s="139">
        <f t="shared" si="194"/>
        <v>0</v>
      </c>
      <c r="FL158" s="139">
        <f t="shared" si="195"/>
        <v>0</v>
      </c>
      <c r="FM158" s="139">
        <f t="shared" si="196"/>
        <v>0</v>
      </c>
      <c r="FN158" s="139">
        <f t="shared" si="197"/>
        <v>0</v>
      </c>
      <c r="FO158" s="139">
        <f t="shared" si="198"/>
        <v>0</v>
      </c>
      <c r="FP158" s="139">
        <f t="shared" si="199"/>
        <v>0</v>
      </c>
      <c r="FQ158" s="139">
        <f t="shared" si="200"/>
        <v>0</v>
      </c>
      <c r="FR158" s="139">
        <f t="shared" si="201"/>
        <v>0</v>
      </c>
      <c r="FS158" s="139">
        <f t="shared" si="202"/>
        <v>0</v>
      </c>
      <c r="FT158" s="139">
        <f t="shared" si="203"/>
        <v>0</v>
      </c>
      <c r="FU158" s="148">
        <f t="shared" si="204"/>
        <v>10.310528676484076</v>
      </c>
      <c r="FV158" s="149"/>
      <c r="FY158" s="212">
        <v>153</v>
      </c>
      <c r="FZ158">
        <v>42.341171275118533</v>
      </c>
      <c r="GA158">
        <v>133.95925908613754</v>
      </c>
      <c r="GB158">
        <v>70.337408298964334</v>
      </c>
      <c r="GC158">
        <v>18.869704950683591</v>
      </c>
      <c r="GD158">
        <v>11.46785764946306</v>
      </c>
      <c r="GE158">
        <v>10.458403095483312</v>
      </c>
      <c r="GF158">
        <v>11.152832083522869</v>
      </c>
      <c r="GG158">
        <v>13.477841520227102</v>
      </c>
      <c r="GH158">
        <v>29.630051901620075</v>
      </c>
      <c r="GI158">
        <v>37.256012210180657</v>
      </c>
      <c r="GJ158"/>
      <c r="GK158"/>
      <c r="GL158"/>
      <c r="GM158"/>
    </row>
    <row r="159" spans="1:195" s="7" customFormat="1">
      <c r="A159" s="1"/>
      <c r="B159" s="76">
        <f ca="1">IF(C159="", "", RAND())</f>
        <v>0.22798246451792803</v>
      </c>
      <c r="C159">
        <v>5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785.36763892794193</v>
      </c>
      <c r="AO159">
        <v>53.023185966627409</v>
      </c>
      <c r="AP159">
        <v>68.622244464594402</v>
      </c>
      <c r="AQ159">
        <v>379.42559773089704</v>
      </c>
      <c r="AR159">
        <v>53.471822281509588</v>
      </c>
      <c r="AS159">
        <v>442.76120050790615</v>
      </c>
      <c r="AT159">
        <v>28.59318955389935</v>
      </c>
      <c r="AU159">
        <v>-22.845465441132333</v>
      </c>
      <c r="AV159"/>
      <c r="AW159"/>
      <c r="AX159" s="146"/>
      <c r="AY159" s="76">
        <f t="shared" ca="1" si="170"/>
        <v>0.55017387345309476</v>
      </c>
      <c r="AZ159">
        <v>2</v>
      </c>
      <c r="BA159" s="129">
        <f t="shared" ref="BA159:BA167" si="242">IF(AZ159="", "",$C$11)</f>
        <v>39910</v>
      </c>
      <c r="BB159">
        <v>0</v>
      </c>
      <c r="BC159">
        <v>0</v>
      </c>
      <c r="BD159">
        <v>0</v>
      </c>
      <c r="BE159">
        <v>2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5"/>
        <v>0.23874330626555301</v>
      </c>
      <c r="CL159" s="179">
        <f t="shared" si="206"/>
        <v>2</v>
      </c>
      <c r="CM159" s="180">
        <f t="shared" si="207"/>
        <v>39910</v>
      </c>
      <c r="CN159">
        <v>0</v>
      </c>
      <c r="CO159">
        <v>1</v>
      </c>
      <c r="CP159">
        <v>2</v>
      </c>
      <c r="CQ159">
        <v>0</v>
      </c>
      <c r="CR159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8"/>
        <v>9.6000000000000002E-2</v>
      </c>
      <c r="DB159" s="146"/>
      <c r="DC159" s="76">
        <f t="shared" ca="1" si="171"/>
        <v>0.99811196155860138</v>
      </c>
      <c r="DD159">
        <f t="shared" si="209"/>
        <v>2</v>
      </c>
      <c r="DE159" s="129">
        <f t="shared" si="241"/>
        <v>39910</v>
      </c>
      <c r="DF159" s="161">
        <f t="shared" si="210"/>
        <v>0</v>
      </c>
      <c r="DG159" s="161">
        <f t="shared" si="211"/>
        <v>115.94202898550724</v>
      </c>
      <c r="DH159" s="161">
        <f t="shared" si="212"/>
        <v>231.88405797101447</v>
      </c>
      <c r="DI159" s="161">
        <f t="shared" si="213"/>
        <v>20.833333333333332</v>
      </c>
      <c r="DJ159" s="161">
        <f t="shared" si="214"/>
        <v>0</v>
      </c>
      <c r="DK159" s="161">
        <f t="shared" si="215"/>
        <v>0</v>
      </c>
      <c r="DL159" s="161">
        <f t="shared" si="216"/>
        <v>0</v>
      </c>
      <c r="DM159" s="161">
        <f t="shared" si="217"/>
        <v>0</v>
      </c>
      <c r="DN159" s="161">
        <f t="shared" si="218"/>
        <v>0</v>
      </c>
      <c r="DO159" s="161">
        <f t="shared" si="219"/>
        <v>0</v>
      </c>
      <c r="DP159" s="161">
        <f t="shared" si="220"/>
        <v>0</v>
      </c>
      <c r="DQ159" s="161">
        <f t="shared" si="221"/>
        <v>0</v>
      </c>
      <c r="DR159" s="161">
        <f t="shared" si="222"/>
        <v>0</v>
      </c>
      <c r="DS159" s="161">
        <f t="shared" si="223"/>
        <v>0</v>
      </c>
      <c r="DT159" s="161">
        <f t="shared" si="224"/>
        <v>0</v>
      </c>
      <c r="DU159" s="161">
        <f t="shared" si="225"/>
        <v>0</v>
      </c>
      <c r="DV159" s="161">
        <f t="shared" si="226"/>
        <v>0</v>
      </c>
      <c r="DW159" s="161">
        <f t="shared" si="227"/>
        <v>0</v>
      </c>
      <c r="DX159" s="161">
        <f t="shared" si="228"/>
        <v>0</v>
      </c>
      <c r="DY159" s="161">
        <f t="shared" si="229"/>
        <v>0</v>
      </c>
      <c r="DZ159" s="161">
        <f t="shared" si="230"/>
        <v>0</v>
      </c>
      <c r="EA159" s="161">
        <f t="shared" si="231"/>
        <v>0</v>
      </c>
      <c r="EB159" s="161">
        <f t="shared" si="232"/>
        <v>0</v>
      </c>
      <c r="EC159" s="161">
        <f t="shared" si="233"/>
        <v>0</v>
      </c>
      <c r="ED159" s="161">
        <f t="shared" si="234"/>
        <v>0</v>
      </c>
      <c r="EE159" s="161">
        <f t="shared" si="235"/>
        <v>0</v>
      </c>
      <c r="EF159" s="161">
        <f t="shared" si="236"/>
        <v>0</v>
      </c>
      <c r="EG159" s="161">
        <f t="shared" si="237"/>
        <v>0</v>
      </c>
      <c r="EH159" s="161">
        <f t="shared" si="238"/>
        <v>0</v>
      </c>
      <c r="EI159" s="161">
        <f t="shared" si="239"/>
        <v>0</v>
      </c>
      <c r="EJ159" s="161">
        <f t="shared" si="240"/>
        <v>0</v>
      </c>
      <c r="EK159" s="147">
        <f t="shared" si="172"/>
        <v>368.65942028985501</v>
      </c>
      <c r="EL159" s="149"/>
      <c r="EN159" s="146"/>
      <c r="EO159" s="146"/>
      <c r="EP159" s="139">
        <f t="shared" si="173"/>
        <v>0</v>
      </c>
      <c r="EQ159" s="139">
        <f t="shared" si="174"/>
        <v>0.83798260869565211</v>
      </c>
      <c r="ER159" s="139">
        <f t="shared" si="175"/>
        <v>10.822727394486979</v>
      </c>
      <c r="ES159" s="139">
        <f t="shared" si="176"/>
        <v>2.8952506533745592</v>
      </c>
      <c r="ET159" s="139">
        <f t="shared" si="177"/>
        <v>0</v>
      </c>
      <c r="EU159" s="139">
        <f t="shared" si="178"/>
        <v>0</v>
      </c>
      <c r="EV159" s="139">
        <f t="shared" si="179"/>
        <v>0</v>
      </c>
      <c r="EW159" s="139">
        <f t="shared" si="180"/>
        <v>0</v>
      </c>
      <c r="EX159" s="139">
        <f t="shared" si="181"/>
        <v>0</v>
      </c>
      <c r="EY159" s="139">
        <f t="shared" si="182"/>
        <v>0</v>
      </c>
      <c r="EZ159" s="139">
        <f t="shared" si="183"/>
        <v>0</v>
      </c>
      <c r="FA159" s="139">
        <f t="shared" si="184"/>
        <v>0</v>
      </c>
      <c r="FB159" s="139">
        <f t="shared" si="185"/>
        <v>0</v>
      </c>
      <c r="FC159" s="139">
        <f t="shared" si="186"/>
        <v>0</v>
      </c>
      <c r="FD159" s="139">
        <f t="shared" si="187"/>
        <v>0</v>
      </c>
      <c r="FE159" s="139">
        <f t="shared" si="188"/>
        <v>0</v>
      </c>
      <c r="FF159" s="139">
        <f t="shared" si="189"/>
        <v>0</v>
      </c>
      <c r="FG159" s="139">
        <f t="shared" si="190"/>
        <v>0</v>
      </c>
      <c r="FH159" s="139">
        <f t="shared" si="191"/>
        <v>0</v>
      </c>
      <c r="FI159" s="139">
        <f t="shared" si="192"/>
        <v>0</v>
      </c>
      <c r="FJ159" s="139">
        <f t="shared" si="193"/>
        <v>0</v>
      </c>
      <c r="FK159" s="139">
        <f t="shared" si="194"/>
        <v>0</v>
      </c>
      <c r="FL159" s="139">
        <f t="shared" si="195"/>
        <v>0</v>
      </c>
      <c r="FM159" s="139">
        <f t="shared" si="196"/>
        <v>0</v>
      </c>
      <c r="FN159" s="139">
        <f t="shared" si="197"/>
        <v>0</v>
      </c>
      <c r="FO159" s="139">
        <f t="shared" si="198"/>
        <v>0</v>
      </c>
      <c r="FP159" s="139">
        <f t="shared" si="199"/>
        <v>0</v>
      </c>
      <c r="FQ159" s="139">
        <f t="shared" si="200"/>
        <v>0</v>
      </c>
      <c r="FR159" s="139">
        <f t="shared" si="201"/>
        <v>0</v>
      </c>
      <c r="FS159" s="139">
        <f t="shared" si="202"/>
        <v>0</v>
      </c>
      <c r="FT159" s="139">
        <f t="shared" si="203"/>
        <v>0</v>
      </c>
      <c r="FU159" s="148">
        <f t="shared" si="204"/>
        <v>14.55596065655719</v>
      </c>
      <c r="FV159" s="149"/>
      <c r="FY159" s="212">
        <v>154</v>
      </c>
      <c r="FZ159">
        <v>44.984848412464736</v>
      </c>
      <c r="GA159">
        <v>100.83493978409939</v>
      </c>
      <c r="GB159">
        <v>52.499660445883123</v>
      </c>
      <c r="GC159">
        <v>13.03564150394342</v>
      </c>
      <c r="GD159">
        <v>10.414057412848877</v>
      </c>
      <c r="GE159">
        <v>14.675013389776398</v>
      </c>
      <c r="GF159">
        <v>30.734612339708242</v>
      </c>
      <c r="GG159">
        <v>32.5120356318726</v>
      </c>
      <c r="GH159">
        <v>22.18723997709883</v>
      </c>
      <c r="GI159">
        <v>34.90751708201573</v>
      </c>
      <c r="GJ159"/>
      <c r="GK159"/>
      <c r="GL159"/>
      <c r="GM159"/>
    </row>
    <row r="160" spans="1:195" s="7" customFormat="1">
      <c r="A160" s="1"/>
      <c r="B160" s="76">
        <f ca="1">IF(C160="", "", RAND())</f>
        <v>0.79962783719317287</v>
      </c>
      <c r="C160">
        <v>8</v>
      </c>
      <c r="D160">
        <v>39910</v>
      </c>
      <c r="E160">
        <v>0</v>
      </c>
      <c r="F160">
        <v>10.416666666666666</v>
      </c>
      <c r="G160">
        <v>10.416666666666666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811.76905960897079</v>
      </c>
      <c r="AO160">
        <v>51.304001635121743</v>
      </c>
      <c r="AP160">
        <v>49.865287320508713</v>
      </c>
      <c r="AQ160">
        <v>355.58372285960473</v>
      </c>
      <c r="AR160">
        <v>49.435690725882175</v>
      </c>
      <c r="AS160">
        <v>420.22560209586561</v>
      </c>
      <c r="AT160">
        <v>24.259133492915961</v>
      </c>
      <c r="AU160">
        <v>-77.020318536302582</v>
      </c>
      <c r="AV160"/>
      <c r="AW160"/>
      <c r="AX160" s="146"/>
      <c r="AY160" s="76">
        <f t="shared" ca="1" si="170"/>
        <v>0.24012678826311529</v>
      </c>
      <c r="AZ160">
        <v>3</v>
      </c>
      <c r="BA160" s="129">
        <f t="shared" si="242"/>
        <v>39910</v>
      </c>
      <c r="BB160">
        <v>0</v>
      </c>
      <c r="BC160">
        <v>1</v>
      </c>
      <c r="BD160">
        <v>0</v>
      </c>
      <c r="BE160">
        <v>0</v>
      </c>
      <c r="BF160">
        <v>3</v>
      </c>
      <c r="BG160">
        <v>1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5"/>
        <v>0.24176828594279165</v>
      </c>
      <c r="CL160" s="179">
        <f t="shared" si="206"/>
        <v>3</v>
      </c>
      <c r="CM160" s="180">
        <f t="shared" si="207"/>
        <v>39910</v>
      </c>
      <c r="CN160">
        <v>8</v>
      </c>
      <c r="CO160">
        <v>9</v>
      </c>
      <c r="CP160">
        <v>15</v>
      </c>
      <c r="CQ160">
        <v>3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8"/>
        <v>9.6000000000000002E-2</v>
      </c>
      <c r="DB160" s="146"/>
      <c r="DC160" s="76">
        <f t="shared" ca="1" si="171"/>
        <v>0.44979612078064957</v>
      </c>
      <c r="DD160">
        <f t="shared" si="209"/>
        <v>3</v>
      </c>
      <c r="DE160" s="129">
        <f t="shared" si="241"/>
        <v>39910</v>
      </c>
      <c r="DF160" s="161">
        <f t="shared" si="210"/>
        <v>694.44444444444446</v>
      </c>
      <c r="DG160" s="161">
        <f t="shared" si="211"/>
        <v>809.65909090909099</v>
      </c>
      <c r="DH160" s="161">
        <f t="shared" si="212"/>
        <v>1302.0833333333335</v>
      </c>
      <c r="DI160" s="161">
        <f t="shared" si="213"/>
        <v>260.41666666666669</v>
      </c>
      <c r="DJ160" s="161">
        <f t="shared" si="214"/>
        <v>85.22727272727272</v>
      </c>
      <c r="DK160" s="161">
        <f t="shared" si="215"/>
        <v>28.409090909090907</v>
      </c>
      <c r="DL160" s="161">
        <f t="shared" si="216"/>
        <v>0</v>
      </c>
      <c r="DM160" s="161">
        <f t="shared" si="217"/>
        <v>0</v>
      </c>
      <c r="DN160" s="161">
        <f t="shared" si="218"/>
        <v>0</v>
      </c>
      <c r="DO160" s="161">
        <f t="shared" si="219"/>
        <v>0</v>
      </c>
      <c r="DP160" s="161">
        <f t="shared" si="220"/>
        <v>0</v>
      </c>
      <c r="DQ160" s="161">
        <f t="shared" si="221"/>
        <v>0</v>
      </c>
      <c r="DR160" s="161">
        <f t="shared" si="222"/>
        <v>0</v>
      </c>
      <c r="DS160" s="161">
        <f t="shared" si="223"/>
        <v>0</v>
      </c>
      <c r="DT160" s="161">
        <f t="shared" si="224"/>
        <v>0</v>
      </c>
      <c r="DU160" s="161">
        <f t="shared" si="225"/>
        <v>0</v>
      </c>
      <c r="DV160" s="161">
        <f t="shared" si="226"/>
        <v>0</v>
      </c>
      <c r="DW160" s="161">
        <f t="shared" si="227"/>
        <v>0</v>
      </c>
      <c r="DX160" s="161">
        <f t="shared" si="228"/>
        <v>0</v>
      </c>
      <c r="DY160" s="161">
        <f t="shared" si="229"/>
        <v>0</v>
      </c>
      <c r="DZ160" s="161">
        <f t="shared" si="230"/>
        <v>0</v>
      </c>
      <c r="EA160" s="161">
        <f t="shared" si="231"/>
        <v>0</v>
      </c>
      <c r="EB160" s="161">
        <f t="shared" si="232"/>
        <v>0</v>
      </c>
      <c r="EC160" s="161">
        <f t="shared" si="233"/>
        <v>0</v>
      </c>
      <c r="ED160" s="161">
        <f t="shared" si="234"/>
        <v>0</v>
      </c>
      <c r="EE160" s="161">
        <f t="shared" si="235"/>
        <v>0</v>
      </c>
      <c r="EF160" s="161">
        <f t="shared" si="236"/>
        <v>0</v>
      </c>
      <c r="EG160" s="161">
        <f t="shared" si="237"/>
        <v>0</v>
      </c>
      <c r="EH160" s="161">
        <f t="shared" si="238"/>
        <v>0</v>
      </c>
      <c r="EI160" s="161">
        <f t="shared" si="239"/>
        <v>0</v>
      </c>
      <c r="EJ160" s="161">
        <f t="shared" si="240"/>
        <v>0</v>
      </c>
      <c r="EK160" s="147">
        <f t="shared" si="172"/>
        <v>3180.2398989898988</v>
      </c>
      <c r="EL160" s="149"/>
      <c r="EN160" s="146"/>
      <c r="EO160" s="146"/>
      <c r="EP160" s="139">
        <f t="shared" si="173"/>
        <v>0.77724851112005033</v>
      </c>
      <c r="EQ160" s="139">
        <f t="shared" si="174"/>
        <v>5.8518920454545462</v>
      </c>
      <c r="ER160" s="139">
        <f t="shared" si="175"/>
        <v>60.772150896777482</v>
      </c>
      <c r="ES160" s="139">
        <f t="shared" si="176"/>
        <v>36.190633167182</v>
      </c>
      <c r="ET160" s="139">
        <f t="shared" si="177"/>
        <v>25.687162736558559</v>
      </c>
      <c r="EU160" s="139">
        <f t="shared" si="178"/>
        <v>15.609167011502043</v>
      </c>
      <c r="EV160" s="139">
        <f t="shared" si="179"/>
        <v>0</v>
      </c>
      <c r="EW160" s="139">
        <f t="shared" si="180"/>
        <v>0</v>
      </c>
      <c r="EX160" s="139">
        <f t="shared" si="181"/>
        <v>0</v>
      </c>
      <c r="EY160" s="139">
        <f t="shared" si="182"/>
        <v>0</v>
      </c>
      <c r="EZ160" s="139">
        <f t="shared" si="183"/>
        <v>0</v>
      </c>
      <c r="FA160" s="139">
        <f t="shared" si="184"/>
        <v>0</v>
      </c>
      <c r="FB160" s="139">
        <f t="shared" si="185"/>
        <v>0</v>
      </c>
      <c r="FC160" s="139">
        <f t="shared" si="186"/>
        <v>0</v>
      </c>
      <c r="FD160" s="139">
        <f t="shared" si="187"/>
        <v>0</v>
      </c>
      <c r="FE160" s="139">
        <f t="shared" si="188"/>
        <v>0</v>
      </c>
      <c r="FF160" s="139">
        <f t="shared" si="189"/>
        <v>0</v>
      </c>
      <c r="FG160" s="139">
        <f t="shared" si="190"/>
        <v>0</v>
      </c>
      <c r="FH160" s="139">
        <f t="shared" si="191"/>
        <v>0</v>
      </c>
      <c r="FI160" s="139">
        <f t="shared" si="192"/>
        <v>0</v>
      </c>
      <c r="FJ160" s="139">
        <f t="shared" si="193"/>
        <v>0</v>
      </c>
      <c r="FK160" s="139">
        <f t="shared" si="194"/>
        <v>0</v>
      </c>
      <c r="FL160" s="139">
        <f t="shared" si="195"/>
        <v>0</v>
      </c>
      <c r="FM160" s="139">
        <f t="shared" si="196"/>
        <v>0</v>
      </c>
      <c r="FN160" s="139">
        <f t="shared" si="197"/>
        <v>0</v>
      </c>
      <c r="FO160" s="139">
        <f t="shared" si="198"/>
        <v>0</v>
      </c>
      <c r="FP160" s="139">
        <f t="shared" si="199"/>
        <v>0</v>
      </c>
      <c r="FQ160" s="139">
        <f t="shared" si="200"/>
        <v>0</v>
      </c>
      <c r="FR160" s="139">
        <f t="shared" si="201"/>
        <v>0</v>
      </c>
      <c r="FS160" s="139">
        <f t="shared" si="202"/>
        <v>0</v>
      </c>
      <c r="FT160" s="139">
        <f t="shared" si="203"/>
        <v>0</v>
      </c>
      <c r="FU160" s="148">
        <f t="shared" si="204"/>
        <v>144.88825436859469</v>
      </c>
      <c r="FV160" s="149"/>
      <c r="FY160" s="212">
        <v>155</v>
      </c>
      <c r="FZ160">
        <v>40.662573955720859</v>
      </c>
      <c r="GA160">
        <v>113.08925928943989</v>
      </c>
      <c r="GB160">
        <v>68.025688032139016</v>
      </c>
      <c r="GC160">
        <v>21.476490979918793</v>
      </c>
      <c r="GD160">
        <v>11.367711130541094</v>
      </c>
      <c r="GE160">
        <v>13.88055790191847</v>
      </c>
      <c r="GF160">
        <v>26.754108525712539</v>
      </c>
      <c r="GG160">
        <v>29.810667508473589</v>
      </c>
      <c r="GH160">
        <v>41.444770339458415</v>
      </c>
      <c r="GI160">
        <v>41.017334262975375</v>
      </c>
      <c r="GJ160"/>
      <c r="GK160"/>
      <c r="GL160"/>
      <c r="GM160"/>
    </row>
    <row r="161" spans="1:195" s="7" customFormat="1">
      <c r="A161" s="1"/>
      <c r="B161" s="76">
        <f ca="1">IF(C161="", "", RAND())</f>
        <v>0.97733653989971625</v>
      </c>
      <c r="C161">
        <v>1</v>
      </c>
      <c r="D161">
        <v>39910</v>
      </c>
      <c r="E161">
        <v>0</v>
      </c>
      <c r="F161">
        <v>0</v>
      </c>
      <c r="G161">
        <v>0</v>
      </c>
      <c r="H161">
        <v>10.416666666666666</v>
      </c>
      <c r="I161">
        <v>10.416666666666666</v>
      </c>
      <c r="J161">
        <v>10.416666666666666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747.95574513444103</v>
      </c>
      <c r="AO161">
        <v>49.06381454879363</v>
      </c>
      <c r="AP161">
        <v>58.9712434544861</v>
      </c>
      <c r="AQ161">
        <v>347.57560874706519</v>
      </c>
      <c r="AR161">
        <v>48.5954537052436</v>
      </c>
      <c r="AS161">
        <v>400.66432592641365</v>
      </c>
      <c r="AT161">
        <v>25.076730938473503</v>
      </c>
      <c r="AU161">
        <v>-60.79111073212362</v>
      </c>
      <c r="AV161"/>
      <c r="AW161"/>
      <c r="AX161" s="146"/>
      <c r="AY161" s="76">
        <f t="shared" ca="1" si="170"/>
        <v>0.83158681983006399</v>
      </c>
      <c r="AZ161">
        <v>4</v>
      </c>
      <c r="BA161" s="129">
        <f t="shared" si="242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5"/>
        <v>0.32602949595482222</v>
      </c>
      <c r="CL161" s="179">
        <f t="shared" si="206"/>
        <v>4</v>
      </c>
      <c r="CM161" s="180">
        <f t="shared" si="207"/>
        <v>39910</v>
      </c>
      <c r="CN161">
        <v>0</v>
      </c>
      <c r="CO161">
        <v>1</v>
      </c>
      <c r="CP161">
        <v>1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8"/>
        <v>9.6000000000000002E-2</v>
      </c>
      <c r="DB161" s="146"/>
      <c r="DC161" s="76">
        <f t="shared" ca="1" si="171"/>
        <v>7.6891886298947387E-2</v>
      </c>
      <c r="DD161">
        <f t="shared" si="209"/>
        <v>4</v>
      </c>
      <c r="DE161" s="129">
        <f t="shared" si="241"/>
        <v>39910</v>
      </c>
      <c r="DF161" s="161">
        <f t="shared" si="210"/>
        <v>0</v>
      </c>
      <c r="DG161" s="161">
        <f t="shared" si="211"/>
        <v>34.722222222222221</v>
      </c>
      <c r="DH161" s="161">
        <f t="shared" si="212"/>
        <v>34.722222222222221</v>
      </c>
      <c r="DI161" s="161">
        <f t="shared" si="213"/>
        <v>0</v>
      </c>
      <c r="DJ161" s="161">
        <f t="shared" si="214"/>
        <v>0</v>
      </c>
      <c r="DK161" s="161">
        <f t="shared" si="215"/>
        <v>0</v>
      </c>
      <c r="DL161" s="161">
        <f t="shared" si="216"/>
        <v>0</v>
      </c>
      <c r="DM161" s="161">
        <f t="shared" si="217"/>
        <v>0</v>
      </c>
      <c r="DN161" s="161">
        <f t="shared" si="218"/>
        <v>0</v>
      </c>
      <c r="DO161" s="161">
        <f t="shared" si="219"/>
        <v>0</v>
      </c>
      <c r="DP161" s="161">
        <f t="shared" si="220"/>
        <v>0</v>
      </c>
      <c r="DQ161" s="161">
        <f t="shared" si="221"/>
        <v>0</v>
      </c>
      <c r="DR161" s="161">
        <f t="shared" si="222"/>
        <v>0</v>
      </c>
      <c r="DS161" s="161">
        <f t="shared" si="223"/>
        <v>0</v>
      </c>
      <c r="DT161" s="161">
        <f t="shared" si="224"/>
        <v>0</v>
      </c>
      <c r="DU161" s="161">
        <f t="shared" si="225"/>
        <v>0</v>
      </c>
      <c r="DV161" s="161">
        <f t="shared" si="226"/>
        <v>0</v>
      </c>
      <c r="DW161" s="161">
        <f t="shared" si="227"/>
        <v>0</v>
      </c>
      <c r="DX161" s="161">
        <f t="shared" si="228"/>
        <v>0</v>
      </c>
      <c r="DY161" s="161">
        <f t="shared" si="229"/>
        <v>0</v>
      </c>
      <c r="DZ161" s="161">
        <f t="shared" si="230"/>
        <v>0</v>
      </c>
      <c r="EA161" s="161">
        <f t="shared" si="231"/>
        <v>0</v>
      </c>
      <c r="EB161" s="161">
        <f t="shared" si="232"/>
        <v>0</v>
      </c>
      <c r="EC161" s="161">
        <f t="shared" si="233"/>
        <v>0</v>
      </c>
      <c r="ED161" s="161">
        <f t="shared" si="234"/>
        <v>0</v>
      </c>
      <c r="EE161" s="161">
        <f t="shared" si="235"/>
        <v>0</v>
      </c>
      <c r="EF161" s="161">
        <f t="shared" si="236"/>
        <v>0</v>
      </c>
      <c r="EG161" s="161">
        <f t="shared" si="237"/>
        <v>0</v>
      </c>
      <c r="EH161" s="161">
        <f t="shared" si="238"/>
        <v>0</v>
      </c>
      <c r="EI161" s="161">
        <f t="shared" si="239"/>
        <v>0</v>
      </c>
      <c r="EJ161" s="161">
        <f t="shared" si="240"/>
        <v>0</v>
      </c>
      <c r="EK161" s="147">
        <f t="shared" si="172"/>
        <v>69.444444444444443</v>
      </c>
      <c r="EL161" s="149"/>
      <c r="EN161" s="146"/>
      <c r="EO161" s="146"/>
      <c r="EP161" s="139">
        <f t="shared" si="173"/>
        <v>0</v>
      </c>
      <c r="EQ161" s="139">
        <f t="shared" si="174"/>
        <v>0.25095833333333334</v>
      </c>
      <c r="ER161" s="139">
        <f t="shared" si="175"/>
        <v>1.6205906905807326</v>
      </c>
      <c r="ES161" s="139">
        <f t="shared" si="176"/>
        <v>0</v>
      </c>
      <c r="ET161" s="139">
        <f t="shared" si="177"/>
        <v>0</v>
      </c>
      <c r="EU161" s="139">
        <f t="shared" si="178"/>
        <v>0</v>
      </c>
      <c r="EV161" s="139">
        <f t="shared" si="179"/>
        <v>0</v>
      </c>
      <c r="EW161" s="139">
        <f t="shared" si="180"/>
        <v>0</v>
      </c>
      <c r="EX161" s="139">
        <f t="shared" si="181"/>
        <v>0</v>
      </c>
      <c r="EY161" s="139">
        <f t="shared" si="182"/>
        <v>0</v>
      </c>
      <c r="EZ161" s="139">
        <f t="shared" si="183"/>
        <v>0</v>
      </c>
      <c r="FA161" s="139">
        <f t="shared" si="184"/>
        <v>0</v>
      </c>
      <c r="FB161" s="139">
        <f t="shared" si="185"/>
        <v>0</v>
      </c>
      <c r="FC161" s="139">
        <f t="shared" si="186"/>
        <v>0</v>
      </c>
      <c r="FD161" s="139">
        <f t="shared" si="187"/>
        <v>0</v>
      </c>
      <c r="FE161" s="139">
        <f t="shared" si="188"/>
        <v>0</v>
      </c>
      <c r="FF161" s="139">
        <f t="shared" si="189"/>
        <v>0</v>
      </c>
      <c r="FG161" s="139">
        <f t="shared" si="190"/>
        <v>0</v>
      </c>
      <c r="FH161" s="139">
        <f t="shared" si="191"/>
        <v>0</v>
      </c>
      <c r="FI161" s="139">
        <f t="shared" si="192"/>
        <v>0</v>
      </c>
      <c r="FJ161" s="139">
        <f t="shared" si="193"/>
        <v>0</v>
      </c>
      <c r="FK161" s="139">
        <f t="shared" si="194"/>
        <v>0</v>
      </c>
      <c r="FL161" s="139">
        <f t="shared" si="195"/>
        <v>0</v>
      </c>
      <c r="FM161" s="139">
        <f t="shared" si="196"/>
        <v>0</v>
      </c>
      <c r="FN161" s="139">
        <f t="shared" si="197"/>
        <v>0</v>
      </c>
      <c r="FO161" s="139">
        <f t="shared" si="198"/>
        <v>0</v>
      </c>
      <c r="FP161" s="139">
        <f t="shared" si="199"/>
        <v>0</v>
      </c>
      <c r="FQ161" s="139">
        <f t="shared" si="200"/>
        <v>0</v>
      </c>
      <c r="FR161" s="139">
        <f t="shared" si="201"/>
        <v>0</v>
      </c>
      <c r="FS161" s="139">
        <f t="shared" si="202"/>
        <v>0</v>
      </c>
      <c r="FT161" s="139">
        <f t="shared" si="203"/>
        <v>0</v>
      </c>
      <c r="FU161" s="148">
        <f t="shared" si="204"/>
        <v>1.871549023914066</v>
      </c>
      <c r="FV161" s="149"/>
      <c r="FY161" s="212">
        <v>156</v>
      </c>
      <c r="FZ161">
        <v>47.450166626933019</v>
      </c>
      <c r="GA161">
        <v>133.84210103382725</v>
      </c>
      <c r="GB161">
        <v>70.494260739522559</v>
      </c>
      <c r="GC161">
        <v>16.728959298370082</v>
      </c>
      <c r="GD161">
        <v>11.145167979849992</v>
      </c>
      <c r="GE161">
        <v>15.917774258249484</v>
      </c>
      <c r="GF161">
        <v>35.855161029138223</v>
      </c>
      <c r="GG161">
        <v>34.833595162412294</v>
      </c>
      <c r="GH161">
        <v>29.842290847546156</v>
      </c>
      <c r="GI161">
        <v>42.282807998645872</v>
      </c>
      <c r="GJ161"/>
      <c r="GK161"/>
      <c r="GL161"/>
      <c r="GM161"/>
    </row>
    <row r="162" spans="1:195" s="7" customFormat="1">
      <c r="A162" s="1"/>
      <c r="B162" s="76">
        <f ca="1">IF(C162="", "", RAND())</f>
        <v>0.24719249302907809</v>
      </c>
      <c r="C162">
        <v>6</v>
      </c>
      <c r="D162">
        <v>39910</v>
      </c>
      <c r="E162">
        <v>0</v>
      </c>
      <c r="F162">
        <v>0</v>
      </c>
      <c r="G162">
        <v>0</v>
      </c>
      <c r="H162">
        <v>20.833333333333332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640.95880512285453</v>
      </c>
      <c r="AO162">
        <v>48.621986345206636</v>
      </c>
      <c r="AP162">
        <v>56.716788867679561</v>
      </c>
      <c r="AQ162">
        <v>354.04020715149244</v>
      </c>
      <c r="AR162">
        <v>48.999706874560012</v>
      </c>
      <c r="AS162">
        <v>387.84851700395586</v>
      </c>
      <c r="AT162">
        <v>25.622488639881819</v>
      </c>
      <c r="AU162">
        <v>-23.765280769223111</v>
      </c>
      <c r="AV162"/>
      <c r="AW162"/>
      <c r="AX162" s="146"/>
      <c r="AY162" s="76">
        <f t="shared" ca="1" si="170"/>
        <v>0.24518887952824553</v>
      </c>
      <c r="AZ162">
        <v>5</v>
      </c>
      <c r="BA162" s="129">
        <f t="shared" si="242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5"/>
        <v>0.29846552246353486</v>
      </c>
      <c r="CL162" s="179">
        <f t="shared" si="206"/>
        <v>5</v>
      </c>
      <c r="CM162" s="180">
        <f t="shared" si="207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08"/>
        <v>9.6000000000000002E-2</v>
      </c>
      <c r="DB162" s="146"/>
      <c r="DC162" s="76">
        <f t="shared" ca="1" si="171"/>
        <v>0.45249685209247703</v>
      </c>
      <c r="DD162">
        <f t="shared" si="209"/>
        <v>5</v>
      </c>
      <c r="DE162" s="129">
        <f t="shared" si="241"/>
        <v>39910</v>
      </c>
      <c r="DF162" s="161">
        <f t="shared" si="210"/>
        <v>0</v>
      </c>
      <c r="DG162" s="161">
        <f t="shared" si="211"/>
        <v>0</v>
      </c>
      <c r="DH162" s="161">
        <f t="shared" si="212"/>
        <v>0</v>
      </c>
      <c r="DI162" s="161">
        <f t="shared" si="213"/>
        <v>0</v>
      </c>
      <c r="DJ162" s="161">
        <f t="shared" si="214"/>
        <v>0</v>
      </c>
      <c r="DK162" s="161">
        <f t="shared" si="215"/>
        <v>0</v>
      </c>
      <c r="DL162" s="161">
        <f t="shared" si="216"/>
        <v>0</v>
      </c>
      <c r="DM162" s="161">
        <f t="shared" si="217"/>
        <v>0</v>
      </c>
      <c r="DN162" s="161">
        <f t="shared" si="218"/>
        <v>0</v>
      </c>
      <c r="DO162" s="161">
        <f t="shared" si="219"/>
        <v>0</v>
      </c>
      <c r="DP162" s="161">
        <f t="shared" si="220"/>
        <v>0</v>
      </c>
      <c r="DQ162" s="161">
        <f t="shared" si="221"/>
        <v>0</v>
      </c>
      <c r="DR162" s="161">
        <f t="shared" si="222"/>
        <v>0</v>
      </c>
      <c r="DS162" s="161">
        <f t="shared" si="223"/>
        <v>0</v>
      </c>
      <c r="DT162" s="161">
        <f t="shared" si="224"/>
        <v>0</v>
      </c>
      <c r="DU162" s="161">
        <f t="shared" si="225"/>
        <v>0</v>
      </c>
      <c r="DV162" s="161">
        <f t="shared" si="226"/>
        <v>0</v>
      </c>
      <c r="DW162" s="161">
        <f t="shared" si="227"/>
        <v>0</v>
      </c>
      <c r="DX162" s="161">
        <f t="shared" si="228"/>
        <v>0</v>
      </c>
      <c r="DY162" s="161">
        <f t="shared" si="229"/>
        <v>0</v>
      </c>
      <c r="DZ162" s="161">
        <f t="shared" si="230"/>
        <v>0</v>
      </c>
      <c r="EA162" s="161">
        <f t="shared" si="231"/>
        <v>0</v>
      </c>
      <c r="EB162" s="161">
        <f t="shared" si="232"/>
        <v>0</v>
      </c>
      <c r="EC162" s="161">
        <f t="shared" si="233"/>
        <v>0</v>
      </c>
      <c r="ED162" s="161">
        <f t="shared" si="234"/>
        <v>0</v>
      </c>
      <c r="EE162" s="161">
        <f t="shared" si="235"/>
        <v>0</v>
      </c>
      <c r="EF162" s="161">
        <f t="shared" si="236"/>
        <v>0</v>
      </c>
      <c r="EG162" s="161">
        <f t="shared" si="237"/>
        <v>0</v>
      </c>
      <c r="EH162" s="161">
        <f t="shared" si="238"/>
        <v>0</v>
      </c>
      <c r="EI162" s="161">
        <f t="shared" si="239"/>
        <v>0</v>
      </c>
      <c r="EJ162" s="161">
        <f t="shared" si="240"/>
        <v>0</v>
      </c>
      <c r="EK162" s="147">
        <f t="shared" si="172"/>
        <v>0</v>
      </c>
      <c r="EL162" s="149"/>
      <c r="EN162" s="146"/>
      <c r="EO162" s="146"/>
      <c r="EP162" s="139">
        <f t="shared" si="173"/>
        <v>0</v>
      </c>
      <c r="EQ162" s="139">
        <f t="shared" si="174"/>
        <v>0</v>
      </c>
      <c r="ER162" s="139">
        <f t="shared" si="175"/>
        <v>0</v>
      </c>
      <c r="ES162" s="139">
        <f t="shared" si="176"/>
        <v>0</v>
      </c>
      <c r="ET162" s="139">
        <f t="shared" si="177"/>
        <v>0</v>
      </c>
      <c r="EU162" s="139">
        <f t="shared" si="178"/>
        <v>0</v>
      </c>
      <c r="EV162" s="139">
        <f t="shared" si="179"/>
        <v>0</v>
      </c>
      <c r="EW162" s="139">
        <f t="shared" si="180"/>
        <v>0</v>
      </c>
      <c r="EX162" s="139">
        <f t="shared" si="181"/>
        <v>0</v>
      </c>
      <c r="EY162" s="139">
        <f t="shared" si="182"/>
        <v>0</v>
      </c>
      <c r="EZ162" s="139">
        <f t="shared" si="183"/>
        <v>0</v>
      </c>
      <c r="FA162" s="139">
        <f t="shared" si="184"/>
        <v>0</v>
      </c>
      <c r="FB162" s="139">
        <f t="shared" si="185"/>
        <v>0</v>
      </c>
      <c r="FC162" s="139">
        <f t="shared" si="186"/>
        <v>0</v>
      </c>
      <c r="FD162" s="139">
        <f t="shared" si="187"/>
        <v>0</v>
      </c>
      <c r="FE162" s="139">
        <f t="shared" si="188"/>
        <v>0</v>
      </c>
      <c r="FF162" s="139">
        <f t="shared" si="189"/>
        <v>0</v>
      </c>
      <c r="FG162" s="139">
        <f t="shared" si="190"/>
        <v>0</v>
      </c>
      <c r="FH162" s="139">
        <f t="shared" si="191"/>
        <v>0</v>
      </c>
      <c r="FI162" s="139">
        <f t="shared" si="192"/>
        <v>0</v>
      </c>
      <c r="FJ162" s="139">
        <f t="shared" si="193"/>
        <v>0</v>
      </c>
      <c r="FK162" s="139">
        <f t="shared" si="194"/>
        <v>0</v>
      </c>
      <c r="FL162" s="139">
        <f t="shared" si="195"/>
        <v>0</v>
      </c>
      <c r="FM162" s="139">
        <f t="shared" si="196"/>
        <v>0</v>
      </c>
      <c r="FN162" s="139">
        <f t="shared" si="197"/>
        <v>0</v>
      </c>
      <c r="FO162" s="139">
        <f t="shared" si="198"/>
        <v>0</v>
      </c>
      <c r="FP162" s="139">
        <f t="shared" si="199"/>
        <v>0</v>
      </c>
      <c r="FQ162" s="139">
        <f t="shared" si="200"/>
        <v>0</v>
      </c>
      <c r="FR162" s="139">
        <f t="shared" si="201"/>
        <v>0</v>
      </c>
      <c r="FS162" s="139">
        <f t="shared" si="202"/>
        <v>0</v>
      </c>
      <c r="FT162" s="139">
        <f t="shared" si="203"/>
        <v>0</v>
      </c>
      <c r="FU162" s="148">
        <f t="shared" si="204"/>
        <v>0</v>
      </c>
      <c r="FV162" s="149"/>
      <c r="FY162" s="212">
        <v>157</v>
      </c>
      <c r="FZ162">
        <v>43.111535300190823</v>
      </c>
      <c r="GA162">
        <v>101.94177902584312</v>
      </c>
      <c r="GB162">
        <v>61.517085353163608</v>
      </c>
      <c r="GC162">
        <v>18.243076429459613</v>
      </c>
      <c r="GD162">
        <v>12.197059096193794</v>
      </c>
      <c r="GE162">
        <v>17.414261084885073</v>
      </c>
      <c r="GF162">
        <v>18.423380546165976</v>
      </c>
      <c r="GG162">
        <v>17.68259704767803</v>
      </c>
      <c r="GH162">
        <v>20.585655781018477</v>
      </c>
      <c r="GI162">
        <v>35.309964529170173</v>
      </c>
      <c r="GJ162"/>
      <c r="GK162"/>
      <c r="GL162"/>
      <c r="GM162"/>
    </row>
    <row r="163" spans="1:195" s="7" customFormat="1">
      <c r="A163" s="1"/>
      <c r="B163" s="76">
        <f ca="1">IF(C163="", "", RAND())</f>
        <v>0.91223696355914918</v>
      </c>
      <c r="C163">
        <v>2</v>
      </c>
      <c r="D163">
        <v>39910</v>
      </c>
      <c r="E163">
        <v>0</v>
      </c>
      <c r="F163">
        <v>115.94202898550724</v>
      </c>
      <c r="G163">
        <v>231.88405797101447</v>
      </c>
      <c r="H163">
        <v>20.833333333333332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774.6738903766028</v>
      </c>
      <c r="AO163">
        <v>53.7722000043672</v>
      </c>
      <c r="AP163">
        <v>69.268882816190086</v>
      </c>
      <c r="AQ163">
        <v>386.31576679388246</v>
      </c>
      <c r="AR163">
        <v>53.048548643436149</v>
      </c>
      <c r="AS163">
        <v>457.96168277034633</v>
      </c>
      <c r="AT163">
        <v>27.371438302981513</v>
      </c>
      <c r="AU163">
        <v>-52.258706309148074</v>
      </c>
      <c r="AV163"/>
      <c r="AW163"/>
      <c r="AX163" s="146"/>
      <c r="AY163" s="76">
        <f t="shared" ca="1" si="170"/>
        <v>2.1917805791031419E-2</v>
      </c>
      <c r="AZ163">
        <v>6</v>
      </c>
      <c r="BA163" s="129">
        <f t="shared" si="242"/>
        <v>39910</v>
      </c>
      <c r="BB163">
        <v>0</v>
      </c>
      <c r="BC163">
        <v>0</v>
      </c>
      <c r="BD163">
        <v>0</v>
      </c>
      <c r="BE163">
        <v>2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5"/>
        <v>0.28551849772182458</v>
      </c>
      <c r="CL163" s="179">
        <f t="shared" si="206"/>
        <v>6</v>
      </c>
      <c r="CM163" s="180">
        <f t="shared" si="207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08"/>
        <v>9.6000000000000002E-2</v>
      </c>
      <c r="DB163" s="146"/>
      <c r="DC163" s="76">
        <f t="shared" ca="1" si="171"/>
        <v>0.71937630734500857</v>
      </c>
      <c r="DD163">
        <f t="shared" si="209"/>
        <v>6</v>
      </c>
      <c r="DE163" s="129">
        <f t="shared" si="241"/>
        <v>39910</v>
      </c>
      <c r="DF163" s="161">
        <f t="shared" si="210"/>
        <v>0</v>
      </c>
      <c r="DG163" s="161">
        <f t="shared" si="211"/>
        <v>0</v>
      </c>
      <c r="DH163" s="161">
        <f t="shared" si="212"/>
        <v>0</v>
      </c>
      <c r="DI163" s="161">
        <f t="shared" si="213"/>
        <v>20.833333333333332</v>
      </c>
      <c r="DJ163" s="161">
        <f t="shared" si="214"/>
        <v>0</v>
      </c>
      <c r="DK163" s="161">
        <f t="shared" si="215"/>
        <v>0</v>
      </c>
      <c r="DL163" s="161">
        <f t="shared" si="216"/>
        <v>0</v>
      </c>
      <c r="DM163" s="161">
        <f t="shared" si="217"/>
        <v>0</v>
      </c>
      <c r="DN163" s="161">
        <f t="shared" si="218"/>
        <v>0</v>
      </c>
      <c r="DO163" s="161">
        <f t="shared" si="219"/>
        <v>0</v>
      </c>
      <c r="DP163" s="161">
        <f t="shared" si="220"/>
        <v>0</v>
      </c>
      <c r="DQ163" s="161">
        <f t="shared" si="221"/>
        <v>0</v>
      </c>
      <c r="DR163" s="161">
        <f t="shared" si="222"/>
        <v>0</v>
      </c>
      <c r="DS163" s="161">
        <f t="shared" si="223"/>
        <v>0</v>
      </c>
      <c r="DT163" s="161">
        <f t="shared" si="224"/>
        <v>0</v>
      </c>
      <c r="DU163" s="161">
        <f t="shared" si="225"/>
        <v>0</v>
      </c>
      <c r="DV163" s="161">
        <f t="shared" si="226"/>
        <v>0</v>
      </c>
      <c r="DW163" s="161">
        <f t="shared" si="227"/>
        <v>0</v>
      </c>
      <c r="DX163" s="161">
        <f t="shared" si="228"/>
        <v>0</v>
      </c>
      <c r="DY163" s="161">
        <f t="shared" si="229"/>
        <v>0</v>
      </c>
      <c r="DZ163" s="161">
        <f t="shared" si="230"/>
        <v>0</v>
      </c>
      <c r="EA163" s="161">
        <f t="shared" si="231"/>
        <v>0</v>
      </c>
      <c r="EB163" s="161">
        <f t="shared" si="232"/>
        <v>0</v>
      </c>
      <c r="EC163" s="161">
        <f t="shared" si="233"/>
        <v>0</v>
      </c>
      <c r="ED163" s="161">
        <f t="shared" si="234"/>
        <v>0</v>
      </c>
      <c r="EE163" s="161">
        <f t="shared" si="235"/>
        <v>0</v>
      </c>
      <c r="EF163" s="161">
        <f t="shared" si="236"/>
        <v>0</v>
      </c>
      <c r="EG163" s="161">
        <f t="shared" si="237"/>
        <v>0</v>
      </c>
      <c r="EH163" s="161">
        <f t="shared" si="238"/>
        <v>0</v>
      </c>
      <c r="EI163" s="161">
        <f t="shared" si="239"/>
        <v>0</v>
      </c>
      <c r="EJ163" s="161">
        <f t="shared" si="240"/>
        <v>0</v>
      </c>
      <c r="EK163" s="147">
        <f t="shared" si="172"/>
        <v>20.833333333333332</v>
      </c>
      <c r="EL163" s="149"/>
      <c r="EN163" s="146"/>
      <c r="EO163" s="146"/>
      <c r="EP163" s="139">
        <f t="shared" si="173"/>
        <v>0</v>
      </c>
      <c r="EQ163" s="139">
        <f t="shared" si="174"/>
        <v>0</v>
      </c>
      <c r="ER163" s="139">
        <f t="shared" si="175"/>
        <v>0</v>
      </c>
      <c r="ES163" s="139">
        <f t="shared" si="176"/>
        <v>2.8952506533745592</v>
      </c>
      <c r="ET163" s="139">
        <f t="shared" si="177"/>
        <v>0</v>
      </c>
      <c r="EU163" s="139">
        <f t="shared" si="178"/>
        <v>0</v>
      </c>
      <c r="EV163" s="139">
        <f t="shared" si="179"/>
        <v>0</v>
      </c>
      <c r="EW163" s="139">
        <f t="shared" si="180"/>
        <v>0</v>
      </c>
      <c r="EX163" s="139">
        <f t="shared" si="181"/>
        <v>0</v>
      </c>
      <c r="EY163" s="139">
        <f t="shared" si="182"/>
        <v>0</v>
      </c>
      <c r="EZ163" s="139">
        <f t="shared" si="183"/>
        <v>0</v>
      </c>
      <c r="FA163" s="139">
        <f t="shared" si="184"/>
        <v>0</v>
      </c>
      <c r="FB163" s="139">
        <f t="shared" si="185"/>
        <v>0</v>
      </c>
      <c r="FC163" s="139">
        <f t="shared" si="186"/>
        <v>0</v>
      </c>
      <c r="FD163" s="139">
        <f t="shared" si="187"/>
        <v>0</v>
      </c>
      <c r="FE163" s="139">
        <f t="shared" si="188"/>
        <v>0</v>
      </c>
      <c r="FF163" s="139">
        <f t="shared" si="189"/>
        <v>0</v>
      </c>
      <c r="FG163" s="139">
        <f t="shared" si="190"/>
        <v>0</v>
      </c>
      <c r="FH163" s="139">
        <f t="shared" si="191"/>
        <v>0</v>
      </c>
      <c r="FI163" s="139">
        <f t="shared" si="192"/>
        <v>0</v>
      </c>
      <c r="FJ163" s="139">
        <f t="shared" si="193"/>
        <v>0</v>
      </c>
      <c r="FK163" s="139">
        <f t="shared" si="194"/>
        <v>0</v>
      </c>
      <c r="FL163" s="139">
        <f t="shared" si="195"/>
        <v>0</v>
      </c>
      <c r="FM163" s="139">
        <f t="shared" si="196"/>
        <v>0</v>
      </c>
      <c r="FN163" s="139">
        <f t="shared" si="197"/>
        <v>0</v>
      </c>
      <c r="FO163" s="139">
        <f t="shared" si="198"/>
        <v>0</v>
      </c>
      <c r="FP163" s="139">
        <f t="shared" si="199"/>
        <v>0</v>
      </c>
      <c r="FQ163" s="139">
        <f t="shared" si="200"/>
        <v>0</v>
      </c>
      <c r="FR163" s="139">
        <f t="shared" si="201"/>
        <v>0</v>
      </c>
      <c r="FS163" s="139">
        <f t="shared" si="202"/>
        <v>0</v>
      </c>
      <c r="FT163" s="139">
        <f t="shared" si="203"/>
        <v>0</v>
      </c>
      <c r="FU163" s="148">
        <f t="shared" si="204"/>
        <v>2.8952506533745592</v>
      </c>
      <c r="FV163" s="149"/>
      <c r="FY163" s="212">
        <v>158</v>
      </c>
      <c r="FZ163">
        <v>48.802178484186676</v>
      </c>
      <c r="GA163">
        <v>138.66753660263979</v>
      </c>
      <c r="GB163">
        <v>76.711507500689848</v>
      </c>
      <c r="GC163">
        <v>21.09849911285287</v>
      </c>
      <c r="GD163">
        <v>14.935293007924889</v>
      </c>
      <c r="GE163">
        <v>15.364414396097436</v>
      </c>
      <c r="GF163">
        <v>29.182180221082987</v>
      </c>
      <c r="GG163">
        <v>37.581757852005538</v>
      </c>
      <c r="GH163">
        <v>41.403100576616062</v>
      </c>
      <c r="GI163">
        <v>46.983581155749988</v>
      </c>
      <c r="GJ163"/>
      <c r="GK163"/>
      <c r="GL163"/>
      <c r="GM163"/>
    </row>
    <row r="164" spans="1:195" s="7" customFormat="1">
      <c r="A164" s="1"/>
      <c r="B164" s="76">
        <f ca="1">IF(C164="", "", RAND())</f>
        <v>0.68703700218771768</v>
      </c>
      <c r="C164">
        <v>4</v>
      </c>
      <c r="D164">
        <v>39910</v>
      </c>
      <c r="E164">
        <v>0</v>
      </c>
      <c r="F164">
        <v>34.722222222222221</v>
      </c>
      <c r="G164">
        <v>34.722222222222221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870.30405568870879</v>
      </c>
      <c r="AO164">
        <v>51.351943488705025</v>
      </c>
      <c r="AP164">
        <v>70.03411321959544</v>
      </c>
      <c r="AQ164">
        <v>352.04771056164736</v>
      </c>
      <c r="AR164">
        <v>49.634310462797949</v>
      </c>
      <c r="AS164">
        <v>423.58468853073077</v>
      </c>
      <c r="AT164">
        <v>25.048412360256989</v>
      </c>
      <c r="AU164">
        <v>-51.153522709171952</v>
      </c>
      <c r="AV164"/>
      <c r="AW164"/>
      <c r="AX164" s="146"/>
      <c r="AY164" s="76">
        <f t="shared" ca="1" si="170"/>
        <v>0.77783991745289427</v>
      </c>
      <c r="AZ164">
        <v>7</v>
      </c>
      <c r="BA164" s="129">
        <f t="shared" si="242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5"/>
        <v>0.26096328612081843</v>
      </c>
      <c r="CL164" s="179">
        <f t="shared" si="206"/>
        <v>7</v>
      </c>
      <c r="CM164" s="180">
        <f t="shared" si="207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08"/>
        <v>9.6000000000000002E-2</v>
      </c>
      <c r="DB164" s="146"/>
      <c r="DC164" s="76">
        <f t="shared" ca="1" si="171"/>
        <v>0.25042027654062138</v>
      </c>
      <c r="DD164">
        <f t="shared" si="209"/>
        <v>7</v>
      </c>
      <c r="DE164" s="129">
        <f t="shared" si="241"/>
        <v>39910</v>
      </c>
      <c r="DF164" s="161">
        <f t="shared" si="210"/>
        <v>0</v>
      </c>
      <c r="DG164" s="161">
        <f t="shared" si="211"/>
        <v>0</v>
      </c>
      <c r="DH164" s="161">
        <f t="shared" si="212"/>
        <v>0</v>
      </c>
      <c r="DI164" s="161">
        <f t="shared" si="213"/>
        <v>0</v>
      </c>
      <c r="DJ164" s="161">
        <f t="shared" si="214"/>
        <v>0</v>
      </c>
      <c r="DK164" s="161">
        <f t="shared" si="215"/>
        <v>0</v>
      </c>
      <c r="DL164" s="161">
        <f t="shared" si="216"/>
        <v>0</v>
      </c>
      <c r="DM164" s="161">
        <f t="shared" si="217"/>
        <v>0</v>
      </c>
      <c r="DN164" s="161">
        <f t="shared" si="218"/>
        <v>0</v>
      </c>
      <c r="DO164" s="161">
        <f t="shared" si="219"/>
        <v>0</v>
      </c>
      <c r="DP164" s="161">
        <f t="shared" si="220"/>
        <v>0</v>
      </c>
      <c r="DQ164" s="161">
        <f t="shared" si="221"/>
        <v>0</v>
      </c>
      <c r="DR164" s="161">
        <f t="shared" si="222"/>
        <v>0</v>
      </c>
      <c r="DS164" s="161">
        <f t="shared" si="223"/>
        <v>0</v>
      </c>
      <c r="DT164" s="161">
        <f t="shared" si="224"/>
        <v>0</v>
      </c>
      <c r="DU164" s="161">
        <f t="shared" si="225"/>
        <v>0</v>
      </c>
      <c r="DV164" s="161">
        <f t="shared" si="226"/>
        <v>0</v>
      </c>
      <c r="DW164" s="161">
        <f t="shared" si="227"/>
        <v>0</v>
      </c>
      <c r="DX164" s="161">
        <f t="shared" si="228"/>
        <v>0</v>
      </c>
      <c r="DY164" s="161">
        <f t="shared" si="229"/>
        <v>0</v>
      </c>
      <c r="DZ164" s="161">
        <f t="shared" si="230"/>
        <v>0</v>
      </c>
      <c r="EA164" s="161">
        <f t="shared" si="231"/>
        <v>0</v>
      </c>
      <c r="EB164" s="161">
        <f t="shared" si="232"/>
        <v>0</v>
      </c>
      <c r="EC164" s="161">
        <f t="shared" si="233"/>
        <v>0</v>
      </c>
      <c r="ED164" s="161">
        <f t="shared" si="234"/>
        <v>0</v>
      </c>
      <c r="EE164" s="161">
        <f t="shared" si="235"/>
        <v>0</v>
      </c>
      <c r="EF164" s="161">
        <f t="shared" si="236"/>
        <v>0</v>
      </c>
      <c r="EG164" s="161">
        <f t="shared" si="237"/>
        <v>0</v>
      </c>
      <c r="EH164" s="161">
        <f t="shared" si="238"/>
        <v>0</v>
      </c>
      <c r="EI164" s="161">
        <f t="shared" si="239"/>
        <v>0</v>
      </c>
      <c r="EJ164" s="161">
        <f t="shared" si="240"/>
        <v>0</v>
      </c>
      <c r="EK164" s="147">
        <f t="shared" si="172"/>
        <v>0</v>
      </c>
      <c r="EL164" s="149"/>
      <c r="EN164" s="146"/>
      <c r="EO164" s="146"/>
      <c r="EP164" s="139">
        <f t="shared" si="173"/>
        <v>0</v>
      </c>
      <c r="EQ164" s="139">
        <f t="shared" si="174"/>
        <v>0</v>
      </c>
      <c r="ER164" s="139">
        <f t="shared" si="175"/>
        <v>0</v>
      </c>
      <c r="ES164" s="139">
        <f t="shared" si="176"/>
        <v>0</v>
      </c>
      <c r="ET164" s="139">
        <f t="shared" si="177"/>
        <v>0</v>
      </c>
      <c r="EU164" s="139">
        <f t="shared" si="178"/>
        <v>0</v>
      </c>
      <c r="EV164" s="139">
        <f t="shared" si="179"/>
        <v>0</v>
      </c>
      <c r="EW164" s="139">
        <f t="shared" si="180"/>
        <v>0</v>
      </c>
      <c r="EX164" s="139">
        <f t="shared" si="181"/>
        <v>0</v>
      </c>
      <c r="EY164" s="139">
        <f t="shared" si="182"/>
        <v>0</v>
      </c>
      <c r="EZ164" s="139">
        <f t="shared" si="183"/>
        <v>0</v>
      </c>
      <c r="FA164" s="139">
        <f t="shared" si="184"/>
        <v>0</v>
      </c>
      <c r="FB164" s="139">
        <f t="shared" si="185"/>
        <v>0</v>
      </c>
      <c r="FC164" s="139">
        <f t="shared" si="186"/>
        <v>0</v>
      </c>
      <c r="FD164" s="139">
        <f t="shared" si="187"/>
        <v>0</v>
      </c>
      <c r="FE164" s="139">
        <f t="shared" si="188"/>
        <v>0</v>
      </c>
      <c r="FF164" s="139">
        <f t="shared" si="189"/>
        <v>0</v>
      </c>
      <c r="FG164" s="139">
        <f t="shared" si="190"/>
        <v>0</v>
      </c>
      <c r="FH164" s="139">
        <f t="shared" si="191"/>
        <v>0</v>
      </c>
      <c r="FI164" s="139">
        <f t="shared" si="192"/>
        <v>0</v>
      </c>
      <c r="FJ164" s="139">
        <f t="shared" si="193"/>
        <v>0</v>
      </c>
      <c r="FK164" s="139">
        <f t="shared" si="194"/>
        <v>0</v>
      </c>
      <c r="FL164" s="139">
        <f t="shared" si="195"/>
        <v>0</v>
      </c>
      <c r="FM164" s="139">
        <f t="shared" si="196"/>
        <v>0</v>
      </c>
      <c r="FN164" s="139">
        <f t="shared" si="197"/>
        <v>0</v>
      </c>
      <c r="FO164" s="139">
        <f t="shared" si="198"/>
        <v>0</v>
      </c>
      <c r="FP164" s="139">
        <f t="shared" si="199"/>
        <v>0</v>
      </c>
      <c r="FQ164" s="139">
        <f t="shared" si="200"/>
        <v>0</v>
      </c>
      <c r="FR164" s="139">
        <f t="shared" si="201"/>
        <v>0</v>
      </c>
      <c r="FS164" s="139">
        <f t="shared" si="202"/>
        <v>0</v>
      </c>
      <c r="FT164" s="139">
        <f t="shared" si="203"/>
        <v>0</v>
      </c>
      <c r="FU164" s="148">
        <f t="shared" si="204"/>
        <v>0</v>
      </c>
      <c r="FV164" s="149"/>
      <c r="FY164" s="212">
        <v>159</v>
      </c>
      <c r="FZ164">
        <v>39.494267636809546</v>
      </c>
      <c r="GA164">
        <v>70.309908905484562</v>
      </c>
      <c r="GB164">
        <v>37.825044889674452</v>
      </c>
      <c r="GC164">
        <v>21.771883930946597</v>
      </c>
      <c r="GD164">
        <v>17.222754533900531</v>
      </c>
      <c r="GE164">
        <v>23.32542848593998</v>
      </c>
      <c r="GF164">
        <v>48.201034735185317</v>
      </c>
      <c r="GG164">
        <v>35.411997451633155</v>
      </c>
      <c r="GH164">
        <v>19.291014849760149</v>
      </c>
      <c r="GI164">
        <v>37.105205318084373</v>
      </c>
      <c r="GJ164"/>
      <c r="GK164"/>
      <c r="GL164"/>
      <c r="GM164"/>
    </row>
    <row r="165" spans="1:195" s="7" customFormat="1">
      <c r="A165" s="1"/>
      <c r="B165" s="76">
        <f ca="1">IF(C165="", "", RAND())</f>
        <v>0.89746417047381399</v>
      </c>
      <c r="C165">
        <v>7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632.23010728132272</v>
      </c>
      <c r="AO165">
        <v>47.5188095593765</v>
      </c>
      <c r="AP165">
        <v>63.511821648576188</v>
      </c>
      <c r="AQ165">
        <v>335.1286227052442</v>
      </c>
      <c r="AR165">
        <v>46.953907288734207</v>
      </c>
      <c r="AS165">
        <v>381.7256850924532</v>
      </c>
      <c r="AT165">
        <v>23.687466163030724</v>
      </c>
      <c r="AU165">
        <v>-21.431954968139571</v>
      </c>
      <c r="AV165"/>
      <c r="AW165"/>
      <c r="AX165" s="146"/>
      <c r="AY165" s="76">
        <f t="shared" ca="1" si="170"/>
        <v>0.38208596912579829</v>
      </c>
      <c r="AZ165">
        <v>8</v>
      </c>
      <c r="BA165" s="129">
        <f t="shared" si="242"/>
        <v>39910</v>
      </c>
      <c r="BB165">
        <v>0</v>
      </c>
      <c r="BC165">
        <v>1</v>
      </c>
      <c r="BD165">
        <v>1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5"/>
        <v>0.78644856323508239</v>
      </c>
      <c r="CL165" s="179">
        <f t="shared" si="206"/>
        <v>8</v>
      </c>
      <c r="CM165" s="180">
        <f t="shared" si="207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08"/>
        <v>9.6000000000000002E-2</v>
      </c>
      <c r="DB165" s="146"/>
      <c r="DC165" s="76">
        <f t="shared" ca="1" si="171"/>
        <v>0.48531741823085905</v>
      </c>
      <c r="DD165">
        <f t="shared" si="209"/>
        <v>8</v>
      </c>
      <c r="DE165" s="129">
        <f t="shared" si="241"/>
        <v>39910</v>
      </c>
      <c r="DF165" s="161">
        <f t="shared" si="210"/>
        <v>0</v>
      </c>
      <c r="DG165" s="161">
        <f t="shared" si="211"/>
        <v>10.416666666666666</v>
      </c>
      <c r="DH165" s="161">
        <f t="shared" si="212"/>
        <v>10.416666666666666</v>
      </c>
      <c r="DI165" s="161">
        <f t="shared" si="213"/>
        <v>0</v>
      </c>
      <c r="DJ165" s="161">
        <f t="shared" si="214"/>
        <v>0</v>
      </c>
      <c r="DK165" s="161">
        <f t="shared" si="215"/>
        <v>0</v>
      </c>
      <c r="DL165" s="161">
        <f t="shared" si="216"/>
        <v>0</v>
      </c>
      <c r="DM165" s="161">
        <f t="shared" si="217"/>
        <v>0</v>
      </c>
      <c r="DN165" s="161">
        <f t="shared" si="218"/>
        <v>0</v>
      </c>
      <c r="DO165" s="161">
        <f t="shared" si="219"/>
        <v>0</v>
      </c>
      <c r="DP165" s="161">
        <f t="shared" si="220"/>
        <v>0</v>
      </c>
      <c r="DQ165" s="161">
        <f t="shared" si="221"/>
        <v>0</v>
      </c>
      <c r="DR165" s="161">
        <f t="shared" si="222"/>
        <v>0</v>
      </c>
      <c r="DS165" s="161">
        <f t="shared" si="223"/>
        <v>0</v>
      </c>
      <c r="DT165" s="161">
        <f t="shared" si="224"/>
        <v>0</v>
      </c>
      <c r="DU165" s="161">
        <f t="shared" si="225"/>
        <v>0</v>
      </c>
      <c r="DV165" s="161">
        <f t="shared" si="226"/>
        <v>0</v>
      </c>
      <c r="DW165" s="161">
        <f t="shared" si="227"/>
        <v>0</v>
      </c>
      <c r="DX165" s="161">
        <f t="shared" si="228"/>
        <v>0</v>
      </c>
      <c r="DY165" s="161">
        <f t="shared" si="229"/>
        <v>0</v>
      </c>
      <c r="DZ165" s="161">
        <f t="shared" si="230"/>
        <v>0</v>
      </c>
      <c r="EA165" s="161">
        <f t="shared" si="231"/>
        <v>0</v>
      </c>
      <c r="EB165" s="161">
        <f t="shared" si="232"/>
        <v>0</v>
      </c>
      <c r="EC165" s="161">
        <f t="shared" si="233"/>
        <v>0</v>
      </c>
      <c r="ED165" s="161">
        <f t="shared" si="234"/>
        <v>0</v>
      </c>
      <c r="EE165" s="161">
        <f t="shared" si="235"/>
        <v>0</v>
      </c>
      <c r="EF165" s="161">
        <f t="shared" si="236"/>
        <v>0</v>
      </c>
      <c r="EG165" s="161">
        <f t="shared" si="237"/>
        <v>0</v>
      </c>
      <c r="EH165" s="161">
        <f t="shared" si="238"/>
        <v>0</v>
      </c>
      <c r="EI165" s="161">
        <f t="shared" si="239"/>
        <v>0</v>
      </c>
      <c r="EJ165" s="161">
        <f t="shared" si="240"/>
        <v>0</v>
      </c>
      <c r="EK165" s="147">
        <f t="shared" si="172"/>
        <v>20.833333333333332</v>
      </c>
      <c r="EL165" s="149"/>
      <c r="EN165" s="146"/>
      <c r="EO165" s="146"/>
      <c r="EP165" s="139">
        <f t="shared" si="173"/>
        <v>0</v>
      </c>
      <c r="EQ165" s="139">
        <f t="shared" si="174"/>
        <v>7.5287499999999993E-2</v>
      </c>
      <c r="ER165" s="139">
        <f t="shared" si="175"/>
        <v>0.48617720717421975</v>
      </c>
      <c r="ES165" s="139">
        <f t="shared" si="176"/>
        <v>0</v>
      </c>
      <c r="ET165" s="139">
        <f t="shared" si="177"/>
        <v>0</v>
      </c>
      <c r="EU165" s="139">
        <f t="shared" si="178"/>
        <v>0</v>
      </c>
      <c r="EV165" s="139">
        <f t="shared" si="179"/>
        <v>0</v>
      </c>
      <c r="EW165" s="139">
        <f t="shared" si="180"/>
        <v>0</v>
      </c>
      <c r="EX165" s="139">
        <f t="shared" si="181"/>
        <v>0</v>
      </c>
      <c r="EY165" s="139">
        <f t="shared" si="182"/>
        <v>0</v>
      </c>
      <c r="EZ165" s="139">
        <f t="shared" si="183"/>
        <v>0</v>
      </c>
      <c r="FA165" s="139">
        <f t="shared" si="184"/>
        <v>0</v>
      </c>
      <c r="FB165" s="139">
        <f t="shared" si="185"/>
        <v>0</v>
      </c>
      <c r="FC165" s="139">
        <f t="shared" si="186"/>
        <v>0</v>
      </c>
      <c r="FD165" s="139">
        <f t="shared" si="187"/>
        <v>0</v>
      </c>
      <c r="FE165" s="139">
        <f t="shared" si="188"/>
        <v>0</v>
      </c>
      <c r="FF165" s="139">
        <f t="shared" si="189"/>
        <v>0</v>
      </c>
      <c r="FG165" s="139">
        <f t="shared" si="190"/>
        <v>0</v>
      </c>
      <c r="FH165" s="139">
        <f t="shared" si="191"/>
        <v>0</v>
      </c>
      <c r="FI165" s="139">
        <f t="shared" si="192"/>
        <v>0</v>
      </c>
      <c r="FJ165" s="139">
        <f t="shared" si="193"/>
        <v>0</v>
      </c>
      <c r="FK165" s="139">
        <f t="shared" si="194"/>
        <v>0</v>
      </c>
      <c r="FL165" s="139">
        <f t="shared" si="195"/>
        <v>0</v>
      </c>
      <c r="FM165" s="139">
        <f t="shared" si="196"/>
        <v>0</v>
      </c>
      <c r="FN165" s="139">
        <f t="shared" si="197"/>
        <v>0</v>
      </c>
      <c r="FO165" s="139">
        <f t="shared" si="198"/>
        <v>0</v>
      </c>
      <c r="FP165" s="139">
        <f t="shared" si="199"/>
        <v>0</v>
      </c>
      <c r="FQ165" s="139">
        <f t="shared" si="200"/>
        <v>0</v>
      </c>
      <c r="FR165" s="139">
        <f t="shared" si="201"/>
        <v>0</v>
      </c>
      <c r="FS165" s="139">
        <f t="shared" si="202"/>
        <v>0</v>
      </c>
      <c r="FT165" s="139">
        <f t="shared" si="203"/>
        <v>0</v>
      </c>
      <c r="FU165" s="148">
        <f t="shared" si="204"/>
        <v>0.5614647071742197</v>
      </c>
      <c r="FV165" s="149"/>
      <c r="FY165" s="212">
        <v>160</v>
      </c>
      <c r="FZ165">
        <v>33.64818208372715</v>
      </c>
      <c r="GA165">
        <v>54.57637811802438</v>
      </c>
      <c r="GB165">
        <v>34.992310890488646</v>
      </c>
      <c r="GC165">
        <v>21.413379595373446</v>
      </c>
      <c r="GD165">
        <v>13.725823029638656</v>
      </c>
      <c r="GE165">
        <v>12.856557070099043</v>
      </c>
      <c r="GF165">
        <v>17.118253675706786</v>
      </c>
      <c r="GG165">
        <v>18.701128722405148</v>
      </c>
      <c r="GH165">
        <v>23.195949836383999</v>
      </c>
      <c r="GI165">
        <v>28.384384248390482</v>
      </c>
      <c r="GJ165"/>
      <c r="GK165"/>
      <c r="GL165"/>
      <c r="GM165"/>
    </row>
    <row r="166" spans="1:195" s="7" customFormat="1">
      <c r="A166" s="1"/>
      <c r="B166" s="76">
        <f ca="1">IF(C166="", "", RAND())</f>
        <v>0.97767653848204095</v>
      </c>
      <c r="C166">
        <v>9</v>
      </c>
      <c r="D166">
        <v>39910</v>
      </c>
      <c r="E166">
        <v>0</v>
      </c>
      <c r="F166">
        <v>1114.0046296296293</v>
      </c>
      <c r="G166">
        <v>810.18518518518511</v>
      </c>
      <c r="H166">
        <v>506.3657407407407</v>
      </c>
      <c r="I166">
        <v>0</v>
      </c>
      <c r="J166">
        <v>0</v>
      </c>
      <c r="K166">
        <v>68.75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634.34890799886364</v>
      </c>
      <c r="AO166">
        <v>48.822673552237163</v>
      </c>
      <c r="AP166">
        <v>95.573588427553773</v>
      </c>
      <c r="AQ166">
        <v>353.61392286847939</v>
      </c>
      <c r="AR166">
        <v>47.74225905051312</v>
      </c>
      <c r="AS166">
        <v>373.84037869391267</v>
      </c>
      <c r="AT166">
        <v>23.242218949510029</v>
      </c>
      <c r="AU166">
        <v>5.4953227647117657</v>
      </c>
      <c r="AV166"/>
      <c r="AW166"/>
      <c r="AX166" s="146"/>
      <c r="AY166" s="76">
        <f t="shared" ca="1" si="170"/>
        <v>0.93683392828422285</v>
      </c>
      <c r="AZ166">
        <v>9</v>
      </c>
      <c r="BA166" s="129">
        <f t="shared" si="242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2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5"/>
        <v>0.73844242925916692</v>
      </c>
      <c r="CL166" s="179">
        <f t="shared" si="206"/>
        <v>9</v>
      </c>
      <c r="CM166" s="180">
        <f t="shared" si="207"/>
        <v>39910</v>
      </c>
      <c r="CN166">
        <v>0</v>
      </c>
      <c r="CO166">
        <v>11</v>
      </c>
      <c r="CP166">
        <v>8</v>
      </c>
      <c r="CQ166">
        <v>5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8"/>
        <v>9.6000000000000002E-2</v>
      </c>
      <c r="DB166" s="146"/>
      <c r="DC166" s="76">
        <f t="shared" ca="1" si="171"/>
        <v>0.62793117478240124</v>
      </c>
      <c r="DD166">
        <f t="shared" si="209"/>
        <v>9</v>
      </c>
      <c r="DE166" s="129">
        <f t="shared" si="241"/>
        <v>39910</v>
      </c>
      <c r="DF166" s="161">
        <f t="shared" si="210"/>
        <v>0</v>
      </c>
      <c r="DG166" s="161">
        <f t="shared" si="211"/>
        <v>1114.0046296296293</v>
      </c>
      <c r="DH166" s="161">
        <f t="shared" si="212"/>
        <v>810.18518518518511</v>
      </c>
      <c r="DI166" s="161">
        <f t="shared" si="213"/>
        <v>506.3657407407407</v>
      </c>
      <c r="DJ166" s="161">
        <f t="shared" si="214"/>
        <v>0</v>
      </c>
      <c r="DK166" s="161">
        <f t="shared" si="215"/>
        <v>0</v>
      </c>
      <c r="DL166" s="161">
        <f t="shared" si="216"/>
        <v>68.75</v>
      </c>
      <c r="DM166" s="161">
        <f t="shared" si="217"/>
        <v>0</v>
      </c>
      <c r="DN166" s="161">
        <f t="shared" si="218"/>
        <v>0</v>
      </c>
      <c r="DO166" s="161">
        <f t="shared" si="219"/>
        <v>0</v>
      </c>
      <c r="DP166" s="161">
        <f t="shared" si="220"/>
        <v>0</v>
      </c>
      <c r="DQ166" s="161">
        <f t="shared" si="221"/>
        <v>0</v>
      </c>
      <c r="DR166" s="161">
        <f t="shared" si="222"/>
        <v>0</v>
      </c>
      <c r="DS166" s="161">
        <f t="shared" si="223"/>
        <v>0</v>
      </c>
      <c r="DT166" s="161">
        <f t="shared" si="224"/>
        <v>0</v>
      </c>
      <c r="DU166" s="161">
        <f t="shared" si="225"/>
        <v>0</v>
      </c>
      <c r="DV166" s="161">
        <f t="shared" si="226"/>
        <v>0</v>
      </c>
      <c r="DW166" s="161">
        <f t="shared" si="227"/>
        <v>0</v>
      </c>
      <c r="DX166" s="161">
        <f t="shared" si="228"/>
        <v>0</v>
      </c>
      <c r="DY166" s="161">
        <f t="shared" si="229"/>
        <v>0</v>
      </c>
      <c r="DZ166" s="161">
        <f t="shared" si="230"/>
        <v>0</v>
      </c>
      <c r="EA166" s="161">
        <f t="shared" si="231"/>
        <v>0</v>
      </c>
      <c r="EB166" s="161">
        <f t="shared" si="232"/>
        <v>0</v>
      </c>
      <c r="EC166" s="161">
        <f t="shared" si="233"/>
        <v>0</v>
      </c>
      <c r="ED166" s="161">
        <f t="shared" si="234"/>
        <v>0</v>
      </c>
      <c r="EE166" s="161">
        <f t="shared" si="235"/>
        <v>0</v>
      </c>
      <c r="EF166" s="161">
        <f t="shared" si="236"/>
        <v>0</v>
      </c>
      <c r="EG166" s="161">
        <f t="shared" si="237"/>
        <v>0</v>
      </c>
      <c r="EH166" s="161">
        <f t="shared" si="238"/>
        <v>0</v>
      </c>
      <c r="EI166" s="161">
        <f t="shared" si="239"/>
        <v>0</v>
      </c>
      <c r="EJ166" s="161">
        <f t="shared" si="240"/>
        <v>0</v>
      </c>
      <c r="EK166" s="147">
        <f t="shared" si="172"/>
        <v>2499.3055555555552</v>
      </c>
      <c r="EL166" s="149"/>
      <c r="EN166" s="146"/>
      <c r="EO166" s="146"/>
      <c r="EP166" s="139">
        <f t="shared" si="173"/>
        <v>0</v>
      </c>
      <c r="EQ166" s="139">
        <f t="shared" si="174"/>
        <v>8.051579861111108</v>
      </c>
      <c r="ER166" s="139">
        <f t="shared" si="175"/>
        <v>37.813782780217089</v>
      </c>
      <c r="ES166" s="139">
        <f t="shared" si="176"/>
        <v>70.370675602853879</v>
      </c>
      <c r="ET166" s="139">
        <f t="shared" si="177"/>
        <v>0</v>
      </c>
      <c r="EU166" s="139">
        <f t="shared" si="178"/>
        <v>0</v>
      </c>
      <c r="EV166" s="139">
        <f t="shared" si="179"/>
        <v>61.698105172824562</v>
      </c>
      <c r="EW166" s="139">
        <f t="shared" si="180"/>
        <v>0</v>
      </c>
      <c r="EX166" s="139">
        <f t="shared" si="181"/>
        <v>0</v>
      </c>
      <c r="EY166" s="139">
        <f t="shared" si="182"/>
        <v>0</v>
      </c>
      <c r="EZ166" s="139">
        <f t="shared" si="183"/>
        <v>0</v>
      </c>
      <c r="FA166" s="139">
        <f t="shared" si="184"/>
        <v>0</v>
      </c>
      <c r="FB166" s="139">
        <f t="shared" si="185"/>
        <v>0</v>
      </c>
      <c r="FC166" s="139">
        <f t="shared" si="186"/>
        <v>0</v>
      </c>
      <c r="FD166" s="139">
        <f t="shared" si="187"/>
        <v>0</v>
      </c>
      <c r="FE166" s="139">
        <f t="shared" si="188"/>
        <v>0</v>
      </c>
      <c r="FF166" s="139">
        <f t="shared" si="189"/>
        <v>0</v>
      </c>
      <c r="FG166" s="139">
        <f t="shared" si="190"/>
        <v>0</v>
      </c>
      <c r="FH166" s="139">
        <f t="shared" si="191"/>
        <v>0</v>
      </c>
      <c r="FI166" s="139">
        <f t="shared" si="192"/>
        <v>0</v>
      </c>
      <c r="FJ166" s="139">
        <f t="shared" si="193"/>
        <v>0</v>
      </c>
      <c r="FK166" s="139">
        <f t="shared" si="194"/>
        <v>0</v>
      </c>
      <c r="FL166" s="139">
        <f t="shared" si="195"/>
        <v>0</v>
      </c>
      <c r="FM166" s="139">
        <f t="shared" si="196"/>
        <v>0</v>
      </c>
      <c r="FN166" s="139">
        <f t="shared" si="197"/>
        <v>0</v>
      </c>
      <c r="FO166" s="139">
        <f t="shared" si="198"/>
        <v>0</v>
      </c>
      <c r="FP166" s="139">
        <f t="shared" si="199"/>
        <v>0</v>
      </c>
      <c r="FQ166" s="139">
        <f t="shared" si="200"/>
        <v>0</v>
      </c>
      <c r="FR166" s="139">
        <f t="shared" si="201"/>
        <v>0</v>
      </c>
      <c r="FS166" s="139">
        <f t="shared" si="202"/>
        <v>0</v>
      </c>
      <c r="FT166" s="139">
        <f t="shared" si="203"/>
        <v>0</v>
      </c>
      <c r="FU166" s="148">
        <f t="shared" si="204"/>
        <v>177.93414341700665</v>
      </c>
      <c r="FV166" s="149"/>
      <c r="FY166" s="212">
        <v>161</v>
      </c>
      <c r="FZ166">
        <v>41.797586906879047</v>
      </c>
      <c r="GA166">
        <v>111.97097824646518</v>
      </c>
      <c r="GB166">
        <v>68.424347855819477</v>
      </c>
      <c r="GC166">
        <v>24.472624003931976</v>
      </c>
      <c r="GD166">
        <v>11.600501053529879</v>
      </c>
      <c r="GE166">
        <v>11.953126235483348</v>
      </c>
      <c r="GF166">
        <v>14.113744693523058</v>
      </c>
      <c r="GG166">
        <v>23.21029093059115</v>
      </c>
      <c r="GH166">
        <v>33.065449917667188</v>
      </c>
      <c r="GI166">
        <v>37.716035547661178</v>
      </c>
      <c r="GJ166"/>
      <c r="GK166"/>
      <c r="GL166"/>
      <c r="GM166"/>
    </row>
    <row r="167" spans="1:195" s="7" customFormat="1">
      <c r="A167" s="1"/>
      <c r="B167" s="76">
        <f ca="1">IF(C167="", "", RAND())</f>
        <v>0.43597020938944286</v>
      </c>
      <c r="C167">
        <v>3</v>
      </c>
      <c r="D167">
        <v>39910</v>
      </c>
      <c r="E167">
        <v>694.44444444444446</v>
      </c>
      <c r="F167">
        <v>809.65909090909099</v>
      </c>
      <c r="G167">
        <v>1302.0833333333335</v>
      </c>
      <c r="H167">
        <v>260.41666666666669</v>
      </c>
      <c r="I167">
        <v>85.22727272727272</v>
      </c>
      <c r="J167">
        <v>28.409090909090907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776.62932842879195</v>
      </c>
      <c r="AO167">
        <v>54.612584118799383</v>
      </c>
      <c r="AP167">
        <v>95.681805258646364</v>
      </c>
      <c r="AQ167">
        <v>374.5497399920888</v>
      </c>
      <c r="AR167">
        <v>52.900548942415469</v>
      </c>
      <c r="AS167">
        <v>408.18799267407638</v>
      </c>
      <c r="AT167">
        <v>26.374947793154462</v>
      </c>
      <c r="AU167">
        <v>-6.0408118174441725</v>
      </c>
      <c r="AV167"/>
      <c r="AW167"/>
      <c r="AX167" s="146"/>
      <c r="AY167" s="76">
        <f t="shared" ca="1" si="170"/>
        <v>0.75667401618464525</v>
      </c>
      <c r="AZ167">
        <v>10</v>
      </c>
      <c r="BA167" s="129">
        <f t="shared" si="242"/>
        <v>39910</v>
      </c>
      <c r="BB167">
        <v>0</v>
      </c>
      <c r="BC167">
        <v>0</v>
      </c>
      <c r="BD167">
        <v>0</v>
      </c>
      <c r="BE167">
        <v>0</v>
      </c>
      <c r="BF167">
        <v>7</v>
      </c>
      <c r="BG167">
        <v>1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5"/>
        <v>0.65961141714385185</v>
      </c>
      <c r="CL167" s="179">
        <f t="shared" si="206"/>
        <v>10</v>
      </c>
      <c r="CM167" s="180">
        <f t="shared" si="207"/>
        <v>39910</v>
      </c>
      <c r="CN167">
        <v>2</v>
      </c>
      <c r="CO167">
        <v>3</v>
      </c>
      <c r="CP167">
        <v>9</v>
      </c>
      <c r="CQ167">
        <v>2</v>
      </c>
      <c r="CR167">
        <v>1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08"/>
        <v>9.6000000000000002E-2</v>
      </c>
      <c r="DB167" s="146"/>
      <c r="DC167" s="76">
        <f t="shared" ca="1" si="171"/>
        <v>0.888026351749577</v>
      </c>
      <c r="DD167">
        <f t="shared" si="209"/>
        <v>10</v>
      </c>
      <c r="DE167" s="129">
        <f t="shared" si="241"/>
        <v>39910</v>
      </c>
      <c r="DF167" s="161">
        <f t="shared" si="210"/>
        <v>208.33333333333334</v>
      </c>
      <c r="DG167" s="161">
        <f t="shared" si="211"/>
        <v>312.5</v>
      </c>
      <c r="DH167" s="161">
        <f t="shared" si="212"/>
        <v>937.5</v>
      </c>
      <c r="DI167" s="161">
        <f t="shared" si="213"/>
        <v>208.33333333333334</v>
      </c>
      <c r="DJ167" s="161">
        <f t="shared" si="214"/>
        <v>177.08333333333334</v>
      </c>
      <c r="DK167" s="161">
        <f t="shared" si="215"/>
        <v>10.416666666666666</v>
      </c>
      <c r="DL167" s="161">
        <f t="shared" si="216"/>
        <v>0</v>
      </c>
      <c r="DM167" s="161">
        <f t="shared" si="217"/>
        <v>0</v>
      </c>
      <c r="DN167" s="161">
        <f t="shared" si="218"/>
        <v>0</v>
      </c>
      <c r="DO167" s="161">
        <f t="shared" si="219"/>
        <v>0</v>
      </c>
      <c r="DP167" s="161">
        <f t="shared" si="220"/>
        <v>0</v>
      </c>
      <c r="DQ167" s="161">
        <f t="shared" si="221"/>
        <v>0</v>
      </c>
      <c r="DR167" s="161">
        <f t="shared" si="222"/>
        <v>0</v>
      </c>
      <c r="DS167" s="161">
        <f t="shared" si="223"/>
        <v>0</v>
      </c>
      <c r="DT167" s="161">
        <f t="shared" si="224"/>
        <v>0</v>
      </c>
      <c r="DU167" s="161">
        <f t="shared" si="225"/>
        <v>0</v>
      </c>
      <c r="DV167" s="161">
        <f t="shared" si="226"/>
        <v>0</v>
      </c>
      <c r="DW167" s="161">
        <f t="shared" si="227"/>
        <v>0</v>
      </c>
      <c r="DX167" s="161">
        <f t="shared" si="228"/>
        <v>0</v>
      </c>
      <c r="DY167" s="161">
        <f t="shared" si="229"/>
        <v>0</v>
      </c>
      <c r="DZ167" s="161">
        <f t="shared" si="230"/>
        <v>0</v>
      </c>
      <c r="EA167" s="161">
        <f t="shared" si="231"/>
        <v>0</v>
      </c>
      <c r="EB167" s="161">
        <f t="shared" si="232"/>
        <v>0</v>
      </c>
      <c r="EC167" s="161">
        <f t="shared" si="233"/>
        <v>0</v>
      </c>
      <c r="ED167" s="161">
        <f t="shared" si="234"/>
        <v>0</v>
      </c>
      <c r="EE167" s="161">
        <f t="shared" si="235"/>
        <v>0</v>
      </c>
      <c r="EF167" s="161">
        <f t="shared" si="236"/>
        <v>0</v>
      </c>
      <c r="EG167" s="161">
        <f t="shared" si="237"/>
        <v>0</v>
      </c>
      <c r="EH167" s="161">
        <f t="shared" si="238"/>
        <v>0</v>
      </c>
      <c r="EI167" s="161">
        <f t="shared" si="239"/>
        <v>0</v>
      </c>
      <c r="EJ167" s="161">
        <f t="shared" si="240"/>
        <v>0</v>
      </c>
      <c r="EK167" s="147">
        <f t="shared" si="172"/>
        <v>1854.1666666666667</v>
      </c>
      <c r="EL167" s="149"/>
      <c r="EN167" s="146"/>
      <c r="EO167" s="146"/>
      <c r="EP167" s="139">
        <f t="shared" si="173"/>
        <v>0.23317455333601511</v>
      </c>
      <c r="EQ167" s="139">
        <f t="shared" si="174"/>
        <v>2.2586249999999999</v>
      </c>
      <c r="ER167" s="139">
        <f t="shared" si="175"/>
        <v>43.75594864567978</v>
      </c>
      <c r="ES167" s="139">
        <f t="shared" si="176"/>
        <v>28.952506533745598</v>
      </c>
      <c r="ET167" s="139">
        <f t="shared" si="177"/>
        <v>53.372215908182788</v>
      </c>
      <c r="EU167" s="139">
        <f t="shared" si="178"/>
        <v>5.7233612375507494</v>
      </c>
      <c r="EV167" s="139">
        <f t="shared" si="179"/>
        <v>0</v>
      </c>
      <c r="EW167" s="139">
        <f t="shared" si="180"/>
        <v>0</v>
      </c>
      <c r="EX167" s="139">
        <f t="shared" si="181"/>
        <v>0</v>
      </c>
      <c r="EY167" s="139">
        <f t="shared" si="182"/>
        <v>0</v>
      </c>
      <c r="EZ167" s="139">
        <f t="shared" si="183"/>
        <v>0</v>
      </c>
      <c r="FA167" s="139">
        <f t="shared" si="184"/>
        <v>0</v>
      </c>
      <c r="FB167" s="139">
        <f t="shared" si="185"/>
        <v>0</v>
      </c>
      <c r="FC167" s="139">
        <f t="shared" si="186"/>
        <v>0</v>
      </c>
      <c r="FD167" s="139">
        <f t="shared" si="187"/>
        <v>0</v>
      </c>
      <c r="FE167" s="139">
        <f t="shared" si="188"/>
        <v>0</v>
      </c>
      <c r="FF167" s="139">
        <f t="shared" si="189"/>
        <v>0</v>
      </c>
      <c r="FG167" s="139">
        <f t="shared" si="190"/>
        <v>0</v>
      </c>
      <c r="FH167" s="139">
        <f t="shared" si="191"/>
        <v>0</v>
      </c>
      <c r="FI167" s="139">
        <f t="shared" si="192"/>
        <v>0</v>
      </c>
      <c r="FJ167" s="139">
        <f t="shared" si="193"/>
        <v>0</v>
      </c>
      <c r="FK167" s="139">
        <f t="shared" si="194"/>
        <v>0</v>
      </c>
      <c r="FL167" s="139">
        <f t="shared" si="195"/>
        <v>0</v>
      </c>
      <c r="FM167" s="139">
        <f t="shared" si="196"/>
        <v>0</v>
      </c>
      <c r="FN167" s="139">
        <f t="shared" si="197"/>
        <v>0</v>
      </c>
      <c r="FO167" s="139">
        <f t="shared" si="198"/>
        <v>0</v>
      </c>
      <c r="FP167" s="139">
        <f t="shared" si="199"/>
        <v>0</v>
      </c>
      <c r="FQ167" s="139">
        <f t="shared" si="200"/>
        <v>0</v>
      </c>
      <c r="FR167" s="139">
        <f t="shared" si="201"/>
        <v>0</v>
      </c>
      <c r="FS167" s="139">
        <f t="shared" si="202"/>
        <v>0</v>
      </c>
      <c r="FT167" s="139">
        <f t="shared" si="203"/>
        <v>0</v>
      </c>
      <c r="FU167" s="148">
        <f t="shared" si="204"/>
        <v>134.29583187849494</v>
      </c>
      <c r="FV167" s="149"/>
      <c r="FY167" s="212">
        <v>162</v>
      </c>
      <c r="FZ167">
        <v>37.071851659927162</v>
      </c>
      <c r="GA167">
        <v>103.79189416741704</v>
      </c>
      <c r="GB167">
        <v>67.545161642145786</v>
      </c>
      <c r="GC167">
        <v>22.830249491805919</v>
      </c>
      <c r="GD167">
        <v>11.626180205817962</v>
      </c>
      <c r="GE167">
        <v>14.816374606413468</v>
      </c>
      <c r="GF167">
        <v>26.21973788618989</v>
      </c>
      <c r="GG167">
        <v>22.458638755672482</v>
      </c>
      <c r="GH167">
        <v>20.740659036965987</v>
      </c>
      <c r="GI167">
        <v>37.185479364548151</v>
      </c>
      <c r="GJ167"/>
      <c r="GK167"/>
      <c r="GL167"/>
      <c r="GM167"/>
    </row>
    <row r="168" spans="1:195" s="7" customFormat="1">
      <c r="A168" s="128"/>
      <c r="B168" s="76">
        <f ca="1">IF(C168="", "", RAND())</f>
        <v>0.34083706441081141</v>
      </c>
      <c r="C168">
        <v>4</v>
      </c>
      <c r="D168">
        <v>39949</v>
      </c>
      <c r="E168">
        <v>0</v>
      </c>
      <c r="F168">
        <v>0</v>
      </c>
      <c r="G168">
        <v>0</v>
      </c>
      <c r="H168">
        <v>56.078767123287669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693.73608237305484</v>
      </c>
      <c r="AO168">
        <v>51.585064183699444</v>
      </c>
      <c r="AP168">
        <v>92.631448853740253</v>
      </c>
      <c r="AQ168">
        <v>349.23989101303795</v>
      </c>
      <c r="AR168">
        <v>51.222272873088897</v>
      </c>
      <c r="AS168">
        <v>393.59455197393055</v>
      </c>
      <c r="AT168">
        <v>26.506307059475859</v>
      </c>
      <c r="AU168">
        <v>-12.747897405134879</v>
      </c>
      <c r="AV168"/>
      <c r="AW168"/>
      <c r="AX168" s="128"/>
      <c r="AY168" s="76">
        <f t="shared" ca="1" si="170"/>
        <v>0.8699172440915921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5"/>
        <v>0.32104612049317249</v>
      </c>
      <c r="CL168" s="179">
        <f t="shared" si="206"/>
        <v>1</v>
      </c>
      <c r="CM168" s="180">
        <f t="shared" si="207"/>
        <v>39949</v>
      </c>
      <c r="CN168">
        <v>0</v>
      </c>
      <c r="CO168">
        <v>0</v>
      </c>
      <c r="CP168">
        <v>3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8"/>
        <v>9.6000000000000002E-2</v>
      </c>
      <c r="DB168" s="128"/>
      <c r="DC168" s="76">
        <f t="shared" ca="1" si="171"/>
        <v>4.7215595645272446E-2</v>
      </c>
      <c r="DD168">
        <f t="shared" si="209"/>
        <v>1</v>
      </c>
      <c r="DE168" s="129">
        <f t="shared" ref="DE168:DE177" si="243">IF((DD168)="", "", $C$12)</f>
        <v>39949</v>
      </c>
      <c r="DF168" s="161">
        <f t="shared" si="210"/>
        <v>0</v>
      </c>
      <c r="DG168" s="161">
        <f t="shared" si="211"/>
        <v>0</v>
      </c>
      <c r="DH168" s="161">
        <f t="shared" si="212"/>
        <v>122.36445783132528</v>
      </c>
      <c r="DI168" s="161">
        <f t="shared" si="213"/>
        <v>0</v>
      </c>
      <c r="DJ168" s="161">
        <f t="shared" si="214"/>
        <v>0</v>
      </c>
      <c r="DK168" s="161">
        <f t="shared" si="215"/>
        <v>0</v>
      </c>
      <c r="DL168" s="161">
        <f t="shared" si="216"/>
        <v>0</v>
      </c>
      <c r="DM168" s="161">
        <f t="shared" si="217"/>
        <v>0</v>
      </c>
      <c r="DN168" s="161">
        <f t="shared" si="218"/>
        <v>0</v>
      </c>
      <c r="DO168" s="161">
        <f t="shared" si="219"/>
        <v>0</v>
      </c>
      <c r="DP168" s="161">
        <f t="shared" si="220"/>
        <v>0</v>
      </c>
      <c r="DQ168" s="161">
        <f t="shared" si="221"/>
        <v>0</v>
      </c>
      <c r="DR168" s="161">
        <f t="shared" si="222"/>
        <v>0</v>
      </c>
      <c r="DS168" s="161">
        <f t="shared" si="223"/>
        <v>0</v>
      </c>
      <c r="DT168" s="161">
        <f t="shared" si="224"/>
        <v>0</v>
      </c>
      <c r="DU168" s="161">
        <f t="shared" si="225"/>
        <v>0</v>
      </c>
      <c r="DV168" s="161">
        <f t="shared" si="226"/>
        <v>0</v>
      </c>
      <c r="DW168" s="161">
        <f t="shared" si="227"/>
        <v>0</v>
      </c>
      <c r="DX168" s="161">
        <f t="shared" si="228"/>
        <v>0</v>
      </c>
      <c r="DY168" s="161">
        <f t="shared" si="229"/>
        <v>0</v>
      </c>
      <c r="DZ168" s="161">
        <f t="shared" si="230"/>
        <v>0</v>
      </c>
      <c r="EA168" s="161">
        <f t="shared" si="231"/>
        <v>0</v>
      </c>
      <c r="EB168" s="161">
        <f t="shared" si="232"/>
        <v>0</v>
      </c>
      <c r="EC168" s="161">
        <f t="shared" si="233"/>
        <v>0</v>
      </c>
      <c r="ED168" s="161">
        <f t="shared" si="234"/>
        <v>0</v>
      </c>
      <c r="EE168" s="161">
        <f t="shared" si="235"/>
        <v>0</v>
      </c>
      <c r="EF168" s="161">
        <f t="shared" si="236"/>
        <v>0</v>
      </c>
      <c r="EG168" s="161">
        <f t="shared" si="237"/>
        <v>0</v>
      </c>
      <c r="EH168" s="161">
        <f t="shared" si="238"/>
        <v>0</v>
      </c>
      <c r="EI168" s="161">
        <f t="shared" si="239"/>
        <v>0</v>
      </c>
      <c r="EJ168" s="161">
        <f t="shared" si="240"/>
        <v>0</v>
      </c>
      <c r="EK168" s="147">
        <f t="shared" si="172"/>
        <v>122.36445783132528</v>
      </c>
      <c r="EL168" s="149"/>
      <c r="EN168" s="146"/>
      <c r="EO168" s="146"/>
      <c r="EP168" s="139">
        <f t="shared" si="173"/>
        <v>0</v>
      </c>
      <c r="EQ168" s="139">
        <f t="shared" si="174"/>
        <v>0</v>
      </c>
      <c r="ER168" s="139">
        <f t="shared" si="175"/>
        <v>5.7111177951188461</v>
      </c>
      <c r="ES168" s="139">
        <f t="shared" si="176"/>
        <v>0</v>
      </c>
      <c r="ET168" s="139">
        <f t="shared" si="177"/>
        <v>0</v>
      </c>
      <c r="EU168" s="139">
        <f t="shared" si="178"/>
        <v>0</v>
      </c>
      <c r="EV168" s="139">
        <f t="shared" si="179"/>
        <v>0</v>
      </c>
      <c r="EW168" s="139">
        <f t="shared" si="180"/>
        <v>0</v>
      </c>
      <c r="EX168" s="139">
        <f t="shared" si="181"/>
        <v>0</v>
      </c>
      <c r="EY168" s="139">
        <f t="shared" si="182"/>
        <v>0</v>
      </c>
      <c r="EZ168" s="139">
        <f t="shared" si="183"/>
        <v>0</v>
      </c>
      <c r="FA168" s="139">
        <f t="shared" si="184"/>
        <v>0</v>
      </c>
      <c r="FB168" s="139">
        <f t="shared" si="185"/>
        <v>0</v>
      </c>
      <c r="FC168" s="139">
        <f t="shared" si="186"/>
        <v>0</v>
      </c>
      <c r="FD168" s="139">
        <f t="shared" si="187"/>
        <v>0</v>
      </c>
      <c r="FE168" s="139">
        <f t="shared" si="188"/>
        <v>0</v>
      </c>
      <c r="FF168" s="139">
        <f t="shared" si="189"/>
        <v>0</v>
      </c>
      <c r="FG168" s="139">
        <f t="shared" si="190"/>
        <v>0</v>
      </c>
      <c r="FH168" s="139">
        <f t="shared" si="191"/>
        <v>0</v>
      </c>
      <c r="FI168" s="139">
        <f t="shared" si="192"/>
        <v>0</v>
      </c>
      <c r="FJ168" s="139">
        <f t="shared" si="193"/>
        <v>0</v>
      </c>
      <c r="FK168" s="139">
        <f t="shared" si="194"/>
        <v>0</v>
      </c>
      <c r="FL168" s="139">
        <f t="shared" si="195"/>
        <v>0</v>
      </c>
      <c r="FM168" s="139">
        <f t="shared" si="196"/>
        <v>0</v>
      </c>
      <c r="FN168" s="139">
        <f t="shared" si="197"/>
        <v>0</v>
      </c>
      <c r="FO168" s="139">
        <f t="shared" si="198"/>
        <v>0</v>
      </c>
      <c r="FP168" s="139">
        <f t="shared" si="199"/>
        <v>0</v>
      </c>
      <c r="FQ168" s="139">
        <f t="shared" si="200"/>
        <v>0</v>
      </c>
      <c r="FR168" s="139">
        <f t="shared" si="201"/>
        <v>0</v>
      </c>
      <c r="FS168" s="139">
        <f t="shared" si="202"/>
        <v>0</v>
      </c>
      <c r="FT168" s="139">
        <f t="shared" si="203"/>
        <v>0</v>
      </c>
      <c r="FU168" s="148">
        <f t="shared" si="204"/>
        <v>5.7111177951188461</v>
      </c>
      <c r="FV168" s="149"/>
      <c r="FY168" s="212">
        <v>163</v>
      </c>
      <c r="FZ168">
        <v>39.113783748653077</v>
      </c>
      <c r="GA168">
        <v>90.217816147411696</v>
      </c>
      <c r="GB168">
        <v>56.346580290231799</v>
      </c>
      <c r="GC168">
        <v>17.819789660805196</v>
      </c>
      <c r="GD168">
        <v>11.177264523777698</v>
      </c>
      <c r="GE168">
        <v>13.381380309569842</v>
      </c>
      <c r="GF168">
        <v>20.842109795209247</v>
      </c>
      <c r="GG168">
        <v>26.350491919968963</v>
      </c>
      <c r="GH168">
        <v>29.887515560789179</v>
      </c>
      <c r="GI168">
        <v>34.898860332834396</v>
      </c>
      <c r="GJ168"/>
      <c r="GK168"/>
      <c r="GL168"/>
      <c r="GM168"/>
    </row>
    <row r="169" spans="1:195" s="7" customFormat="1">
      <c r="A169" s="1"/>
      <c r="B169" s="76">
        <f ca="1">IF(C169="", "", RAND())</f>
        <v>0.78553604990351578</v>
      </c>
      <c r="C169">
        <v>7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72.916666666666671</v>
      </c>
      <c r="J169">
        <v>0</v>
      </c>
      <c r="K169">
        <v>0</v>
      </c>
      <c r="L169">
        <v>0</v>
      </c>
      <c r="M169">
        <v>10.416666666666666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711.39946623959599</v>
      </c>
      <c r="AO169">
        <v>52.317103663110188</v>
      </c>
      <c r="AP169">
        <v>51.215977677859101</v>
      </c>
      <c r="AQ169">
        <v>378.95054207140106</v>
      </c>
      <c r="AR169">
        <v>51.49670669378682</v>
      </c>
      <c r="AS169">
        <v>394.78721678019645</v>
      </c>
      <c r="AT169">
        <v>25.271870550702502</v>
      </c>
      <c r="AU169">
        <v>-91.444449586943193</v>
      </c>
      <c r="AV169"/>
      <c r="AW169"/>
      <c r="AX169" s="146"/>
      <c r="AY169" s="76">
        <f t="shared" ca="1" si="170"/>
        <v>5.9385320750412696E-2</v>
      </c>
      <c r="AZ169">
        <v>2</v>
      </c>
      <c r="BA169" s="129">
        <f t="shared" ref="BA169:BA177" si="244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2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5"/>
        <v>0.99135249911104495</v>
      </c>
      <c r="CL169" s="179">
        <f t="shared" si="206"/>
        <v>2</v>
      </c>
      <c r="CM169" s="180">
        <f t="shared" si="207"/>
        <v>39949</v>
      </c>
      <c r="CN169">
        <v>0</v>
      </c>
      <c r="CO169">
        <v>1</v>
      </c>
      <c r="CP169">
        <v>2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08"/>
        <v>9.6000000000000002E-2</v>
      </c>
      <c r="DB169" s="146"/>
      <c r="DC169" s="76">
        <f t="shared" ca="1" si="171"/>
        <v>0.93784351104481978</v>
      </c>
      <c r="DD169">
        <f t="shared" si="209"/>
        <v>2</v>
      </c>
      <c r="DE169" s="129">
        <f t="shared" si="243"/>
        <v>39949</v>
      </c>
      <c r="DF169" s="161">
        <f t="shared" si="210"/>
        <v>0</v>
      </c>
      <c r="DG169" s="161">
        <f t="shared" si="211"/>
        <v>10.416666666666666</v>
      </c>
      <c r="DH169" s="161">
        <f t="shared" si="212"/>
        <v>20.833333333333332</v>
      </c>
      <c r="DI169" s="161">
        <f t="shared" si="213"/>
        <v>0</v>
      </c>
      <c r="DJ169" s="161">
        <f t="shared" si="214"/>
        <v>0</v>
      </c>
      <c r="DK169" s="161">
        <f t="shared" si="215"/>
        <v>0</v>
      </c>
      <c r="DL169" s="161">
        <f t="shared" si="216"/>
        <v>20.833333333333332</v>
      </c>
      <c r="DM169" s="161">
        <f t="shared" si="217"/>
        <v>0</v>
      </c>
      <c r="DN169" s="161">
        <f t="shared" si="218"/>
        <v>0</v>
      </c>
      <c r="DO169" s="161">
        <f t="shared" si="219"/>
        <v>0</v>
      </c>
      <c r="DP169" s="161">
        <f t="shared" si="220"/>
        <v>0</v>
      </c>
      <c r="DQ169" s="161">
        <f t="shared" si="221"/>
        <v>0</v>
      </c>
      <c r="DR169" s="161">
        <f t="shared" si="222"/>
        <v>0</v>
      </c>
      <c r="DS169" s="161">
        <f t="shared" si="223"/>
        <v>0</v>
      </c>
      <c r="DT169" s="161">
        <f t="shared" si="224"/>
        <v>0</v>
      </c>
      <c r="DU169" s="161">
        <f t="shared" si="225"/>
        <v>0</v>
      </c>
      <c r="DV169" s="161">
        <f t="shared" si="226"/>
        <v>0</v>
      </c>
      <c r="DW169" s="161">
        <f t="shared" si="227"/>
        <v>0</v>
      </c>
      <c r="DX169" s="161">
        <f t="shared" si="228"/>
        <v>0</v>
      </c>
      <c r="DY169" s="161">
        <f t="shared" si="229"/>
        <v>0</v>
      </c>
      <c r="DZ169" s="161">
        <f t="shared" si="230"/>
        <v>0</v>
      </c>
      <c r="EA169" s="161">
        <f t="shared" si="231"/>
        <v>0</v>
      </c>
      <c r="EB169" s="161">
        <f t="shared" si="232"/>
        <v>0</v>
      </c>
      <c r="EC169" s="161">
        <f t="shared" si="233"/>
        <v>0</v>
      </c>
      <c r="ED169" s="161">
        <f t="shared" si="234"/>
        <v>0</v>
      </c>
      <c r="EE169" s="161">
        <f t="shared" si="235"/>
        <v>0</v>
      </c>
      <c r="EF169" s="161">
        <f t="shared" si="236"/>
        <v>0</v>
      </c>
      <c r="EG169" s="161">
        <f t="shared" si="237"/>
        <v>0</v>
      </c>
      <c r="EH169" s="161">
        <f t="shared" si="238"/>
        <v>0</v>
      </c>
      <c r="EI169" s="161">
        <f t="shared" si="239"/>
        <v>0</v>
      </c>
      <c r="EJ169" s="161">
        <f t="shared" si="240"/>
        <v>0</v>
      </c>
      <c r="EK169" s="147">
        <f t="shared" si="172"/>
        <v>52.083333333333329</v>
      </c>
      <c r="EL169" s="149"/>
      <c r="EN169" s="146"/>
      <c r="EO169" s="146"/>
      <c r="EP169" s="139">
        <f t="shared" si="173"/>
        <v>0</v>
      </c>
      <c r="EQ169" s="139">
        <f t="shared" si="174"/>
        <v>7.5287499999999993E-2</v>
      </c>
      <c r="ER169" s="139">
        <f t="shared" si="175"/>
        <v>0.9723544143484395</v>
      </c>
      <c r="ES169" s="139">
        <f t="shared" si="176"/>
        <v>0</v>
      </c>
      <c r="ET169" s="139">
        <f t="shared" si="177"/>
        <v>0</v>
      </c>
      <c r="EU169" s="139">
        <f t="shared" si="178"/>
        <v>0</v>
      </c>
      <c r="EV169" s="139">
        <f t="shared" si="179"/>
        <v>18.696395506916534</v>
      </c>
      <c r="EW169" s="139">
        <f t="shared" si="180"/>
        <v>0</v>
      </c>
      <c r="EX169" s="139">
        <f t="shared" si="181"/>
        <v>0</v>
      </c>
      <c r="EY169" s="139">
        <f t="shared" si="182"/>
        <v>0</v>
      </c>
      <c r="EZ169" s="139">
        <f t="shared" si="183"/>
        <v>0</v>
      </c>
      <c r="FA169" s="139">
        <f t="shared" si="184"/>
        <v>0</v>
      </c>
      <c r="FB169" s="139">
        <f t="shared" si="185"/>
        <v>0</v>
      </c>
      <c r="FC169" s="139">
        <f t="shared" si="186"/>
        <v>0</v>
      </c>
      <c r="FD169" s="139">
        <f t="shared" si="187"/>
        <v>0</v>
      </c>
      <c r="FE169" s="139">
        <f t="shared" si="188"/>
        <v>0</v>
      </c>
      <c r="FF169" s="139">
        <f t="shared" si="189"/>
        <v>0</v>
      </c>
      <c r="FG169" s="139">
        <f t="shared" si="190"/>
        <v>0</v>
      </c>
      <c r="FH169" s="139">
        <f t="shared" si="191"/>
        <v>0</v>
      </c>
      <c r="FI169" s="139">
        <f t="shared" si="192"/>
        <v>0</v>
      </c>
      <c r="FJ169" s="139">
        <f t="shared" si="193"/>
        <v>0</v>
      </c>
      <c r="FK169" s="139">
        <f t="shared" si="194"/>
        <v>0</v>
      </c>
      <c r="FL169" s="139">
        <f t="shared" si="195"/>
        <v>0</v>
      </c>
      <c r="FM169" s="139">
        <f t="shared" si="196"/>
        <v>0</v>
      </c>
      <c r="FN169" s="139">
        <f t="shared" si="197"/>
        <v>0</v>
      </c>
      <c r="FO169" s="139">
        <f t="shared" si="198"/>
        <v>0</v>
      </c>
      <c r="FP169" s="139">
        <f t="shared" si="199"/>
        <v>0</v>
      </c>
      <c r="FQ169" s="139">
        <f t="shared" si="200"/>
        <v>0</v>
      </c>
      <c r="FR169" s="139">
        <f t="shared" si="201"/>
        <v>0</v>
      </c>
      <c r="FS169" s="139">
        <f t="shared" si="202"/>
        <v>0</v>
      </c>
      <c r="FT169" s="139">
        <f t="shared" si="203"/>
        <v>0</v>
      </c>
      <c r="FU169" s="148">
        <f t="shared" si="204"/>
        <v>19.744037421264974</v>
      </c>
      <c r="FV169" s="149"/>
      <c r="FY169" s="212">
        <v>164</v>
      </c>
      <c r="FZ169">
        <v>39.228638800296395</v>
      </c>
      <c r="GA169">
        <v>131.58141014671625</v>
      </c>
      <c r="GB169">
        <v>80.525805997468382</v>
      </c>
      <c r="GC169">
        <v>25.007342486477683</v>
      </c>
      <c r="GD169">
        <v>16.171084147937847</v>
      </c>
      <c r="GE169">
        <v>19.340740901746997</v>
      </c>
      <c r="GF169">
        <v>20.696810239042488</v>
      </c>
      <c r="GG169">
        <v>20.534028511243136</v>
      </c>
      <c r="GH169">
        <v>15.412360032383015</v>
      </c>
      <c r="GI169">
        <v>41.379048421750689</v>
      </c>
      <c r="GJ169"/>
      <c r="GK169"/>
      <c r="GL169"/>
      <c r="GM169"/>
    </row>
    <row r="170" spans="1:195" s="7" customFormat="1">
      <c r="A170" s="1"/>
      <c r="B170" s="76">
        <f ca="1">IF(C170="", "", RAND())</f>
        <v>0.11821710681642594</v>
      </c>
      <c r="C170">
        <v>9</v>
      </c>
      <c r="D170">
        <v>39949</v>
      </c>
      <c r="E170">
        <v>0</v>
      </c>
      <c r="F170">
        <v>0</v>
      </c>
      <c r="G170">
        <v>20.833333333333332</v>
      </c>
      <c r="H170">
        <v>20.833333333333332</v>
      </c>
      <c r="I170">
        <v>10.416666666666666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749.91483970762351</v>
      </c>
      <c r="AO170">
        <v>49.031760268188606</v>
      </c>
      <c r="AP170">
        <v>62.146263787809438</v>
      </c>
      <c r="AQ170">
        <v>356.78556597971135</v>
      </c>
      <c r="AR170">
        <v>48.033672580955177</v>
      </c>
      <c r="AS170">
        <v>380.39750104121555</v>
      </c>
      <c r="AT170">
        <v>23.827748699565333</v>
      </c>
      <c r="AU170">
        <v>-58.715531767735506</v>
      </c>
      <c r="AV170"/>
      <c r="AW170"/>
      <c r="AX170" s="146"/>
      <c r="AY170" s="76">
        <f t="shared" ca="1" si="170"/>
        <v>0.66449415522523125</v>
      </c>
      <c r="AZ170">
        <v>3</v>
      </c>
      <c r="BA170" s="129">
        <f t="shared" si="244"/>
        <v>39949</v>
      </c>
      <c r="BB170">
        <v>0</v>
      </c>
      <c r="BC170">
        <v>0</v>
      </c>
      <c r="BD170">
        <v>2</v>
      </c>
      <c r="BE170">
        <v>4</v>
      </c>
      <c r="BF170">
        <v>2</v>
      </c>
      <c r="BG170">
        <v>2</v>
      </c>
      <c r="BH170">
        <v>3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5"/>
        <v>0.54701822761949792</v>
      </c>
      <c r="CL170" s="179">
        <f t="shared" si="206"/>
        <v>3</v>
      </c>
      <c r="CM170" s="180">
        <f t="shared" si="207"/>
        <v>39949</v>
      </c>
      <c r="CN170">
        <v>0</v>
      </c>
      <c r="CO170">
        <v>4</v>
      </c>
      <c r="CP170">
        <v>10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8"/>
        <v>9.6000000000000002E-2</v>
      </c>
      <c r="DB170" s="146"/>
      <c r="DC170" s="76">
        <f t="shared" ca="1" si="171"/>
        <v>0.73208891672556353</v>
      </c>
      <c r="DD170">
        <f t="shared" si="209"/>
        <v>3</v>
      </c>
      <c r="DE170" s="129">
        <f t="shared" si="243"/>
        <v>39949</v>
      </c>
      <c r="DF170" s="161">
        <f t="shared" si="210"/>
        <v>0</v>
      </c>
      <c r="DG170" s="161">
        <f t="shared" si="211"/>
        <v>324.07407407407408</v>
      </c>
      <c r="DH170" s="161">
        <f t="shared" si="212"/>
        <v>831.01851851851848</v>
      </c>
      <c r="DI170" s="161">
        <f t="shared" si="213"/>
        <v>41.666666666666664</v>
      </c>
      <c r="DJ170" s="161">
        <f t="shared" si="214"/>
        <v>20.833333333333332</v>
      </c>
      <c r="DK170" s="161">
        <f t="shared" si="215"/>
        <v>20.833333333333332</v>
      </c>
      <c r="DL170" s="161">
        <f t="shared" si="216"/>
        <v>31.25</v>
      </c>
      <c r="DM170" s="161">
        <f t="shared" si="217"/>
        <v>0</v>
      </c>
      <c r="DN170" s="161">
        <f t="shared" si="218"/>
        <v>0</v>
      </c>
      <c r="DO170" s="161">
        <f t="shared" si="219"/>
        <v>0</v>
      </c>
      <c r="DP170" s="161">
        <f t="shared" si="220"/>
        <v>0</v>
      </c>
      <c r="DQ170" s="161">
        <f t="shared" si="221"/>
        <v>0</v>
      </c>
      <c r="DR170" s="161">
        <f t="shared" si="222"/>
        <v>0</v>
      </c>
      <c r="DS170" s="161">
        <f t="shared" si="223"/>
        <v>0</v>
      </c>
      <c r="DT170" s="161">
        <f t="shared" si="224"/>
        <v>0</v>
      </c>
      <c r="DU170" s="161">
        <f t="shared" si="225"/>
        <v>0</v>
      </c>
      <c r="DV170" s="161">
        <f t="shared" si="226"/>
        <v>0</v>
      </c>
      <c r="DW170" s="161">
        <f t="shared" si="227"/>
        <v>0</v>
      </c>
      <c r="DX170" s="161">
        <f t="shared" si="228"/>
        <v>0</v>
      </c>
      <c r="DY170" s="161">
        <f t="shared" si="229"/>
        <v>0</v>
      </c>
      <c r="DZ170" s="161">
        <f t="shared" si="230"/>
        <v>0</v>
      </c>
      <c r="EA170" s="161">
        <f t="shared" si="231"/>
        <v>0</v>
      </c>
      <c r="EB170" s="161">
        <f t="shared" si="232"/>
        <v>0</v>
      </c>
      <c r="EC170" s="161">
        <f t="shared" si="233"/>
        <v>0</v>
      </c>
      <c r="ED170" s="161">
        <f t="shared" si="234"/>
        <v>0</v>
      </c>
      <c r="EE170" s="161">
        <f t="shared" si="235"/>
        <v>0</v>
      </c>
      <c r="EF170" s="161">
        <f t="shared" si="236"/>
        <v>0</v>
      </c>
      <c r="EG170" s="161">
        <f t="shared" si="237"/>
        <v>0</v>
      </c>
      <c r="EH170" s="161">
        <f t="shared" si="238"/>
        <v>0</v>
      </c>
      <c r="EI170" s="161">
        <f t="shared" si="239"/>
        <v>0</v>
      </c>
      <c r="EJ170" s="161">
        <f t="shared" si="240"/>
        <v>0</v>
      </c>
      <c r="EK170" s="147">
        <f t="shared" si="172"/>
        <v>1269.6759259259259</v>
      </c>
      <c r="EL170" s="149"/>
      <c r="EN170" s="146"/>
      <c r="EO170" s="146"/>
      <c r="EP170" s="139">
        <f t="shared" si="173"/>
        <v>0</v>
      </c>
      <c r="EQ170" s="139">
        <f t="shared" si="174"/>
        <v>2.3422777777777779</v>
      </c>
      <c r="ER170" s="139">
        <f t="shared" si="175"/>
        <v>38.786137194565534</v>
      </c>
      <c r="ES170" s="139">
        <f t="shared" si="176"/>
        <v>5.7905013067491184</v>
      </c>
      <c r="ET170" s="139">
        <f t="shared" si="177"/>
        <v>6.2790842244920917</v>
      </c>
      <c r="EU170" s="139">
        <f t="shared" si="178"/>
        <v>11.446722475101499</v>
      </c>
      <c r="EV170" s="139">
        <f t="shared" si="179"/>
        <v>28.0445932603748</v>
      </c>
      <c r="EW170" s="139">
        <f t="shared" si="180"/>
        <v>0</v>
      </c>
      <c r="EX170" s="139">
        <f t="shared" si="181"/>
        <v>0</v>
      </c>
      <c r="EY170" s="139">
        <f t="shared" si="182"/>
        <v>0</v>
      </c>
      <c r="EZ170" s="139">
        <f t="shared" si="183"/>
        <v>0</v>
      </c>
      <c r="FA170" s="139">
        <f t="shared" si="184"/>
        <v>0</v>
      </c>
      <c r="FB170" s="139">
        <f t="shared" si="185"/>
        <v>0</v>
      </c>
      <c r="FC170" s="139">
        <f t="shared" si="186"/>
        <v>0</v>
      </c>
      <c r="FD170" s="139">
        <f t="shared" si="187"/>
        <v>0</v>
      </c>
      <c r="FE170" s="139">
        <f t="shared" si="188"/>
        <v>0</v>
      </c>
      <c r="FF170" s="139">
        <f t="shared" si="189"/>
        <v>0</v>
      </c>
      <c r="FG170" s="139">
        <f t="shared" si="190"/>
        <v>0</v>
      </c>
      <c r="FH170" s="139">
        <f t="shared" si="191"/>
        <v>0</v>
      </c>
      <c r="FI170" s="139">
        <f t="shared" si="192"/>
        <v>0</v>
      </c>
      <c r="FJ170" s="139">
        <f t="shared" si="193"/>
        <v>0</v>
      </c>
      <c r="FK170" s="139">
        <f t="shared" si="194"/>
        <v>0</v>
      </c>
      <c r="FL170" s="139">
        <f t="shared" si="195"/>
        <v>0</v>
      </c>
      <c r="FM170" s="139">
        <f t="shared" si="196"/>
        <v>0</v>
      </c>
      <c r="FN170" s="139">
        <f t="shared" si="197"/>
        <v>0</v>
      </c>
      <c r="FO170" s="139">
        <f t="shared" si="198"/>
        <v>0</v>
      </c>
      <c r="FP170" s="139">
        <f t="shared" si="199"/>
        <v>0</v>
      </c>
      <c r="FQ170" s="139">
        <f t="shared" si="200"/>
        <v>0</v>
      </c>
      <c r="FR170" s="139">
        <f t="shared" si="201"/>
        <v>0</v>
      </c>
      <c r="FS170" s="139">
        <f t="shared" si="202"/>
        <v>0</v>
      </c>
      <c r="FT170" s="139">
        <f t="shared" si="203"/>
        <v>0</v>
      </c>
      <c r="FU170" s="148">
        <f t="shared" si="204"/>
        <v>92.689316239060815</v>
      </c>
      <c r="FV170" s="149"/>
      <c r="FY170" s="212">
        <v>165</v>
      </c>
      <c r="FZ170">
        <v>43.289868147933923</v>
      </c>
      <c r="GA170">
        <v>81.323902341090587</v>
      </c>
      <c r="GB170">
        <v>49.160164558098629</v>
      </c>
      <c r="GC170">
        <v>20.107642194488367</v>
      </c>
      <c r="GD170">
        <v>12.023662651376871</v>
      </c>
      <c r="GE170">
        <v>14.188448916094618</v>
      </c>
      <c r="GF170">
        <v>20.387912229994427</v>
      </c>
      <c r="GG170">
        <v>21.645407539136642</v>
      </c>
      <c r="GH170">
        <v>19.961231673877617</v>
      </c>
      <c r="GI170">
        <v>32.372323776621428</v>
      </c>
      <c r="GJ170"/>
      <c r="GK170"/>
      <c r="GL170"/>
      <c r="GM170"/>
    </row>
    <row r="171" spans="1:195" s="7" customFormat="1">
      <c r="A171" s="1"/>
      <c r="B171" s="76">
        <f ca="1">IF(C171="", "", RAND())</f>
        <v>0.12014307944879032</v>
      </c>
      <c r="C171">
        <v>2</v>
      </c>
      <c r="D171">
        <v>39949</v>
      </c>
      <c r="E171">
        <v>0</v>
      </c>
      <c r="F171">
        <v>10.416666666666666</v>
      </c>
      <c r="G171">
        <v>20.833333333333332</v>
      </c>
      <c r="H171">
        <v>0</v>
      </c>
      <c r="I171">
        <v>0</v>
      </c>
      <c r="J171">
        <v>0</v>
      </c>
      <c r="K171">
        <v>20.833333333333332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772.57315334190002</v>
      </c>
      <c r="AO171">
        <v>57.203595360577388</v>
      </c>
      <c r="AP171">
        <v>42.387759823774957</v>
      </c>
      <c r="AQ171">
        <v>407.52916192629812</v>
      </c>
      <c r="AR171">
        <v>56.411072614440222</v>
      </c>
      <c r="AS171">
        <v>451.62677810596665</v>
      </c>
      <c r="AT171">
        <v>27.854089987617474</v>
      </c>
      <c r="AU171">
        <v>-67.044988155133865</v>
      </c>
      <c r="AV171"/>
      <c r="AW171"/>
      <c r="AX171" s="146"/>
      <c r="AY171" s="76">
        <f t="shared" ca="1" si="170"/>
        <v>0.15918287343986215</v>
      </c>
      <c r="AZ171">
        <v>4</v>
      </c>
      <c r="BA171" s="129">
        <f t="shared" si="244"/>
        <v>39949</v>
      </c>
      <c r="BB171">
        <v>0</v>
      </c>
      <c r="BC171">
        <v>0</v>
      </c>
      <c r="BD171">
        <v>0</v>
      </c>
      <c r="BE171">
        <v>1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5"/>
        <v>0.35798891289785484</v>
      </c>
      <c r="CL171" s="179">
        <f t="shared" si="206"/>
        <v>4</v>
      </c>
      <c r="CM171" s="180">
        <f t="shared" si="207"/>
        <v>39949</v>
      </c>
      <c r="CN171">
        <v>0</v>
      </c>
      <c r="CO171">
        <v>0</v>
      </c>
      <c r="CP171">
        <v>0</v>
      </c>
      <c r="CQ171">
        <v>1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8"/>
        <v>9.6000000000000002E-2</v>
      </c>
      <c r="DB171" s="146"/>
      <c r="DC171" s="76">
        <f t="shared" ca="1" si="171"/>
        <v>0.57906120228668101</v>
      </c>
      <c r="DD171">
        <f t="shared" si="209"/>
        <v>4</v>
      </c>
      <c r="DE171" s="129">
        <f t="shared" si="243"/>
        <v>39949</v>
      </c>
      <c r="DF171" s="161">
        <f t="shared" si="210"/>
        <v>0</v>
      </c>
      <c r="DG171" s="161">
        <f t="shared" si="211"/>
        <v>0</v>
      </c>
      <c r="DH171" s="161">
        <f t="shared" si="212"/>
        <v>0</v>
      </c>
      <c r="DI171" s="161">
        <f t="shared" si="213"/>
        <v>56.078767123287669</v>
      </c>
      <c r="DJ171" s="161">
        <f t="shared" si="214"/>
        <v>0</v>
      </c>
      <c r="DK171" s="161">
        <f t="shared" si="215"/>
        <v>0</v>
      </c>
      <c r="DL171" s="161">
        <f t="shared" si="216"/>
        <v>0</v>
      </c>
      <c r="DM171" s="161">
        <f t="shared" si="217"/>
        <v>0</v>
      </c>
      <c r="DN171" s="161">
        <f t="shared" si="218"/>
        <v>0</v>
      </c>
      <c r="DO171" s="161">
        <f t="shared" si="219"/>
        <v>0</v>
      </c>
      <c r="DP171" s="161">
        <f t="shared" si="220"/>
        <v>0</v>
      </c>
      <c r="DQ171" s="161">
        <f t="shared" si="221"/>
        <v>0</v>
      </c>
      <c r="DR171" s="161">
        <f t="shared" si="222"/>
        <v>0</v>
      </c>
      <c r="DS171" s="161">
        <f t="shared" si="223"/>
        <v>0</v>
      </c>
      <c r="DT171" s="161">
        <f t="shared" si="224"/>
        <v>0</v>
      </c>
      <c r="DU171" s="161">
        <f t="shared" si="225"/>
        <v>0</v>
      </c>
      <c r="DV171" s="161">
        <f t="shared" si="226"/>
        <v>0</v>
      </c>
      <c r="DW171" s="161">
        <f t="shared" si="227"/>
        <v>0</v>
      </c>
      <c r="DX171" s="161">
        <f t="shared" si="228"/>
        <v>0</v>
      </c>
      <c r="DY171" s="161">
        <f t="shared" si="229"/>
        <v>0</v>
      </c>
      <c r="DZ171" s="161">
        <f t="shared" si="230"/>
        <v>0</v>
      </c>
      <c r="EA171" s="161">
        <f t="shared" si="231"/>
        <v>0</v>
      </c>
      <c r="EB171" s="161">
        <f t="shared" si="232"/>
        <v>0</v>
      </c>
      <c r="EC171" s="161">
        <f t="shared" si="233"/>
        <v>0</v>
      </c>
      <c r="ED171" s="161">
        <f t="shared" si="234"/>
        <v>0</v>
      </c>
      <c r="EE171" s="161">
        <f t="shared" si="235"/>
        <v>0</v>
      </c>
      <c r="EF171" s="161">
        <f t="shared" si="236"/>
        <v>0</v>
      </c>
      <c r="EG171" s="161">
        <f t="shared" si="237"/>
        <v>0</v>
      </c>
      <c r="EH171" s="161">
        <f t="shared" si="238"/>
        <v>0</v>
      </c>
      <c r="EI171" s="161">
        <f t="shared" si="239"/>
        <v>0</v>
      </c>
      <c r="EJ171" s="161">
        <f t="shared" si="240"/>
        <v>0</v>
      </c>
      <c r="EK171" s="147">
        <f t="shared" si="172"/>
        <v>56.078767123287669</v>
      </c>
      <c r="EL171" s="149"/>
      <c r="EN171" s="146"/>
      <c r="EO171" s="146"/>
      <c r="EP171" s="139">
        <f t="shared" si="173"/>
        <v>0</v>
      </c>
      <c r="EQ171" s="139">
        <f t="shared" si="174"/>
        <v>0</v>
      </c>
      <c r="ER171" s="139">
        <f t="shared" si="175"/>
        <v>0</v>
      </c>
      <c r="ES171" s="139">
        <f t="shared" si="176"/>
        <v>7.7933801833986429</v>
      </c>
      <c r="ET171" s="139">
        <f t="shared" si="177"/>
        <v>0</v>
      </c>
      <c r="EU171" s="139">
        <f t="shared" si="178"/>
        <v>0</v>
      </c>
      <c r="EV171" s="139">
        <f t="shared" si="179"/>
        <v>0</v>
      </c>
      <c r="EW171" s="139">
        <f t="shared" si="180"/>
        <v>0</v>
      </c>
      <c r="EX171" s="139">
        <f t="shared" si="181"/>
        <v>0</v>
      </c>
      <c r="EY171" s="139">
        <f t="shared" si="182"/>
        <v>0</v>
      </c>
      <c r="EZ171" s="139">
        <f t="shared" si="183"/>
        <v>0</v>
      </c>
      <c r="FA171" s="139">
        <f t="shared" si="184"/>
        <v>0</v>
      </c>
      <c r="FB171" s="139">
        <f t="shared" si="185"/>
        <v>0</v>
      </c>
      <c r="FC171" s="139">
        <f t="shared" si="186"/>
        <v>0</v>
      </c>
      <c r="FD171" s="139">
        <f t="shared" si="187"/>
        <v>0</v>
      </c>
      <c r="FE171" s="139">
        <f t="shared" si="188"/>
        <v>0</v>
      </c>
      <c r="FF171" s="139">
        <f t="shared" si="189"/>
        <v>0</v>
      </c>
      <c r="FG171" s="139">
        <f t="shared" si="190"/>
        <v>0</v>
      </c>
      <c r="FH171" s="139">
        <f t="shared" si="191"/>
        <v>0</v>
      </c>
      <c r="FI171" s="139">
        <f t="shared" si="192"/>
        <v>0</v>
      </c>
      <c r="FJ171" s="139">
        <f t="shared" si="193"/>
        <v>0</v>
      </c>
      <c r="FK171" s="139">
        <f t="shared" si="194"/>
        <v>0</v>
      </c>
      <c r="FL171" s="139">
        <f t="shared" si="195"/>
        <v>0</v>
      </c>
      <c r="FM171" s="139">
        <f t="shared" si="196"/>
        <v>0</v>
      </c>
      <c r="FN171" s="139">
        <f t="shared" si="197"/>
        <v>0</v>
      </c>
      <c r="FO171" s="139">
        <f t="shared" si="198"/>
        <v>0</v>
      </c>
      <c r="FP171" s="139">
        <f t="shared" si="199"/>
        <v>0</v>
      </c>
      <c r="FQ171" s="139">
        <f t="shared" si="200"/>
        <v>0</v>
      </c>
      <c r="FR171" s="139">
        <f t="shared" si="201"/>
        <v>0</v>
      </c>
      <c r="FS171" s="139">
        <f t="shared" si="202"/>
        <v>0</v>
      </c>
      <c r="FT171" s="139">
        <f t="shared" si="203"/>
        <v>0</v>
      </c>
      <c r="FU171" s="148">
        <f t="shared" si="204"/>
        <v>7.7933801833986429</v>
      </c>
      <c r="FV171" s="149"/>
      <c r="FY171" s="212">
        <v>166</v>
      </c>
      <c r="FZ171">
        <v>37.584632703107467</v>
      </c>
      <c r="GA171">
        <v>65.745490658812415</v>
      </c>
      <c r="GB171">
        <v>36.387723269917849</v>
      </c>
      <c r="GC171">
        <v>16.269540845853452</v>
      </c>
      <c r="GD171">
        <v>12.937598515284943</v>
      </c>
      <c r="GE171">
        <v>16.023702098073457</v>
      </c>
      <c r="GF171">
        <v>20.136852335808712</v>
      </c>
      <c r="GG171">
        <v>24.967285617376039</v>
      </c>
      <c r="GH171">
        <v>23.179586345375242</v>
      </c>
      <c r="GI171">
        <v>29.419395889493121</v>
      </c>
      <c r="GJ171"/>
      <c r="GK171"/>
      <c r="GL171"/>
      <c r="GM171"/>
    </row>
    <row r="172" spans="1:195" s="7" customFormat="1">
      <c r="A172" s="1"/>
      <c r="B172" s="76">
        <f ca="1">IF(C172="", "", RAND())</f>
        <v>0.91438594735111689</v>
      </c>
      <c r="C172">
        <v>1</v>
      </c>
      <c r="D172">
        <v>39949</v>
      </c>
      <c r="E172">
        <v>0</v>
      </c>
      <c r="F172">
        <v>0</v>
      </c>
      <c r="G172">
        <v>122.36445783132528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883.06683610225662</v>
      </c>
      <c r="AO172">
        <v>59.601503209205831</v>
      </c>
      <c r="AP172">
        <v>85.15331493836176</v>
      </c>
      <c r="AQ172">
        <v>438.39228497449494</v>
      </c>
      <c r="AR172">
        <v>58.144642218246602</v>
      </c>
      <c r="AS172">
        <v>495.15230261591307</v>
      </c>
      <c r="AT172">
        <v>29.570520488821305</v>
      </c>
      <c r="AU172">
        <v>-140.02363699438084</v>
      </c>
      <c r="AV172"/>
      <c r="AW172"/>
      <c r="AX172" s="146"/>
      <c r="AY172" s="76">
        <f t="shared" ca="1" si="170"/>
        <v>0.88668021595052959</v>
      </c>
      <c r="AZ172">
        <v>5</v>
      </c>
      <c r="BA172" s="129">
        <f t="shared" si="244"/>
        <v>39949</v>
      </c>
      <c r="BB172">
        <v>0</v>
      </c>
      <c r="BC172">
        <v>0</v>
      </c>
      <c r="BD172">
        <v>0</v>
      </c>
      <c r="BE172">
        <v>2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5"/>
        <v>0.81773856858700356</v>
      </c>
      <c r="CL172" s="179">
        <f t="shared" si="206"/>
        <v>5</v>
      </c>
      <c r="CM172" s="180">
        <f t="shared" si="207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08"/>
        <v>9.6000000000000002E-2</v>
      </c>
      <c r="DB172" s="146"/>
      <c r="DC172" s="76">
        <f t="shared" ca="1" si="171"/>
        <v>0.9771603948640788</v>
      </c>
      <c r="DD172">
        <f t="shared" si="209"/>
        <v>5</v>
      </c>
      <c r="DE172" s="129">
        <f t="shared" si="243"/>
        <v>39949</v>
      </c>
      <c r="DF172" s="161">
        <f t="shared" si="210"/>
        <v>0</v>
      </c>
      <c r="DG172" s="161">
        <f t="shared" si="211"/>
        <v>0</v>
      </c>
      <c r="DH172" s="161">
        <f t="shared" si="212"/>
        <v>0</v>
      </c>
      <c r="DI172" s="161">
        <f t="shared" si="213"/>
        <v>20.833333333333332</v>
      </c>
      <c r="DJ172" s="161">
        <f t="shared" si="214"/>
        <v>0</v>
      </c>
      <c r="DK172" s="161">
        <f t="shared" si="215"/>
        <v>0</v>
      </c>
      <c r="DL172" s="161">
        <f t="shared" si="216"/>
        <v>0</v>
      </c>
      <c r="DM172" s="161">
        <f t="shared" si="217"/>
        <v>0</v>
      </c>
      <c r="DN172" s="161">
        <f t="shared" si="218"/>
        <v>0</v>
      </c>
      <c r="DO172" s="161">
        <f t="shared" si="219"/>
        <v>0</v>
      </c>
      <c r="DP172" s="161">
        <f t="shared" si="220"/>
        <v>0</v>
      </c>
      <c r="DQ172" s="161">
        <f t="shared" si="221"/>
        <v>0</v>
      </c>
      <c r="DR172" s="161">
        <f t="shared" si="222"/>
        <v>0</v>
      </c>
      <c r="DS172" s="161">
        <f t="shared" si="223"/>
        <v>0</v>
      </c>
      <c r="DT172" s="161">
        <f t="shared" si="224"/>
        <v>0</v>
      </c>
      <c r="DU172" s="161">
        <f t="shared" si="225"/>
        <v>0</v>
      </c>
      <c r="DV172" s="161">
        <f t="shared" si="226"/>
        <v>0</v>
      </c>
      <c r="DW172" s="161">
        <f t="shared" si="227"/>
        <v>0</v>
      </c>
      <c r="DX172" s="161">
        <f t="shared" si="228"/>
        <v>0</v>
      </c>
      <c r="DY172" s="161">
        <f t="shared" si="229"/>
        <v>0</v>
      </c>
      <c r="DZ172" s="161">
        <f t="shared" si="230"/>
        <v>0</v>
      </c>
      <c r="EA172" s="161">
        <f t="shared" si="231"/>
        <v>0</v>
      </c>
      <c r="EB172" s="161">
        <f t="shared" si="232"/>
        <v>0</v>
      </c>
      <c r="EC172" s="161">
        <f t="shared" si="233"/>
        <v>0</v>
      </c>
      <c r="ED172" s="161">
        <f t="shared" si="234"/>
        <v>0</v>
      </c>
      <c r="EE172" s="161">
        <f t="shared" si="235"/>
        <v>0</v>
      </c>
      <c r="EF172" s="161">
        <f t="shared" si="236"/>
        <v>0</v>
      </c>
      <c r="EG172" s="161">
        <f t="shared" si="237"/>
        <v>0</v>
      </c>
      <c r="EH172" s="161">
        <f t="shared" si="238"/>
        <v>0</v>
      </c>
      <c r="EI172" s="161">
        <f t="shared" si="239"/>
        <v>0</v>
      </c>
      <c r="EJ172" s="161">
        <f t="shared" si="240"/>
        <v>0</v>
      </c>
      <c r="EK172" s="147">
        <f t="shared" si="172"/>
        <v>20.833333333333332</v>
      </c>
      <c r="EL172" s="149"/>
      <c r="EN172" s="146"/>
      <c r="EO172" s="146"/>
      <c r="EP172" s="139">
        <f t="shared" si="173"/>
        <v>0</v>
      </c>
      <c r="EQ172" s="139">
        <f t="shared" si="174"/>
        <v>0</v>
      </c>
      <c r="ER172" s="139">
        <f t="shared" si="175"/>
        <v>0</v>
      </c>
      <c r="ES172" s="139">
        <f t="shared" si="176"/>
        <v>2.8952506533745592</v>
      </c>
      <c r="ET172" s="139">
        <f t="shared" si="177"/>
        <v>0</v>
      </c>
      <c r="EU172" s="139">
        <f t="shared" si="178"/>
        <v>0</v>
      </c>
      <c r="EV172" s="139">
        <f t="shared" si="179"/>
        <v>0</v>
      </c>
      <c r="EW172" s="139">
        <f t="shared" si="180"/>
        <v>0</v>
      </c>
      <c r="EX172" s="139">
        <f t="shared" si="181"/>
        <v>0</v>
      </c>
      <c r="EY172" s="139">
        <f t="shared" si="182"/>
        <v>0</v>
      </c>
      <c r="EZ172" s="139">
        <f t="shared" si="183"/>
        <v>0</v>
      </c>
      <c r="FA172" s="139">
        <f t="shared" si="184"/>
        <v>0</v>
      </c>
      <c r="FB172" s="139">
        <f t="shared" si="185"/>
        <v>0</v>
      </c>
      <c r="FC172" s="139">
        <f t="shared" si="186"/>
        <v>0</v>
      </c>
      <c r="FD172" s="139">
        <f t="shared" si="187"/>
        <v>0</v>
      </c>
      <c r="FE172" s="139">
        <f t="shared" si="188"/>
        <v>0</v>
      </c>
      <c r="FF172" s="139">
        <f t="shared" si="189"/>
        <v>0</v>
      </c>
      <c r="FG172" s="139">
        <f t="shared" si="190"/>
        <v>0</v>
      </c>
      <c r="FH172" s="139">
        <f t="shared" si="191"/>
        <v>0</v>
      </c>
      <c r="FI172" s="139">
        <f t="shared" si="192"/>
        <v>0</v>
      </c>
      <c r="FJ172" s="139">
        <f t="shared" si="193"/>
        <v>0</v>
      </c>
      <c r="FK172" s="139">
        <f t="shared" si="194"/>
        <v>0</v>
      </c>
      <c r="FL172" s="139">
        <f t="shared" si="195"/>
        <v>0</v>
      </c>
      <c r="FM172" s="139">
        <f t="shared" si="196"/>
        <v>0</v>
      </c>
      <c r="FN172" s="139">
        <f t="shared" si="197"/>
        <v>0</v>
      </c>
      <c r="FO172" s="139">
        <f t="shared" si="198"/>
        <v>0</v>
      </c>
      <c r="FP172" s="139">
        <f t="shared" si="199"/>
        <v>0</v>
      </c>
      <c r="FQ172" s="139">
        <f t="shared" si="200"/>
        <v>0</v>
      </c>
      <c r="FR172" s="139">
        <f t="shared" si="201"/>
        <v>0</v>
      </c>
      <c r="FS172" s="139">
        <f t="shared" si="202"/>
        <v>0</v>
      </c>
      <c r="FT172" s="139">
        <f t="shared" si="203"/>
        <v>0</v>
      </c>
      <c r="FU172" s="148">
        <f t="shared" si="204"/>
        <v>2.8952506533745592</v>
      </c>
      <c r="FV172" s="149"/>
      <c r="FY172" s="212">
        <v>167</v>
      </c>
      <c r="FZ172">
        <v>40.29293607395725</v>
      </c>
      <c r="GA172">
        <v>89.324734783050772</v>
      </c>
      <c r="GB172">
        <v>55.039344086951331</v>
      </c>
      <c r="GC172">
        <v>20.356356976276029</v>
      </c>
      <c r="GD172">
        <v>13.101242555957642</v>
      </c>
      <c r="GE172">
        <v>11.75867652627522</v>
      </c>
      <c r="GF172">
        <v>14.836671801963053</v>
      </c>
      <c r="GG172">
        <v>20.65393786801295</v>
      </c>
      <c r="GH172">
        <v>27.694306401287285</v>
      </c>
      <c r="GI172">
        <v>34.28463895704234</v>
      </c>
      <c r="GJ172"/>
      <c r="GK172"/>
      <c r="GL172"/>
      <c r="GM172"/>
    </row>
    <row r="173" spans="1:195" s="7" customFormat="1">
      <c r="A173" s="1"/>
      <c r="B173" s="76">
        <f ca="1">IF(C173="", "", RAND())</f>
        <v>0.8944330859002525</v>
      </c>
      <c r="C173">
        <v>5</v>
      </c>
      <c r="D173">
        <v>39949</v>
      </c>
      <c r="E173">
        <v>0</v>
      </c>
      <c r="F173">
        <v>0</v>
      </c>
      <c r="G173">
        <v>0</v>
      </c>
      <c r="H173">
        <v>20.833333333333332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767.53485600584543</v>
      </c>
      <c r="AO173">
        <v>49.310880687438058</v>
      </c>
      <c r="AP173">
        <v>74.214070607707157</v>
      </c>
      <c r="AQ173">
        <v>346.42639419376872</v>
      </c>
      <c r="AR173">
        <v>48.482731692713969</v>
      </c>
      <c r="AS173">
        <v>400.43397912757479</v>
      </c>
      <c r="AT173">
        <v>24.509813000085618</v>
      </c>
      <c r="AU173">
        <v>-29.261508231910376</v>
      </c>
      <c r="AV173"/>
      <c r="AW173"/>
      <c r="AX173" s="146"/>
      <c r="AY173" s="76">
        <f t="shared" ca="1" si="170"/>
        <v>4.1928045105160017E-2</v>
      </c>
      <c r="AZ173">
        <v>6</v>
      </c>
      <c r="BA173" s="129">
        <f t="shared" si="244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5"/>
        <v>0.77569088003043962</v>
      </c>
      <c r="CL173" s="179">
        <f t="shared" si="206"/>
        <v>6</v>
      </c>
      <c r="CM173" s="180">
        <f t="shared" si="207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08"/>
        <v>9.6000000000000002E-2</v>
      </c>
      <c r="DB173" s="146"/>
      <c r="DC173" s="76">
        <f t="shared" ca="1" si="171"/>
        <v>0.47912790629803315</v>
      </c>
      <c r="DD173">
        <f t="shared" si="209"/>
        <v>6</v>
      </c>
      <c r="DE173" s="129">
        <f t="shared" si="243"/>
        <v>39949</v>
      </c>
      <c r="DF173" s="161">
        <f t="shared" si="210"/>
        <v>0</v>
      </c>
      <c r="DG173" s="161">
        <f t="shared" si="211"/>
        <v>0</v>
      </c>
      <c r="DH173" s="161">
        <f t="shared" si="212"/>
        <v>0</v>
      </c>
      <c r="DI173" s="161">
        <f t="shared" si="213"/>
        <v>0</v>
      </c>
      <c r="DJ173" s="161">
        <f t="shared" si="214"/>
        <v>0</v>
      </c>
      <c r="DK173" s="161">
        <f t="shared" si="215"/>
        <v>0</v>
      </c>
      <c r="DL173" s="161">
        <f t="shared" si="216"/>
        <v>0</v>
      </c>
      <c r="DM173" s="161">
        <f t="shared" si="217"/>
        <v>0</v>
      </c>
      <c r="DN173" s="161">
        <f t="shared" si="218"/>
        <v>0</v>
      </c>
      <c r="DO173" s="161">
        <f t="shared" si="219"/>
        <v>0</v>
      </c>
      <c r="DP173" s="161">
        <f t="shared" si="220"/>
        <v>0</v>
      </c>
      <c r="DQ173" s="161">
        <f t="shared" si="221"/>
        <v>0</v>
      </c>
      <c r="DR173" s="161">
        <f t="shared" si="222"/>
        <v>0</v>
      </c>
      <c r="DS173" s="161">
        <f t="shared" si="223"/>
        <v>0</v>
      </c>
      <c r="DT173" s="161">
        <f t="shared" si="224"/>
        <v>0</v>
      </c>
      <c r="DU173" s="161">
        <f t="shared" si="225"/>
        <v>0</v>
      </c>
      <c r="DV173" s="161">
        <f t="shared" si="226"/>
        <v>0</v>
      </c>
      <c r="DW173" s="161">
        <f t="shared" si="227"/>
        <v>0</v>
      </c>
      <c r="DX173" s="161">
        <f t="shared" si="228"/>
        <v>0</v>
      </c>
      <c r="DY173" s="161">
        <f t="shared" si="229"/>
        <v>0</v>
      </c>
      <c r="DZ173" s="161">
        <f t="shared" si="230"/>
        <v>0</v>
      </c>
      <c r="EA173" s="161">
        <f t="shared" si="231"/>
        <v>0</v>
      </c>
      <c r="EB173" s="161">
        <f t="shared" si="232"/>
        <v>0</v>
      </c>
      <c r="EC173" s="161">
        <f t="shared" si="233"/>
        <v>0</v>
      </c>
      <c r="ED173" s="161">
        <f t="shared" si="234"/>
        <v>0</v>
      </c>
      <c r="EE173" s="161">
        <f t="shared" si="235"/>
        <v>0</v>
      </c>
      <c r="EF173" s="161">
        <f t="shared" si="236"/>
        <v>0</v>
      </c>
      <c r="EG173" s="161">
        <f t="shared" si="237"/>
        <v>0</v>
      </c>
      <c r="EH173" s="161">
        <f t="shared" si="238"/>
        <v>0</v>
      </c>
      <c r="EI173" s="161">
        <f t="shared" si="239"/>
        <v>0</v>
      </c>
      <c r="EJ173" s="161">
        <f t="shared" si="240"/>
        <v>0</v>
      </c>
      <c r="EK173" s="147">
        <f t="shared" si="172"/>
        <v>0</v>
      </c>
      <c r="EL173" s="149"/>
      <c r="EN173" s="146"/>
      <c r="EO173" s="146"/>
      <c r="EP173" s="139">
        <f t="shared" si="173"/>
        <v>0</v>
      </c>
      <c r="EQ173" s="139">
        <f t="shared" si="174"/>
        <v>0</v>
      </c>
      <c r="ER173" s="139">
        <f t="shared" si="175"/>
        <v>0</v>
      </c>
      <c r="ES173" s="139">
        <f t="shared" si="176"/>
        <v>0</v>
      </c>
      <c r="ET173" s="139">
        <f t="shared" si="177"/>
        <v>0</v>
      </c>
      <c r="EU173" s="139">
        <f t="shared" si="178"/>
        <v>0</v>
      </c>
      <c r="EV173" s="139">
        <f t="shared" si="179"/>
        <v>0</v>
      </c>
      <c r="EW173" s="139">
        <f t="shared" si="180"/>
        <v>0</v>
      </c>
      <c r="EX173" s="139">
        <f t="shared" si="181"/>
        <v>0</v>
      </c>
      <c r="EY173" s="139">
        <f t="shared" si="182"/>
        <v>0</v>
      </c>
      <c r="EZ173" s="139">
        <f t="shared" si="183"/>
        <v>0</v>
      </c>
      <c r="FA173" s="139">
        <f t="shared" si="184"/>
        <v>0</v>
      </c>
      <c r="FB173" s="139">
        <f t="shared" si="185"/>
        <v>0</v>
      </c>
      <c r="FC173" s="139">
        <f t="shared" si="186"/>
        <v>0</v>
      </c>
      <c r="FD173" s="139">
        <f t="shared" si="187"/>
        <v>0</v>
      </c>
      <c r="FE173" s="139">
        <f t="shared" si="188"/>
        <v>0</v>
      </c>
      <c r="FF173" s="139">
        <f t="shared" si="189"/>
        <v>0</v>
      </c>
      <c r="FG173" s="139">
        <f t="shared" si="190"/>
        <v>0</v>
      </c>
      <c r="FH173" s="139">
        <f t="shared" si="191"/>
        <v>0</v>
      </c>
      <c r="FI173" s="139">
        <f t="shared" si="192"/>
        <v>0</v>
      </c>
      <c r="FJ173" s="139">
        <f t="shared" si="193"/>
        <v>0</v>
      </c>
      <c r="FK173" s="139">
        <f t="shared" si="194"/>
        <v>0</v>
      </c>
      <c r="FL173" s="139">
        <f t="shared" si="195"/>
        <v>0</v>
      </c>
      <c r="FM173" s="139">
        <f t="shared" si="196"/>
        <v>0</v>
      </c>
      <c r="FN173" s="139">
        <f t="shared" si="197"/>
        <v>0</v>
      </c>
      <c r="FO173" s="139">
        <f t="shared" si="198"/>
        <v>0</v>
      </c>
      <c r="FP173" s="139">
        <f t="shared" si="199"/>
        <v>0</v>
      </c>
      <c r="FQ173" s="139">
        <f t="shared" si="200"/>
        <v>0</v>
      </c>
      <c r="FR173" s="139">
        <f t="shared" si="201"/>
        <v>0</v>
      </c>
      <c r="FS173" s="139">
        <f t="shared" si="202"/>
        <v>0</v>
      </c>
      <c r="FT173" s="139">
        <f t="shared" si="203"/>
        <v>0</v>
      </c>
      <c r="FU173" s="148">
        <f t="shared" si="204"/>
        <v>0</v>
      </c>
      <c r="FV173" s="149"/>
      <c r="FY173" s="212">
        <v>168</v>
      </c>
      <c r="FZ173">
        <v>30.722278586628704</v>
      </c>
      <c r="GA173">
        <v>93.666634094163442</v>
      </c>
      <c r="GB173">
        <v>55.204390727690551</v>
      </c>
      <c r="GC173">
        <v>16.335450601617346</v>
      </c>
      <c r="GD173">
        <v>7.434205159637199</v>
      </c>
      <c r="GE173">
        <v>6.1299381427335824</v>
      </c>
      <c r="GF173">
        <v>31.103677817535626</v>
      </c>
      <c r="GG173">
        <v>32.925019128627213</v>
      </c>
      <c r="GH173">
        <v>32.605536505240565</v>
      </c>
      <c r="GI173">
        <v>33.476014359619128</v>
      </c>
      <c r="GJ173"/>
      <c r="GK173"/>
      <c r="GL173"/>
      <c r="GM173"/>
    </row>
    <row r="174" spans="1:195" s="7" customFormat="1">
      <c r="A174" s="1"/>
      <c r="B174" s="76">
        <f ca="1">IF(C174="", "", RAND())</f>
        <v>0.22702021768442848</v>
      </c>
      <c r="C174">
        <v>8</v>
      </c>
      <c r="D174">
        <v>39949</v>
      </c>
      <c r="E174">
        <v>0</v>
      </c>
      <c r="F174">
        <v>0</v>
      </c>
      <c r="G174">
        <v>83.333333333333329</v>
      </c>
      <c r="H174">
        <v>187.5</v>
      </c>
      <c r="I174">
        <v>83.333333333333329</v>
      </c>
      <c r="J174">
        <v>31.25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921.67050818789482</v>
      </c>
      <c r="AO174">
        <v>65.907036725006748</v>
      </c>
      <c r="AP174">
        <v>66.602682652611833</v>
      </c>
      <c r="AQ174">
        <v>470.73004890984612</v>
      </c>
      <c r="AR174">
        <v>64.90670065692585</v>
      </c>
      <c r="AS174">
        <v>513.83998386382893</v>
      </c>
      <c r="AT174">
        <v>32.412628506671986</v>
      </c>
      <c r="AU174">
        <v>-130.38265730350287</v>
      </c>
      <c r="AV174"/>
      <c r="AW174"/>
      <c r="AX174" s="146"/>
      <c r="AY174" s="76">
        <f t="shared" ca="1" si="170"/>
        <v>0.45208042623508593</v>
      </c>
      <c r="AZ174">
        <v>7</v>
      </c>
      <c r="BA174" s="129">
        <f t="shared" si="244"/>
        <v>39949</v>
      </c>
      <c r="BB174">
        <v>0</v>
      </c>
      <c r="BC174">
        <v>0</v>
      </c>
      <c r="BD174">
        <v>0</v>
      </c>
      <c r="BE174">
        <v>0</v>
      </c>
      <c r="BF174">
        <v>7</v>
      </c>
      <c r="BG174">
        <v>0</v>
      </c>
      <c r="BH174">
        <v>0</v>
      </c>
      <c r="BI174">
        <v>0</v>
      </c>
      <c r="BJ174">
        <v>1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5"/>
        <v>0.42471522243132154</v>
      </c>
      <c r="CL174" s="179">
        <f t="shared" si="206"/>
        <v>7</v>
      </c>
      <c r="CM174" s="180">
        <f t="shared" si="207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08"/>
        <v>9.6000000000000002E-2</v>
      </c>
      <c r="DB174" s="146"/>
      <c r="DC174" s="76">
        <f t="shared" ca="1" si="171"/>
        <v>0.25293761590520547</v>
      </c>
      <c r="DD174">
        <f t="shared" si="209"/>
        <v>7</v>
      </c>
      <c r="DE174" s="129">
        <f t="shared" si="243"/>
        <v>39949</v>
      </c>
      <c r="DF174" s="161">
        <f t="shared" si="210"/>
        <v>0</v>
      </c>
      <c r="DG174" s="161">
        <f t="shared" si="211"/>
        <v>0</v>
      </c>
      <c r="DH174" s="161">
        <f t="shared" si="212"/>
        <v>0</v>
      </c>
      <c r="DI174" s="161">
        <f t="shared" si="213"/>
        <v>0</v>
      </c>
      <c r="DJ174" s="161">
        <f t="shared" si="214"/>
        <v>72.916666666666671</v>
      </c>
      <c r="DK174" s="161">
        <f t="shared" si="215"/>
        <v>0</v>
      </c>
      <c r="DL174" s="161">
        <f t="shared" si="216"/>
        <v>0</v>
      </c>
      <c r="DM174" s="161">
        <f t="shared" si="217"/>
        <v>0</v>
      </c>
      <c r="DN174" s="161">
        <f t="shared" si="218"/>
        <v>10.416666666666666</v>
      </c>
      <c r="DO174" s="161">
        <f t="shared" si="219"/>
        <v>0</v>
      </c>
      <c r="DP174" s="161">
        <f t="shared" si="220"/>
        <v>0</v>
      </c>
      <c r="DQ174" s="161">
        <f t="shared" si="221"/>
        <v>0</v>
      </c>
      <c r="DR174" s="161">
        <f t="shared" si="222"/>
        <v>0</v>
      </c>
      <c r="DS174" s="161">
        <f t="shared" si="223"/>
        <v>0</v>
      </c>
      <c r="DT174" s="161">
        <f t="shared" si="224"/>
        <v>0</v>
      </c>
      <c r="DU174" s="161">
        <f t="shared" si="225"/>
        <v>0</v>
      </c>
      <c r="DV174" s="161">
        <f t="shared" si="226"/>
        <v>0</v>
      </c>
      <c r="DW174" s="161">
        <f t="shared" si="227"/>
        <v>0</v>
      </c>
      <c r="DX174" s="161">
        <f t="shared" si="228"/>
        <v>0</v>
      </c>
      <c r="DY174" s="161">
        <f t="shared" si="229"/>
        <v>0</v>
      </c>
      <c r="DZ174" s="161">
        <f t="shared" si="230"/>
        <v>0</v>
      </c>
      <c r="EA174" s="161">
        <f t="shared" si="231"/>
        <v>0</v>
      </c>
      <c r="EB174" s="161">
        <f t="shared" si="232"/>
        <v>0</v>
      </c>
      <c r="EC174" s="161">
        <f t="shared" si="233"/>
        <v>0</v>
      </c>
      <c r="ED174" s="161">
        <f t="shared" si="234"/>
        <v>0</v>
      </c>
      <c r="EE174" s="161">
        <f t="shared" si="235"/>
        <v>0</v>
      </c>
      <c r="EF174" s="161">
        <f t="shared" si="236"/>
        <v>0</v>
      </c>
      <c r="EG174" s="161">
        <f t="shared" si="237"/>
        <v>0</v>
      </c>
      <c r="EH174" s="161">
        <f t="shared" si="238"/>
        <v>0</v>
      </c>
      <c r="EI174" s="161">
        <f t="shared" si="239"/>
        <v>0</v>
      </c>
      <c r="EJ174" s="161">
        <f t="shared" si="240"/>
        <v>0</v>
      </c>
      <c r="EK174" s="147">
        <f t="shared" si="172"/>
        <v>83.333333333333343</v>
      </c>
      <c r="EL174" s="149"/>
      <c r="EN174" s="146"/>
      <c r="EO174" s="146"/>
      <c r="EP174" s="139">
        <f t="shared" si="173"/>
        <v>0</v>
      </c>
      <c r="EQ174" s="139">
        <f t="shared" si="174"/>
        <v>0</v>
      </c>
      <c r="ER174" s="139">
        <f t="shared" si="175"/>
        <v>0</v>
      </c>
      <c r="ES174" s="139">
        <f t="shared" si="176"/>
        <v>0</v>
      </c>
      <c r="ET174" s="139">
        <f t="shared" si="177"/>
        <v>21.976794785722326</v>
      </c>
      <c r="EU174" s="139">
        <f t="shared" si="178"/>
        <v>0</v>
      </c>
      <c r="EV174" s="139">
        <f t="shared" si="179"/>
        <v>0</v>
      </c>
      <c r="EW174" s="139">
        <f t="shared" si="180"/>
        <v>0</v>
      </c>
      <c r="EX174" s="139">
        <f t="shared" si="181"/>
        <v>20.273934131663736</v>
      </c>
      <c r="EY174" s="139">
        <f t="shared" si="182"/>
        <v>0</v>
      </c>
      <c r="EZ174" s="139">
        <f t="shared" si="183"/>
        <v>0</v>
      </c>
      <c r="FA174" s="139">
        <f t="shared" si="184"/>
        <v>0</v>
      </c>
      <c r="FB174" s="139">
        <f t="shared" si="185"/>
        <v>0</v>
      </c>
      <c r="FC174" s="139">
        <f t="shared" si="186"/>
        <v>0</v>
      </c>
      <c r="FD174" s="139">
        <f t="shared" si="187"/>
        <v>0</v>
      </c>
      <c r="FE174" s="139">
        <f t="shared" si="188"/>
        <v>0</v>
      </c>
      <c r="FF174" s="139">
        <f t="shared" si="189"/>
        <v>0</v>
      </c>
      <c r="FG174" s="139">
        <f t="shared" si="190"/>
        <v>0</v>
      </c>
      <c r="FH174" s="139">
        <f t="shared" si="191"/>
        <v>0</v>
      </c>
      <c r="FI174" s="139">
        <f t="shared" si="192"/>
        <v>0</v>
      </c>
      <c r="FJ174" s="139">
        <f t="shared" si="193"/>
        <v>0</v>
      </c>
      <c r="FK174" s="139">
        <f t="shared" si="194"/>
        <v>0</v>
      </c>
      <c r="FL174" s="139">
        <f t="shared" si="195"/>
        <v>0</v>
      </c>
      <c r="FM174" s="139">
        <f t="shared" si="196"/>
        <v>0</v>
      </c>
      <c r="FN174" s="139">
        <f t="shared" si="197"/>
        <v>0</v>
      </c>
      <c r="FO174" s="139">
        <f t="shared" si="198"/>
        <v>0</v>
      </c>
      <c r="FP174" s="139">
        <f t="shared" si="199"/>
        <v>0</v>
      </c>
      <c r="FQ174" s="139">
        <f t="shared" si="200"/>
        <v>0</v>
      </c>
      <c r="FR174" s="139">
        <f t="shared" si="201"/>
        <v>0</v>
      </c>
      <c r="FS174" s="139">
        <f t="shared" si="202"/>
        <v>0</v>
      </c>
      <c r="FT174" s="139">
        <f t="shared" si="203"/>
        <v>0</v>
      </c>
      <c r="FU174" s="148">
        <f t="shared" si="204"/>
        <v>42.250728917386063</v>
      </c>
      <c r="FV174" s="149"/>
      <c r="FY174" s="212">
        <v>169</v>
      </c>
      <c r="FZ174">
        <v>43.410908818753477</v>
      </c>
      <c r="GA174">
        <v>79.119275643679089</v>
      </c>
      <c r="GB174">
        <v>54.415845253618812</v>
      </c>
      <c r="GC174">
        <v>24.390958728559134</v>
      </c>
      <c r="GD174">
        <v>15.27762820914686</v>
      </c>
      <c r="GE174">
        <v>18.634481285829715</v>
      </c>
      <c r="GF174">
        <v>29.531159869059394</v>
      </c>
      <c r="GG174">
        <v>31.868848922571001</v>
      </c>
      <c r="GH174">
        <v>25.3331699470533</v>
      </c>
      <c r="GI174">
        <v>38.021345907915922</v>
      </c>
      <c r="GJ174"/>
      <c r="GK174"/>
      <c r="GL174"/>
      <c r="GM174"/>
    </row>
    <row r="175" spans="1:195" s="7" customFormat="1">
      <c r="A175" s="1"/>
      <c r="B175" s="76">
        <f ca="1">IF(C175="", "", RAND())</f>
        <v>0.56760869448847107</v>
      </c>
      <c r="C175">
        <v>10</v>
      </c>
      <c r="D175">
        <v>39949</v>
      </c>
      <c r="E175">
        <v>0</v>
      </c>
      <c r="F175">
        <v>0</v>
      </c>
      <c r="G175">
        <v>179.59770114942526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867.2211123163388</v>
      </c>
      <c r="AO175">
        <v>52.848492352070082</v>
      </c>
      <c r="AP175">
        <v>115.92790083355194</v>
      </c>
      <c r="AQ175">
        <v>349.95854073741862</v>
      </c>
      <c r="AR175">
        <v>50.911508727564346</v>
      </c>
      <c r="AS175">
        <v>431.88374073405669</v>
      </c>
      <c r="AT175">
        <v>26.365293805642271</v>
      </c>
      <c r="AU175">
        <v>3.547908306322789</v>
      </c>
      <c r="AV175"/>
      <c r="AW175"/>
      <c r="AX175" s="146"/>
      <c r="AY175" s="76">
        <f t="shared" ca="1" si="170"/>
        <v>0.78622682532728838</v>
      </c>
      <c r="AZ175">
        <v>8</v>
      </c>
      <c r="BA175" s="129">
        <f t="shared" si="244"/>
        <v>39949</v>
      </c>
      <c r="BB175">
        <v>0</v>
      </c>
      <c r="BC175">
        <v>0</v>
      </c>
      <c r="BD175">
        <v>8</v>
      </c>
      <c r="BE175">
        <v>18</v>
      </c>
      <c r="BF175">
        <v>8</v>
      </c>
      <c r="BG175">
        <v>3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5"/>
        <v>1.6823455299913803E-2</v>
      </c>
      <c r="CL175" s="179">
        <f t="shared" si="206"/>
        <v>8</v>
      </c>
      <c r="CM175" s="180">
        <f t="shared" si="207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08"/>
        <v>9.6000000000000002E-2</v>
      </c>
      <c r="DB175" s="146"/>
      <c r="DC175" s="76">
        <f t="shared" ca="1" si="171"/>
        <v>0.98445551920240515</v>
      </c>
      <c r="DD175">
        <f t="shared" si="209"/>
        <v>8</v>
      </c>
      <c r="DE175" s="129">
        <f t="shared" si="243"/>
        <v>39949</v>
      </c>
      <c r="DF175" s="161">
        <f t="shared" si="210"/>
        <v>0</v>
      </c>
      <c r="DG175" s="161">
        <f t="shared" si="211"/>
        <v>0</v>
      </c>
      <c r="DH175" s="161">
        <f t="shared" si="212"/>
        <v>83.333333333333329</v>
      </c>
      <c r="DI175" s="161">
        <f t="shared" si="213"/>
        <v>187.5</v>
      </c>
      <c r="DJ175" s="161">
        <f t="shared" si="214"/>
        <v>83.333333333333329</v>
      </c>
      <c r="DK175" s="161">
        <f t="shared" si="215"/>
        <v>31.25</v>
      </c>
      <c r="DL175" s="161">
        <f t="shared" si="216"/>
        <v>0</v>
      </c>
      <c r="DM175" s="161">
        <f t="shared" si="217"/>
        <v>0</v>
      </c>
      <c r="DN175" s="161">
        <f t="shared" si="218"/>
        <v>0</v>
      </c>
      <c r="DO175" s="161">
        <f t="shared" si="219"/>
        <v>0</v>
      </c>
      <c r="DP175" s="161">
        <f t="shared" si="220"/>
        <v>0</v>
      </c>
      <c r="DQ175" s="161">
        <f t="shared" si="221"/>
        <v>0</v>
      </c>
      <c r="DR175" s="161">
        <f t="shared" si="222"/>
        <v>0</v>
      </c>
      <c r="DS175" s="161">
        <f t="shared" si="223"/>
        <v>0</v>
      </c>
      <c r="DT175" s="161">
        <f t="shared" si="224"/>
        <v>0</v>
      </c>
      <c r="DU175" s="161">
        <f t="shared" si="225"/>
        <v>0</v>
      </c>
      <c r="DV175" s="161">
        <f t="shared" si="226"/>
        <v>0</v>
      </c>
      <c r="DW175" s="161">
        <f t="shared" si="227"/>
        <v>0</v>
      </c>
      <c r="DX175" s="161">
        <f t="shared" si="228"/>
        <v>0</v>
      </c>
      <c r="DY175" s="161">
        <f t="shared" si="229"/>
        <v>0</v>
      </c>
      <c r="DZ175" s="161">
        <f t="shared" si="230"/>
        <v>0</v>
      </c>
      <c r="EA175" s="161">
        <f t="shared" si="231"/>
        <v>0</v>
      </c>
      <c r="EB175" s="161">
        <f t="shared" si="232"/>
        <v>0</v>
      </c>
      <c r="EC175" s="161">
        <f t="shared" si="233"/>
        <v>0</v>
      </c>
      <c r="ED175" s="161">
        <f t="shared" si="234"/>
        <v>0</v>
      </c>
      <c r="EE175" s="161">
        <f t="shared" si="235"/>
        <v>0</v>
      </c>
      <c r="EF175" s="161">
        <f t="shared" si="236"/>
        <v>0</v>
      </c>
      <c r="EG175" s="161">
        <f t="shared" si="237"/>
        <v>0</v>
      </c>
      <c r="EH175" s="161">
        <f t="shared" si="238"/>
        <v>0</v>
      </c>
      <c r="EI175" s="161">
        <f t="shared" si="239"/>
        <v>0</v>
      </c>
      <c r="EJ175" s="161">
        <f t="shared" si="240"/>
        <v>0</v>
      </c>
      <c r="EK175" s="147">
        <f t="shared" si="172"/>
        <v>385.41666666666663</v>
      </c>
      <c r="EL175" s="149"/>
      <c r="EN175" s="146"/>
      <c r="EO175" s="146"/>
      <c r="EP175" s="139">
        <f t="shared" si="173"/>
        <v>0</v>
      </c>
      <c r="EQ175" s="139">
        <f t="shared" si="174"/>
        <v>0</v>
      </c>
      <c r="ER175" s="139">
        <f t="shared" si="175"/>
        <v>3.889417657393758</v>
      </c>
      <c r="ES175" s="139">
        <f t="shared" si="176"/>
        <v>26.057255880371038</v>
      </c>
      <c r="ET175" s="139">
        <f t="shared" si="177"/>
        <v>25.116336897968367</v>
      </c>
      <c r="EU175" s="139">
        <f t="shared" si="178"/>
        <v>17.17008371265225</v>
      </c>
      <c r="EV175" s="139">
        <f t="shared" si="179"/>
        <v>0</v>
      </c>
      <c r="EW175" s="139">
        <f t="shared" si="180"/>
        <v>0</v>
      </c>
      <c r="EX175" s="139">
        <f t="shared" si="181"/>
        <v>0</v>
      </c>
      <c r="EY175" s="139">
        <f t="shared" si="182"/>
        <v>0</v>
      </c>
      <c r="EZ175" s="139">
        <f t="shared" si="183"/>
        <v>0</v>
      </c>
      <c r="FA175" s="139">
        <f t="shared" si="184"/>
        <v>0</v>
      </c>
      <c r="FB175" s="139">
        <f t="shared" si="185"/>
        <v>0</v>
      </c>
      <c r="FC175" s="139">
        <f t="shared" si="186"/>
        <v>0</v>
      </c>
      <c r="FD175" s="139">
        <f t="shared" si="187"/>
        <v>0</v>
      </c>
      <c r="FE175" s="139">
        <f t="shared" si="188"/>
        <v>0</v>
      </c>
      <c r="FF175" s="139">
        <f t="shared" si="189"/>
        <v>0</v>
      </c>
      <c r="FG175" s="139">
        <f t="shared" si="190"/>
        <v>0</v>
      </c>
      <c r="FH175" s="139">
        <f t="shared" si="191"/>
        <v>0</v>
      </c>
      <c r="FI175" s="139">
        <f t="shared" si="192"/>
        <v>0</v>
      </c>
      <c r="FJ175" s="139">
        <f t="shared" si="193"/>
        <v>0</v>
      </c>
      <c r="FK175" s="139">
        <f t="shared" si="194"/>
        <v>0</v>
      </c>
      <c r="FL175" s="139">
        <f t="shared" si="195"/>
        <v>0</v>
      </c>
      <c r="FM175" s="139">
        <f t="shared" si="196"/>
        <v>0</v>
      </c>
      <c r="FN175" s="139">
        <f t="shared" si="197"/>
        <v>0</v>
      </c>
      <c r="FO175" s="139">
        <f t="shared" si="198"/>
        <v>0</v>
      </c>
      <c r="FP175" s="139">
        <f t="shared" si="199"/>
        <v>0</v>
      </c>
      <c r="FQ175" s="139">
        <f t="shared" si="200"/>
        <v>0</v>
      </c>
      <c r="FR175" s="139">
        <f t="shared" si="201"/>
        <v>0</v>
      </c>
      <c r="FS175" s="139">
        <f t="shared" si="202"/>
        <v>0</v>
      </c>
      <c r="FT175" s="139">
        <f t="shared" si="203"/>
        <v>0</v>
      </c>
      <c r="FU175" s="148">
        <f t="shared" si="204"/>
        <v>72.233094148385419</v>
      </c>
      <c r="FV175" s="149"/>
      <c r="FY175" s="212">
        <v>170</v>
      </c>
      <c r="FZ175">
        <v>27.386149444874547</v>
      </c>
      <c r="GA175">
        <v>75.043625315160199</v>
      </c>
      <c r="GB175">
        <v>51.557212041984386</v>
      </c>
      <c r="GC175">
        <v>23.368764460561412</v>
      </c>
      <c r="GD175">
        <v>13.008581920744835</v>
      </c>
      <c r="GE175">
        <v>17.195625017668483</v>
      </c>
      <c r="GF175">
        <v>57.991951364723782</v>
      </c>
      <c r="GG175">
        <v>52.890128616838588</v>
      </c>
      <c r="GH175">
        <v>20.579294647026273</v>
      </c>
      <c r="GI175">
        <v>38.169891787903886</v>
      </c>
      <c r="GJ175"/>
      <c r="GK175"/>
      <c r="GL175"/>
      <c r="GM175"/>
    </row>
    <row r="176" spans="1:195" s="7" customFormat="1">
      <c r="A176" s="1"/>
      <c r="B176" s="76">
        <f ca="1">IF(C176="", "", RAND())</f>
        <v>0.94754448840998151</v>
      </c>
      <c r="C176">
        <v>3</v>
      </c>
      <c r="D176">
        <v>39949</v>
      </c>
      <c r="E176">
        <v>0</v>
      </c>
      <c r="F176">
        <v>324.07407407407408</v>
      </c>
      <c r="G176">
        <v>831.01851851851848</v>
      </c>
      <c r="H176">
        <v>41.666666666666664</v>
      </c>
      <c r="I176">
        <v>20.833333333333332</v>
      </c>
      <c r="J176">
        <v>20.833333333333332</v>
      </c>
      <c r="K176">
        <v>31.25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604.08374946963613</v>
      </c>
      <c r="AO176">
        <v>39.730522582493442</v>
      </c>
      <c r="AP176">
        <v>65.355643100168209</v>
      </c>
      <c r="AQ176">
        <v>258.61234727023771</v>
      </c>
      <c r="AR176">
        <v>38.948224868102145</v>
      </c>
      <c r="AS176">
        <v>335.27925141476112</v>
      </c>
      <c r="AT176">
        <v>21.60564048971618</v>
      </c>
      <c r="AU176">
        <v>-83.411255121525613</v>
      </c>
      <c r="AV176"/>
      <c r="AW176"/>
      <c r="AX176" s="146"/>
      <c r="AY176" s="76">
        <f t="shared" ca="1" si="170"/>
        <v>0.14993004469710725</v>
      </c>
      <c r="AZ176">
        <v>9</v>
      </c>
      <c r="BA176" s="129">
        <f t="shared" si="244"/>
        <v>39949</v>
      </c>
      <c r="BB176">
        <v>0</v>
      </c>
      <c r="BC176">
        <v>0</v>
      </c>
      <c r="BD176">
        <v>2</v>
      </c>
      <c r="BE176">
        <v>2</v>
      </c>
      <c r="BF176">
        <v>1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5"/>
        <v>0.24065154579772141</v>
      </c>
      <c r="CL176" s="179">
        <f t="shared" si="206"/>
        <v>9</v>
      </c>
      <c r="CM176" s="180">
        <f t="shared" si="207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08"/>
        <v>9.6000000000000002E-2</v>
      </c>
      <c r="DB176" s="146"/>
      <c r="DC176" s="76">
        <f t="shared" ca="1" si="171"/>
        <v>0.4738924344067823</v>
      </c>
      <c r="DD176">
        <f t="shared" si="209"/>
        <v>9</v>
      </c>
      <c r="DE176" s="129">
        <f t="shared" si="243"/>
        <v>39949</v>
      </c>
      <c r="DF176" s="161">
        <f t="shared" si="210"/>
        <v>0</v>
      </c>
      <c r="DG176" s="161">
        <f t="shared" si="211"/>
        <v>0</v>
      </c>
      <c r="DH176" s="161">
        <f t="shared" si="212"/>
        <v>20.833333333333332</v>
      </c>
      <c r="DI176" s="161">
        <f t="shared" si="213"/>
        <v>20.833333333333332</v>
      </c>
      <c r="DJ176" s="161">
        <f t="shared" si="214"/>
        <v>10.416666666666666</v>
      </c>
      <c r="DK176" s="161">
        <f t="shared" si="215"/>
        <v>0</v>
      </c>
      <c r="DL176" s="161">
        <f t="shared" si="216"/>
        <v>0</v>
      </c>
      <c r="DM176" s="161">
        <f t="shared" si="217"/>
        <v>0</v>
      </c>
      <c r="DN176" s="161">
        <f t="shared" si="218"/>
        <v>0</v>
      </c>
      <c r="DO176" s="161">
        <f t="shared" si="219"/>
        <v>0</v>
      </c>
      <c r="DP176" s="161">
        <f t="shared" si="220"/>
        <v>0</v>
      </c>
      <c r="DQ176" s="161">
        <f t="shared" si="221"/>
        <v>0</v>
      </c>
      <c r="DR176" s="161">
        <f t="shared" si="222"/>
        <v>0</v>
      </c>
      <c r="DS176" s="161">
        <f t="shared" si="223"/>
        <v>0</v>
      </c>
      <c r="DT176" s="161">
        <f t="shared" si="224"/>
        <v>0</v>
      </c>
      <c r="DU176" s="161">
        <f t="shared" si="225"/>
        <v>0</v>
      </c>
      <c r="DV176" s="161">
        <f t="shared" si="226"/>
        <v>0</v>
      </c>
      <c r="DW176" s="161">
        <f t="shared" si="227"/>
        <v>0</v>
      </c>
      <c r="DX176" s="161">
        <f t="shared" si="228"/>
        <v>0</v>
      </c>
      <c r="DY176" s="161">
        <f t="shared" si="229"/>
        <v>0</v>
      </c>
      <c r="DZ176" s="161">
        <f t="shared" si="230"/>
        <v>0</v>
      </c>
      <c r="EA176" s="161">
        <f t="shared" si="231"/>
        <v>0</v>
      </c>
      <c r="EB176" s="161">
        <f t="shared" si="232"/>
        <v>0</v>
      </c>
      <c r="EC176" s="161">
        <f t="shared" si="233"/>
        <v>0</v>
      </c>
      <c r="ED176" s="161">
        <f t="shared" si="234"/>
        <v>0</v>
      </c>
      <c r="EE176" s="161">
        <f t="shared" si="235"/>
        <v>0</v>
      </c>
      <c r="EF176" s="161">
        <f t="shared" si="236"/>
        <v>0</v>
      </c>
      <c r="EG176" s="161">
        <f t="shared" si="237"/>
        <v>0</v>
      </c>
      <c r="EH176" s="161">
        <f t="shared" si="238"/>
        <v>0</v>
      </c>
      <c r="EI176" s="161">
        <f t="shared" si="239"/>
        <v>0</v>
      </c>
      <c r="EJ176" s="161">
        <f t="shared" si="240"/>
        <v>0</v>
      </c>
      <c r="EK176" s="147">
        <f t="shared" si="172"/>
        <v>52.083333333333329</v>
      </c>
      <c r="EL176" s="149"/>
      <c r="EN176" s="146"/>
      <c r="EO176" s="146"/>
      <c r="EP176" s="139">
        <f t="shared" si="173"/>
        <v>0</v>
      </c>
      <c r="EQ176" s="139">
        <f t="shared" si="174"/>
        <v>0</v>
      </c>
      <c r="ER176" s="139">
        <f t="shared" si="175"/>
        <v>0.9723544143484395</v>
      </c>
      <c r="ES176" s="139">
        <f t="shared" si="176"/>
        <v>2.8952506533745592</v>
      </c>
      <c r="ET176" s="139">
        <f t="shared" si="177"/>
        <v>3.1395421122460458</v>
      </c>
      <c r="EU176" s="139">
        <f t="shared" si="178"/>
        <v>0</v>
      </c>
      <c r="EV176" s="139">
        <f t="shared" si="179"/>
        <v>0</v>
      </c>
      <c r="EW176" s="139">
        <f t="shared" si="180"/>
        <v>0</v>
      </c>
      <c r="EX176" s="139">
        <f t="shared" si="181"/>
        <v>0</v>
      </c>
      <c r="EY176" s="139">
        <f t="shared" si="182"/>
        <v>0</v>
      </c>
      <c r="EZ176" s="139">
        <f t="shared" si="183"/>
        <v>0</v>
      </c>
      <c r="FA176" s="139">
        <f t="shared" si="184"/>
        <v>0</v>
      </c>
      <c r="FB176" s="139">
        <f t="shared" si="185"/>
        <v>0</v>
      </c>
      <c r="FC176" s="139">
        <f t="shared" si="186"/>
        <v>0</v>
      </c>
      <c r="FD176" s="139">
        <f t="shared" si="187"/>
        <v>0</v>
      </c>
      <c r="FE176" s="139">
        <f t="shared" si="188"/>
        <v>0</v>
      </c>
      <c r="FF176" s="139">
        <f t="shared" si="189"/>
        <v>0</v>
      </c>
      <c r="FG176" s="139">
        <f t="shared" si="190"/>
        <v>0</v>
      </c>
      <c r="FH176" s="139">
        <f t="shared" si="191"/>
        <v>0</v>
      </c>
      <c r="FI176" s="139">
        <f t="shared" si="192"/>
        <v>0</v>
      </c>
      <c r="FJ176" s="139">
        <f t="shared" si="193"/>
        <v>0</v>
      </c>
      <c r="FK176" s="139">
        <f t="shared" si="194"/>
        <v>0</v>
      </c>
      <c r="FL176" s="139">
        <f t="shared" si="195"/>
        <v>0</v>
      </c>
      <c r="FM176" s="139">
        <f t="shared" si="196"/>
        <v>0</v>
      </c>
      <c r="FN176" s="139">
        <f t="shared" si="197"/>
        <v>0</v>
      </c>
      <c r="FO176" s="139">
        <f t="shared" si="198"/>
        <v>0</v>
      </c>
      <c r="FP176" s="139">
        <f t="shared" si="199"/>
        <v>0</v>
      </c>
      <c r="FQ176" s="139">
        <f t="shared" si="200"/>
        <v>0</v>
      </c>
      <c r="FR176" s="139">
        <f t="shared" si="201"/>
        <v>0</v>
      </c>
      <c r="FS176" s="139">
        <f t="shared" si="202"/>
        <v>0</v>
      </c>
      <c r="FT176" s="139">
        <f t="shared" si="203"/>
        <v>0</v>
      </c>
      <c r="FU176" s="148">
        <f t="shared" si="204"/>
        <v>7.0071471799690448</v>
      </c>
      <c r="FV176" s="149"/>
      <c r="FY176" s="212">
        <v>171</v>
      </c>
      <c r="FZ176">
        <v>35.982330776673052</v>
      </c>
      <c r="GA176">
        <v>75.902826718408903</v>
      </c>
      <c r="GB176">
        <v>45.776591784358089</v>
      </c>
      <c r="GC176">
        <v>19.424614265905895</v>
      </c>
      <c r="GD176">
        <v>10.719992053473957</v>
      </c>
      <c r="GE176">
        <v>15.576819289562179</v>
      </c>
      <c r="GF176">
        <v>15.691307345130969</v>
      </c>
      <c r="GG176">
        <v>11.831083153597275</v>
      </c>
      <c r="GH176">
        <v>18.334933350001904</v>
      </c>
      <c r="GI176">
        <v>28.684839919947152</v>
      </c>
      <c r="GJ176"/>
      <c r="GK176"/>
      <c r="GL176"/>
      <c r="GM176"/>
    </row>
    <row r="177" spans="1:195" s="7" customFormat="1">
      <c r="A177" s="1"/>
      <c r="B177" s="76">
        <f ca="1">IF(C177="", "", RAND())</f>
        <v>0.16945968486257668</v>
      </c>
      <c r="C177">
        <v>6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802.72699020793561</v>
      </c>
      <c r="AO177">
        <v>53.869686199879268</v>
      </c>
      <c r="AP177">
        <v>44.363719296666297</v>
      </c>
      <c r="AQ177">
        <v>378.3246853915515</v>
      </c>
      <c r="AR177">
        <v>51.831384446908302</v>
      </c>
      <c r="AS177">
        <v>452.22244839246025</v>
      </c>
      <c r="AT177">
        <v>26.453275759261899</v>
      </c>
      <c r="AU177">
        <v>-82.423797103672598</v>
      </c>
      <c r="AV177"/>
      <c r="AW177"/>
      <c r="AX177" s="146"/>
      <c r="AY177" s="76">
        <f t="shared" ca="1" si="170"/>
        <v>0.70492310749226217</v>
      </c>
      <c r="AZ177">
        <v>10</v>
      </c>
      <c r="BA177" s="129">
        <f t="shared" si="244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5"/>
        <v>0.72892272004939151</v>
      </c>
      <c r="CL177" s="179">
        <f t="shared" si="206"/>
        <v>10</v>
      </c>
      <c r="CM177" s="180">
        <f t="shared" si="207"/>
        <v>39949</v>
      </c>
      <c r="CN177">
        <v>0</v>
      </c>
      <c r="CO177">
        <v>0</v>
      </c>
      <c r="CP177">
        <v>3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8"/>
        <v>9.6000000000000002E-2</v>
      </c>
      <c r="DB177" s="146"/>
      <c r="DC177" s="76">
        <f t="shared" ca="1" si="171"/>
        <v>0.94633032778606818</v>
      </c>
      <c r="DD177">
        <f t="shared" si="209"/>
        <v>10</v>
      </c>
      <c r="DE177" s="129">
        <f t="shared" si="243"/>
        <v>39949</v>
      </c>
      <c r="DF177" s="161">
        <f t="shared" si="210"/>
        <v>0</v>
      </c>
      <c r="DG177" s="161">
        <f t="shared" si="211"/>
        <v>0</v>
      </c>
      <c r="DH177" s="161">
        <f t="shared" si="212"/>
        <v>179.59770114942526</v>
      </c>
      <c r="DI177" s="161">
        <f t="shared" si="213"/>
        <v>0</v>
      </c>
      <c r="DJ177" s="161">
        <f t="shared" si="214"/>
        <v>0</v>
      </c>
      <c r="DK177" s="161">
        <f t="shared" si="215"/>
        <v>0</v>
      </c>
      <c r="DL177" s="161">
        <f t="shared" si="216"/>
        <v>0</v>
      </c>
      <c r="DM177" s="161">
        <f t="shared" si="217"/>
        <v>0</v>
      </c>
      <c r="DN177" s="161">
        <f t="shared" si="218"/>
        <v>0</v>
      </c>
      <c r="DO177" s="161">
        <f t="shared" si="219"/>
        <v>0</v>
      </c>
      <c r="DP177" s="161">
        <f t="shared" si="220"/>
        <v>0</v>
      </c>
      <c r="DQ177" s="161">
        <f t="shared" si="221"/>
        <v>0</v>
      </c>
      <c r="DR177" s="161">
        <f t="shared" si="222"/>
        <v>0</v>
      </c>
      <c r="DS177" s="161">
        <f t="shared" si="223"/>
        <v>0</v>
      </c>
      <c r="DT177" s="161">
        <f t="shared" si="224"/>
        <v>0</v>
      </c>
      <c r="DU177" s="161">
        <f t="shared" si="225"/>
        <v>0</v>
      </c>
      <c r="DV177" s="161">
        <f t="shared" si="226"/>
        <v>0</v>
      </c>
      <c r="DW177" s="161">
        <f t="shared" si="227"/>
        <v>0</v>
      </c>
      <c r="DX177" s="161">
        <f t="shared" si="228"/>
        <v>0</v>
      </c>
      <c r="DY177" s="161">
        <f t="shared" si="229"/>
        <v>0</v>
      </c>
      <c r="DZ177" s="161">
        <f t="shared" si="230"/>
        <v>0</v>
      </c>
      <c r="EA177" s="161">
        <f t="shared" si="231"/>
        <v>0</v>
      </c>
      <c r="EB177" s="161">
        <f t="shared" si="232"/>
        <v>0</v>
      </c>
      <c r="EC177" s="161">
        <f t="shared" si="233"/>
        <v>0</v>
      </c>
      <c r="ED177" s="161">
        <f t="shared" si="234"/>
        <v>0</v>
      </c>
      <c r="EE177" s="161">
        <f t="shared" si="235"/>
        <v>0</v>
      </c>
      <c r="EF177" s="161">
        <f t="shared" si="236"/>
        <v>0</v>
      </c>
      <c r="EG177" s="161">
        <f t="shared" si="237"/>
        <v>0</v>
      </c>
      <c r="EH177" s="161">
        <f t="shared" si="238"/>
        <v>0</v>
      </c>
      <c r="EI177" s="161">
        <f t="shared" si="239"/>
        <v>0</v>
      </c>
      <c r="EJ177" s="161">
        <f t="shared" si="240"/>
        <v>0</v>
      </c>
      <c r="EK177" s="147">
        <f t="shared" si="172"/>
        <v>179.59770114942526</v>
      </c>
      <c r="EL177" s="149"/>
      <c r="EN177" s="146"/>
      <c r="EO177" s="146"/>
      <c r="EP177" s="139">
        <f t="shared" si="173"/>
        <v>0</v>
      </c>
      <c r="EQ177" s="139">
        <f t="shared" si="174"/>
        <v>0</v>
      </c>
      <c r="ER177" s="139">
        <f t="shared" si="175"/>
        <v>8.3823656409348235</v>
      </c>
      <c r="ES177" s="139">
        <f t="shared" si="176"/>
        <v>0</v>
      </c>
      <c r="ET177" s="139">
        <f t="shared" si="177"/>
        <v>0</v>
      </c>
      <c r="EU177" s="139">
        <f t="shared" si="178"/>
        <v>0</v>
      </c>
      <c r="EV177" s="139">
        <f t="shared" si="179"/>
        <v>0</v>
      </c>
      <c r="EW177" s="139">
        <f t="shared" si="180"/>
        <v>0</v>
      </c>
      <c r="EX177" s="139">
        <f t="shared" si="181"/>
        <v>0</v>
      </c>
      <c r="EY177" s="139">
        <f t="shared" si="182"/>
        <v>0</v>
      </c>
      <c r="EZ177" s="139">
        <f t="shared" si="183"/>
        <v>0</v>
      </c>
      <c r="FA177" s="139">
        <f t="shared" si="184"/>
        <v>0</v>
      </c>
      <c r="FB177" s="139">
        <f t="shared" si="185"/>
        <v>0</v>
      </c>
      <c r="FC177" s="139">
        <f t="shared" si="186"/>
        <v>0</v>
      </c>
      <c r="FD177" s="139">
        <f t="shared" si="187"/>
        <v>0</v>
      </c>
      <c r="FE177" s="139">
        <f t="shared" si="188"/>
        <v>0</v>
      </c>
      <c r="FF177" s="139">
        <f t="shared" si="189"/>
        <v>0</v>
      </c>
      <c r="FG177" s="139">
        <f t="shared" si="190"/>
        <v>0</v>
      </c>
      <c r="FH177" s="139">
        <f t="shared" si="191"/>
        <v>0</v>
      </c>
      <c r="FI177" s="139">
        <f t="shared" si="192"/>
        <v>0</v>
      </c>
      <c r="FJ177" s="139">
        <f t="shared" si="193"/>
        <v>0</v>
      </c>
      <c r="FK177" s="139">
        <f t="shared" si="194"/>
        <v>0</v>
      </c>
      <c r="FL177" s="139">
        <f t="shared" si="195"/>
        <v>0</v>
      </c>
      <c r="FM177" s="139">
        <f t="shared" si="196"/>
        <v>0</v>
      </c>
      <c r="FN177" s="139">
        <f t="shared" si="197"/>
        <v>0</v>
      </c>
      <c r="FO177" s="139">
        <f t="shared" si="198"/>
        <v>0</v>
      </c>
      <c r="FP177" s="139">
        <f t="shared" si="199"/>
        <v>0</v>
      </c>
      <c r="FQ177" s="139">
        <f t="shared" si="200"/>
        <v>0</v>
      </c>
      <c r="FR177" s="139">
        <f t="shared" si="201"/>
        <v>0</v>
      </c>
      <c r="FS177" s="139">
        <f t="shared" si="202"/>
        <v>0</v>
      </c>
      <c r="FT177" s="139">
        <f t="shared" si="203"/>
        <v>0</v>
      </c>
      <c r="FU177" s="148">
        <f t="shared" si="204"/>
        <v>8.3823656409348235</v>
      </c>
      <c r="FV177" s="149"/>
      <c r="FY177" s="212">
        <v>172</v>
      </c>
      <c r="FZ177">
        <v>47.500413394394684</v>
      </c>
      <c r="GA177">
        <v>116.9455890136591</v>
      </c>
      <c r="GB177">
        <v>66.677968241277696</v>
      </c>
      <c r="GC177">
        <v>20.080397212219474</v>
      </c>
      <c r="GD177">
        <v>11.254298438707842</v>
      </c>
      <c r="GE177">
        <v>12.034319319510137</v>
      </c>
      <c r="GF177">
        <v>20.804247542576466</v>
      </c>
      <c r="GG177">
        <v>22.043648086924527</v>
      </c>
      <c r="GH177">
        <v>22.363644764471836</v>
      </c>
      <c r="GI177">
        <v>37.558655617445332</v>
      </c>
      <c r="GJ177"/>
      <c r="GK177"/>
      <c r="GL177"/>
      <c r="GM177"/>
    </row>
    <row r="178" spans="1:195" s="7" customFormat="1">
      <c r="A178" s="128"/>
      <c r="B178" s="76">
        <f ca="1">IF(C178="", "", RAND())</f>
        <v>8.4875386517153817E-2</v>
      </c>
      <c r="C178">
        <v>2</v>
      </c>
      <c r="D178">
        <v>39987</v>
      </c>
      <c r="E178">
        <v>0</v>
      </c>
      <c r="F178">
        <v>0</v>
      </c>
      <c r="G178">
        <v>57.779947916666664</v>
      </c>
      <c r="H178">
        <v>0</v>
      </c>
      <c r="I178">
        <v>0</v>
      </c>
      <c r="J178">
        <v>0</v>
      </c>
      <c r="K178">
        <v>10.416666666666666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745.87625825049759</v>
      </c>
      <c r="AO178">
        <v>52.897880721668784</v>
      </c>
      <c r="AP178">
        <v>58.973904084232167</v>
      </c>
      <c r="AQ178">
        <v>364.28622681690388</v>
      </c>
      <c r="AR178">
        <v>51.299276444304681</v>
      </c>
      <c r="AS178">
        <v>418.24020527263008</v>
      </c>
      <c r="AT178">
        <v>25.768071721423293</v>
      </c>
      <c r="AU178">
        <v>-49.300968882362909</v>
      </c>
      <c r="AV178"/>
      <c r="AW178"/>
      <c r="AX178" s="128"/>
      <c r="AY178" s="76">
        <f t="shared" ca="1" si="170"/>
        <v>0.40943778792753438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1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5"/>
        <v>0.36868271730346502</v>
      </c>
      <c r="CL178" s="179">
        <f t="shared" si="206"/>
        <v>1</v>
      </c>
      <c r="CM178" s="180">
        <f t="shared" si="207"/>
        <v>39987</v>
      </c>
      <c r="CN178">
        <v>0</v>
      </c>
      <c r="CO178">
        <v>0</v>
      </c>
      <c r="CP178">
        <v>2</v>
      </c>
      <c r="CQ178">
        <v>1</v>
      </c>
      <c r="CR178">
        <v>1</v>
      </c>
      <c r="CS178">
        <v>0</v>
      </c>
      <c r="CT178">
        <v>1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8"/>
        <v>9.6000000000000002E-2</v>
      </c>
      <c r="DB178" s="128"/>
      <c r="DC178" s="76">
        <f t="shared" ca="1" si="171"/>
        <v>0.44678006462816655</v>
      </c>
      <c r="DD178">
        <f t="shared" si="209"/>
        <v>1</v>
      </c>
      <c r="DE178" s="129">
        <f t="shared" ref="DE178:DE187" si="245">IF((DD178)="", "", $C$13)</f>
        <v>39987</v>
      </c>
      <c r="DF178" s="161">
        <f t="shared" si="210"/>
        <v>0</v>
      </c>
      <c r="DG178" s="161">
        <f t="shared" si="211"/>
        <v>0</v>
      </c>
      <c r="DH178" s="161">
        <f t="shared" si="212"/>
        <v>155.1418439716312</v>
      </c>
      <c r="DI178" s="161">
        <f t="shared" si="213"/>
        <v>87.987588652482273</v>
      </c>
      <c r="DJ178" s="161">
        <f t="shared" si="214"/>
        <v>77.570921985815602</v>
      </c>
      <c r="DK178" s="161">
        <f t="shared" si="215"/>
        <v>0</v>
      </c>
      <c r="DL178" s="161">
        <f t="shared" si="216"/>
        <v>77.570921985815602</v>
      </c>
      <c r="DM178" s="161">
        <f t="shared" si="217"/>
        <v>0</v>
      </c>
      <c r="DN178" s="161">
        <f t="shared" si="218"/>
        <v>0</v>
      </c>
      <c r="DO178" s="161">
        <f t="shared" si="219"/>
        <v>0</v>
      </c>
      <c r="DP178" s="161">
        <f t="shared" si="220"/>
        <v>0</v>
      </c>
      <c r="DQ178" s="161">
        <f t="shared" si="221"/>
        <v>0</v>
      </c>
      <c r="DR178" s="161">
        <f t="shared" si="222"/>
        <v>0</v>
      </c>
      <c r="DS178" s="161">
        <f t="shared" si="223"/>
        <v>0</v>
      </c>
      <c r="DT178" s="161">
        <f t="shared" si="224"/>
        <v>0</v>
      </c>
      <c r="DU178" s="161">
        <f t="shared" si="225"/>
        <v>0</v>
      </c>
      <c r="DV178" s="161">
        <f t="shared" si="226"/>
        <v>0</v>
      </c>
      <c r="DW178" s="161">
        <f t="shared" si="227"/>
        <v>0</v>
      </c>
      <c r="DX178" s="161">
        <f t="shared" si="228"/>
        <v>0</v>
      </c>
      <c r="DY178" s="161">
        <f t="shared" si="229"/>
        <v>0</v>
      </c>
      <c r="DZ178" s="161">
        <f t="shared" si="230"/>
        <v>0</v>
      </c>
      <c r="EA178" s="161">
        <f t="shared" si="231"/>
        <v>0</v>
      </c>
      <c r="EB178" s="161">
        <f t="shared" si="232"/>
        <v>0</v>
      </c>
      <c r="EC178" s="161">
        <f t="shared" si="233"/>
        <v>0</v>
      </c>
      <c r="ED178" s="161">
        <f t="shared" si="234"/>
        <v>0</v>
      </c>
      <c r="EE178" s="161">
        <f t="shared" si="235"/>
        <v>0</v>
      </c>
      <c r="EF178" s="161">
        <f t="shared" si="236"/>
        <v>0</v>
      </c>
      <c r="EG178" s="161">
        <f t="shared" si="237"/>
        <v>0</v>
      </c>
      <c r="EH178" s="161">
        <f t="shared" si="238"/>
        <v>0</v>
      </c>
      <c r="EI178" s="161">
        <f t="shared" si="239"/>
        <v>0</v>
      </c>
      <c r="EJ178" s="161">
        <f t="shared" si="240"/>
        <v>0</v>
      </c>
      <c r="EK178" s="147">
        <f t="shared" si="172"/>
        <v>398.27127659574467</v>
      </c>
      <c r="EL178" s="149"/>
      <c r="EN178" s="146"/>
      <c r="EO178" s="146"/>
      <c r="EP178" s="139">
        <f t="shared" si="173"/>
        <v>0</v>
      </c>
      <c r="EQ178" s="139">
        <f t="shared" si="174"/>
        <v>0</v>
      </c>
      <c r="ER178" s="139">
        <f t="shared" si="175"/>
        <v>7.2409371281266779</v>
      </c>
      <c r="ES178" s="139">
        <f t="shared" si="176"/>
        <v>12.227813929677662</v>
      </c>
      <c r="ET178" s="139">
        <f t="shared" si="177"/>
        <v>23.379568920981196</v>
      </c>
      <c r="EU178" s="139">
        <f t="shared" si="178"/>
        <v>0</v>
      </c>
      <c r="EV178" s="139">
        <f t="shared" si="179"/>
        <v>69.61423858958284</v>
      </c>
      <c r="EW178" s="139">
        <f t="shared" si="180"/>
        <v>0</v>
      </c>
      <c r="EX178" s="139">
        <f t="shared" si="181"/>
        <v>0</v>
      </c>
      <c r="EY178" s="139">
        <f t="shared" si="182"/>
        <v>0</v>
      </c>
      <c r="EZ178" s="139">
        <f t="shared" si="183"/>
        <v>0</v>
      </c>
      <c r="FA178" s="139">
        <f t="shared" si="184"/>
        <v>0</v>
      </c>
      <c r="FB178" s="139">
        <f t="shared" si="185"/>
        <v>0</v>
      </c>
      <c r="FC178" s="139">
        <f t="shared" si="186"/>
        <v>0</v>
      </c>
      <c r="FD178" s="139">
        <f t="shared" si="187"/>
        <v>0</v>
      </c>
      <c r="FE178" s="139">
        <f t="shared" si="188"/>
        <v>0</v>
      </c>
      <c r="FF178" s="139">
        <f t="shared" si="189"/>
        <v>0</v>
      </c>
      <c r="FG178" s="139">
        <f t="shared" si="190"/>
        <v>0</v>
      </c>
      <c r="FH178" s="139">
        <f t="shared" si="191"/>
        <v>0</v>
      </c>
      <c r="FI178" s="139">
        <f t="shared" si="192"/>
        <v>0</v>
      </c>
      <c r="FJ178" s="139">
        <f t="shared" si="193"/>
        <v>0</v>
      </c>
      <c r="FK178" s="139">
        <f t="shared" si="194"/>
        <v>0</v>
      </c>
      <c r="FL178" s="139">
        <f t="shared" si="195"/>
        <v>0</v>
      </c>
      <c r="FM178" s="139">
        <f t="shared" si="196"/>
        <v>0</v>
      </c>
      <c r="FN178" s="139">
        <f t="shared" si="197"/>
        <v>0</v>
      </c>
      <c r="FO178" s="139">
        <f t="shared" si="198"/>
        <v>0</v>
      </c>
      <c r="FP178" s="139">
        <f t="shared" si="199"/>
        <v>0</v>
      </c>
      <c r="FQ178" s="139">
        <f t="shared" si="200"/>
        <v>0</v>
      </c>
      <c r="FR178" s="139">
        <f t="shared" si="201"/>
        <v>0</v>
      </c>
      <c r="FS178" s="139">
        <f t="shared" si="202"/>
        <v>0</v>
      </c>
      <c r="FT178" s="139">
        <f t="shared" si="203"/>
        <v>0</v>
      </c>
      <c r="FU178" s="148">
        <f t="shared" si="204"/>
        <v>112.46255856836838</v>
      </c>
      <c r="FV178" s="149"/>
      <c r="FY178" s="212">
        <v>173</v>
      </c>
      <c r="FZ178">
        <v>50.802140569332764</v>
      </c>
      <c r="GA178">
        <v>137.43160104276913</v>
      </c>
      <c r="GB178">
        <v>70.820228750416007</v>
      </c>
      <c r="GC178">
        <v>16.170023728128488</v>
      </c>
      <c r="GD178">
        <v>11.466681543905217</v>
      </c>
      <c r="GE178">
        <v>15.475728583500363</v>
      </c>
      <c r="GF178">
        <v>7.9020181183925997</v>
      </c>
      <c r="GG178">
        <v>12.427244544074789</v>
      </c>
      <c r="GH178">
        <v>29.69086947815401</v>
      </c>
      <c r="GI178">
        <v>37.927295007133971</v>
      </c>
      <c r="GJ178"/>
      <c r="GK178"/>
      <c r="GL178"/>
      <c r="GM178"/>
    </row>
    <row r="179" spans="1:195" s="7" customFormat="1">
      <c r="A179" s="1"/>
      <c r="B179" s="76">
        <f ca="1">IF(C179="", "", RAND())</f>
        <v>0.92537331191459415</v>
      </c>
      <c r="C179">
        <v>8</v>
      </c>
      <c r="D179">
        <v>39987</v>
      </c>
      <c r="E179">
        <v>0</v>
      </c>
      <c r="F179">
        <v>56.089743589743591</v>
      </c>
      <c r="G179">
        <v>56.089743589743591</v>
      </c>
      <c r="H179">
        <v>66.506410256410263</v>
      </c>
      <c r="I179">
        <v>56.089743589743591</v>
      </c>
      <c r="J179">
        <v>10.416666666666666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701.00968370500357</v>
      </c>
      <c r="AO179">
        <v>48.580098943697777</v>
      </c>
      <c r="AP179">
        <v>49.131627729859545</v>
      </c>
      <c r="AQ179">
        <v>340.03559228925104</v>
      </c>
      <c r="AR179">
        <v>48.147861248676961</v>
      </c>
      <c r="AS179">
        <v>391.82105532529692</v>
      </c>
      <c r="AT179">
        <v>23.746189479368851</v>
      </c>
      <c r="AU179">
        <v>-36.363411248752008</v>
      </c>
      <c r="AV179"/>
      <c r="AW179"/>
      <c r="AX179" s="146"/>
      <c r="AY179" s="76">
        <f t="shared" ca="1" si="170"/>
        <v>0.34068289264249718</v>
      </c>
      <c r="AZ179">
        <v>2</v>
      </c>
      <c r="BA179" s="129">
        <f t="shared" ref="BA179:BA187" si="246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1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5"/>
        <v>0.96263967081097546</v>
      </c>
      <c r="CL179" s="179">
        <f t="shared" si="206"/>
        <v>2</v>
      </c>
      <c r="CM179" s="180">
        <f t="shared" si="207"/>
        <v>39987</v>
      </c>
      <c r="CN179">
        <v>0</v>
      </c>
      <c r="CO179">
        <v>0</v>
      </c>
      <c r="CP179">
        <v>1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08"/>
        <v>9.6000000000000002E-2</v>
      </c>
      <c r="DB179" s="146"/>
      <c r="DC179" s="76">
        <f t="shared" ca="1" si="171"/>
        <v>7.984749699839222E-2</v>
      </c>
      <c r="DD179">
        <f t="shared" si="209"/>
        <v>2</v>
      </c>
      <c r="DE179" s="129">
        <f t="shared" si="245"/>
        <v>39987</v>
      </c>
      <c r="DF179" s="161">
        <f t="shared" si="210"/>
        <v>0</v>
      </c>
      <c r="DG179" s="161">
        <f t="shared" si="211"/>
        <v>0</v>
      </c>
      <c r="DH179" s="161">
        <f t="shared" si="212"/>
        <v>57.779947916666664</v>
      </c>
      <c r="DI179" s="161">
        <f t="shared" si="213"/>
        <v>0</v>
      </c>
      <c r="DJ179" s="161">
        <f t="shared" si="214"/>
        <v>0</v>
      </c>
      <c r="DK179" s="161">
        <f t="shared" si="215"/>
        <v>0</v>
      </c>
      <c r="DL179" s="161">
        <f t="shared" si="216"/>
        <v>10.416666666666666</v>
      </c>
      <c r="DM179" s="161">
        <f t="shared" si="217"/>
        <v>0</v>
      </c>
      <c r="DN179" s="161">
        <f t="shared" si="218"/>
        <v>0</v>
      </c>
      <c r="DO179" s="161">
        <f t="shared" si="219"/>
        <v>0</v>
      </c>
      <c r="DP179" s="161">
        <f t="shared" si="220"/>
        <v>0</v>
      </c>
      <c r="DQ179" s="161">
        <f t="shared" si="221"/>
        <v>0</v>
      </c>
      <c r="DR179" s="161">
        <f t="shared" si="222"/>
        <v>0</v>
      </c>
      <c r="DS179" s="161">
        <f t="shared" si="223"/>
        <v>0</v>
      </c>
      <c r="DT179" s="161">
        <f t="shared" si="224"/>
        <v>0</v>
      </c>
      <c r="DU179" s="161">
        <f t="shared" si="225"/>
        <v>0</v>
      </c>
      <c r="DV179" s="161">
        <f t="shared" si="226"/>
        <v>0</v>
      </c>
      <c r="DW179" s="161">
        <f t="shared" si="227"/>
        <v>0</v>
      </c>
      <c r="DX179" s="161">
        <f t="shared" si="228"/>
        <v>0</v>
      </c>
      <c r="DY179" s="161">
        <f t="shared" si="229"/>
        <v>0</v>
      </c>
      <c r="DZ179" s="161">
        <f t="shared" si="230"/>
        <v>0</v>
      </c>
      <c r="EA179" s="161">
        <f t="shared" si="231"/>
        <v>0</v>
      </c>
      <c r="EB179" s="161">
        <f t="shared" si="232"/>
        <v>0</v>
      </c>
      <c r="EC179" s="161">
        <f t="shared" si="233"/>
        <v>0</v>
      </c>
      <c r="ED179" s="161">
        <f t="shared" si="234"/>
        <v>0</v>
      </c>
      <c r="EE179" s="161">
        <f t="shared" si="235"/>
        <v>0</v>
      </c>
      <c r="EF179" s="161">
        <f t="shared" si="236"/>
        <v>0</v>
      </c>
      <c r="EG179" s="161">
        <f t="shared" si="237"/>
        <v>0</v>
      </c>
      <c r="EH179" s="161">
        <f t="shared" si="238"/>
        <v>0</v>
      </c>
      <c r="EI179" s="161">
        <f t="shared" si="239"/>
        <v>0</v>
      </c>
      <c r="EJ179" s="161">
        <f t="shared" si="240"/>
        <v>0</v>
      </c>
      <c r="EK179" s="147">
        <f t="shared" si="172"/>
        <v>68.196614583333329</v>
      </c>
      <c r="EL179" s="149"/>
      <c r="EN179" s="146"/>
      <c r="EO179" s="146"/>
      <c r="EP179" s="139">
        <f t="shared" si="173"/>
        <v>0</v>
      </c>
      <c r="EQ179" s="139">
        <f t="shared" si="174"/>
        <v>0</v>
      </c>
      <c r="ER179" s="139">
        <f t="shared" si="175"/>
        <v>2.6967641960445001</v>
      </c>
      <c r="ES179" s="139">
        <f t="shared" si="176"/>
        <v>0</v>
      </c>
      <c r="ET179" s="139">
        <f t="shared" si="177"/>
        <v>0</v>
      </c>
      <c r="EU179" s="139">
        <f t="shared" si="178"/>
        <v>0</v>
      </c>
      <c r="EV179" s="139">
        <f t="shared" si="179"/>
        <v>9.3481977534582672</v>
      </c>
      <c r="EW179" s="139">
        <f t="shared" si="180"/>
        <v>0</v>
      </c>
      <c r="EX179" s="139">
        <f t="shared" si="181"/>
        <v>0</v>
      </c>
      <c r="EY179" s="139">
        <f t="shared" si="182"/>
        <v>0</v>
      </c>
      <c r="EZ179" s="139">
        <f t="shared" si="183"/>
        <v>0</v>
      </c>
      <c r="FA179" s="139">
        <f t="shared" si="184"/>
        <v>0</v>
      </c>
      <c r="FB179" s="139">
        <f t="shared" si="185"/>
        <v>0</v>
      </c>
      <c r="FC179" s="139">
        <f t="shared" si="186"/>
        <v>0</v>
      </c>
      <c r="FD179" s="139">
        <f t="shared" si="187"/>
        <v>0</v>
      </c>
      <c r="FE179" s="139">
        <f t="shared" si="188"/>
        <v>0</v>
      </c>
      <c r="FF179" s="139">
        <f t="shared" si="189"/>
        <v>0</v>
      </c>
      <c r="FG179" s="139">
        <f t="shared" si="190"/>
        <v>0</v>
      </c>
      <c r="FH179" s="139">
        <f t="shared" si="191"/>
        <v>0</v>
      </c>
      <c r="FI179" s="139">
        <f t="shared" si="192"/>
        <v>0</v>
      </c>
      <c r="FJ179" s="139">
        <f t="shared" si="193"/>
        <v>0</v>
      </c>
      <c r="FK179" s="139">
        <f t="shared" si="194"/>
        <v>0</v>
      </c>
      <c r="FL179" s="139">
        <f t="shared" si="195"/>
        <v>0</v>
      </c>
      <c r="FM179" s="139">
        <f t="shared" si="196"/>
        <v>0</v>
      </c>
      <c r="FN179" s="139">
        <f t="shared" si="197"/>
        <v>0</v>
      </c>
      <c r="FO179" s="139">
        <f t="shared" si="198"/>
        <v>0</v>
      </c>
      <c r="FP179" s="139">
        <f t="shared" si="199"/>
        <v>0</v>
      </c>
      <c r="FQ179" s="139">
        <f t="shared" si="200"/>
        <v>0</v>
      </c>
      <c r="FR179" s="139">
        <f t="shared" si="201"/>
        <v>0</v>
      </c>
      <c r="FS179" s="139">
        <f t="shared" si="202"/>
        <v>0</v>
      </c>
      <c r="FT179" s="139">
        <f t="shared" si="203"/>
        <v>0</v>
      </c>
      <c r="FU179" s="148">
        <f t="shared" si="204"/>
        <v>12.044961949502767</v>
      </c>
      <c r="FV179" s="149"/>
      <c r="FY179" s="212">
        <v>174</v>
      </c>
      <c r="FZ179">
        <v>34.68358069737257</v>
      </c>
      <c r="GA179">
        <v>105.46678385594721</v>
      </c>
      <c r="GB179">
        <v>50.568532969474361</v>
      </c>
      <c r="GC179">
        <v>14.752806127450791</v>
      </c>
      <c r="GD179">
        <v>11.984926149525492</v>
      </c>
      <c r="GE179">
        <v>19.153096354641182</v>
      </c>
      <c r="GF179">
        <v>34.6012545542971</v>
      </c>
      <c r="GG179">
        <v>29.262571467033837</v>
      </c>
      <c r="GH179">
        <v>22.514044455916505</v>
      </c>
      <c r="GI179">
        <v>34.564426014479857</v>
      </c>
      <c r="GJ179"/>
      <c r="GK179"/>
      <c r="GL179"/>
      <c r="GM179"/>
    </row>
    <row r="180" spans="1:195" s="7" customFormat="1">
      <c r="A180" s="1"/>
      <c r="B180" s="76">
        <f ca="1">IF(C180="", "", RAND())</f>
        <v>0.44168903715110752</v>
      </c>
      <c r="C180">
        <v>9</v>
      </c>
      <c r="D180">
        <v>39987</v>
      </c>
      <c r="E180">
        <v>0</v>
      </c>
      <c r="F180">
        <v>0</v>
      </c>
      <c r="G180">
        <v>0</v>
      </c>
      <c r="H180">
        <v>10.416666666666666</v>
      </c>
      <c r="I180">
        <v>10.416666666666666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950.05280442068363</v>
      </c>
      <c r="AO180">
        <v>59.723414132710786</v>
      </c>
      <c r="AP180">
        <v>51.247201216505488</v>
      </c>
      <c r="AQ180">
        <v>409.87726968506286</v>
      </c>
      <c r="AR180">
        <v>56.812506615155499</v>
      </c>
      <c r="AS180">
        <v>469.42065076447949</v>
      </c>
      <c r="AT180">
        <v>28.367081569072116</v>
      </c>
      <c r="AU180">
        <v>-104.85707656744421</v>
      </c>
      <c r="AV180"/>
      <c r="AW180"/>
      <c r="AX180" s="146"/>
      <c r="AY180" s="76">
        <f t="shared" ca="1" si="170"/>
        <v>0.35336357994505008</v>
      </c>
      <c r="AZ180">
        <v>3</v>
      </c>
      <c r="BA180" s="129">
        <f t="shared" si="246"/>
        <v>39987</v>
      </c>
      <c r="BB180">
        <v>0</v>
      </c>
      <c r="BC180">
        <v>0</v>
      </c>
      <c r="BD180">
        <v>0</v>
      </c>
      <c r="BE180">
        <v>0</v>
      </c>
      <c r="BF180">
        <v>2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5"/>
        <v>0.12454154626641678</v>
      </c>
      <c r="CL180" s="179">
        <f t="shared" si="206"/>
        <v>3</v>
      </c>
      <c r="CM180" s="180">
        <f t="shared" si="207"/>
        <v>39987</v>
      </c>
      <c r="CN180">
        <v>0</v>
      </c>
      <c r="CO180">
        <v>1</v>
      </c>
      <c r="CP180">
        <v>2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8"/>
        <v>9.6000000000000002E-2</v>
      </c>
      <c r="DB180" s="146"/>
      <c r="DC180" s="76">
        <f t="shared" ca="1" si="171"/>
        <v>0.39914438306724431</v>
      </c>
      <c r="DD180">
        <f t="shared" si="209"/>
        <v>3</v>
      </c>
      <c r="DE180" s="129">
        <f t="shared" si="245"/>
        <v>39987</v>
      </c>
      <c r="DF180" s="161">
        <f t="shared" si="210"/>
        <v>0</v>
      </c>
      <c r="DG180" s="161">
        <f t="shared" si="211"/>
        <v>67.51543209876543</v>
      </c>
      <c r="DH180" s="161">
        <f t="shared" si="212"/>
        <v>135.03086419753086</v>
      </c>
      <c r="DI180" s="161">
        <f t="shared" si="213"/>
        <v>0</v>
      </c>
      <c r="DJ180" s="161">
        <f t="shared" si="214"/>
        <v>20.833333333333332</v>
      </c>
      <c r="DK180" s="161">
        <f t="shared" si="215"/>
        <v>0</v>
      </c>
      <c r="DL180" s="161">
        <f t="shared" si="216"/>
        <v>0</v>
      </c>
      <c r="DM180" s="161">
        <f t="shared" si="217"/>
        <v>0</v>
      </c>
      <c r="DN180" s="161">
        <f t="shared" si="218"/>
        <v>0</v>
      </c>
      <c r="DO180" s="161">
        <f t="shared" si="219"/>
        <v>0</v>
      </c>
      <c r="DP180" s="161">
        <f t="shared" si="220"/>
        <v>0</v>
      </c>
      <c r="DQ180" s="161">
        <f t="shared" si="221"/>
        <v>0</v>
      </c>
      <c r="DR180" s="161">
        <f t="shared" si="222"/>
        <v>0</v>
      </c>
      <c r="DS180" s="161">
        <f t="shared" si="223"/>
        <v>0</v>
      </c>
      <c r="DT180" s="161">
        <f t="shared" si="224"/>
        <v>0</v>
      </c>
      <c r="DU180" s="161">
        <f t="shared" si="225"/>
        <v>0</v>
      </c>
      <c r="DV180" s="161">
        <f t="shared" si="226"/>
        <v>0</v>
      </c>
      <c r="DW180" s="161">
        <f t="shared" si="227"/>
        <v>0</v>
      </c>
      <c r="DX180" s="161">
        <f t="shared" si="228"/>
        <v>0</v>
      </c>
      <c r="DY180" s="161">
        <f t="shared" si="229"/>
        <v>0</v>
      </c>
      <c r="DZ180" s="161">
        <f t="shared" si="230"/>
        <v>0</v>
      </c>
      <c r="EA180" s="161">
        <f t="shared" si="231"/>
        <v>0</v>
      </c>
      <c r="EB180" s="161">
        <f t="shared" si="232"/>
        <v>0</v>
      </c>
      <c r="EC180" s="161">
        <f t="shared" si="233"/>
        <v>0</v>
      </c>
      <c r="ED180" s="161">
        <f t="shared" si="234"/>
        <v>0</v>
      </c>
      <c r="EE180" s="161">
        <f t="shared" si="235"/>
        <v>0</v>
      </c>
      <c r="EF180" s="161">
        <f t="shared" si="236"/>
        <v>0</v>
      </c>
      <c r="EG180" s="161">
        <f t="shared" si="237"/>
        <v>0</v>
      </c>
      <c r="EH180" s="161">
        <f t="shared" si="238"/>
        <v>0</v>
      </c>
      <c r="EI180" s="161">
        <f t="shared" si="239"/>
        <v>0</v>
      </c>
      <c r="EJ180" s="161">
        <f t="shared" si="240"/>
        <v>0</v>
      </c>
      <c r="EK180" s="147">
        <f t="shared" si="172"/>
        <v>223.37962962962965</v>
      </c>
      <c r="EL180" s="149"/>
      <c r="EN180" s="146"/>
      <c r="EO180" s="146"/>
      <c r="EP180" s="139">
        <f t="shared" si="173"/>
        <v>0</v>
      </c>
      <c r="EQ180" s="139">
        <f t="shared" si="174"/>
        <v>0.48797453703703703</v>
      </c>
      <c r="ER180" s="139">
        <f t="shared" si="175"/>
        <v>6.3022971300361821</v>
      </c>
      <c r="ES180" s="139">
        <f t="shared" si="176"/>
        <v>0</v>
      </c>
      <c r="ET180" s="139">
        <f t="shared" si="177"/>
        <v>6.2790842244920917</v>
      </c>
      <c r="EU180" s="139">
        <f t="shared" si="178"/>
        <v>0</v>
      </c>
      <c r="EV180" s="139">
        <f t="shared" si="179"/>
        <v>0</v>
      </c>
      <c r="EW180" s="139">
        <f t="shared" si="180"/>
        <v>0</v>
      </c>
      <c r="EX180" s="139">
        <f t="shared" si="181"/>
        <v>0</v>
      </c>
      <c r="EY180" s="139">
        <f t="shared" si="182"/>
        <v>0</v>
      </c>
      <c r="EZ180" s="139">
        <f t="shared" si="183"/>
        <v>0</v>
      </c>
      <c r="FA180" s="139">
        <f t="shared" si="184"/>
        <v>0</v>
      </c>
      <c r="FB180" s="139">
        <f t="shared" si="185"/>
        <v>0</v>
      </c>
      <c r="FC180" s="139">
        <f t="shared" si="186"/>
        <v>0</v>
      </c>
      <c r="FD180" s="139">
        <f t="shared" si="187"/>
        <v>0</v>
      </c>
      <c r="FE180" s="139">
        <f t="shared" si="188"/>
        <v>0</v>
      </c>
      <c r="FF180" s="139">
        <f t="shared" si="189"/>
        <v>0</v>
      </c>
      <c r="FG180" s="139">
        <f t="shared" si="190"/>
        <v>0</v>
      </c>
      <c r="FH180" s="139">
        <f t="shared" si="191"/>
        <v>0</v>
      </c>
      <c r="FI180" s="139">
        <f t="shared" si="192"/>
        <v>0</v>
      </c>
      <c r="FJ180" s="139">
        <f t="shared" si="193"/>
        <v>0</v>
      </c>
      <c r="FK180" s="139">
        <f t="shared" si="194"/>
        <v>0</v>
      </c>
      <c r="FL180" s="139">
        <f t="shared" si="195"/>
        <v>0</v>
      </c>
      <c r="FM180" s="139">
        <f t="shared" si="196"/>
        <v>0</v>
      </c>
      <c r="FN180" s="139">
        <f t="shared" si="197"/>
        <v>0</v>
      </c>
      <c r="FO180" s="139">
        <f t="shared" si="198"/>
        <v>0</v>
      </c>
      <c r="FP180" s="139">
        <f t="shared" si="199"/>
        <v>0</v>
      </c>
      <c r="FQ180" s="139">
        <f t="shared" si="200"/>
        <v>0</v>
      </c>
      <c r="FR180" s="139">
        <f t="shared" si="201"/>
        <v>0</v>
      </c>
      <c r="FS180" s="139">
        <f t="shared" si="202"/>
        <v>0</v>
      </c>
      <c r="FT180" s="139">
        <f t="shared" si="203"/>
        <v>0</v>
      </c>
      <c r="FU180" s="148">
        <f t="shared" si="204"/>
        <v>13.069355891565312</v>
      </c>
      <c r="FV180" s="149"/>
      <c r="FY180" s="212">
        <v>175</v>
      </c>
      <c r="FZ180">
        <v>38.532105758439045</v>
      </c>
      <c r="GA180">
        <v>100.38395500520076</v>
      </c>
      <c r="GB180">
        <v>56.839917215052424</v>
      </c>
      <c r="GC180">
        <v>19.305087089373959</v>
      </c>
      <c r="GD180">
        <v>12.0668161664628</v>
      </c>
      <c r="GE180">
        <v>12.464538041638193</v>
      </c>
      <c r="GF180">
        <v>23.866103755622298</v>
      </c>
      <c r="GG180">
        <v>23.006383060213579</v>
      </c>
      <c r="GH180">
        <v>17.948063664995509</v>
      </c>
      <c r="GI180">
        <v>34.166273116822495</v>
      </c>
      <c r="GJ180"/>
      <c r="GK180"/>
      <c r="GL180"/>
      <c r="GM180"/>
    </row>
    <row r="181" spans="1:195" s="7" customFormat="1">
      <c r="A181" s="1"/>
      <c r="B181" s="76">
        <f ca="1">IF(C181="", "", RAND())</f>
        <v>0.27516819050797015</v>
      </c>
      <c r="C181">
        <v>4</v>
      </c>
      <c r="D181">
        <v>39987</v>
      </c>
      <c r="E181">
        <v>0</v>
      </c>
      <c r="F181">
        <v>0</v>
      </c>
      <c r="G181">
        <v>0</v>
      </c>
      <c r="H181">
        <v>88.922764227642276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715.06706909564616</v>
      </c>
      <c r="AO181">
        <v>45.389935385560236</v>
      </c>
      <c r="AP181">
        <v>56.392635759871673</v>
      </c>
      <c r="AQ181">
        <v>314.46056402871307</v>
      </c>
      <c r="AR181">
        <v>44.252794739078141</v>
      </c>
      <c r="AS181">
        <v>394.16714064948508</v>
      </c>
      <c r="AT181">
        <v>23.747527205333132</v>
      </c>
      <c r="AU181">
        <v>-56.133065456405177</v>
      </c>
      <c r="AV181"/>
      <c r="AW181"/>
      <c r="AX181" s="146"/>
      <c r="AY181" s="76">
        <f t="shared" ca="1" si="170"/>
        <v>0.98320962696974235</v>
      </c>
      <c r="AZ181">
        <v>4</v>
      </c>
      <c r="BA181" s="129">
        <f t="shared" si="246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5"/>
        <v>0.33897025685670212</v>
      </c>
      <c r="CL181" s="179">
        <f t="shared" si="206"/>
        <v>4</v>
      </c>
      <c r="CM181" s="180">
        <f t="shared" si="207"/>
        <v>39987</v>
      </c>
      <c r="CN181">
        <v>0</v>
      </c>
      <c r="CO181">
        <v>0</v>
      </c>
      <c r="CP181">
        <v>0</v>
      </c>
      <c r="CQ181">
        <v>1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08"/>
        <v>9.6000000000000002E-2</v>
      </c>
      <c r="DB181" s="146"/>
      <c r="DC181" s="76">
        <f t="shared" ca="1" si="171"/>
        <v>0.30404939932101538</v>
      </c>
      <c r="DD181">
        <f t="shared" si="209"/>
        <v>4</v>
      </c>
      <c r="DE181" s="129">
        <f t="shared" si="245"/>
        <v>39987</v>
      </c>
      <c r="DF181" s="161">
        <f t="shared" si="210"/>
        <v>0</v>
      </c>
      <c r="DG181" s="161">
        <f t="shared" si="211"/>
        <v>0</v>
      </c>
      <c r="DH181" s="161">
        <f t="shared" si="212"/>
        <v>0</v>
      </c>
      <c r="DI181" s="161">
        <f t="shared" si="213"/>
        <v>88.922764227642276</v>
      </c>
      <c r="DJ181" s="161">
        <f t="shared" si="214"/>
        <v>0</v>
      </c>
      <c r="DK181" s="161">
        <f t="shared" si="215"/>
        <v>0</v>
      </c>
      <c r="DL181" s="161">
        <f t="shared" si="216"/>
        <v>0</v>
      </c>
      <c r="DM181" s="161">
        <f t="shared" si="217"/>
        <v>0</v>
      </c>
      <c r="DN181" s="161">
        <f t="shared" si="218"/>
        <v>0</v>
      </c>
      <c r="DO181" s="161">
        <f t="shared" si="219"/>
        <v>0</v>
      </c>
      <c r="DP181" s="161">
        <f t="shared" si="220"/>
        <v>0</v>
      </c>
      <c r="DQ181" s="161">
        <f t="shared" si="221"/>
        <v>0</v>
      </c>
      <c r="DR181" s="161">
        <f t="shared" si="222"/>
        <v>0</v>
      </c>
      <c r="DS181" s="161">
        <f t="shared" si="223"/>
        <v>0</v>
      </c>
      <c r="DT181" s="161">
        <f t="shared" si="224"/>
        <v>0</v>
      </c>
      <c r="DU181" s="161">
        <f t="shared" si="225"/>
        <v>0</v>
      </c>
      <c r="DV181" s="161">
        <f t="shared" si="226"/>
        <v>0</v>
      </c>
      <c r="DW181" s="161">
        <f t="shared" si="227"/>
        <v>0</v>
      </c>
      <c r="DX181" s="161">
        <f t="shared" si="228"/>
        <v>0</v>
      </c>
      <c r="DY181" s="161">
        <f t="shared" si="229"/>
        <v>0</v>
      </c>
      <c r="DZ181" s="161">
        <f t="shared" si="230"/>
        <v>0</v>
      </c>
      <c r="EA181" s="161">
        <f t="shared" si="231"/>
        <v>0</v>
      </c>
      <c r="EB181" s="161">
        <f t="shared" si="232"/>
        <v>0</v>
      </c>
      <c r="EC181" s="161">
        <f t="shared" si="233"/>
        <v>0</v>
      </c>
      <c r="ED181" s="161">
        <f t="shared" si="234"/>
        <v>0</v>
      </c>
      <c r="EE181" s="161">
        <f t="shared" si="235"/>
        <v>0</v>
      </c>
      <c r="EF181" s="161">
        <f t="shared" si="236"/>
        <v>0</v>
      </c>
      <c r="EG181" s="161">
        <f t="shared" si="237"/>
        <v>0</v>
      </c>
      <c r="EH181" s="161">
        <f t="shared" si="238"/>
        <v>0</v>
      </c>
      <c r="EI181" s="161">
        <f t="shared" si="239"/>
        <v>0</v>
      </c>
      <c r="EJ181" s="161">
        <f t="shared" si="240"/>
        <v>0</v>
      </c>
      <c r="EK181" s="147">
        <f t="shared" si="172"/>
        <v>88.922764227642276</v>
      </c>
      <c r="EL181" s="149"/>
      <c r="EN181" s="146"/>
      <c r="EO181" s="146"/>
      <c r="EP181" s="139">
        <f t="shared" si="173"/>
        <v>0</v>
      </c>
      <c r="EQ181" s="139">
        <f t="shared" si="174"/>
        <v>0</v>
      </c>
      <c r="ER181" s="139">
        <f t="shared" si="175"/>
        <v>0</v>
      </c>
      <c r="ES181" s="139">
        <f t="shared" si="176"/>
        <v>12.357777179037754</v>
      </c>
      <c r="ET181" s="139">
        <f t="shared" si="177"/>
        <v>0</v>
      </c>
      <c r="EU181" s="139">
        <f t="shared" si="178"/>
        <v>0</v>
      </c>
      <c r="EV181" s="139">
        <f t="shared" si="179"/>
        <v>0</v>
      </c>
      <c r="EW181" s="139">
        <f t="shared" si="180"/>
        <v>0</v>
      </c>
      <c r="EX181" s="139">
        <f t="shared" si="181"/>
        <v>0</v>
      </c>
      <c r="EY181" s="139">
        <f t="shared" si="182"/>
        <v>0</v>
      </c>
      <c r="EZ181" s="139">
        <f t="shared" si="183"/>
        <v>0</v>
      </c>
      <c r="FA181" s="139">
        <f t="shared" si="184"/>
        <v>0</v>
      </c>
      <c r="FB181" s="139">
        <f t="shared" si="185"/>
        <v>0</v>
      </c>
      <c r="FC181" s="139">
        <f t="shared" si="186"/>
        <v>0</v>
      </c>
      <c r="FD181" s="139">
        <f t="shared" si="187"/>
        <v>0</v>
      </c>
      <c r="FE181" s="139">
        <f t="shared" si="188"/>
        <v>0</v>
      </c>
      <c r="FF181" s="139">
        <f t="shared" si="189"/>
        <v>0</v>
      </c>
      <c r="FG181" s="139">
        <f t="shared" si="190"/>
        <v>0</v>
      </c>
      <c r="FH181" s="139">
        <f t="shared" si="191"/>
        <v>0</v>
      </c>
      <c r="FI181" s="139">
        <f t="shared" si="192"/>
        <v>0</v>
      </c>
      <c r="FJ181" s="139">
        <f t="shared" si="193"/>
        <v>0</v>
      </c>
      <c r="FK181" s="139">
        <f t="shared" si="194"/>
        <v>0</v>
      </c>
      <c r="FL181" s="139">
        <f t="shared" si="195"/>
        <v>0</v>
      </c>
      <c r="FM181" s="139">
        <f t="shared" si="196"/>
        <v>0</v>
      </c>
      <c r="FN181" s="139">
        <f t="shared" si="197"/>
        <v>0</v>
      </c>
      <c r="FO181" s="139">
        <f t="shared" si="198"/>
        <v>0</v>
      </c>
      <c r="FP181" s="139">
        <f t="shared" si="199"/>
        <v>0</v>
      </c>
      <c r="FQ181" s="139">
        <f t="shared" si="200"/>
        <v>0</v>
      </c>
      <c r="FR181" s="139">
        <f t="shared" si="201"/>
        <v>0</v>
      </c>
      <c r="FS181" s="139">
        <f t="shared" si="202"/>
        <v>0</v>
      </c>
      <c r="FT181" s="139">
        <f t="shared" si="203"/>
        <v>0</v>
      </c>
      <c r="FU181" s="148">
        <f t="shared" si="204"/>
        <v>12.357777179037754</v>
      </c>
      <c r="FV181" s="149"/>
      <c r="FY181" s="212">
        <v>176</v>
      </c>
      <c r="FZ181">
        <v>48.298641694997201</v>
      </c>
      <c r="GA181">
        <v>82.126491418367394</v>
      </c>
      <c r="GB181">
        <v>49.257684569468047</v>
      </c>
      <c r="GC181">
        <v>20.505739871872134</v>
      </c>
      <c r="GD181">
        <v>13.222087056263412</v>
      </c>
      <c r="GE181">
        <v>18.921517775103318</v>
      </c>
      <c r="GF181">
        <v>34.204874332503479</v>
      </c>
      <c r="GG181">
        <v>33.669362973309347</v>
      </c>
      <c r="GH181">
        <v>28.373420168638344</v>
      </c>
      <c r="GI181">
        <v>37.812572438249774</v>
      </c>
      <c r="GJ181"/>
      <c r="GK181"/>
      <c r="GL181"/>
      <c r="GM181"/>
    </row>
    <row r="182" spans="1:195" s="7" customFormat="1">
      <c r="A182" s="1"/>
      <c r="B182" s="76">
        <f ca="1">IF(C182="", "", RAND())</f>
        <v>0.52641348223843387</v>
      </c>
      <c r="C182">
        <v>7</v>
      </c>
      <c r="D182">
        <v>39987</v>
      </c>
      <c r="E182">
        <v>0</v>
      </c>
      <c r="F182">
        <v>71.486928104575156</v>
      </c>
      <c r="G182">
        <v>285.94771241830063</v>
      </c>
      <c r="H182">
        <v>357.43464052287578</v>
      </c>
      <c r="I182">
        <v>71.486928104575156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604.27194260324165</v>
      </c>
      <c r="AO182">
        <v>41.515002829961077</v>
      </c>
      <c r="AP182">
        <v>53.739890659838082</v>
      </c>
      <c r="AQ182">
        <v>282.65180827910268</v>
      </c>
      <c r="AR182">
        <v>40.375261507836335</v>
      </c>
      <c r="AS182">
        <v>358.27513158883806</v>
      </c>
      <c r="AT182">
        <v>21.926470634212389</v>
      </c>
      <c r="AU182">
        <v>-36.596918487943285</v>
      </c>
      <c r="AV182"/>
      <c r="AW182"/>
      <c r="AX182" s="146"/>
      <c r="AY182" s="76">
        <f t="shared" ca="1" si="170"/>
        <v>0.74324541791650667</v>
      </c>
      <c r="AZ182">
        <v>5</v>
      </c>
      <c r="BA182" s="129">
        <f t="shared" si="246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5"/>
        <v>0.73667901245413292</v>
      </c>
      <c r="CL182" s="179">
        <f t="shared" si="206"/>
        <v>5</v>
      </c>
      <c r="CM182" s="180">
        <f t="shared" si="207"/>
        <v>39987</v>
      </c>
      <c r="CN182">
        <v>0</v>
      </c>
      <c r="CO182">
        <v>0</v>
      </c>
      <c r="CP182">
        <v>0</v>
      </c>
      <c r="CQ182">
        <v>2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08"/>
        <v>9.6000000000000002E-2</v>
      </c>
      <c r="DB182" s="146"/>
      <c r="DC182" s="76">
        <f t="shared" ca="1" si="171"/>
        <v>0.94240595609306954</v>
      </c>
      <c r="DD182">
        <f t="shared" si="209"/>
        <v>5</v>
      </c>
      <c r="DE182" s="129">
        <f t="shared" si="245"/>
        <v>39987</v>
      </c>
      <c r="DF182" s="161">
        <f t="shared" si="210"/>
        <v>0</v>
      </c>
      <c r="DG182" s="161">
        <f t="shared" si="211"/>
        <v>0</v>
      </c>
      <c r="DH182" s="161">
        <f t="shared" si="212"/>
        <v>0</v>
      </c>
      <c r="DI182" s="161">
        <f t="shared" si="213"/>
        <v>121.52777777777777</v>
      </c>
      <c r="DJ182" s="161">
        <f t="shared" si="214"/>
        <v>0</v>
      </c>
      <c r="DK182" s="161">
        <f t="shared" si="215"/>
        <v>0</v>
      </c>
      <c r="DL182" s="161">
        <f t="shared" si="216"/>
        <v>0</v>
      </c>
      <c r="DM182" s="161">
        <f t="shared" si="217"/>
        <v>0</v>
      </c>
      <c r="DN182" s="161">
        <f t="shared" si="218"/>
        <v>0</v>
      </c>
      <c r="DO182" s="161">
        <f t="shared" si="219"/>
        <v>0</v>
      </c>
      <c r="DP182" s="161">
        <f t="shared" si="220"/>
        <v>0</v>
      </c>
      <c r="DQ182" s="161">
        <f t="shared" si="221"/>
        <v>0</v>
      </c>
      <c r="DR182" s="161">
        <f t="shared" si="222"/>
        <v>0</v>
      </c>
      <c r="DS182" s="161">
        <f t="shared" si="223"/>
        <v>0</v>
      </c>
      <c r="DT182" s="161">
        <f t="shared" si="224"/>
        <v>0</v>
      </c>
      <c r="DU182" s="161">
        <f t="shared" si="225"/>
        <v>0</v>
      </c>
      <c r="DV182" s="161">
        <f t="shared" si="226"/>
        <v>0</v>
      </c>
      <c r="DW182" s="161">
        <f t="shared" si="227"/>
        <v>0</v>
      </c>
      <c r="DX182" s="161">
        <f t="shared" si="228"/>
        <v>0</v>
      </c>
      <c r="DY182" s="161">
        <f t="shared" si="229"/>
        <v>0</v>
      </c>
      <c r="DZ182" s="161">
        <f t="shared" si="230"/>
        <v>0</v>
      </c>
      <c r="EA182" s="161">
        <f t="shared" si="231"/>
        <v>0</v>
      </c>
      <c r="EB182" s="161">
        <f t="shared" si="232"/>
        <v>0</v>
      </c>
      <c r="EC182" s="161">
        <f t="shared" si="233"/>
        <v>0</v>
      </c>
      <c r="ED182" s="161">
        <f t="shared" si="234"/>
        <v>0</v>
      </c>
      <c r="EE182" s="161">
        <f t="shared" si="235"/>
        <v>0</v>
      </c>
      <c r="EF182" s="161">
        <f t="shared" si="236"/>
        <v>0</v>
      </c>
      <c r="EG182" s="161">
        <f t="shared" si="237"/>
        <v>0</v>
      </c>
      <c r="EH182" s="161">
        <f t="shared" si="238"/>
        <v>0</v>
      </c>
      <c r="EI182" s="161">
        <f t="shared" si="239"/>
        <v>0</v>
      </c>
      <c r="EJ182" s="161">
        <f t="shared" si="240"/>
        <v>0</v>
      </c>
      <c r="EK182" s="147">
        <f t="shared" si="172"/>
        <v>121.52777777777777</v>
      </c>
      <c r="EL182" s="149"/>
      <c r="EN182" s="146"/>
      <c r="EO182" s="146"/>
      <c r="EP182" s="139">
        <f t="shared" si="173"/>
        <v>0</v>
      </c>
      <c r="EQ182" s="139">
        <f t="shared" si="174"/>
        <v>0</v>
      </c>
      <c r="ER182" s="139">
        <f t="shared" si="175"/>
        <v>0</v>
      </c>
      <c r="ES182" s="139">
        <f t="shared" si="176"/>
        <v>16.888962144684928</v>
      </c>
      <c r="ET182" s="139">
        <f t="shared" si="177"/>
        <v>0</v>
      </c>
      <c r="EU182" s="139">
        <f t="shared" si="178"/>
        <v>0</v>
      </c>
      <c r="EV182" s="139">
        <f t="shared" si="179"/>
        <v>0</v>
      </c>
      <c r="EW182" s="139">
        <f t="shared" si="180"/>
        <v>0</v>
      </c>
      <c r="EX182" s="139">
        <f t="shared" si="181"/>
        <v>0</v>
      </c>
      <c r="EY182" s="139">
        <f t="shared" si="182"/>
        <v>0</v>
      </c>
      <c r="EZ182" s="139">
        <f t="shared" si="183"/>
        <v>0</v>
      </c>
      <c r="FA182" s="139">
        <f t="shared" si="184"/>
        <v>0</v>
      </c>
      <c r="FB182" s="139">
        <f t="shared" si="185"/>
        <v>0</v>
      </c>
      <c r="FC182" s="139">
        <f t="shared" si="186"/>
        <v>0</v>
      </c>
      <c r="FD182" s="139">
        <f t="shared" si="187"/>
        <v>0</v>
      </c>
      <c r="FE182" s="139">
        <f t="shared" si="188"/>
        <v>0</v>
      </c>
      <c r="FF182" s="139">
        <f t="shared" si="189"/>
        <v>0</v>
      </c>
      <c r="FG182" s="139">
        <f t="shared" si="190"/>
        <v>0</v>
      </c>
      <c r="FH182" s="139">
        <f t="shared" si="191"/>
        <v>0</v>
      </c>
      <c r="FI182" s="139">
        <f t="shared" si="192"/>
        <v>0</v>
      </c>
      <c r="FJ182" s="139">
        <f t="shared" si="193"/>
        <v>0</v>
      </c>
      <c r="FK182" s="139">
        <f t="shared" si="194"/>
        <v>0</v>
      </c>
      <c r="FL182" s="139">
        <f t="shared" si="195"/>
        <v>0</v>
      </c>
      <c r="FM182" s="139">
        <f t="shared" si="196"/>
        <v>0</v>
      </c>
      <c r="FN182" s="139">
        <f t="shared" si="197"/>
        <v>0</v>
      </c>
      <c r="FO182" s="139">
        <f t="shared" si="198"/>
        <v>0</v>
      </c>
      <c r="FP182" s="139">
        <f t="shared" si="199"/>
        <v>0</v>
      </c>
      <c r="FQ182" s="139">
        <f t="shared" si="200"/>
        <v>0</v>
      </c>
      <c r="FR182" s="139">
        <f t="shared" si="201"/>
        <v>0</v>
      </c>
      <c r="FS182" s="139">
        <f t="shared" si="202"/>
        <v>0</v>
      </c>
      <c r="FT182" s="139">
        <f t="shared" si="203"/>
        <v>0</v>
      </c>
      <c r="FU182" s="148">
        <f t="shared" si="204"/>
        <v>16.888962144684928</v>
      </c>
      <c r="FV182" s="149"/>
      <c r="FY182" s="212">
        <v>177</v>
      </c>
      <c r="FZ182">
        <v>55.03162472542251</v>
      </c>
      <c r="GA182">
        <v>63.458112474856975</v>
      </c>
      <c r="GB182">
        <v>38.938140520522253</v>
      </c>
      <c r="GC182">
        <v>21.06277400427291</v>
      </c>
      <c r="GD182">
        <v>10.144733556761429</v>
      </c>
      <c r="GE182">
        <v>7.1187048888728439</v>
      </c>
      <c r="GF182">
        <v>10.094214728616123</v>
      </c>
      <c r="GG182">
        <v>15.50016044451575</v>
      </c>
      <c r="GH182">
        <v>23.753882669672031</v>
      </c>
      <c r="GI182">
        <v>29.338334113645896</v>
      </c>
      <c r="GJ182"/>
      <c r="GK182"/>
      <c r="GL182"/>
      <c r="GM182"/>
    </row>
    <row r="183" spans="1:195" s="7" customFormat="1">
      <c r="A183" s="1"/>
      <c r="B183" s="76">
        <f ca="1">IF(C183="", "", RAND())</f>
        <v>0.77795507487966731</v>
      </c>
      <c r="C183">
        <v>3</v>
      </c>
      <c r="D183">
        <v>39987</v>
      </c>
      <c r="E183">
        <v>0</v>
      </c>
      <c r="F183">
        <v>67.51543209876543</v>
      </c>
      <c r="G183">
        <v>135.03086419753086</v>
      </c>
      <c r="H183">
        <v>0</v>
      </c>
      <c r="I183">
        <v>20.833333333333332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662.97654809376866</v>
      </c>
      <c r="AO183">
        <v>47.351905749969809</v>
      </c>
      <c r="AP183">
        <v>46.678195537347563</v>
      </c>
      <c r="AQ183">
        <v>327.3428460307739</v>
      </c>
      <c r="AR183">
        <v>47.082952883264717</v>
      </c>
      <c r="AS183">
        <v>378.29171871524107</v>
      </c>
      <c r="AT183">
        <v>24.973235480324863</v>
      </c>
      <c r="AU183">
        <v>-108.91255445666889</v>
      </c>
      <c r="AV183"/>
      <c r="AW183"/>
      <c r="AX183" s="146"/>
      <c r="AY183" s="76">
        <f t="shared" ca="1" si="170"/>
        <v>0.81282365784693256</v>
      </c>
      <c r="AZ183">
        <v>6</v>
      </c>
      <c r="BA183" s="129">
        <f t="shared" si="246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5"/>
        <v>0.36513532753498557</v>
      </c>
      <c r="CL183" s="179">
        <f t="shared" si="206"/>
        <v>6</v>
      </c>
      <c r="CM183" s="180">
        <f t="shared" si="207"/>
        <v>39987</v>
      </c>
      <c r="CN183">
        <v>0</v>
      </c>
      <c r="CO183">
        <v>0</v>
      </c>
      <c r="CP183">
        <v>0</v>
      </c>
      <c r="CQ183">
        <v>1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08"/>
        <v>9.6000000000000002E-2</v>
      </c>
      <c r="DB183" s="146"/>
      <c r="DC183" s="76">
        <f t="shared" ca="1" si="171"/>
        <v>0.50891723595154925</v>
      </c>
      <c r="DD183">
        <f t="shared" si="209"/>
        <v>6</v>
      </c>
      <c r="DE183" s="129">
        <f t="shared" si="245"/>
        <v>39987</v>
      </c>
      <c r="DF183" s="161">
        <f t="shared" si="210"/>
        <v>0</v>
      </c>
      <c r="DG183" s="161">
        <f t="shared" si="211"/>
        <v>0</v>
      </c>
      <c r="DH183" s="161">
        <f t="shared" si="212"/>
        <v>0</v>
      </c>
      <c r="DI183" s="161">
        <f t="shared" si="213"/>
        <v>72.916666666666671</v>
      </c>
      <c r="DJ183" s="161">
        <f t="shared" si="214"/>
        <v>0</v>
      </c>
      <c r="DK183" s="161">
        <f t="shared" si="215"/>
        <v>0</v>
      </c>
      <c r="DL183" s="161">
        <f t="shared" si="216"/>
        <v>0</v>
      </c>
      <c r="DM183" s="161">
        <f t="shared" si="217"/>
        <v>0</v>
      </c>
      <c r="DN183" s="161">
        <f t="shared" si="218"/>
        <v>0</v>
      </c>
      <c r="DO183" s="161">
        <f t="shared" si="219"/>
        <v>0</v>
      </c>
      <c r="DP183" s="161">
        <f t="shared" si="220"/>
        <v>0</v>
      </c>
      <c r="DQ183" s="161">
        <f t="shared" si="221"/>
        <v>0</v>
      </c>
      <c r="DR183" s="161">
        <f t="shared" si="222"/>
        <v>0</v>
      </c>
      <c r="DS183" s="161">
        <f t="shared" si="223"/>
        <v>0</v>
      </c>
      <c r="DT183" s="161">
        <f t="shared" si="224"/>
        <v>0</v>
      </c>
      <c r="DU183" s="161">
        <f t="shared" si="225"/>
        <v>0</v>
      </c>
      <c r="DV183" s="161">
        <f t="shared" si="226"/>
        <v>0</v>
      </c>
      <c r="DW183" s="161">
        <f t="shared" si="227"/>
        <v>0</v>
      </c>
      <c r="DX183" s="161">
        <f t="shared" si="228"/>
        <v>0</v>
      </c>
      <c r="DY183" s="161">
        <f t="shared" si="229"/>
        <v>0</v>
      </c>
      <c r="DZ183" s="161">
        <f t="shared" si="230"/>
        <v>0</v>
      </c>
      <c r="EA183" s="161">
        <f t="shared" si="231"/>
        <v>0</v>
      </c>
      <c r="EB183" s="161">
        <f t="shared" si="232"/>
        <v>0</v>
      </c>
      <c r="EC183" s="161">
        <f t="shared" si="233"/>
        <v>0</v>
      </c>
      <c r="ED183" s="161">
        <f t="shared" si="234"/>
        <v>0</v>
      </c>
      <c r="EE183" s="161">
        <f t="shared" si="235"/>
        <v>0</v>
      </c>
      <c r="EF183" s="161">
        <f t="shared" si="236"/>
        <v>0</v>
      </c>
      <c r="EG183" s="161">
        <f t="shared" si="237"/>
        <v>0</v>
      </c>
      <c r="EH183" s="161">
        <f t="shared" si="238"/>
        <v>0</v>
      </c>
      <c r="EI183" s="161">
        <f t="shared" si="239"/>
        <v>0</v>
      </c>
      <c r="EJ183" s="161">
        <f t="shared" si="240"/>
        <v>0</v>
      </c>
      <c r="EK183" s="147">
        <f t="shared" si="172"/>
        <v>72.916666666666671</v>
      </c>
      <c r="EL183" s="149"/>
      <c r="EN183" s="146"/>
      <c r="EO183" s="146"/>
      <c r="EP183" s="139">
        <f t="shared" si="173"/>
        <v>0</v>
      </c>
      <c r="EQ183" s="139">
        <f t="shared" si="174"/>
        <v>0</v>
      </c>
      <c r="ER183" s="139">
        <f t="shared" si="175"/>
        <v>0</v>
      </c>
      <c r="ES183" s="139">
        <f t="shared" si="176"/>
        <v>10.133377286810958</v>
      </c>
      <c r="ET183" s="139">
        <f t="shared" si="177"/>
        <v>0</v>
      </c>
      <c r="EU183" s="139">
        <f t="shared" si="178"/>
        <v>0</v>
      </c>
      <c r="EV183" s="139">
        <f t="shared" si="179"/>
        <v>0</v>
      </c>
      <c r="EW183" s="139">
        <f t="shared" si="180"/>
        <v>0</v>
      </c>
      <c r="EX183" s="139">
        <f t="shared" si="181"/>
        <v>0</v>
      </c>
      <c r="EY183" s="139">
        <f t="shared" si="182"/>
        <v>0</v>
      </c>
      <c r="EZ183" s="139">
        <f t="shared" si="183"/>
        <v>0</v>
      </c>
      <c r="FA183" s="139">
        <f t="shared" si="184"/>
        <v>0</v>
      </c>
      <c r="FB183" s="139">
        <f t="shared" si="185"/>
        <v>0</v>
      </c>
      <c r="FC183" s="139">
        <f t="shared" si="186"/>
        <v>0</v>
      </c>
      <c r="FD183" s="139">
        <f t="shared" si="187"/>
        <v>0</v>
      </c>
      <c r="FE183" s="139">
        <f t="shared" si="188"/>
        <v>0</v>
      </c>
      <c r="FF183" s="139">
        <f t="shared" si="189"/>
        <v>0</v>
      </c>
      <c r="FG183" s="139">
        <f t="shared" si="190"/>
        <v>0</v>
      </c>
      <c r="FH183" s="139">
        <f t="shared" si="191"/>
        <v>0</v>
      </c>
      <c r="FI183" s="139">
        <f t="shared" si="192"/>
        <v>0</v>
      </c>
      <c r="FJ183" s="139">
        <f t="shared" si="193"/>
        <v>0</v>
      </c>
      <c r="FK183" s="139">
        <f t="shared" si="194"/>
        <v>0</v>
      </c>
      <c r="FL183" s="139">
        <f t="shared" si="195"/>
        <v>0</v>
      </c>
      <c r="FM183" s="139">
        <f t="shared" si="196"/>
        <v>0</v>
      </c>
      <c r="FN183" s="139">
        <f t="shared" si="197"/>
        <v>0</v>
      </c>
      <c r="FO183" s="139">
        <f t="shared" si="198"/>
        <v>0</v>
      </c>
      <c r="FP183" s="139">
        <f t="shared" si="199"/>
        <v>0</v>
      </c>
      <c r="FQ183" s="139">
        <f t="shared" si="200"/>
        <v>0</v>
      </c>
      <c r="FR183" s="139">
        <f t="shared" si="201"/>
        <v>0</v>
      </c>
      <c r="FS183" s="139">
        <f t="shared" si="202"/>
        <v>0</v>
      </c>
      <c r="FT183" s="139">
        <f t="shared" si="203"/>
        <v>0</v>
      </c>
      <c r="FU183" s="148">
        <f t="shared" si="204"/>
        <v>10.133377286810958</v>
      </c>
      <c r="FV183" s="149"/>
      <c r="FY183" s="212">
        <v>178</v>
      </c>
      <c r="FZ183">
        <v>60.659381729129684</v>
      </c>
      <c r="GA183">
        <v>131.28637096993737</v>
      </c>
      <c r="GB183">
        <v>69.678551846718079</v>
      </c>
      <c r="GC183">
        <v>21.514874343443939</v>
      </c>
      <c r="GD183">
        <v>13.056428474865806</v>
      </c>
      <c r="GE183">
        <v>15.95538541437212</v>
      </c>
      <c r="GF183">
        <v>33.227738407923866</v>
      </c>
      <c r="GG183">
        <v>38.211167664364524</v>
      </c>
      <c r="GH183">
        <v>31.950137913541802</v>
      </c>
      <c r="GI183">
        <v>45.091544471335197</v>
      </c>
      <c r="GJ183"/>
      <c r="GK183"/>
      <c r="GL183"/>
      <c r="GM183"/>
    </row>
    <row r="184" spans="1:195" s="7" customFormat="1">
      <c r="A184" s="1"/>
      <c r="B184" s="76">
        <f ca="1">IF(C184="", "", RAND())</f>
        <v>0.31844710043953217</v>
      </c>
      <c r="C184">
        <v>5</v>
      </c>
      <c r="D184">
        <v>39987</v>
      </c>
      <c r="E184">
        <v>0</v>
      </c>
      <c r="F184">
        <v>0</v>
      </c>
      <c r="G184">
        <v>0</v>
      </c>
      <c r="H184">
        <v>121.52777777777777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638.15372539979296</v>
      </c>
      <c r="AO184">
        <v>46.64532597356741</v>
      </c>
      <c r="AP184">
        <v>81.601578981647123</v>
      </c>
      <c r="AQ184">
        <v>339.60314512349333</v>
      </c>
      <c r="AR184">
        <v>46.102510561305245</v>
      </c>
      <c r="AS184">
        <v>369.45954222829147</v>
      </c>
      <c r="AT184">
        <v>23.192558112287511</v>
      </c>
      <c r="AU184">
        <v>-7.0679594784467277</v>
      </c>
      <c r="AV184"/>
      <c r="AW184"/>
      <c r="AX184" s="146"/>
      <c r="AY184" s="76">
        <f t="shared" ca="1" si="170"/>
        <v>0.71574373394216306</v>
      </c>
      <c r="AZ184">
        <v>7</v>
      </c>
      <c r="BA184" s="129">
        <f t="shared" si="246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5"/>
        <v>0.90875486037184317</v>
      </c>
      <c r="CL184" s="179">
        <f t="shared" si="206"/>
        <v>7</v>
      </c>
      <c r="CM184" s="180">
        <f t="shared" si="207"/>
        <v>39987</v>
      </c>
      <c r="CN184">
        <v>0</v>
      </c>
      <c r="CO184">
        <v>1</v>
      </c>
      <c r="CP184">
        <v>4</v>
      </c>
      <c r="CQ184">
        <v>5</v>
      </c>
      <c r="CR184">
        <v>1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8"/>
        <v>9.6000000000000002E-2</v>
      </c>
      <c r="DB184" s="146"/>
      <c r="DC184" s="76">
        <f t="shared" ca="1" si="171"/>
        <v>6.8624460319952618E-2</v>
      </c>
      <c r="DD184">
        <f t="shared" si="209"/>
        <v>7</v>
      </c>
      <c r="DE184" s="129">
        <f t="shared" si="245"/>
        <v>39987</v>
      </c>
      <c r="DF184" s="161">
        <f t="shared" si="210"/>
        <v>0</v>
      </c>
      <c r="DG184" s="161">
        <f t="shared" si="211"/>
        <v>71.486928104575156</v>
      </c>
      <c r="DH184" s="161">
        <f t="shared" si="212"/>
        <v>285.94771241830063</v>
      </c>
      <c r="DI184" s="161">
        <f t="shared" si="213"/>
        <v>357.43464052287578</v>
      </c>
      <c r="DJ184" s="161">
        <f t="shared" si="214"/>
        <v>71.486928104575156</v>
      </c>
      <c r="DK184" s="161">
        <f t="shared" si="215"/>
        <v>0</v>
      </c>
      <c r="DL184" s="161">
        <f t="shared" si="216"/>
        <v>0</v>
      </c>
      <c r="DM184" s="161">
        <f t="shared" si="217"/>
        <v>0</v>
      </c>
      <c r="DN184" s="161">
        <f t="shared" si="218"/>
        <v>0</v>
      </c>
      <c r="DO184" s="161">
        <f t="shared" si="219"/>
        <v>0</v>
      </c>
      <c r="DP184" s="161">
        <f t="shared" si="220"/>
        <v>0</v>
      </c>
      <c r="DQ184" s="161">
        <f t="shared" si="221"/>
        <v>0</v>
      </c>
      <c r="DR184" s="161">
        <f t="shared" si="222"/>
        <v>0</v>
      </c>
      <c r="DS184" s="161">
        <f t="shared" si="223"/>
        <v>0</v>
      </c>
      <c r="DT184" s="161">
        <f t="shared" si="224"/>
        <v>0</v>
      </c>
      <c r="DU184" s="161">
        <f t="shared" si="225"/>
        <v>0</v>
      </c>
      <c r="DV184" s="161">
        <f t="shared" si="226"/>
        <v>0</v>
      </c>
      <c r="DW184" s="161">
        <f t="shared" si="227"/>
        <v>0</v>
      </c>
      <c r="DX184" s="161">
        <f t="shared" si="228"/>
        <v>0</v>
      </c>
      <c r="DY184" s="161">
        <f t="shared" si="229"/>
        <v>0</v>
      </c>
      <c r="DZ184" s="161">
        <f t="shared" si="230"/>
        <v>0</v>
      </c>
      <c r="EA184" s="161">
        <f t="shared" si="231"/>
        <v>0</v>
      </c>
      <c r="EB184" s="161">
        <f t="shared" si="232"/>
        <v>0</v>
      </c>
      <c r="EC184" s="161">
        <f t="shared" si="233"/>
        <v>0</v>
      </c>
      <c r="ED184" s="161">
        <f t="shared" si="234"/>
        <v>0</v>
      </c>
      <c r="EE184" s="161">
        <f t="shared" si="235"/>
        <v>0</v>
      </c>
      <c r="EF184" s="161">
        <f t="shared" si="236"/>
        <v>0</v>
      </c>
      <c r="EG184" s="161">
        <f t="shared" si="237"/>
        <v>0</v>
      </c>
      <c r="EH184" s="161">
        <f t="shared" si="238"/>
        <v>0</v>
      </c>
      <c r="EI184" s="161">
        <f t="shared" si="239"/>
        <v>0</v>
      </c>
      <c r="EJ184" s="161">
        <f t="shared" si="240"/>
        <v>0</v>
      </c>
      <c r="EK184" s="147">
        <f t="shared" ref="EK184:EK207" si="247">IF(DF184="", "", SUM(DF184:EJ184))</f>
        <v>786.35620915032678</v>
      </c>
      <c r="EL184" s="149"/>
      <c r="EN184" s="146"/>
      <c r="EO184" s="146"/>
      <c r="EP184" s="139">
        <f t="shared" ref="EP184:EP207" si="248">IF(DF184="", "", DF184*G$36)</f>
        <v>0</v>
      </c>
      <c r="EQ184" s="139">
        <f t="shared" ref="EQ184:EQ207" si="249">IF(DG184="", "", DG184*H$36)</f>
        <v>0.51667892156862738</v>
      </c>
      <c r="ER184" s="139">
        <f t="shared" ref="ER184:ER207" si="250">IF(DH184="", "", DH184*I$36)</f>
        <v>13.346040981253092</v>
      </c>
      <c r="ES184" s="139">
        <f t="shared" ref="ES184:ES207" si="251">IF(DI184="", "", DI184*J$36)</f>
        <v>49.673418072602736</v>
      </c>
      <c r="ET184" s="139">
        <f t="shared" ref="ET184:ET207" si="252">IF(DJ184="", "", DJ184*K$36)</f>
        <v>21.545877240904236</v>
      </c>
      <c r="EU184" s="139">
        <f t="shared" ref="EU184:EU207" si="253">IF(DK184="", "", DK184*L$36)</f>
        <v>0</v>
      </c>
      <c r="EV184" s="139">
        <f t="shared" ref="EV184:EV207" si="254">IF(DL184="", "", DL184*M$36)</f>
        <v>0</v>
      </c>
      <c r="EW184" s="139">
        <f t="shared" ref="EW184:EW207" si="255">IF(DM184="", "", DM184*N$36)</f>
        <v>0</v>
      </c>
      <c r="EX184" s="139">
        <f t="shared" ref="EX184:EX207" si="256">IF(DN184="", "", DN184*O$36)</f>
        <v>0</v>
      </c>
      <c r="EY184" s="139">
        <f t="shared" ref="EY184:EY207" si="257">IF(DO184="", "", DO184*P$36)</f>
        <v>0</v>
      </c>
      <c r="EZ184" s="139">
        <f t="shared" ref="EZ184:EZ207" si="258">IF(DP184="", "", DP184*Q$36)</f>
        <v>0</v>
      </c>
      <c r="FA184" s="139">
        <f t="shared" ref="FA184:FA207" si="259">IF(DQ184="", "", DQ184*R$36)</f>
        <v>0</v>
      </c>
      <c r="FB184" s="139">
        <f t="shared" ref="FB184:FB207" si="260">IF(DR184="", "", DR184*S$36)</f>
        <v>0</v>
      </c>
      <c r="FC184" s="139">
        <f t="shared" ref="FC184:FC207" si="261">IF(DS184="", "", DS184*T$36)</f>
        <v>0</v>
      </c>
      <c r="FD184" s="139">
        <f t="shared" ref="FD184:FD207" si="262">IF(DT184="", "", DT184*U$36)</f>
        <v>0</v>
      </c>
      <c r="FE184" s="139">
        <f t="shared" ref="FE184:FE207" si="263">IF(DU184="", "", DU184*V$36)</f>
        <v>0</v>
      </c>
      <c r="FF184" s="139">
        <f t="shared" ref="FF184:FF207" si="264">IF(DV184="", "", DV184*W$36)</f>
        <v>0</v>
      </c>
      <c r="FG184" s="139">
        <f t="shared" ref="FG184:FG207" si="265">IF(DW184="", "", DW184*X$36)</f>
        <v>0</v>
      </c>
      <c r="FH184" s="139">
        <f t="shared" ref="FH184:FH207" si="266">IF(DX184="", "", DX184*Y$36)</f>
        <v>0</v>
      </c>
      <c r="FI184" s="139">
        <f t="shared" ref="FI184:FI207" si="267">IF(DY184="", "", DY184*Z$36)</f>
        <v>0</v>
      </c>
      <c r="FJ184" s="139">
        <f t="shared" ref="FJ184:FJ207" si="268">IF(DZ184="", "", DZ184*AA$36)</f>
        <v>0</v>
      </c>
      <c r="FK184" s="139">
        <f t="shared" ref="FK184:FK207" si="269">IF(EA184="", "", EA184*AB$36)</f>
        <v>0</v>
      </c>
      <c r="FL184" s="139">
        <f t="shared" ref="FL184:FL207" si="270">IF(EB184="", "", EB184*AC$36)</f>
        <v>0</v>
      </c>
      <c r="FM184" s="139">
        <f t="shared" ref="FM184:FM207" si="271">IF(EC184="", "", EC184*AD$36)</f>
        <v>0</v>
      </c>
      <c r="FN184" s="139">
        <f t="shared" ref="FN184:FN207" si="272">IF(ED184="", "", ED184*AE$36)</f>
        <v>0</v>
      </c>
      <c r="FO184" s="139">
        <f t="shared" ref="FO184:FO207" si="273">IF(EE184="", "", EE184*AF$36)</f>
        <v>0</v>
      </c>
      <c r="FP184" s="139">
        <f t="shared" ref="FP184:FP207" si="274">IF(EF184="", "", EF184*AG$36)</f>
        <v>0</v>
      </c>
      <c r="FQ184" s="139">
        <f t="shared" ref="FQ184:FQ207" si="275">IF(EG184="", "", EG184*AH$36)</f>
        <v>0</v>
      </c>
      <c r="FR184" s="139">
        <f t="shared" ref="FR184:FR207" si="276">IF(EH184="", "", EH184*AI$36)</f>
        <v>0</v>
      </c>
      <c r="FS184" s="139">
        <f t="shared" ref="FS184:FS207" si="277">IF(EI184="", "", EI184*AJ$36)</f>
        <v>0</v>
      </c>
      <c r="FT184" s="139">
        <f t="shared" ref="FT184:FT207" si="278">IF(EJ184="", "", EJ184*AK$36)</f>
        <v>0</v>
      </c>
      <c r="FU184" s="148">
        <f t="shared" ref="FU184:FU207" si="279">IF(EP184="","",SUM(EP184:FT184))</f>
        <v>85.082015216328685</v>
      </c>
      <c r="FV184" s="149"/>
      <c r="FY184" s="212">
        <v>179</v>
      </c>
      <c r="FZ184">
        <v>47.603265367789277</v>
      </c>
      <c r="GA184">
        <v>132.9344586705017</v>
      </c>
      <c r="GB184">
        <v>71.71463706256651</v>
      </c>
      <c r="GC184">
        <v>16.544673293182871</v>
      </c>
      <c r="GD184">
        <v>10.640187801504146</v>
      </c>
      <c r="GE184">
        <v>13.863611157132159</v>
      </c>
      <c r="GF184">
        <v>24.787514799073854</v>
      </c>
      <c r="GG184">
        <v>24.89547617794495</v>
      </c>
      <c r="GH184">
        <v>32.346092453768222</v>
      </c>
      <c r="GI184">
        <v>40.778417221583467</v>
      </c>
      <c r="GJ184"/>
      <c r="GK184"/>
      <c r="GL184"/>
      <c r="GM184"/>
    </row>
    <row r="185" spans="1:195" s="7" customFormat="1">
      <c r="A185" s="1"/>
      <c r="B185" s="76">
        <f ca="1">IF(C185="", "", RAND())</f>
        <v>0.52662822671836862</v>
      </c>
      <c r="C185">
        <v>1</v>
      </c>
      <c r="D185">
        <v>39987</v>
      </c>
      <c r="E185">
        <v>0</v>
      </c>
      <c r="F185">
        <v>0</v>
      </c>
      <c r="G185">
        <v>155.1418439716312</v>
      </c>
      <c r="H185">
        <v>87.987588652482273</v>
      </c>
      <c r="I185">
        <v>77.570921985815602</v>
      </c>
      <c r="J185">
        <v>0</v>
      </c>
      <c r="K185">
        <v>77.570921985815602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912.78291107443033</v>
      </c>
      <c r="AO185">
        <v>53.373373526040915</v>
      </c>
      <c r="AP185">
        <v>72.355554057768856</v>
      </c>
      <c r="AQ185">
        <v>360.00362258618668</v>
      </c>
      <c r="AR185">
        <v>51.920756843699749</v>
      </c>
      <c r="AS185">
        <v>453.66668998419476</v>
      </c>
      <c r="AT185">
        <v>27.623176039844754</v>
      </c>
      <c r="AU185">
        <v>-29.697248435256149</v>
      </c>
      <c r="AV185"/>
      <c r="AW185"/>
      <c r="AX185" s="146"/>
      <c r="AY185" s="76">
        <f t="shared" ca="1" si="170"/>
        <v>0.58798706670203238</v>
      </c>
      <c r="AZ185">
        <v>8</v>
      </c>
      <c r="BA185" s="129">
        <f t="shared" si="246"/>
        <v>39987</v>
      </c>
      <c r="BB185">
        <v>0</v>
      </c>
      <c r="BC185">
        <v>0</v>
      </c>
      <c r="BD185">
        <v>0</v>
      </c>
      <c r="BE185">
        <v>1</v>
      </c>
      <c r="BF185">
        <v>0</v>
      </c>
      <c r="BG185">
        <v>1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5"/>
        <v>0.8199302352406308</v>
      </c>
      <c r="CL185" s="179">
        <f t="shared" si="206"/>
        <v>8</v>
      </c>
      <c r="CM185" s="180">
        <f t="shared" si="207"/>
        <v>39987</v>
      </c>
      <c r="CN185">
        <v>0</v>
      </c>
      <c r="CO185">
        <v>1</v>
      </c>
      <c r="CP185">
        <v>1</v>
      </c>
      <c r="CQ185">
        <v>1</v>
      </c>
      <c r="CR185">
        <v>1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08"/>
        <v>9.6000000000000002E-2</v>
      </c>
      <c r="DB185" s="146"/>
      <c r="DC185" s="76">
        <f t="shared" ca="1" si="171"/>
        <v>0.72182268258897775</v>
      </c>
      <c r="DD185">
        <f t="shared" si="209"/>
        <v>8</v>
      </c>
      <c r="DE185" s="129">
        <f t="shared" si="245"/>
        <v>39987</v>
      </c>
      <c r="DF185" s="161">
        <f t="shared" si="210"/>
        <v>0</v>
      </c>
      <c r="DG185" s="161">
        <f t="shared" si="211"/>
        <v>56.089743589743591</v>
      </c>
      <c r="DH185" s="161">
        <f t="shared" si="212"/>
        <v>56.089743589743591</v>
      </c>
      <c r="DI185" s="161">
        <f t="shared" si="213"/>
        <v>66.506410256410263</v>
      </c>
      <c r="DJ185" s="161">
        <f t="shared" si="214"/>
        <v>56.089743589743591</v>
      </c>
      <c r="DK185" s="161">
        <f t="shared" si="215"/>
        <v>10.416666666666666</v>
      </c>
      <c r="DL185" s="161">
        <f t="shared" si="216"/>
        <v>0</v>
      </c>
      <c r="DM185" s="161">
        <f t="shared" si="217"/>
        <v>0</v>
      </c>
      <c r="DN185" s="161">
        <f t="shared" si="218"/>
        <v>0</v>
      </c>
      <c r="DO185" s="161">
        <f t="shared" si="219"/>
        <v>0</v>
      </c>
      <c r="DP185" s="161">
        <f t="shared" si="220"/>
        <v>0</v>
      </c>
      <c r="DQ185" s="161">
        <f t="shared" si="221"/>
        <v>0</v>
      </c>
      <c r="DR185" s="161">
        <f t="shared" si="222"/>
        <v>0</v>
      </c>
      <c r="DS185" s="161">
        <f t="shared" si="223"/>
        <v>0</v>
      </c>
      <c r="DT185" s="161">
        <f t="shared" si="224"/>
        <v>0</v>
      </c>
      <c r="DU185" s="161">
        <f t="shared" si="225"/>
        <v>0</v>
      </c>
      <c r="DV185" s="161">
        <f t="shared" si="226"/>
        <v>0</v>
      </c>
      <c r="DW185" s="161">
        <f t="shared" si="227"/>
        <v>0</v>
      </c>
      <c r="DX185" s="161">
        <f t="shared" si="228"/>
        <v>0</v>
      </c>
      <c r="DY185" s="161">
        <f t="shared" si="229"/>
        <v>0</v>
      </c>
      <c r="DZ185" s="161">
        <f t="shared" si="230"/>
        <v>0</v>
      </c>
      <c r="EA185" s="161">
        <f t="shared" si="231"/>
        <v>0</v>
      </c>
      <c r="EB185" s="161">
        <f t="shared" si="232"/>
        <v>0</v>
      </c>
      <c r="EC185" s="161">
        <f t="shared" si="233"/>
        <v>0</v>
      </c>
      <c r="ED185" s="161">
        <f t="shared" si="234"/>
        <v>0</v>
      </c>
      <c r="EE185" s="161">
        <f t="shared" si="235"/>
        <v>0</v>
      </c>
      <c r="EF185" s="161">
        <f t="shared" si="236"/>
        <v>0</v>
      </c>
      <c r="EG185" s="161">
        <f t="shared" si="237"/>
        <v>0</v>
      </c>
      <c r="EH185" s="161">
        <f t="shared" si="238"/>
        <v>0</v>
      </c>
      <c r="EI185" s="161">
        <f t="shared" si="239"/>
        <v>0</v>
      </c>
      <c r="EJ185" s="161">
        <f t="shared" si="240"/>
        <v>0</v>
      </c>
      <c r="EK185" s="147">
        <f t="shared" si="247"/>
        <v>245.19230769230771</v>
      </c>
      <c r="EL185" s="149"/>
      <c r="EN185" s="146"/>
      <c r="EO185" s="146"/>
      <c r="EP185" s="139">
        <f t="shared" si="248"/>
        <v>0</v>
      </c>
      <c r="EQ185" s="139">
        <f t="shared" si="249"/>
        <v>0.40539423076923076</v>
      </c>
      <c r="ER185" s="139">
        <f t="shared" si="250"/>
        <v>2.6178772693996453</v>
      </c>
      <c r="ES185" s="139">
        <f t="shared" si="251"/>
        <v>9.2425309319264795</v>
      </c>
      <c r="ET185" s="139">
        <f t="shared" si="252"/>
        <v>16.905226758247942</v>
      </c>
      <c r="EU185" s="139">
        <f t="shared" si="253"/>
        <v>5.7233612375507494</v>
      </c>
      <c r="EV185" s="139">
        <f t="shared" si="254"/>
        <v>0</v>
      </c>
      <c r="EW185" s="139">
        <f t="shared" si="255"/>
        <v>0</v>
      </c>
      <c r="EX185" s="139">
        <f t="shared" si="256"/>
        <v>0</v>
      </c>
      <c r="EY185" s="139">
        <f t="shared" si="257"/>
        <v>0</v>
      </c>
      <c r="EZ185" s="139">
        <f t="shared" si="258"/>
        <v>0</v>
      </c>
      <c r="FA185" s="139">
        <f t="shared" si="259"/>
        <v>0</v>
      </c>
      <c r="FB185" s="139">
        <f t="shared" si="260"/>
        <v>0</v>
      </c>
      <c r="FC185" s="139">
        <f t="shared" si="261"/>
        <v>0</v>
      </c>
      <c r="FD185" s="139">
        <f t="shared" si="262"/>
        <v>0</v>
      </c>
      <c r="FE185" s="139">
        <f t="shared" si="263"/>
        <v>0</v>
      </c>
      <c r="FF185" s="139">
        <f t="shared" si="264"/>
        <v>0</v>
      </c>
      <c r="FG185" s="139">
        <f t="shared" si="265"/>
        <v>0</v>
      </c>
      <c r="FH185" s="139">
        <f t="shared" si="266"/>
        <v>0</v>
      </c>
      <c r="FI185" s="139">
        <f t="shared" si="267"/>
        <v>0</v>
      </c>
      <c r="FJ185" s="139">
        <f t="shared" si="268"/>
        <v>0</v>
      </c>
      <c r="FK185" s="139">
        <f t="shared" si="269"/>
        <v>0</v>
      </c>
      <c r="FL185" s="139">
        <f t="shared" si="270"/>
        <v>0</v>
      </c>
      <c r="FM185" s="139">
        <f t="shared" si="271"/>
        <v>0</v>
      </c>
      <c r="FN185" s="139">
        <f t="shared" si="272"/>
        <v>0</v>
      </c>
      <c r="FO185" s="139">
        <f t="shared" si="273"/>
        <v>0</v>
      </c>
      <c r="FP185" s="139">
        <f t="shared" si="274"/>
        <v>0</v>
      </c>
      <c r="FQ185" s="139">
        <f t="shared" si="275"/>
        <v>0</v>
      </c>
      <c r="FR185" s="139">
        <f t="shared" si="276"/>
        <v>0</v>
      </c>
      <c r="FS185" s="139">
        <f t="shared" si="277"/>
        <v>0</v>
      </c>
      <c r="FT185" s="139">
        <f t="shared" si="278"/>
        <v>0</v>
      </c>
      <c r="FU185" s="148">
        <f t="shared" si="279"/>
        <v>34.894390427894045</v>
      </c>
      <c r="FV185" s="149"/>
      <c r="FY185" s="212">
        <v>180</v>
      </c>
      <c r="FZ185">
        <v>52.56312684837237</v>
      </c>
      <c r="GA185">
        <v>121.7281993101836</v>
      </c>
      <c r="GB185">
        <v>68.801064438316786</v>
      </c>
      <c r="GC185">
        <v>25.90313036047316</v>
      </c>
      <c r="GD185">
        <v>13.723485082859026</v>
      </c>
      <c r="GE185">
        <v>12.749100061177964</v>
      </c>
      <c r="GF185">
        <v>53.195121885985742</v>
      </c>
      <c r="GG185">
        <v>46.937252399833959</v>
      </c>
      <c r="GH185">
        <v>23.830701046880041</v>
      </c>
      <c r="GI185">
        <v>46.429827649248374</v>
      </c>
      <c r="GJ185"/>
      <c r="GK185"/>
      <c r="GL185"/>
      <c r="GM185"/>
    </row>
    <row r="186" spans="1:195" s="7" customFormat="1">
      <c r="A186" s="1"/>
      <c r="B186" s="76">
        <f ca="1">IF(C186="", "", RAND())</f>
        <v>0.58277011904627107</v>
      </c>
      <c r="C186">
        <v>10</v>
      </c>
      <c r="D186">
        <v>39987</v>
      </c>
      <c r="E186">
        <v>0</v>
      </c>
      <c r="F186">
        <v>0</v>
      </c>
      <c r="G186">
        <v>49.942922374429216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969.53449742677151</v>
      </c>
      <c r="AO186">
        <v>55.736243529523165</v>
      </c>
      <c r="AP186">
        <v>132.74847954778539</v>
      </c>
      <c r="AQ186">
        <v>377.19122461748645</v>
      </c>
      <c r="AR186">
        <v>52.245278045898907</v>
      </c>
      <c r="AS186">
        <v>455.09636424426759</v>
      </c>
      <c r="AT186">
        <v>26.341423046337557</v>
      </c>
      <c r="AU186">
        <v>15.557509484128445</v>
      </c>
      <c r="AV186"/>
      <c r="AW186"/>
      <c r="AX186" s="146"/>
      <c r="AY186" s="76">
        <f t="shared" ca="1" si="170"/>
        <v>0.5513114149656948</v>
      </c>
      <c r="AZ186">
        <v>9</v>
      </c>
      <c r="BA186" s="129">
        <f t="shared" si="246"/>
        <v>39987</v>
      </c>
      <c r="BB186">
        <v>0</v>
      </c>
      <c r="BC186">
        <v>0</v>
      </c>
      <c r="BD186">
        <v>0</v>
      </c>
      <c r="BE186">
        <v>1</v>
      </c>
      <c r="BF186">
        <v>1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5"/>
        <v>0.92554107702171606</v>
      </c>
      <c r="CL186" s="179">
        <f t="shared" si="206"/>
        <v>9</v>
      </c>
      <c r="CM186" s="180">
        <f t="shared" si="207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8"/>
        <v>9.6000000000000002E-2</v>
      </c>
      <c r="DB186" s="146"/>
      <c r="DC186" s="76">
        <f t="shared" ca="1" si="171"/>
        <v>0.64100063009117125</v>
      </c>
      <c r="DD186">
        <f t="shared" si="209"/>
        <v>9</v>
      </c>
      <c r="DE186" s="129">
        <f t="shared" si="245"/>
        <v>39987</v>
      </c>
      <c r="DF186" s="161">
        <f t="shared" si="210"/>
        <v>0</v>
      </c>
      <c r="DG186" s="161">
        <f t="shared" si="211"/>
        <v>0</v>
      </c>
      <c r="DH186" s="161">
        <f t="shared" si="212"/>
        <v>0</v>
      </c>
      <c r="DI186" s="161">
        <f t="shared" si="213"/>
        <v>10.416666666666666</v>
      </c>
      <c r="DJ186" s="161">
        <f t="shared" si="214"/>
        <v>10.416666666666666</v>
      </c>
      <c r="DK186" s="161">
        <f t="shared" si="215"/>
        <v>0</v>
      </c>
      <c r="DL186" s="161">
        <f t="shared" si="216"/>
        <v>0</v>
      </c>
      <c r="DM186" s="161">
        <f t="shared" si="217"/>
        <v>0</v>
      </c>
      <c r="DN186" s="161">
        <f t="shared" si="218"/>
        <v>0</v>
      </c>
      <c r="DO186" s="161">
        <f t="shared" si="219"/>
        <v>0</v>
      </c>
      <c r="DP186" s="161">
        <f t="shared" si="220"/>
        <v>0</v>
      </c>
      <c r="DQ186" s="161">
        <f t="shared" si="221"/>
        <v>0</v>
      </c>
      <c r="DR186" s="161">
        <f t="shared" si="222"/>
        <v>0</v>
      </c>
      <c r="DS186" s="161">
        <f t="shared" si="223"/>
        <v>0</v>
      </c>
      <c r="DT186" s="161">
        <f t="shared" si="224"/>
        <v>0</v>
      </c>
      <c r="DU186" s="161">
        <f t="shared" si="225"/>
        <v>0</v>
      </c>
      <c r="DV186" s="161">
        <f t="shared" si="226"/>
        <v>0</v>
      </c>
      <c r="DW186" s="161">
        <f t="shared" si="227"/>
        <v>0</v>
      </c>
      <c r="DX186" s="161">
        <f t="shared" si="228"/>
        <v>0</v>
      </c>
      <c r="DY186" s="161">
        <f t="shared" si="229"/>
        <v>0</v>
      </c>
      <c r="DZ186" s="161">
        <f t="shared" si="230"/>
        <v>0</v>
      </c>
      <c r="EA186" s="161">
        <f t="shared" si="231"/>
        <v>0</v>
      </c>
      <c r="EB186" s="161">
        <f t="shared" si="232"/>
        <v>0</v>
      </c>
      <c r="EC186" s="161">
        <f t="shared" si="233"/>
        <v>0</v>
      </c>
      <c r="ED186" s="161">
        <f t="shared" si="234"/>
        <v>0</v>
      </c>
      <c r="EE186" s="161">
        <f t="shared" si="235"/>
        <v>0</v>
      </c>
      <c r="EF186" s="161">
        <f t="shared" si="236"/>
        <v>0</v>
      </c>
      <c r="EG186" s="161">
        <f t="shared" si="237"/>
        <v>0</v>
      </c>
      <c r="EH186" s="161">
        <f t="shared" si="238"/>
        <v>0</v>
      </c>
      <c r="EI186" s="161">
        <f t="shared" si="239"/>
        <v>0</v>
      </c>
      <c r="EJ186" s="161">
        <f t="shared" si="240"/>
        <v>0</v>
      </c>
      <c r="EK186" s="147">
        <f t="shared" si="247"/>
        <v>20.833333333333332</v>
      </c>
      <c r="EL186" s="149"/>
      <c r="EN186" s="146"/>
      <c r="EO186" s="146"/>
      <c r="EP186" s="139">
        <f t="shared" si="248"/>
        <v>0</v>
      </c>
      <c r="EQ186" s="139">
        <f t="shared" si="249"/>
        <v>0</v>
      </c>
      <c r="ER186" s="139">
        <f t="shared" si="250"/>
        <v>0</v>
      </c>
      <c r="ES186" s="139">
        <f t="shared" si="251"/>
        <v>1.4476253266872796</v>
      </c>
      <c r="ET186" s="139">
        <f t="shared" si="252"/>
        <v>3.1395421122460458</v>
      </c>
      <c r="EU186" s="139">
        <f t="shared" si="253"/>
        <v>0</v>
      </c>
      <c r="EV186" s="139">
        <f t="shared" si="254"/>
        <v>0</v>
      </c>
      <c r="EW186" s="139">
        <f t="shared" si="255"/>
        <v>0</v>
      </c>
      <c r="EX186" s="139">
        <f t="shared" si="256"/>
        <v>0</v>
      </c>
      <c r="EY186" s="139">
        <f t="shared" si="257"/>
        <v>0</v>
      </c>
      <c r="EZ186" s="139">
        <f t="shared" si="258"/>
        <v>0</v>
      </c>
      <c r="FA186" s="139">
        <f t="shared" si="259"/>
        <v>0</v>
      </c>
      <c r="FB186" s="139">
        <f t="shared" si="260"/>
        <v>0</v>
      </c>
      <c r="FC186" s="139">
        <f t="shared" si="261"/>
        <v>0</v>
      </c>
      <c r="FD186" s="139">
        <f t="shared" si="262"/>
        <v>0</v>
      </c>
      <c r="FE186" s="139">
        <f t="shared" si="263"/>
        <v>0</v>
      </c>
      <c r="FF186" s="139">
        <f t="shared" si="264"/>
        <v>0</v>
      </c>
      <c r="FG186" s="139">
        <f t="shared" si="265"/>
        <v>0</v>
      </c>
      <c r="FH186" s="139">
        <f t="shared" si="266"/>
        <v>0</v>
      </c>
      <c r="FI186" s="139">
        <f t="shared" si="267"/>
        <v>0</v>
      </c>
      <c r="FJ186" s="139">
        <f t="shared" si="268"/>
        <v>0</v>
      </c>
      <c r="FK186" s="139">
        <f t="shared" si="269"/>
        <v>0</v>
      </c>
      <c r="FL186" s="139">
        <f t="shared" si="270"/>
        <v>0</v>
      </c>
      <c r="FM186" s="139">
        <f t="shared" si="271"/>
        <v>0</v>
      </c>
      <c r="FN186" s="139">
        <f t="shared" si="272"/>
        <v>0</v>
      </c>
      <c r="FO186" s="139">
        <f t="shared" si="273"/>
        <v>0</v>
      </c>
      <c r="FP186" s="139">
        <f t="shared" si="274"/>
        <v>0</v>
      </c>
      <c r="FQ186" s="139">
        <f t="shared" si="275"/>
        <v>0</v>
      </c>
      <c r="FR186" s="139">
        <f t="shared" si="276"/>
        <v>0</v>
      </c>
      <c r="FS186" s="139">
        <f t="shared" si="277"/>
        <v>0</v>
      </c>
      <c r="FT186" s="139">
        <f t="shared" si="278"/>
        <v>0</v>
      </c>
      <c r="FU186" s="148">
        <f t="shared" si="279"/>
        <v>4.5871674389333252</v>
      </c>
      <c r="FV186" s="149"/>
      <c r="FY186" s="212">
        <v>181</v>
      </c>
      <c r="FZ186">
        <v>54.188169969981267</v>
      </c>
      <c r="GA186">
        <v>111.36818264710371</v>
      </c>
      <c r="GB186">
        <v>59.658074701449223</v>
      </c>
      <c r="GC186">
        <v>19.719763675181142</v>
      </c>
      <c r="GD186">
        <v>11.253335156923297</v>
      </c>
      <c r="GE186">
        <v>11.562119930227549</v>
      </c>
      <c r="GF186">
        <v>17.105348599996095</v>
      </c>
      <c r="GG186">
        <v>20.152809087769143</v>
      </c>
      <c r="GH186">
        <v>27.332319062566562</v>
      </c>
      <c r="GI186">
        <v>36.857477450399415</v>
      </c>
      <c r="GJ186"/>
      <c r="GK186"/>
      <c r="GL186"/>
      <c r="GM186"/>
    </row>
    <row r="187" spans="1:195" s="7" customFormat="1">
      <c r="A187" s="1"/>
      <c r="B187" s="76">
        <f ca="1">IF(C187="", "", RAND())</f>
        <v>0.49978597656505563</v>
      </c>
      <c r="C187">
        <v>6</v>
      </c>
      <c r="D187">
        <v>39987</v>
      </c>
      <c r="E187">
        <v>0</v>
      </c>
      <c r="F187">
        <v>0</v>
      </c>
      <c r="G187">
        <v>0</v>
      </c>
      <c r="H187">
        <v>72.916666666666671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633.56111360944715</v>
      </c>
      <c r="AO187">
        <v>40.833438474142632</v>
      </c>
      <c r="AP187">
        <v>49.360628701487997</v>
      </c>
      <c r="AQ187">
        <v>277.92533865705934</v>
      </c>
      <c r="AR187">
        <v>39.426874646963761</v>
      </c>
      <c r="AS187">
        <v>318.65057764689976</v>
      </c>
      <c r="AT187">
        <v>20.366284861993989</v>
      </c>
      <c r="AU187">
        <v>-43.308674247362561</v>
      </c>
      <c r="AV187"/>
      <c r="AW187"/>
      <c r="AX187" s="146"/>
      <c r="AY187" s="76">
        <f t="shared" ca="1" si="170"/>
        <v>0.31590443037588067</v>
      </c>
      <c r="AZ187">
        <v>10</v>
      </c>
      <c r="BA187" s="129">
        <f t="shared" si="246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5"/>
        <v>3.0203328612127933E-2</v>
      </c>
      <c r="CL187" s="179">
        <f t="shared" si="206"/>
        <v>10</v>
      </c>
      <c r="CM187" s="180">
        <f t="shared" si="207"/>
        <v>39987</v>
      </c>
      <c r="CN187">
        <v>0</v>
      </c>
      <c r="CO187">
        <v>0</v>
      </c>
      <c r="CP187">
        <v>1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8"/>
        <v>9.6000000000000002E-2</v>
      </c>
      <c r="DB187" s="146"/>
      <c r="DC187" s="76">
        <f t="shared" ca="1" si="171"/>
        <v>0.7571536862865742</v>
      </c>
      <c r="DD187">
        <f t="shared" si="209"/>
        <v>10</v>
      </c>
      <c r="DE187" s="129">
        <f t="shared" si="245"/>
        <v>39987</v>
      </c>
      <c r="DF187" s="161">
        <f t="shared" si="210"/>
        <v>0</v>
      </c>
      <c r="DG187" s="161">
        <f t="shared" si="211"/>
        <v>0</v>
      </c>
      <c r="DH187" s="161">
        <f t="shared" si="212"/>
        <v>49.942922374429216</v>
      </c>
      <c r="DI187" s="161">
        <f t="shared" si="213"/>
        <v>0</v>
      </c>
      <c r="DJ187" s="161">
        <f t="shared" si="214"/>
        <v>0</v>
      </c>
      <c r="DK187" s="161">
        <f t="shared" si="215"/>
        <v>0</v>
      </c>
      <c r="DL187" s="161">
        <f t="shared" si="216"/>
        <v>0</v>
      </c>
      <c r="DM187" s="161">
        <f t="shared" si="217"/>
        <v>0</v>
      </c>
      <c r="DN187" s="161">
        <f t="shared" si="218"/>
        <v>0</v>
      </c>
      <c r="DO187" s="161">
        <f t="shared" si="219"/>
        <v>0</v>
      </c>
      <c r="DP187" s="161">
        <f t="shared" si="220"/>
        <v>0</v>
      </c>
      <c r="DQ187" s="161">
        <f t="shared" si="221"/>
        <v>0</v>
      </c>
      <c r="DR187" s="161">
        <f t="shared" si="222"/>
        <v>0</v>
      </c>
      <c r="DS187" s="161">
        <f t="shared" si="223"/>
        <v>0</v>
      </c>
      <c r="DT187" s="161">
        <f t="shared" si="224"/>
        <v>0</v>
      </c>
      <c r="DU187" s="161">
        <f t="shared" si="225"/>
        <v>0</v>
      </c>
      <c r="DV187" s="161">
        <f t="shared" si="226"/>
        <v>0</v>
      </c>
      <c r="DW187" s="161">
        <f t="shared" si="227"/>
        <v>0</v>
      </c>
      <c r="DX187" s="161">
        <f t="shared" si="228"/>
        <v>0</v>
      </c>
      <c r="DY187" s="161">
        <f t="shared" si="229"/>
        <v>0</v>
      </c>
      <c r="DZ187" s="161">
        <f t="shared" si="230"/>
        <v>0</v>
      </c>
      <c r="EA187" s="161">
        <f t="shared" si="231"/>
        <v>0</v>
      </c>
      <c r="EB187" s="161">
        <f t="shared" si="232"/>
        <v>0</v>
      </c>
      <c r="EC187" s="161">
        <f t="shared" si="233"/>
        <v>0</v>
      </c>
      <c r="ED187" s="161">
        <f t="shared" si="234"/>
        <v>0</v>
      </c>
      <c r="EE187" s="161">
        <f t="shared" si="235"/>
        <v>0</v>
      </c>
      <c r="EF187" s="161">
        <f t="shared" si="236"/>
        <v>0</v>
      </c>
      <c r="EG187" s="161">
        <f t="shared" si="237"/>
        <v>0</v>
      </c>
      <c r="EH187" s="161">
        <f t="shared" si="238"/>
        <v>0</v>
      </c>
      <c r="EI187" s="161">
        <f t="shared" si="239"/>
        <v>0</v>
      </c>
      <c r="EJ187" s="161">
        <f t="shared" si="240"/>
        <v>0</v>
      </c>
      <c r="EK187" s="147">
        <f t="shared" si="247"/>
        <v>49.942922374429216</v>
      </c>
      <c r="EL187" s="149"/>
      <c r="EN187" s="146"/>
      <c r="EO187" s="146"/>
      <c r="EP187" s="139">
        <f t="shared" si="248"/>
        <v>0</v>
      </c>
      <c r="EQ187" s="139">
        <f t="shared" si="249"/>
        <v>0</v>
      </c>
      <c r="ER187" s="139">
        <f t="shared" si="250"/>
        <v>2.3309866097394099</v>
      </c>
      <c r="ES187" s="139">
        <f t="shared" si="251"/>
        <v>0</v>
      </c>
      <c r="ET187" s="139">
        <f t="shared" si="252"/>
        <v>0</v>
      </c>
      <c r="EU187" s="139">
        <f t="shared" si="253"/>
        <v>0</v>
      </c>
      <c r="EV187" s="139">
        <f t="shared" si="254"/>
        <v>0</v>
      </c>
      <c r="EW187" s="139">
        <f t="shared" si="255"/>
        <v>0</v>
      </c>
      <c r="EX187" s="139">
        <f t="shared" si="256"/>
        <v>0</v>
      </c>
      <c r="EY187" s="139">
        <f t="shared" si="257"/>
        <v>0</v>
      </c>
      <c r="EZ187" s="139">
        <f t="shared" si="258"/>
        <v>0</v>
      </c>
      <c r="FA187" s="139">
        <f t="shared" si="259"/>
        <v>0</v>
      </c>
      <c r="FB187" s="139">
        <f t="shared" si="260"/>
        <v>0</v>
      </c>
      <c r="FC187" s="139">
        <f t="shared" si="261"/>
        <v>0</v>
      </c>
      <c r="FD187" s="139">
        <f t="shared" si="262"/>
        <v>0</v>
      </c>
      <c r="FE187" s="139">
        <f t="shared" si="263"/>
        <v>0</v>
      </c>
      <c r="FF187" s="139">
        <f t="shared" si="264"/>
        <v>0</v>
      </c>
      <c r="FG187" s="139">
        <f t="shared" si="265"/>
        <v>0</v>
      </c>
      <c r="FH187" s="139">
        <f t="shared" si="266"/>
        <v>0</v>
      </c>
      <c r="FI187" s="139">
        <f t="shared" si="267"/>
        <v>0</v>
      </c>
      <c r="FJ187" s="139">
        <f t="shared" si="268"/>
        <v>0</v>
      </c>
      <c r="FK187" s="139">
        <f t="shared" si="269"/>
        <v>0</v>
      </c>
      <c r="FL187" s="139">
        <f t="shared" si="270"/>
        <v>0</v>
      </c>
      <c r="FM187" s="139">
        <f t="shared" si="271"/>
        <v>0</v>
      </c>
      <c r="FN187" s="139">
        <f t="shared" si="272"/>
        <v>0</v>
      </c>
      <c r="FO187" s="139">
        <f t="shared" si="273"/>
        <v>0</v>
      </c>
      <c r="FP187" s="139">
        <f t="shared" si="274"/>
        <v>0</v>
      </c>
      <c r="FQ187" s="139">
        <f t="shared" si="275"/>
        <v>0</v>
      </c>
      <c r="FR187" s="139">
        <f t="shared" si="276"/>
        <v>0</v>
      </c>
      <c r="FS187" s="139">
        <f t="shared" si="277"/>
        <v>0</v>
      </c>
      <c r="FT187" s="139">
        <f t="shared" si="278"/>
        <v>0</v>
      </c>
      <c r="FU187" s="148">
        <f t="shared" si="279"/>
        <v>2.3309866097394099</v>
      </c>
      <c r="FV187" s="149"/>
      <c r="FY187" s="212">
        <v>182</v>
      </c>
      <c r="FZ187">
        <v>39.805429668649282</v>
      </c>
      <c r="GA187">
        <v>142.63636169067073</v>
      </c>
      <c r="GB187">
        <v>72.917749989978702</v>
      </c>
      <c r="GC187">
        <v>16.014395649499448</v>
      </c>
      <c r="GD187">
        <v>10.165349801505219</v>
      </c>
      <c r="GE187">
        <v>15.537402677843856</v>
      </c>
      <c r="GF187">
        <v>31.212216600537985</v>
      </c>
      <c r="GG187">
        <v>24.778050471661224</v>
      </c>
      <c r="GH187">
        <v>13.352064193404084</v>
      </c>
      <c r="GI187">
        <v>37.822537221072892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791.13361935548596</v>
      </c>
      <c r="AO188">
        <v>52.857274257856886</v>
      </c>
      <c r="AP188">
        <v>68.447640586171744</v>
      </c>
      <c r="AQ188">
        <v>377.26318163118708</v>
      </c>
      <c r="AR188">
        <v>51.80193885831514</v>
      </c>
      <c r="AS188">
        <v>421.76872416647734</v>
      </c>
      <c r="AT188">
        <v>26.223567217994063</v>
      </c>
      <c r="AU188">
        <v>-76.644562107703422</v>
      </c>
      <c r="AV188"/>
      <c r="AW188"/>
      <c r="AX188" s="128"/>
      <c r="AY188" s="76" t="str">
        <f t="shared" ca="1" si="170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5"/>
        <v/>
      </c>
      <c r="CL188" s="179" t="str">
        <f t="shared" si="206"/>
        <v/>
      </c>
      <c r="CM188" s="180" t="str">
        <f t="shared" si="207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8"/>
        <v/>
      </c>
      <c r="DB188" s="128"/>
      <c r="DC188" s="76" t="str">
        <f t="shared" ca="1" si="171"/>
        <v/>
      </c>
      <c r="DD188" t="str">
        <f t="shared" si="209"/>
        <v/>
      </c>
      <c r="DE188" s="129" t="str">
        <f t="shared" ref="DE188:DE197" si="280">IF((DD188)="", "", $C$14)</f>
        <v/>
      </c>
      <c r="DF188" s="161" t="str">
        <f t="shared" ref="DF188:DF207" si="281">IF($AZ188="", "", ((BB188*$CW188)+(CN188*$CX188))/$CZ188)</f>
        <v/>
      </c>
      <c r="DG188" s="161" t="str">
        <f t="shared" ref="DG188:DG207" si="282">IF($AZ188="", "", ((BC188*$CW188)+(CO188*$CX188))/$CZ188)</f>
        <v/>
      </c>
      <c r="DH188" s="161" t="str">
        <f t="shared" ref="DH188:DH207" si="283">IF($AZ188="", "", ((BD188*$CW188)+(CP188*$CX188))/$CZ188)</f>
        <v/>
      </c>
      <c r="DI188" s="161" t="str">
        <f t="shared" ref="DI188:DI207" si="284">IF($AZ188="", "", ((BE188*$CW188)+(CQ188*$CX188))/$CZ188)</f>
        <v/>
      </c>
      <c r="DJ188" s="161" t="str">
        <f t="shared" ref="DJ188:DJ207" si="285">IF($AZ188="", "", ((BF188*$CW188)+(CR188*$CX188))/$CZ188)</f>
        <v/>
      </c>
      <c r="DK188" s="161" t="str">
        <f t="shared" ref="DK188:DK207" si="286">IF($AZ188="", "", ((BG188*$CW188)+(CS188*$CX188))/$CZ188)</f>
        <v/>
      </c>
      <c r="DL188" s="161" t="str">
        <f t="shared" ref="DL188:DL207" si="287">IF($AZ188="", "", ((BH188*$CW188)+(CT188*$CX188))/$CZ188)</f>
        <v/>
      </c>
      <c r="DM188" s="161" t="str">
        <f t="shared" ref="DM188:DM207" si="288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9">IF($AZ188="", "", (BK187*$CW188)/$CZ188)</f>
        <v/>
      </c>
      <c r="DP188" s="161" t="str">
        <f t="shared" ref="DP188:DP193" si="290">IF($AZ188="", "", (BL187*$CW188)/$CZ188)</f>
        <v/>
      </c>
      <c r="DQ188" s="161" t="str">
        <f t="shared" ref="DQ188:DQ193" si="291">IF($AZ188="", "", (BM187*$CW188)/$CZ188)</f>
        <v/>
      </c>
      <c r="DR188" s="161" t="str">
        <f t="shared" ref="DR188:DR193" si="292">IF($AZ188="", "", (BN187*$CW188)/$CZ188)</f>
        <v/>
      </c>
      <c r="DS188" s="161" t="str">
        <f t="shared" ref="DS188:DS193" si="293">IF($AZ188="", "", (BO187*$CW188)/$CZ188)</f>
        <v/>
      </c>
      <c r="DT188" s="161" t="str">
        <f t="shared" ref="DT188:DT193" si="294">IF($AZ188="", "", (BP187*$CW188)/$CZ188)</f>
        <v/>
      </c>
      <c r="DU188" s="161" t="str">
        <f t="shared" ref="DU188:DU193" si="295">IF($AZ188="", "", (BQ187*$CW188)/$CZ188)</f>
        <v/>
      </c>
      <c r="DV188" s="161" t="str">
        <f t="shared" ref="DV188:DV193" si="296">IF($AZ188="", "", (BR187*$CW188)/$CZ188)</f>
        <v/>
      </c>
      <c r="DW188" s="161" t="str">
        <f t="shared" ref="DW188:DW193" si="297">IF($AZ188="", "", (BS187*$CW188)/$CZ188)</f>
        <v/>
      </c>
      <c r="DX188" s="161" t="str">
        <f t="shared" ref="DX188:DX193" si="298">IF($AZ188="", "", (BT187*$CW188)/$CZ188)</f>
        <v/>
      </c>
      <c r="DY188" s="161" t="str">
        <f t="shared" ref="DY188:DY193" si="299">IF($AZ188="", "", (BU187*$CW188)/$CZ188)</f>
        <v/>
      </c>
      <c r="DZ188" s="161" t="str">
        <f t="shared" ref="DZ188:DZ193" si="300">IF($AZ188="", "", (BV187*$CW188)/$CZ188)</f>
        <v/>
      </c>
      <c r="EA188" s="161" t="str">
        <f t="shared" ref="EA188:EA193" si="301">IF($AZ188="", "", (BW187*$CW188)/$CZ188)</f>
        <v/>
      </c>
      <c r="EB188" s="161" t="str">
        <f t="shared" ref="EB188:EB193" si="302">IF($AZ188="", "", (BX187*$CW188)/$CZ188)</f>
        <v/>
      </c>
      <c r="EC188" s="161" t="str">
        <f t="shared" ref="EC188:EC193" si="303">IF($AZ188="", "", (BY187*$CW188)/$CZ188)</f>
        <v/>
      </c>
      <c r="ED188" s="161" t="str">
        <f t="shared" ref="ED188:ED193" si="304">IF($AZ188="", "", (BZ187*$CW188)/$CZ188)</f>
        <v/>
      </c>
      <c r="EE188" s="161" t="str">
        <f t="shared" ref="EE188:EE193" si="305">IF($AZ188="", "", (CA187*$CW188)/$CZ188)</f>
        <v/>
      </c>
      <c r="EF188" s="161" t="str">
        <f t="shared" ref="EF188:EF193" si="306">IF($AZ188="", "", (CB187*$CW188)/$CZ188)</f>
        <v/>
      </c>
      <c r="EG188" s="161" t="str">
        <f t="shared" ref="EG188:EG193" si="307">IF($AZ188="", "", (CC187*$CW188)/$CZ188)</f>
        <v/>
      </c>
      <c r="EH188" s="161" t="str">
        <f t="shared" ref="EH188:EH193" si="308">IF($AZ188="", "", (CD187*$CW188)/$CZ188)</f>
        <v/>
      </c>
      <c r="EI188" s="161" t="str">
        <f t="shared" ref="EI188:EI193" si="309">IF($AZ188="", "", (CE187*$CW188)/$CZ188)</f>
        <v/>
      </c>
      <c r="EJ188" s="161" t="str">
        <f t="shared" ref="EJ188:EJ193" si="310">IF($AZ188="", "", (CF187*$CW188)/$CZ188)</f>
        <v/>
      </c>
      <c r="EK188" s="147" t="str">
        <f t="shared" si="247"/>
        <v/>
      </c>
      <c r="EL188" s="149"/>
      <c r="EN188" s="146"/>
      <c r="EO188" s="146"/>
      <c r="EP188" s="139" t="str">
        <f t="shared" si="248"/>
        <v/>
      </c>
      <c r="EQ188" s="139" t="str">
        <f t="shared" si="249"/>
        <v/>
      </c>
      <c r="ER188" s="139" t="str">
        <f t="shared" si="250"/>
        <v/>
      </c>
      <c r="ES188" s="139" t="str">
        <f t="shared" si="251"/>
        <v/>
      </c>
      <c r="ET188" s="139" t="str">
        <f t="shared" si="252"/>
        <v/>
      </c>
      <c r="EU188" s="139" t="str">
        <f t="shared" si="253"/>
        <v/>
      </c>
      <c r="EV188" s="139" t="str">
        <f t="shared" si="254"/>
        <v/>
      </c>
      <c r="EW188" s="139" t="str">
        <f t="shared" si="255"/>
        <v/>
      </c>
      <c r="EX188" s="139" t="str">
        <f t="shared" si="256"/>
        <v/>
      </c>
      <c r="EY188" s="139" t="str">
        <f t="shared" si="257"/>
        <v/>
      </c>
      <c r="EZ188" s="139" t="str">
        <f t="shared" si="258"/>
        <v/>
      </c>
      <c r="FA188" s="139" t="str">
        <f t="shared" si="259"/>
        <v/>
      </c>
      <c r="FB188" s="139" t="str">
        <f t="shared" si="260"/>
        <v/>
      </c>
      <c r="FC188" s="139" t="str">
        <f t="shared" si="261"/>
        <v/>
      </c>
      <c r="FD188" s="139" t="str">
        <f t="shared" si="262"/>
        <v/>
      </c>
      <c r="FE188" s="139" t="str">
        <f t="shared" si="263"/>
        <v/>
      </c>
      <c r="FF188" s="139" t="str">
        <f t="shared" si="264"/>
        <v/>
      </c>
      <c r="FG188" s="139" t="str">
        <f t="shared" si="265"/>
        <v/>
      </c>
      <c r="FH188" s="139" t="str">
        <f t="shared" si="266"/>
        <v/>
      </c>
      <c r="FI188" s="139" t="str">
        <f t="shared" si="267"/>
        <v/>
      </c>
      <c r="FJ188" s="139" t="str">
        <f t="shared" si="268"/>
        <v/>
      </c>
      <c r="FK188" s="139" t="str">
        <f t="shared" si="269"/>
        <v/>
      </c>
      <c r="FL188" s="139" t="str">
        <f t="shared" si="270"/>
        <v/>
      </c>
      <c r="FM188" s="139" t="str">
        <f t="shared" si="271"/>
        <v/>
      </c>
      <c r="FN188" s="139" t="str">
        <f t="shared" si="272"/>
        <v/>
      </c>
      <c r="FO188" s="139" t="str">
        <f t="shared" si="273"/>
        <v/>
      </c>
      <c r="FP188" s="139" t="str">
        <f t="shared" si="274"/>
        <v/>
      </c>
      <c r="FQ188" s="139" t="str">
        <f t="shared" si="275"/>
        <v/>
      </c>
      <c r="FR188" s="139" t="str">
        <f t="shared" si="276"/>
        <v/>
      </c>
      <c r="FS188" s="139" t="str">
        <f t="shared" si="277"/>
        <v/>
      </c>
      <c r="FT188" s="139" t="str">
        <f t="shared" si="278"/>
        <v/>
      </c>
      <c r="FU188" s="148" t="str">
        <f t="shared" si="279"/>
        <v/>
      </c>
      <c r="FV188" s="149"/>
      <c r="FY188" s="212">
        <v>183</v>
      </c>
      <c r="FZ188">
        <v>39.376192448367853</v>
      </c>
      <c r="GA188">
        <v>76.041848885429161</v>
      </c>
      <c r="GB188">
        <v>44.723532066490741</v>
      </c>
      <c r="GC188">
        <v>16.876273895839262</v>
      </c>
      <c r="GD188">
        <v>11.852260011924921</v>
      </c>
      <c r="GE188">
        <v>16.798530358101367</v>
      </c>
      <c r="GF188">
        <v>39.147509717905358</v>
      </c>
      <c r="GG188">
        <v>43.645257436168521</v>
      </c>
      <c r="GH188">
        <v>40.683767650344279</v>
      </c>
      <c r="GI188">
        <v>37.427508540047413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724.89599110911934</v>
      </c>
      <c r="AO189">
        <v>52.97905606358465</v>
      </c>
      <c r="AP189">
        <v>30.258478340478394</v>
      </c>
      <c r="AQ189">
        <v>390.11383136580736</v>
      </c>
      <c r="AR189">
        <v>52.261676310300089</v>
      </c>
      <c r="AS189">
        <v>400.01069172547341</v>
      </c>
      <c r="AT189">
        <v>26.243967891118533</v>
      </c>
      <c r="AU189">
        <v>-97.959656488564661</v>
      </c>
      <c r="AV189"/>
      <c r="AW189"/>
      <c r="AX189" s="146"/>
      <c r="AY189" s="76" t="str">
        <f t="shared" ca="1" si="170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5"/>
        <v/>
      </c>
      <c r="CL189" s="179" t="str">
        <f t="shared" si="206"/>
        <v/>
      </c>
      <c r="CM189" s="180" t="str">
        <f t="shared" si="207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8"/>
        <v/>
      </c>
      <c r="DB189" s="146"/>
      <c r="DC189" s="76" t="str">
        <f t="shared" ca="1" si="171"/>
        <v/>
      </c>
      <c r="DD189" t="str">
        <f t="shared" si="209"/>
        <v/>
      </c>
      <c r="DE189" s="129" t="str">
        <f t="shared" si="280"/>
        <v/>
      </c>
      <c r="DF189" s="161" t="str">
        <f t="shared" si="281"/>
        <v/>
      </c>
      <c r="DG189" s="161" t="str">
        <f t="shared" si="282"/>
        <v/>
      </c>
      <c r="DH189" s="161" t="str">
        <f t="shared" si="283"/>
        <v/>
      </c>
      <c r="DI189" s="161" t="str">
        <f t="shared" si="284"/>
        <v/>
      </c>
      <c r="DJ189" s="161" t="str">
        <f t="shared" si="285"/>
        <v/>
      </c>
      <c r="DK189" s="161" t="str">
        <f t="shared" si="286"/>
        <v/>
      </c>
      <c r="DL189" s="161" t="str">
        <f t="shared" si="287"/>
        <v/>
      </c>
      <c r="DM189" s="161" t="str">
        <f t="shared" si="288"/>
        <v/>
      </c>
      <c r="DN189" s="161" t="str">
        <f>IF($AZ189="", "", (BJ189*$CW189)/$CZ189)</f>
        <v/>
      </c>
      <c r="DO189" s="161" t="str">
        <f t="shared" si="289"/>
        <v/>
      </c>
      <c r="DP189" s="161" t="str">
        <f t="shared" si="290"/>
        <v/>
      </c>
      <c r="DQ189" s="161" t="str">
        <f t="shared" si="291"/>
        <v/>
      </c>
      <c r="DR189" s="161" t="str">
        <f t="shared" si="292"/>
        <v/>
      </c>
      <c r="DS189" s="161" t="str">
        <f t="shared" si="293"/>
        <v/>
      </c>
      <c r="DT189" s="161" t="str">
        <f t="shared" si="294"/>
        <v/>
      </c>
      <c r="DU189" s="161" t="str">
        <f t="shared" si="295"/>
        <v/>
      </c>
      <c r="DV189" s="161" t="str">
        <f t="shared" si="296"/>
        <v/>
      </c>
      <c r="DW189" s="161" t="str">
        <f t="shared" si="297"/>
        <v/>
      </c>
      <c r="DX189" s="161" t="str">
        <f t="shared" si="298"/>
        <v/>
      </c>
      <c r="DY189" s="161" t="str">
        <f t="shared" si="299"/>
        <v/>
      </c>
      <c r="DZ189" s="161" t="str">
        <f t="shared" si="300"/>
        <v/>
      </c>
      <c r="EA189" s="161" t="str">
        <f t="shared" si="301"/>
        <v/>
      </c>
      <c r="EB189" s="161" t="str">
        <f t="shared" si="302"/>
        <v/>
      </c>
      <c r="EC189" s="161" t="str">
        <f t="shared" si="303"/>
        <v/>
      </c>
      <c r="ED189" s="161" t="str">
        <f t="shared" si="304"/>
        <v/>
      </c>
      <c r="EE189" s="161" t="str">
        <f t="shared" si="305"/>
        <v/>
      </c>
      <c r="EF189" s="161" t="str">
        <f t="shared" si="306"/>
        <v/>
      </c>
      <c r="EG189" s="161" t="str">
        <f t="shared" si="307"/>
        <v/>
      </c>
      <c r="EH189" s="161" t="str">
        <f t="shared" si="308"/>
        <v/>
      </c>
      <c r="EI189" s="161" t="str">
        <f t="shared" si="309"/>
        <v/>
      </c>
      <c r="EJ189" s="161" t="str">
        <f t="shared" si="310"/>
        <v/>
      </c>
      <c r="EK189" s="147" t="str">
        <f t="shared" si="247"/>
        <v/>
      </c>
      <c r="EL189" s="149"/>
      <c r="EN189" s="146"/>
      <c r="EO189" s="146"/>
      <c r="EP189" s="139" t="str">
        <f t="shared" si="248"/>
        <v/>
      </c>
      <c r="EQ189" s="139" t="str">
        <f t="shared" si="249"/>
        <v/>
      </c>
      <c r="ER189" s="139" t="str">
        <f t="shared" si="250"/>
        <v/>
      </c>
      <c r="ES189" s="139" t="str">
        <f t="shared" si="251"/>
        <v/>
      </c>
      <c r="ET189" s="139" t="str">
        <f t="shared" si="252"/>
        <v/>
      </c>
      <c r="EU189" s="139" t="str">
        <f t="shared" si="253"/>
        <v/>
      </c>
      <c r="EV189" s="139" t="str">
        <f t="shared" si="254"/>
        <v/>
      </c>
      <c r="EW189" s="139" t="str">
        <f t="shared" si="255"/>
        <v/>
      </c>
      <c r="EX189" s="139" t="str">
        <f t="shared" si="256"/>
        <v/>
      </c>
      <c r="EY189" s="139" t="str">
        <f t="shared" si="257"/>
        <v/>
      </c>
      <c r="EZ189" s="139" t="str">
        <f t="shared" si="258"/>
        <v/>
      </c>
      <c r="FA189" s="139" t="str">
        <f t="shared" si="259"/>
        <v/>
      </c>
      <c r="FB189" s="139" t="str">
        <f t="shared" si="260"/>
        <v/>
      </c>
      <c r="FC189" s="139" t="str">
        <f t="shared" si="261"/>
        <v/>
      </c>
      <c r="FD189" s="139" t="str">
        <f t="shared" si="262"/>
        <v/>
      </c>
      <c r="FE189" s="139" t="str">
        <f t="shared" si="263"/>
        <v/>
      </c>
      <c r="FF189" s="139" t="str">
        <f t="shared" si="264"/>
        <v/>
      </c>
      <c r="FG189" s="139" t="str">
        <f t="shared" si="265"/>
        <v/>
      </c>
      <c r="FH189" s="139" t="str">
        <f t="shared" si="266"/>
        <v/>
      </c>
      <c r="FI189" s="139" t="str">
        <f t="shared" si="267"/>
        <v/>
      </c>
      <c r="FJ189" s="139" t="str">
        <f t="shared" si="268"/>
        <v/>
      </c>
      <c r="FK189" s="139" t="str">
        <f t="shared" si="269"/>
        <v/>
      </c>
      <c r="FL189" s="139" t="str">
        <f t="shared" si="270"/>
        <v/>
      </c>
      <c r="FM189" s="139" t="str">
        <f t="shared" si="271"/>
        <v/>
      </c>
      <c r="FN189" s="139" t="str">
        <f t="shared" si="272"/>
        <v/>
      </c>
      <c r="FO189" s="139" t="str">
        <f t="shared" si="273"/>
        <v/>
      </c>
      <c r="FP189" s="139" t="str">
        <f t="shared" si="274"/>
        <v/>
      </c>
      <c r="FQ189" s="139" t="str">
        <f t="shared" si="275"/>
        <v/>
      </c>
      <c r="FR189" s="139" t="str">
        <f t="shared" si="276"/>
        <v/>
      </c>
      <c r="FS189" s="139" t="str">
        <f t="shared" si="277"/>
        <v/>
      </c>
      <c r="FT189" s="139" t="str">
        <f t="shared" si="278"/>
        <v/>
      </c>
      <c r="FU189" s="148" t="str">
        <f t="shared" si="279"/>
        <v/>
      </c>
      <c r="FV189" s="149"/>
      <c r="FY189" s="212">
        <v>184</v>
      </c>
      <c r="FZ189">
        <v>43.785298613451317</v>
      </c>
      <c r="GA189">
        <v>78.845883736108746</v>
      </c>
      <c r="GB189">
        <v>48.295107901879653</v>
      </c>
      <c r="GC189">
        <v>19.983878525713166</v>
      </c>
      <c r="GD189">
        <v>11.939347610124878</v>
      </c>
      <c r="GE189">
        <v>17.087335689528814</v>
      </c>
      <c r="GF189">
        <v>47.20820417989767</v>
      </c>
      <c r="GG189">
        <v>35.983796528553654</v>
      </c>
      <c r="GH189">
        <v>19.336090381879931</v>
      </c>
      <c r="GI189">
        <v>37.019680026138033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767.3565050678651</v>
      </c>
      <c r="AO190">
        <v>49.98786289479149</v>
      </c>
      <c r="AP190">
        <v>80.596609608653182</v>
      </c>
      <c r="AQ190">
        <v>357.55202264613888</v>
      </c>
      <c r="AR190">
        <v>47.501452633427832</v>
      </c>
      <c r="AS190">
        <v>400.57806246256598</v>
      </c>
      <c r="AT190">
        <v>23.447373875598839</v>
      </c>
      <c r="AU190">
        <v>-23.912774250486482</v>
      </c>
      <c r="AV190"/>
      <c r="AW190"/>
      <c r="AX190" s="146"/>
      <c r="AY190" s="76" t="str">
        <f t="shared" ca="1" si="170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5"/>
        <v/>
      </c>
      <c r="CL190" s="179" t="str">
        <f t="shared" si="206"/>
        <v/>
      </c>
      <c r="CM190" s="180" t="str">
        <f t="shared" si="207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8"/>
        <v/>
      </c>
      <c r="DB190" s="146"/>
      <c r="DC190" s="76" t="str">
        <f t="shared" ca="1" si="171"/>
        <v/>
      </c>
      <c r="DD190" t="str">
        <f t="shared" si="209"/>
        <v/>
      </c>
      <c r="DE190" s="129" t="str">
        <f t="shared" si="280"/>
        <v/>
      </c>
      <c r="DF190" s="161" t="str">
        <f t="shared" si="281"/>
        <v/>
      </c>
      <c r="DG190" s="161" t="str">
        <f t="shared" si="282"/>
        <v/>
      </c>
      <c r="DH190" s="161" t="str">
        <f t="shared" si="283"/>
        <v/>
      </c>
      <c r="DI190" s="161" t="str">
        <f t="shared" si="284"/>
        <v/>
      </c>
      <c r="DJ190" s="161" t="str">
        <f t="shared" si="285"/>
        <v/>
      </c>
      <c r="DK190" s="161" t="str">
        <f t="shared" si="286"/>
        <v/>
      </c>
      <c r="DL190" s="161" t="str">
        <f t="shared" si="287"/>
        <v/>
      </c>
      <c r="DM190" s="161" t="str">
        <f t="shared" si="288"/>
        <v/>
      </c>
      <c r="DN190" s="161" t="str">
        <f>IF($AZ190="", "", (BJ190*$CW190)/$CZ190)</f>
        <v/>
      </c>
      <c r="DO190" s="161" t="str">
        <f t="shared" si="289"/>
        <v/>
      </c>
      <c r="DP190" s="161" t="str">
        <f t="shared" si="290"/>
        <v/>
      </c>
      <c r="DQ190" s="161" t="str">
        <f t="shared" si="291"/>
        <v/>
      </c>
      <c r="DR190" s="161" t="str">
        <f t="shared" si="292"/>
        <v/>
      </c>
      <c r="DS190" s="161" t="str">
        <f t="shared" si="293"/>
        <v/>
      </c>
      <c r="DT190" s="161" t="str">
        <f t="shared" si="294"/>
        <v/>
      </c>
      <c r="DU190" s="161" t="str">
        <f t="shared" si="295"/>
        <v/>
      </c>
      <c r="DV190" s="161" t="str">
        <f t="shared" si="296"/>
        <v/>
      </c>
      <c r="DW190" s="161" t="str">
        <f t="shared" si="297"/>
        <v/>
      </c>
      <c r="DX190" s="161" t="str">
        <f t="shared" si="298"/>
        <v/>
      </c>
      <c r="DY190" s="161" t="str">
        <f t="shared" si="299"/>
        <v/>
      </c>
      <c r="DZ190" s="161" t="str">
        <f t="shared" si="300"/>
        <v/>
      </c>
      <c r="EA190" s="161" t="str">
        <f t="shared" si="301"/>
        <v/>
      </c>
      <c r="EB190" s="161" t="str">
        <f t="shared" si="302"/>
        <v/>
      </c>
      <c r="EC190" s="161" t="str">
        <f t="shared" si="303"/>
        <v/>
      </c>
      <c r="ED190" s="161" t="str">
        <f t="shared" si="304"/>
        <v/>
      </c>
      <c r="EE190" s="161" t="str">
        <f t="shared" si="305"/>
        <v/>
      </c>
      <c r="EF190" s="161" t="str">
        <f t="shared" si="306"/>
        <v/>
      </c>
      <c r="EG190" s="161" t="str">
        <f t="shared" si="307"/>
        <v/>
      </c>
      <c r="EH190" s="161" t="str">
        <f t="shared" si="308"/>
        <v/>
      </c>
      <c r="EI190" s="161" t="str">
        <f t="shared" si="309"/>
        <v/>
      </c>
      <c r="EJ190" s="161" t="str">
        <f t="shared" si="310"/>
        <v/>
      </c>
      <c r="EK190" s="147" t="str">
        <f t="shared" si="247"/>
        <v/>
      </c>
      <c r="EL190" s="149"/>
      <c r="EN190" s="146"/>
      <c r="EO190" s="146"/>
      <c r="EP190" s="139" t="str">
        <f t="shared" si="248"/>
        <v/>
      </c>
      <c r="EQ190" s="139" t="str">
        <f t="shared" si="249"/>
        <v/>
      </c>
      <c r="ER190" s="139" t="str">
        <f t="shared" si="250"/>
        <v/>
      </c>
      <c r="ES190" s="139" t="str">
        <f t="shared" si="251"/>
        <v/>
      </c>
      <c r="ET190" s="139" t="str">
        <f t="shared" si="252"/>
        <v/>
      </c>
      <c r="EU190" s="139" t="str">
        <f t="shared" si="253"/>
        <v/>
      </c>
      <c r="EV190" s="139" t="str">
        <f t="shared" si="254"/>
        <v/>
      </c>
      <c r="EW190" s="139" t="str">
        <f t="shared" si="255"/>
        <v/>
      </c>
      <c r="EX190" s="139" t="str">
        <f t="shared" si="256"/>
        <v/>
      </c>
      <c r="EY190" s="139" t="str">
        <f t="shared" si="257"/>
        <v/>
      </c>
      <c r="EZ190" s="139" t="str">
        <f t="shared" si="258"/>
        <v/>
      </c>
      <c r="FA190" s="139" t="str">
        <f t="shared" si="259"/>
        <v/>
      </c>
      <c r="FB190" s="139" t="str">
        <f t="shared" si="260"/>
        <v/>
      </c>
      <c r="FC190" s="139" t="str">
        <f t="shared" si="261"/>
        <v/>
      </c>
      <c r="FD190" s="139" t="str">
        <f t="shared" si="262"/>
        <v/>
      </c>
      <c r="FE190" s="139" t="str">
        <f t="shared" si="263"/>
        <v/>
      </c>
      <c r="FF190" s="139" t="str">
        <f t="shared" si="264"/>
        <v/>
      </c>
      <c r="FG190" s="139" t="str">
        <f t="shared" si="265"/>
        <v/>
      </c>
      <c r="FH190" s="139" t="str">
        <f t="shared" si="266"/>
        <v/>
      </c>
      <c r="FI190" s="139" t="str">
        <f t="shared" si="267"/>
        <v/>
      </c>
      <c r="FJ190" s="139" t="str">
        <f t="shared" si="268"/>
        <v/>
      </c>
      <c r="FK190" s="139" t="str">
        <f t="shared" si="269"/>
        <v/>
      </c>
      <c r="FL190" s="139" t="str">
        <f t="shared" si="270"/>
        <v/>
      </c>
      <c r="FM190" s="139" t="str">
        <f t="shared" si="271"/>
        <v/>
      </c>
      <c r="FN190" s="139" t="str">
        <f t="shared" si="272"/>
        <v/>
      </c>
      <c r="FO190" s="139" t="str">
        <f t="shared" si="273"/>
        <v/>
      </c>
      <c r="FP190" s="139" t="str">
        <f t="shared" si="274"/>
        <v/>
      </c>
      <c r="FQ190" s="139" t="str">
        <f t="shared" si="275"/>
        <v/>
      </c>
      <c r="FR190" s="139" t="str">
        <f t="shared" si="276"/>
        <v/>
      </c>
      <c r="FS190" s="139" t="str">
        <f t="shared" si="277"/>
        <v/>
      </c>
      <c r="FT190" s="139" t="str">
        <f t="shared" si="278"/>
        <v/>
      </c>
      <c r="FU190" s="148" t="str">
        <f t="shared" si="279"/>
        <v/>
      </c>
      <c r="FV190" s="149"/>
      <c r="FY190" s="212">
        <v>185</v>
      </c>
      <c r="FZ190">
        <v>45.471641553189684</v>
      </c>
      <c r="GA190">
        <v>99.226506688324619</v>
      </c>
      <c r="GB190">
        <v>52.926811459131081</v>
      </c>
      <c r="GC190">
        <v>16.895550526399035</v>
      </c>
      <c r="GD190">
        <v>12.571680978678524</v>
      </c>
      <c r="GE190">
        <v>17.657928421554629</v>
      </c>
      <c r="GF190">
        <v>20.344414859232675</v>
      </c>
      <c r="GG190">
        <v>16.782784576759049</v>
      </c>
      <c r="GH190">
        <v>25.524199804311682</v>
      </c>
      <c r="GI190">
        <v>34.899919576947518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615.53122606635236</v>
      </c>
      <c r="AO191">
        <v>48.766630812590975</v>
      </c>
      <c r="AP191">
        <v>76.775808393602816</v>
      </c>
      <c r="AQ191">
        <v>338.57924287382104</v>
      </c>
      <c r="AR191">
        <v>47.222821722110318</v>
      </c>
      <c r="AS191">
        <v>368.67866238393754</v>
      </c>
      <c r="AT191">
        <v>23.504608223199483</v>
      </c>
      <c r="AU191">
        <v>-33.071316611648044</v>
      </c>
      <c r="AV191"/>
      <c r="AW191"/>
      <c r="AX191" s="146"/>
      <c r="AY191" s="76" t="str">
        <f t="shared" ca="1" si="170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5"/>
        <v/>
      </c>
      <c r="CL191" s="179" t="str">
        <f t="shared" si="206"/>
        <v/>
      </c>
      <c r="CM191" s="180" t="str">
        <f t="shared" si="207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8"/>
        <v/>
      </c>
      <c r="DB191" s="146"/>
      <c r="DC191" s="76" t="str">
        <f t="shared" ca="1" si="171"/>
        <v/>
      </c>
      <c r="DD191" t="str">
        <f t="shared" si="209"/>
        <v/>
      </c>
      <c r="DE191" s="129" t="str">
        <f t="shared" si="280"/>
        <v/>
      </c>
      <c r="DF191" s="161" t="str">
        <f t="shared" si="281"/>
        <v/>
      </c>
      <c r="DG191" s="161" t="str">
        <f t="shared" si="282"/>
        <v/>
      </c>
      <c r="DH191" s="161" t="str">
        <f t="shared" si="283"/>
        <v/>
      </c>
      <c r="DI191" s="161" t="str">
        <f t="shared" si="284"/>
        <v/>
      </c>
      <c r="DJ191" s="161" t="str">
        <f t="shared" si="285"/>
        <v/>
      </c>
      <c r="DK191" s="161" t="str">
        <f t="shared" si="286"/>
        <v/>
      </c>
      <c r="DL191" s="161" t="str">
        <f t="shared" si="287"/>
        <v/>
      </c>
      <c r="DM191" s="161" t="str">
        <f t="shared" si="288"/>
        <v/>
      </c>
      <c r="DN191" s="161" t="str">
        <f>IF($AZ191="", "", (BJ191*$CW191)/$CZ191)</f>
        <v/>
      </c>
      <c r="DO191" s="161" t="str">
        <f t="shared" si="289"/>
        <v/>
      </c>
      <c r="DP191" s="161" t="str">
        <f t="shared" si="290"/>
        <v/>
      </c>
      <c r="DQ191" s="161" t="str">
        <f t="shared" si="291"/>
        <v/>
      </c>
      <c r="DR191" s="161" t="str">
        <f t="shared" si="292"/>
        <v/>
      </c>
      <c r="DS191" s="161" t="str">
        <f t="shared" si="293"/>
        <v/>
      </c>
      <c r="DT191" s="161" t="str">
        <f t="shared" si="294"/>
        <v/>
      </c>
      <c r="DU191" s="161" t="str">
        <f t="shared" si="295"/>
        <v/>
      </c>
      <c r="DV191" s="161" t="str">
        <f t="shared" si="296"/>
        <v/>
      </c>
      <c r="DW191" s="161" t="str">
        <f t="shared" si="297"/>
        <v/>
      </c>
      <c r="DX191" s="161" t="str">
        <f t="shared" si="298"/>
        <v/>
      </c>
      <c r="DY191" s="161" t="str">
        <f t="shared" si="299"/>
        <v/>
      </c>
      <c r="DZ191" s="161" t="str">
        <f t="shared" si="300"/>
        <v/>
      </c>
      <c r="EA191" s="161" t="str">
        <f t="shared" si="301"/>
        <v/>
      </c>
      <c r="EB191" s="161" t="str">
        <f t="shared" si="302"/>
        <v/>
      </c>
      <c r="EC191" s="161" t="str">
        <f t="shared" si="303"/>
        <v/>
      </c>
      <c r="ED191" s="161" t="str">
        <f t="shared" si="304"/>
        <v/>
      </c>
      <c r="EE191" s="161" t="str">
        <f t="shared" si="305"/>
        <v/>
      </c>
      <c r="EF191" s="161" t="str">
        <f t="shared" si="306"/>
        <v/>
      </c>
      <c r="EG191" s="161" t="str">
        <f t="shared" si="307"/>
        <v/>
      </c>
      <c r="EH191" s="161" t="str">
        <f t="shared" si="308"/>
        <v/>
      </c>
      <c r="EI191" s="161" t="str">
        <f t="shared" si="309"/>
        <v/>
      </c>
      <c r="EJ191" s="161" t="str">
        <f t="shared" si="310"/>
        <v/>
      </c>
      <c r="EK191" s="147" t="str">
        <f t="shared" si="247"/>
        <v/>
      </c>
      <c r="EL191" s="149"/>
      <c r="EN191" s="146"/>
      <c r="EO191" s="146"/>
      <c r="EP191" s="139" t="str">
        <f t="shared" si="248"/>
        <v/>
      </c>
      <c r="EQ191" s="139" t="str">
        <f t="shared" si="249"/>
        <v/>
      </c>
      <c r="ER191" s="139" t="str">
        <f t="shared" si="250"/>
        <v/>
      </c>
      <c r="ES191" s="139" t="str">
        <f t="shared" si="251"/>
        <v/>
      </c>
      <c r="ET191" s="139" t="str">
        <f t="shared" si="252"/>
        <v/>
      </c>
      <c r="EU191" s="139" t="str">
        <f t="shared" si="253"/>
        <v/>
      </c>
      <c r="EV191" s="139" t="str">
        <f t="shared" si="254"/>
        <v/>
      </c>
      <c r="EW191" s="139" t="str">
        <f t="shared" si="255"/>
        <v/>
      </c>
      <c r="EX191" s="139" t="str">
        <f t="shared" si="256"/>
        <v/>
      </c>
      <c r="EY191" s="139" t="str">
        <f t="shared" si="257"/>
        <v/>
      </c>
      <c r="EZ191" s="139" t="str">
        <f t="shared" si="258"/>
        <v/>
      </c>
      <c r="FA191" s="139" t="str">
        <f t="shared" si="259"/>
        <v/>
      </c>
      <c r="FB191" s="139" t="str">
        <f t="shared" si="260"/>
        <v/>
      </c>
      <c r="FC191" s="139" t="str">
        <f t="shared" si="261"/>
        <v/>
      </c>
      <c r="FD191" s="139" t="str">
        <f t="shared" si="262"/>
        <v/>
      </c>
      <c r="FE191" s="139" t="str">
        <f t="shared" si="263"/>
        <v/>
      </c>
      <c r="FF191" s="139" t="str">
        <f t="shared" si="264"/>
        <v/>
      </c>
      <c r="FG191" s="139" t="str">
        <f t="shared" si="265"/>
        <v/>
      </c>
      <c r="FH191" s="139" t="str">
        <f t="shared" si="266"/>
        <v/>
      </c>
      <c r="FI191" s="139" t="str">
        <f t="shared" si="267"/>
        <v/>
      </c>
      <c r="FJ191" s="139" t="str">
        <f t="shared" si="268"/>
        <v/>
      </c>
      <c r="FK191" s="139" t="str">
        <f t="shared" si="269"/>
        <v/>
      </c>
      <c r="FL191" s="139" t="str">
        <f t="shared" si="270"/>
        <v/>
      </c>
      <c r="FM191" s="139" t="str">
        <f t="shared" si="271"/>
        <v/>
      </c>
      <c r="FN191" s="139" t="str">
        <f t="shared" si="272"/>
        <v/>
      </c>
      <c r="FO191" s="139" t="str">
        <f t="shared" si="273"/>
        <v/>
      </c>
      <c r="FP191" s="139" t="str">
        <f t="shared" si="274"/>
        <v/>
      </c>
      <c r="FQ191" s="139" t="str">
        <f t="shared" si="275"/>
        <v/>
      </c>
      <c r="FR191" s="139" t="str">
        <f t="shared" si="276"/>
        <v/>
      </c>
      <c r="FS191" s="139" t="str">
        <f t="shared" si="277"/>
        <v/>
      </c>
      <c r="FT191" s="139" t="str">
        <f t="shared" si="278"/>
        <v/>
      </c>
      <c r="FU191" s="148" t="str">
        <f t="shared" si="279"/>
        <v/>
      </c>
      <c r="FV191" s="149"/>
      <c r="FY191" s="212">
        <v>186</v>
      </c>
      <c r="FZ191">
        <v>48.394120298593222</v>
      </c>
      <c r="GA191">
        <v>88.105492022642849</v>
      </c>
      <c r="GB191">
        <v>52.522071002869239</v>
      </c>
      <c r="GC191">
        <v>20.577029285455176</v>
      </c>
      <c r="GD191">
        <v>8.4604409756783188</v>
      </c>
      <c r="GE191">
        <v>5.9054017247824167</v>
      </c>
      <c r="GF191">
        <v>21.266679416078155</v>
      </c>
      <c r="GG191">
        <v>24.03764194281213</v>
      </c>
      <c r="GH191">
        <v>25.944141189651557</v>
      </c>
      <c r="GI191">
        <v>33.193163234899394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813.92503553307711</v>
      </c>
      <c r="AO192">
        <v>52.999428173707862</v>
      </c>
      <c r="AP192">
        <v>79.59632417639304</v>
      </c>
      <c r="AQ192">
        <v>366.39239229877251</v>
      </c>
      <c r="AR192">
        <v>51.950299650431333</v>
      </c>
      <c r="AS192">
        <v>416.77653942846882</v>
      </c>
      <c r="AT192">
        <v>26.708972423861322</v>
      </c>
      <c r="AU192">
        <v>-28.127153477171248</v>
      </c>
      <c r="AV192"/>
      <c r="AW192"/>
      <c r="AX192" s="146"/>
      <c r="AY192" s="76" t="str">
        <f t="shared" ca="1" si="170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5"/>
        <v/>
      </c>
      <c r="CL192" s="179" t="str">
        <f t="shared" si="206"/>
        <v/>
      </c>
      <c r="CM192" s="180" t="str">
        <f t="shared" si="207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8"/>
        <v/>
      </c>
      <c r="DB192" s="146"/>
      <c r="DC192" s="76" t="str">
        <f t="shared" ca="1" si="171"/>
        <v/>
      </c>
      <c r="DD192" t="str">
        <f t="shared" si="209"/>
        <v/>
      </c>
      <c r="DE192" s="129" t="str">
        <f t="shared" si="280"/>
        <v/>
      </c>
      <c r="DF192" s="161" t="str">
        <f t="shared" si="281"/>
        <v/>
      </c>
      <c r="DG192" s="161" t="str">
        <f t="shared" si="282"/>
        <v/>
      </c>
      <c r="DH192" s="161" t="str">
        <f t="shared" si="283"/>
        <v/>
      </c>
      <c r="DI192" s="161" t="str">
        <f t="shared" si="284"/>
        <v/>
      </c>
      <c r="DJ192" s="161" t="str">
        <f t="shared" si="285"/>
        <v/>
      </c>
      <c r="DK192" s="161" t="str">
        <f t="shared" si="286"/>
        <v/>
      </c>
      <c r="DL192" s="161" t="str">
        <f t="shared" si="287"/>
        <v/>
      </c>
      <c r="DM192" s="161" t="str">
        <f t="shared" si="288"/>
        <v/>
      </c>
      <c r="DN192" s="161" t="str">
        <f>IF($AZ192="", "", (BJ192*$CW192)/$CZ192)</f>
        <v/>
      </c>
      <c r="DO192" s="161" t="str">
        <f t="shared" si="289"/>
        <v/>
      </c>
      <c r="DP192" s="161" t="str">
        <f t="shared" si="290"/>
        <v/>
      </c>
      <c r="DQ192" s="161" t="str">
        <f t="shared" si="291"/>
        <v/>
      </c>
      <c r="DR192" s="161" t="str">
        <f t="shared" si="292"/>
        <v/>
      </c>
      <c r="DS192" s="161" t="str">
        <f t="shared" si="293"/>
        <v/>
      </c>
      <c r="DT192" s="161" t="str">
        <f t="shared" si="294"/>
        <v/>
      </c>
      <c r="DU192" s="161" t="str">
        <f t="shared" si="295"/>
        <v/>
      </c>
      <c r="DV192" s="161" t="str">
        <f t="shared" si="296"/>
        <v/>
      </c>
      <c r="DW192" s="161" t="str">
        <f t="shared" si="297"/>
        <v/>
      </c>
      <c r="DX192" s="161" t="str">
        <f t="shared" si="298"/>
        <v/>
      </c>
      <c r="DY192" s="161" t="str">
        <f t="shared" si="299"/>
        <v/>
      </c>
      <c r="DZ192" s="161" t="str">
        <f t="shared" si="300"/>
        <v/>
      </c>
      <c r="EA192" s="161" t="str">
        <f t="shared" si="301"/>
        <v/>
      </c>
      <c r="EB192" s="161" t="str">
        <f t="shared" si="302"/>
        <v/>
      </c>
      <c r="EC192" s="161" t="str">
        <f t="shared" si="303"/>
        <v/>
      </c>
      <c r="ED192" s="161" t="str">
        <f t="shared" si="304"/>
        <v/>
      </c>
      <c r="EE192" s="161" t="str">
        <f t="shared" si="305"/>
        <v/>
      </c>
      <c r="EF192" s="161" t="str">
        <f t="shared" si="306"/>
        <v/>
      </c>
      <c r="EG192" s="161" t="str">
        <f t="shared" si="307"/>
        <v/>
      </c>
      <c r="EH192" s="161" t="str">
        <f t="shared" si="308"/>
        <v/>
      </c>
      <c r="EI192" s="161" t="str">
        <f t="shared" si="309"/>
        <v/>
      </c>
      <c r="EJ192" s="161" t="str">
        <f t="shared" si="310"/>
        <v/>
      </c>
      <c r="EK192" s="147" t="str">
        <f t="shared" si="247"/>
        <v/>
      </c>
      <c r="EL192" s="149"/>
      <c r="EN192" s="146"/>
      <c r="EO192" s="146"/>
      <c r="EP192" s="139" t="str">
        <f t="shared" si="248"/>
        <v/>
      </c>
      <c r="EQ192" s="139" t="str">
        <f t="shared" si="249"/>
        <v/>
      </c>
      <c r="ER192" s="139" t="str">
        <f t="shared" si="250"/>
        <v/>
      </c>
      <c r="ES192" s="139" t="str">
        <f t="shared" si="251"/>
        <v/>
      </c>
      <c r="ET192" s="139" t="str">
        <f t="shared" si="252"/>
        <v/>
      </c>
      <c r="EU192" s="139" t="str">
        <f t="shared" si="253"/>
        <v/>
      </c>
      <c r="EV192" s="139" t="str">
        <f t="shared" si="254"/>
        <v/>
      </c>
      <c r="EW192" s="139" t="str">
        <f t="shared" si="255"/>
        <v/>
      </c>
      <c r="EX192" s="139" t="str">
        <f t="shared" si="256"/>
        <v/>
      </c>
      <c r="EY192" s="139" t="str">
        <f t="shared" si="257"/>
        <v/>
      </c>
      <c r="EZ192" s="139" t="str">
        <f t="shared" si="258"/>
        <v/>
      </c>
      <c r="FA192" s="139" t="str">
        <f t="shared" si="259"/>
        <v/>
      </c>
      <c r="FB192" s="139" t="str">
        <f t="shared" si="260"/>
        <v/>
      </c>
      <c r="FC192" s="139" t="str">
        <f t="shared" si="261"/>
        <v/>
      </c>
      <c r="FD192" s="139" t="str">
        <f t="shared" si="262"/>
        <v/>
      </c>
      <c r="FE192" s="139" t="str">
        <f t="shared" si="263"/>
        <v/>
      </c>
      <c r="FF192" s="139" t="str">
        <f t="shared" si="264"/>
        <v/>
      </c>
      <c r="FG192" s="139" t="str">
        <f t="shared" si="265"/>
        <v/>
      </c>
      <c r="FH192" s="139" t="str">
        <f t="shared" si="266"/>
        <v/>
      </c>
      <c r="FI192" s="139" t="str">
        <f t="shared" si="267"/>
        <v/>
      </c>
      <c r="FJ192" s="139" t="str">
        <f t="shared" si="268"/>
        <v/>
      </c>
      <c r="FK192" s="139" t="str">
        <f t="shared" si="269"/>
        <v/>
      </c>
      <c r="FL192" s="139" t="str">
        <f t="shared" si="270"/>
        <v/>
      </c>
      <c r="FM192" s="139" t="str">
        <f t="shared" si="271"/>
        <v/>
      </c>
      <c r="FN192" s="139" t="str">
        <f t="shared" si="272"/>
        <v/>
      </c>
      <c r="FO192" s="139" t="str">
        <f t="shared" si="273"/>
        <v/>
      </c>
      <c r="FP192" s="139" t="str">
        <f t="shared" si="274"/>
        <v/>
      </c>
      <c r="FQ192" s="139" t="str">
        <f t="shared" si="275"/>
        <v/>
      </c>
      <c r="FR192" s="139" t="str">
        <f t="shared" si="276"/>
        <v/>
      </c>
      <c r="FS192" s="139" t="str">
        <f t="shared" si="277"/>
        <v/>
      </c>
      <c r="FT192" s="139" t="str">
        <f t="shared" si="278"/>
        <v/>
      </c>
      <c r="FU192" s="148" t="str">
        <f t="shared" si="279"/>
        <v/>
      </c>
      <c r="FV192" s="149"/>
      <c r="FY192" s="212">
        <v>187</v>
      </c>
      <c r="FZ192">
        <v>66.808194403258298</v>
      </c>
      <c r="GA192">
        <v>94.679152866679217</v>
      </c>
      <c r="GB192">
        <v>54.972016495377801</v>
      </c>
      <c r="GC192">
        <v>19.541195973797421</v>
      </c>
      <c r="GD192">
        <v>10.262916476057759</v>
      </c>
      <c r="GE192">
        <v>15.217658034129396</v>
      </c>
      <c r="GF192">
        <v>29.795933443424893</v>
      </c>
      <c r="GG192">
        <v>28.242965866615297</v>
      </c>
      <c r="GH192">
        <v>41.611730547878032</v>
      </c>
      <c r="GI192">
        <v>41.623653024594873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537.12335898815729</v>
      </c>
      <c r="AO193">
        <v>39.753048434033246</v>
      </c>
      <c r="AP193">
        <v>31.880187970975477</v>
      </c>
      <c r="AQ193">
        <v>274.44068212715877</v>
      </c>
      <c r="AR193">
        <v>40.410804859648039</v>
      </c>
      <c r="AS193">
        <v>316.59633485331324</v>
      </c>
      <c r="AT193">
        <v>22.104886312931466</v>
      </c>
      <c r="AU193">
        <v>-25.43033479599152</v>
      </c>
      <c r="AV193"/>
      <c r="AW193"/>
      <c r="AX193" s="146"/>
      <c r="AY193" s="76" t="str">
        <f t="shared" ca="1" si="170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5"/>
        <v/>
      </c>
      <c r="CL193" s="179" t="str">
        <f t="shared" si="206"/>
        <v/>
      </c>
      <c r="CM193" s="180" t="str">
        <f t="shared" si="207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8"/>
        <v/>
      </c>
      <c r="DB193" s="146"/>
      <c r="DC193" s="76" t="str">
        <f t="shared" ca="1" si="171"/>
        <v/>
      </c>
      <c r="DD193" t="str">
        <f t="shared" si="209"/>
        <v/>
      </c>
      <c r="DE193" s="129" t="str">
        <f t="shared" si="280"/>
        <v/>
      </c>
      <c r="DF193" s="161" t="str">
        <f t="shared" si="281"/>
        <v/>
      </c>
      <c r="DG193" s="161" t="str">
        <f t="shared" si="282"/>
        <v/>
      </c>
      <c r="DH193" s="161" t="str">
        <f t="shared" si="283"/>
        <v/>
      </c>
      <c r="DI193" s="161" t="str">
        <f t="shared" si="284"/>
        <v/>
      </c>
      <c r="DJ193" s="161" t="str">
        <f t="shared" si="285"/>
        <v/>
      </c>
      <c r="DK193" s="161" t="str">
        <f t="shared" si="286"/>
        <v/>
      </c>
      <c r="DL193" s="161" t="str">
        <f t="shared" si="287"/>
        <v/>
      </c>
      <c r="DM193" s="161" t="str">
        <f t="shared" si="288"/>
        <v/>
      </c>
      <c r="DN193" s="161" t="str">
        <f t="shared" ref="DN193:DN207" si="311">IF($AZ193="", "", (BJ193*$CW193)/$CZ193)</f>
        <v/>
      </c>
      <c r="DO193" s="161" t="str">
        <f t="shared" si="289"/>
        <v/>
      </c>
      <c r="DP193" s="161" t="str">
        <f t="shared" si="290"/>
        <v/>
      </c>
      <c r="DQ193" s="161" t="str">
        <f t="shared" si="291"/>
        <v/>
      </c>
      <c r="DR193" s="161" t="str">
        <f t="shared" si="292"/>
        <v/>
      </c>
      <c r="DS193" s="161" t="str">
        <f t="shared" si="293"/>
        <v/>
      </c>
      <c r="DT193" s="161" t="str">
        <f t="shared" si="294"/>
        <v/>
      </c>
      <c r="DU193" s="161" t="str">
        <f t="shared" si="295"/>
        <v/>
      </c>
      <c r="DV193" s="161" t="str">
        <f t="shared" si="296"/>
        <v/>
      </c>
      <c r="DW193" s="161" t="str">
        <f t="shared" si="297"/>
        <v/>
      </c>
      <c r="DX193" s="161" t="str">
        <f t="shared" si="298"/>
        <v/>
      </c>
      <c r="DY193" s="161" t="str">
        <f t="shared" si="299"/>
        <v/>
      </c>
      <c r="DZ193" s="161" t="str">
        <f t="shared" si="300"/>
        <v/>
      </c>
      <c r="EA193" s="161" t="str">
        <f t="shared" si="301"/>
        <v/>
      </c>
      <c r="EB193" s="161" t="str">
        <f t="shared" si="302"/>
        <v/>
      </c>
      <c r="EC193" s="161" t="str">
        <f t="shared" si="303"/>
        <v/>
      </c>
      <c r="ED193" s="161" t="str">
        <f t="shared" si="304"/>
        <v/>
      </c>
      <c r="EE193" s="161" t="str">
        <f t="shared" si="305"/>
        <v/>
      </c>
      <c r="EF193" s="161" t="str">
        <f t="shared" si="306"/>
        <v/>
      </c>
      <c r="EG193" s="161" t="str">
        <f t="shared" si="307"/>
        <v/>
      </c>
      <c r="EH193" s="161" t="str">
        <f t="shared" si="308"/>
        <v/>
      </c>
      <c r="EI193" s="161" t="str">
        <f t="shared" si="309"/>
        <v/>
      </c>
      <c r="EJ193" s="161" t="str">
        <f t="shared" si="310"/>
        <v/>
      </c>
      <c r="EK193" s="147" t="str">
        <f t="shared" si="247"/>
        <v/>
      </c>
      <c r="EL193" s="149"/>
      <c r="EN193" s="146"/>
      <c r="EO193" s="146"/>
      <c r="EP193" s="139" t="str">
        <f t="shared" si="248"/>
        <v/>
      </c>
      <c r="EQ193" s="139" t="str">
        <f t="shared" si="249"/>
        <v/>
      </c>
      <c r="ER193" s="139" t="str">
        <f t="shared" si="250"/>
        <v/>
      </c>
      <c r="ES193" s="139" t="str">
        <f t="shared" si="251"/>
        <v/>
      </c>
      <c r="ET193" s="139" t="str">
        <f t="shared" si="252"/>
        <v/>
      </c>
      <c r="EU193" s="139" t="str">
        <f t="shared" si="253"/>
        <v/>
      </c>
      <c r="EV193" s="139" t="str">
        <f t="shared" si="254"/>
        <v/>
      </c>
      <c r="EW193" s="139" t="str">
        <f t="shared" si="255"/>
        <v/>
      </c>
      <c r="EX193" s="139" t="str">
        <f t="shared" si="256"/>
        <v/>
      </c>
      <c r="EY193" s="139" t="str">
        <f t="shared" si="257"/>
        <v/>
      </c>
      <c r="EZ193" s="139" t="str">
        <f t="shared" si="258"/>
        <v/>
      </c>
      <c r="FA193" s="139" t="str">
        <f t="shared" si="259"/>
        <v/>
      </c>
      <c r="FB193" s="139" t="str">
        <f t="shared" si="260"/>
        <v/>
      </c>
      <c r="FC193" s="139" t="str">
        <f t="shared" si="261"/>
        <v/>
      </c>
      <c r="FD193" s="139" t="str">
        <f t="shared" si="262"/>
        <v/>
      </c>
      <c r="FE193" s="139" t="str">
        <f t="shared" si="263"/>
        <v/>
      </c>
      <c r="FF193" s="139" t="str">
        <f t="shared" si="264"/>
        <v/>
      </c>
      <c r="FG193" s="139" t="str">
        <f t="shared" si="265"/>
        <v/>
      </c>
      <c r="FH193" s="139" t="str">
        <f t="shared" si="266"/>
        <v/>
      </c>
      <c r="FI193" s="139" t="str">
        <f t="shared" si="267"/>
        <v/>
      </c>
      <c r="FJ193" s="139" t="str">
        <f t="shared" si="268"/>
        <v/>
      </c>
      <c r="FK193" s="139" t="str">
        <f t="shared" si="269"/>
        <v/>
      </c>
      <c r="FL193" s="139" t="str">
        <f t="shared" si="270"/>
        <v/>
      </c>
      <c r="FM193" s="139" t="str">
        <f t="shared" si="271"/>
        <v/>
      </c>
      <c r="FN193" s="139" t="str">
        <f t="shared" si="272"/>
        <v/>
      </c>
      <c r="FO193" s="139" t="str">
        <f t="shared" si="273"/>
        <v/>
      </c>
      <c r="FP193" s="139" t="str">
        <f t="shared" si="274"/>
        <v/>
      </c>
      <c r="FQ193" s="139" t="str">
        <f t="shared" si="275"/>
        <v/>
      </c>
      <c r="FR193" s="139" t="str">
        <f t="shared" si="276"/>
        <v/>
      </c>
      <c r="FS193" s="139" t="str">
        <f t="shared" si="277"/>
        <v/>
      </c>
      <c r="FT193" s="139" t="str">
        <f t="shared" si="278"/>
        <v/>
      </c>
      <c r="FU193" s="148" t="str">
        <f t="shared" si="279"/>
        <v/>
      </c>
      <c r="FV193" s="149"/>
      <c r="FY193" s="212">
        <v>188</v>
      </c>
      <c r="FZ193">
        <v>44.9547124608441</v>
      </c>
      <c r="GA193">
        <v>97.564962728028519</v>
      </c>
      <c r="GB193">
        <v>55.130771686470609</v>
      </c>
      <c r="GC193">
        <v>22.128422715563602</v>
      </c>
      <c r="GD193">
        <v>12.397826163014214</v>
      </c>
      <c r="GE193">
        <v>12.068354357399283</v>
      </c>
      <c r="GF193">
        <v>13.018041081639064</v>
      </c>
      <c r="GG193">
        <v>22.964262700903294</v>
      </c>
      <c r="GH193">
        <v>37.774069177195095</v>
      </c>
      <c r="GI193">
        <v>35.854189645827105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898.54750160149229</v>
      </c>
      <c r="AO194">
        <v>63.803845338891435</v>
      </c>
      <c r="AP194">
        <v>86.926768014227648</v>
      </c>
      <c r="AQ194">
        <v>460.63158123563244</v>
      </c>
      <c r="AR194">
        <v>62.143014505213792</v>
      </c>
      <c r="AS194">
        <v>511.37000421175975</v>
      </c>
      <c r="AT194">
        <v>31.670109404288542</v>
      </c>
      <c r="AU194">
        <v>-53.102363641602523</v>
      </c>
      <c r="AV194"/>
      <c r="AW194"/>
      <c r="AX194" s="146"/>
      <c r="AY194" s="76" t="str">
        <f t="shared" ca="1" si="170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5"/>
        <v/>
      </c>
      <c r="CL194" s="179" t="str">
        <f t="shared" si="206"/>
        <v/>
      </c>
      <c r="CM194" s="180" t="str">
        <f t="shared" si="207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8"/>
        <v/>
      </c>
      <c r="DB194" s="146"/>
      <c r="DC194" s="76" t="str">
        <f t="shared" ca="1" si="171"/>
        <v/>
      </c>
      <c r="DD194" t="str">
        <f t="shared" si="209"/>
        <v/>
      </c>
      <c r="DE194" s="129" t="str">
        <f t="shared" si="280"/>
        <v/>
      </c>
      <c r="DF194" s="161" t="str">
        <f t="shared" si="281"/>
        <v/>
      </c>
      <c r="DG194" s="161" t="str">
        <f t="shared" si="282"/>
        <v/>
      </c>
      <c r="DH194" s="161" t="str">
        <f t="shared" si="283"/>
        <v/>
      </c>
      <c r="DI194" s="161" t="str">
        <f t="shared" si="284"/>
        <v/>
      </c>
      <c r="DJ194" s="161" t="str">
        <f t="shared" si="285"/>
        <v/>
      </c>
      <c r="DK194" s="161" t="str">
        <f t="shared" si="286"/>
        <v/>
      </c>
      <c r="DL194" s="161" t="str">
        <f t="shared" si="287"/>
        <v/>
      </c>
      <c r="DM194" s="161" t="str">
        <f t="shared" si="288"/>
        <v/>
      </c>
      <c r="DN194" s="161" t="str">
        <f t="shared" si="311"/>
        <v/>
      </c>
      <c r="DO194" s="161" t="str">
        <f t="shared" ref="DO194:DO206" si="312">IF($AZ194="", "", (BK193*$CW194)/$CZ194)</f>
        <v/>
      </c>
      <c r="DP194" s="161" t="str">
        <f t="shared" ref="DP194:DP206" si="313">IF($AZ194="", "", (BL193*$CW194)/$CZ194)</f>
        <v/>
      </c>
      <c r="DQ194" s="161" t="str">
        <f t="shared" ref="DQ194:DQ206" si="314">IF($AZ194="", "", (BM193*$CW194)/$CZ194)</f>
        <v/>
      </c>
      <c r="DR194" s="161" t="str">
        <f t="shared" ref="DR194:DR206" si="315">IF($AZ194="", "", (BN193*$CW194)/$CZ194)</f>
        <v/>
      </c>
      <c r="DS194" s="161" t="str">
        <f t="shared" ref="DS194:DS206" si="316">IF($AZ194="", "", (BO193*$CW194)/$CZ194)</f>
        <v/>
      </c>
      <c r="DT194" s="161" t="str">
        <f t="shared" ref="DT194:DT206" si="317">IF($AZ194="", "", (BP193*$CW194)/$CZ194)</f>
        <v/>
      </c>
      <c r="DU194" s="161" t="str">
        <f t="shared" ref="DU194:DU206" si="318">IF($AZ194="", "", (BQ193*$CW194)/$CZ194)</f>
        <v/>
      </c>
      <c r="DV194" s="161" t="str">
        <f t="shared" ref="DV194:DV206" si="319">IF($AZ194="", "", (BR193*$CW194)/$CZ194)</f>
        <v/>
      </c>
      <c r="DW194" s="161" t="str">
        <f t="shared" ref="DW194:DW206" si="320">IF($AZ194="", "", (BS193*$CW194)/$CZ194)</f>
        <v/>
      </c>
      <c r="DX194" s="161" t="str">
        <f t="shared" ref="DX194:DX206" si="321">IF($AZ194="", "", (BT193*$CW194)/$CZ194)</f>
        <v/>
      </c>
      <c r="DY194" s="161" t="str">
        <f t="shared" ref="DY194:DY206" si="322">IF($AZ194="", "", (BU193*$CW194)/$CZ194)</f>
        <v/>
      </c>
      <c r="DZ194" s="161" t="str">
        <f t="shared" ref="DZ194:DZ206" si="323">IF($AZ194="", "", (BV193*$CW194)/$CZ194)</f>
        <v/>
      </c>
      <c r="EA194" s="161" t="str">
        <f t="shared" ref="EA194:EA206" si="324">IF($AZ194="", "", (BW193*$CW194)/$CZ194)</f>
        <v/>
      </c>
      <c r="EB194" s="161" t="str">
        <f t="shared" ref="EB194:EB206" si="325">IF($AZ194="", "", (BX193*$CW194)/$CZ194)</f>
        <v/>
      </c>
      <c r="EC194" s="161" t="str">
        <f t="shared" ref="EC194:EC206" si="326">IF($AZ194="", "", (BY193*$CW194)/$CZ194)</f>
        <v/>
      </c>
      <c r="ED194" s="161" t="str">
        <f t="shared" ref="ED194:ED206" si="327">IF($AZ194="", "", (BZ193*$CW194)/$CZ194)</f>
        <v/>
      </c>
      <c r="EE194" s="161" t="str">
        <f t="shared" ref="EE194:EE206" si="328">IF($AZ194="", "", (CA193*$CW194)/$CZ194)</f>
        <v/>
      </c>
      <c r="EF194" s="161" t="str">
        <f t="shared" ref="EF194:EF206" si="329">IF($AZ194="", "", (CB193*$CW194)/$CZ194)</f>
        <v/>
      </c>
      <c r="EG194" s="161" t="str">
        <f t="shared" ref="EG194:EG206" si="330">IF($AZ194="", "", (CC193*$CW194)/$CZ194)</f>
        <v/>
      </c>
      <c r="EH194" s="161" t="str">
        <f t="shared" ref="EH194:EH206" si="331">IF($AZ194="", "", (CD193*$CW194)/$CZ194)</f>
        <v/>
      </c>
      <c r="EI194" s="161" t="str">
        <f t="shared" ref="EI194:EI206" si="332">IF($AZ194="", "", (CE193*$CW194)/$CZ194)</f>
        <v/>
      </c>
      <c r="EJ194" s="161" t="str">
        <f t="shared" ref="EJ194:EJ206" si="333">IF($AZ194="", "", (CF193*$CW194)/$CZ194)</f>
        <v/>
      </c>
      <c r="EK194" s="147" t="str">
        <f t="shared" si="247"/>
        <v/>
      </c>
      <c r="EL194" s="149"/>
      <c r="EN194" s="146"/>
      <c r="EO194" s="146"/>
      <c r="EP194" s="139" t="str">
        <f t="shared" si="248"/>
        <v/>
      </c>
      <c r="EQ194" s="139" t="str">
        <f t="shared" si="249"/>
        <v/>
      </c>
      <c r="ER194" s="139" t="str">
        <f t="shared" si="250"/>
        <v/>
      </c>
      <c r="ES194" s="139" t="str">
        <f t="shared" si="251"/>
        <v/>
      </c>
      <c r="ET194" s="139" t="str">
        <f t="shared" si="252"/>
        <v/>
      </c>
      <c r="EU194" s="139" t="str">
        <f t="shared" si="253"/>
        <v/>
      </c>
      <c r="EV194" s="139" t="str">
        <f t="shared" si="254"/>
        <v/>
      </c>
      <c r="EW194" s="139" t="str">
        <f t="shared" si="255"/>
        <v/>
      </c>
      <c r="EX194" s="139" t="str">
        <f t="shared" si="256"/>
        <v/>
      </c>
      <c r="EY194" s="139" t="str">
        <f t="shared" si="257"/>
        <v/>
      </c>
      <c r="EZ194" s="139" t="str">
        <f t="shared" si="258"/>
        <v/>
      </c>
      <c r="FA194" s="139" t="str">
        <f t="shared" si="259"/>
        <v/>
      </c>
      <c r="FB194" s="139" t="str">
        <f t="shared" si="260"/>
        <v/>
      </c>
      <c r="FC194" s="139" t="str">
        <f t="shared" si="261"/>
        <v/>
      </c>
      <c r="FD194" s="139" t="str">
        <f t="shared" si="262"/>
        <v/>
      </c>
      <c r="FE194" s="139" t="str">
        <f t="shared" si="263"/>
        <v/>
      </c>
      <c r="FF194" s="139" t="str">
        <f t="shared" si="264"/>
        <v/>
      </c>
      <c r="FG194" s="139" t="str">
        <f t="shared" si="265"/>
        <v/>
      </c>
      <c r="FH194" s="139" t="str">
        <f t="shared" si="266"/>
        <v/>
      </c>
      <c r="FI194" s="139" t="str">
        <f t="shared" si="267"/>
        <v/>
      </c>
      <c r="FJ194" s="139" t="str">
        <f t="shared" si="268"/>
        <v/>
      </c>
      <c r="FK194" s="139" t="str">
        <f t="shared" si="269"/>
        <v/>
      </c>
      <c r="FL194" s="139" t="str">
        <f t="shared" si="270"/>
        <v/>
      </c>
      <c r="FM194" s="139" t="str">
        <f t="shared" si="271"/>
        <v/>
      </c>
      <c r="FN194" s="139" t="str">
        <f t="shared" si="272"/>
        <v/>
      </c>
      <c r="FO194" s="139" t="str">
        <f t="shared" si="273"/>
        <v/>
      </c>
      <c r="FP194" s="139" t="str">
        <f t="shared" si="274"/>
        <v/>
      </c>
      <c r="FQ194" s="139" t="str">
        <f t="shared" si="275"/>
        <v/>
      </c>
      <c r="FR194" s="139" t="str">
        <f t="shared" si="276"/>
        <v/>
      </c>
      <c r="FS194" s="139" t="str">
        <f t="shared" si="277"/>
        <v/>
      </c>
      <c r="FT194" s="139" t="str">
        <f t="shared" si="278"/>
        <v/>
      </c>
      <c r="FU194" s="148" t="str">
        <f t="shared" si="279"/>
        <v/>
      </c>
      <c r="FV194" s="149"/>
      <c r="FY194" s="212">
        <v>189</v>
      </c>
      <c r="FZ194">
        <v>40.840965443958012</v>
      </c>
      <c r="GA194">
        <v>112.29671612003041</v>
      </c>
      <c r="GB194">
        <v>71.182202503986119</v>
      </c>
      <c r="GC194">
        <v>22.691622896782231</v>
      </c>
      <c r="GD194">
        <v>12.185241713682919</v>
      </c>
      <c r="GE194">
        <v>15.586612001782544</v>
      </c>
      <c r="GF194">
        <v>29.137440009965058</v>
      </c>
      <c r="GG194">
        <v>28.82994161795451</v>
      </c>
      <c r="GH194">
        <v>29.414509840352867</v>
      </c>
      <c r="GI194">
        <v>40.78413477380299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791.75860992045068</v>
      </c>
      <c r="AO195">
        <v>56.546201463498527</v>
      </c>
      <c r="AP195">
        <v>52.939568585423949</v>
      </c>
      <c r="AQ195">
        <v>416.10833400504714</v>
      </c>
      <c r="AR195">
        <v>56.184941291594733</v>
      </c>
      <c r="AS195">
        <v>444.45455733494452</v>
      </c>
      <c r="AT195">
        <v>27.357918123687423</v>
      </c>
      <c r="AU195">
        <v>-53.287114937825983</v>
      </c>
      <c r="AV195"/>
      <c r="AW195"/>
      <c r="AX195" s="146"/>
      <c r="AY195" s="76" t="str">
        <f t="shared" ca="1" si="170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5"/>
        <v/>
      </c>
      <c r="CL195" s="179" t="str">
        <f t="shared" si="206"/>
        <v/>
      </c>
      <c r="CM195" s="180" t="str">
        <f t="shared" si="207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8"/>
        <v/>
      </c>
      <c r="DB195" s="146"/>
      <c r="DC195" s="76" t="str">
        <f t="shared" ca="1" si="171"/>
        <v/>
      </c>
      <c r="DD195" t="str">
        <f t="shared" si="209"/>
        <v/>
      </c>
      <c r="DE195" s="129" t="str">
        <f t="shared" si="280"/>
        <v/>
      </c>
      <c r="DF195" s="161" t="str">
        <f t="shared" si="281"/>
        <v/>
      </c>
      <c r="DG195" s="161" t="str">
        <f t="shared" si="282"/>
        <v/>
      </c>
      <c r="DH195" s="161" t="str">
        <f t="shared" si="283"/>
        <v/>
      </c>
      <c r="DI195" s="161" t="str">
        <f t="shared" si="284"/>
        <v/>
      </c>
      <c r="DJ195" s="161" t="str">
        <f t="shared" si="285"/>
        <v/>
      </c>
      <c r="DK195" s="161" t="str">
        <f t="shared" si="286"/>
        <v/>
      </c>
      <c r="DL195" s="161" t="str">
        <f t="shared" si="287"/>
        <v/>
      </c>
      <c r="DM195" s="161" t="str">
        <f t="shared" si="288"/>
        <v/>
      </c>
      <c r="DN195" s="161" t="str">
        <f t="shared" si="311"/>
        <v/>
      </c>
      <c r="DO195" s="161" t="str">
        <f t="shared" si="312"/>
        <v/>
      </c>
      <c r="DP195" s="161" t="str">
        <f t="shared" si="313"/>
        <v/>
      </c>
      <c r="DQ195" s="161" t="str">
        <f t="shared" si="314"/>
        <v/>
      </c>
      <c r="DR195" s="161" t="str">
        <f t="shared" si="315"/>
        <v/>
      </c>
      <c r="DS195" s="161" t="str">
        <f t="shared" si="316"/>
        <v/>
      </c>
      <c r="DT195" s="161" t="str">
        <f t="shared" si="317"/>
        <v/>
      </c>
      <c r="DU195" s="161" t="str">
        <f t="shared" si="318"/>
        <v/>
      </c>
      <c r="DV195" s="161" t="str">
        <f t="shared" si="319"/>
        <v/>
      </c>
      <c r="DW195" s="161" t="str">
        <f t="shared" si="320"/>
        <v/>
      </c>
      <c r="DX195" s="161" t="str">
        <f t="shared" si="321"/>
        <v/>
      </c>
      <c r="DY195" s="161" t="str">
        <f t="shared" si="322"/>
        <v/>
      </c>
      <c r="DZ195" s="161" t="str">
        <f t="shared" si="323"/>
        <v/>
      </c>
      <c r="EA195" s="161" t="str">
        <f t="shared" si="324"/>
        <v/>
      </c>
      <c r="EB195" s="161" t="str">
        <f t="shared" si="325"/>
        <v/>
      </c>
      <c r="EC195" s="161" t="str">
        <f t="shared" si="326"/>
        <v/>
      </c>
      <c r="ED195" s="161" t="str">
        <f t="shared" si="327"/>
        <v/>
      </c>
      <c r="EE195" s="161" t="str">
        <f t="shared" si="328"/>
        <v/>
      </c>
      <c r="EF195" s="161" t="str">
        <f t="shared" si="329"/>
        <v/>
      </c>
      <c r="EG195" s="161" t="str">
        <f t="shared" si="330"/>
        <v/>
      </c>
      <c r="EH195" s="161" t="str">
        <f t="shared" si="331"/>
        <v/>
      </c>
      <c r="EI195" s="161" t="str">
        <f t="shared" si="332"/>
        <v/>
      </c>
      <c r="EJ195" s="161" t="str">
        <f t="shared" si="333"/>
        <v/>
      </c>
      <c r="EK195" s="147" t="str">
        <f t="shared" si="247"/>
        <v/>
      </c>
      <c r="EL195" s="149"/>
      <c r="EN195" s="146"/>
      <c r="EO195" s="146"/>
      <c r="EP195" s="139" t="str">
        <f t="shared" si="248"/>
        <v/>
      </c>
      <c r="EQ195" s="139" t="str">
        <f t="shared" si="249"/>
        <v/>
      </c>
      <c r="ER195" s="139" t="str">
        <f t="shared" si="250"/>
        <v/>
      </c>
      <c r="ES195" s="139" t="str">
        <f t="shared" si="251"/>
        <v/>
      </c>
      <c r="ET195" s="139" t="str">
        <f t="shared" si="252"/>
        <v/>
      </c>
      <c r="EU195" s="139" t="str">
        <f t="shared" si="253"/>
        <v/>
      </c>
      <c r="EV195" s="139" t="str">
        <f t="shared" si="254"/>
        <v/>
      </c>
      <c r="EW195" s="139" t="str">
        <f t="shared" si="255"/>
        <v/>
      </c>
      <c r="EX195" s="139" t="str">
        <f t="shared" si="256"/>
        <v/>
      </c>
      <c r="EY195" s="139" t="str">
        <f t="shared" si="257"/>
        <v/>
      </c>
      <c r="EZ195" s="139" t="str">
        <f t="shared" si="258"/>
        <v/>
      </c>
      <c r="FA195" s="139" t="str">
        <f t="shared" si="259"/>
        <v/>
      </c>
      <c r="FB195" s="139" t="str">
        <f t="shared" si="260"/>
        <v/>
      </c>
      <c r="FC195" s="139" t="str">
        <f t="shared" si="261"/>
        <v/>
      </c>
      <c r="FD195" s="139" t="str">
        <f t="shared" si="262"/>
        <v/>
      </c>
      <c r="FE195" s="139" t="str">
        <f t="shared" si="263"/>
        <v/>
      </c>
      <c r="FF195" s="139" t="str">
        <f t="shared" si="264"/>
        <v/>
      </c>
      <c r="FG195" s="139" t="str">
        <f t="shared" si="265"/>
        <v/>
      </c>
      <c r="FH195" s="139" t="str">
        <f t="shared" si="266"/>
        <v/>
      </c>
      <c r="FI195" s="139" t="str">
        <f t="shared" si="267"/>
        <v/>
      </c>
      <c r="FJ195" s="139" t="str">
        <f t="shared" si="268"/>
        <v/>
      </c>
      <c r="FK195" s="139" t="str">
        <f t="shared" si="269"/>
        <v/>
      </c>
      <c r="FL195" s="139" t="str">
        <f t="shared" si="270"/>
        <v/>
      </c>
      <c r="FM195" s="139" t="str">
        <f t="shared" si="271"/>
        <v/>
      </c>
      <c r="FN195" s="139" t="str">
        <f t="shared" si="272"/>
        <v/>
      </c>
      <c r="FO195" s="139" t="str">
        <f t="shared" si="273"/>
        <v/>
      </c>
      <c r="FP195" s="139" t="str">
        <f t="shared" si="274"/>
        <v/>
      </c>
      <c r="FQ195" s="139" t="str">
        <f t="shared" si="275"/>
        <v/>
      </c>
      <c r="FR195" s="139" t="str">
        <f t="shared" si="276"/>
        <v/>
      </c>
      <c r="FS195" s="139" t="str">
        <f t="shared" si="277"/>
        <v/>
      </c>
      <c r="FT195" s="139" t="str">
        <f t="shared" si="278"/>
        <v/>
      </c>
      <c r="FU195" s="148" t="str">
        <f t="shared" si="279"/>
        <v/>
      </c>
      <c r="FV195" s="149"/>
      <c r="FY195" s="212">
        <v>190</v>
      </c>
      <c r="FZ195">
        <v>54.328486443651634</v>
      </c>
      <c r="GA195">
        <v>174.24856653482308</v>
      </c>
      <c r="GB195">
        <v>88.194693594093195</v>
      </c>
      <c r="GC195">
        <v>20.744176181867363</v>
      </c>
      <c r="GD195">
        <v>11.565681318374029</v>
      </c>
      <c r="GE195">
        <v>8.2082364165043451</v>
      </c>
      <c r="GF195">
        <v>15.853100390797223</v>
      </c>
      <c r="GG195">
        <v>26.554716055130349</v>
      </c>
      <c r="GH195">
        <v>30.58986272514797</v>
      </c>
      <c r="GI195">
        <v>44.534191983836209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1016.0330809557557</v>
      </c>
      <c r="AO196">
        <v>66.00093866406155</v>
      </c>
      <c r="AP196">
        <v>123.1288179821936</v>
      </c>
      <c r="AQ196">
        <v>465.86100908333094</v>
      </c>
      <c r="AR196">
        <v>63.947696954825808</v>
      </c>
      <c r="AS196">
        <v>525.41091941811658</v>
      </c>
      <c r="AT196">
        <v>32.122581232581354</v>
      </c>
      <c r="AU196">
        <v>-50.956733350507619</v>
      </c>
      <c r="AV196"/>
      <c r="AW196"/>
      <c r="AX196" s="146"/>
      <c r="AY196" s="76" t="str">
        <f t="shared" ca="1" si="170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5"/>
        <v/>
      </c>
      <c r="CL196" s="179" t="str">
        <f t="shared" si="206"/>
        <v/>
      </c>
      <c r="CM196" s="180" t="str">
        <f t="shared" si="207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8"/>
        <v/>
      </c>
      <c r="DB196" s="146"/>
      <c r="DC196" s="76" t="str">
        <f t="shared" ca="1" si="171"/>
        <v/>
      </c>
      <c r="DD196" t="str">
        <f t="shared" si="209"/>
        <v/>
      </c>
      <c r="DE196" s="129" t="str">
        <f t="shared" si="280"/>
        <v/>
      </c>
      <c r="DF196" s="161" t="str">
        <f t="shared" si="281"/>
        <v/>
      </c>
      <c r="DG196" s="161" t="str">
        <f t="shared" si="282"/>
        <v/>
      </c>
      <c r="DH196" s="161" t="str">
        <f t="shared" si="283"/>
        <v/>
      </c>
      <c r="DI196" s="161" t="str">
        <f t="shared" si="284"/>
        <v/>
      </c>
      <c r="DJ196" s="161" t="str">
        <f t="shared" si="285"/>
        <v/>
      </c>
      <c r="DK196" s="161" t="str">
        <f t="shared" si="286"/>
        <v/>
      </c>
      <c r="DL196" s="161" t="str">
        <f t="shared" si="287"/>
        <v/>
      </c>
      <c r="DM196" s="161" t="str">
        <f t="shared" si="288"/>
        <v/>
      </c>
      <c r="DN196" s="161" t="str">
        <f t="shared" si="311"/>
        <v/>
      </c>
      <c r="DO196" s="161" t="str">
        <f t="shared" si="312"/>
        <v/>
      </c>
      <c r="DP196" s="161" t="str">
        <f t="shared" si="313"/>
        <v/>
      </c>
      <c r="DQ196" s="161" t="str">
        <f t="shared" si="314"/>
        <v/>
      </c>
      <c r="DR196" s="161" t="str">
        <f t="shared" si="315"/>
        <v/>
      </c>
      <c r="DS196" s="161" t="str">
        <f t="shared" si="316"/>
        <v/>
      </c>
      <c r="DT196" s="161" t="str">
        <f t="shared" si="317"/>
        <v/>
      </c>
      <c r="DU196" s="161" t="str">
        <f t="shared" si="318"/>
        <v/>
      </c>
      <c r="DV196" s="161" t="str">
        <f t="shared" si="319"/>
        <v/>
      </c>
      <c r="DW196" s="161" t="str">
        <f t="shared" si="320"/>
        <v/>
      </c>
      <c r="DX196" s="161" t="str">
        <f t="shared" si="321"/>
        <v/>
      </c>
      <c r="DY196" s="161" t="str">
        <f t="shared" si="322"/>
        <v/>
      </c>
      <c r="DZ196" s="161" t="str">
        <f t="shared" si="323"/>
        <v/>
      </c>
      <c r="EA196" s="161" t="str">
        <f t="shared" si="324"/>
        <v/>
      </c>
      <c r="EB196" s="161" t="str">
        <f t="shared" si="325"/>
        <v/>
      </c>
      <c r="EC196" s="161" t="str">
        <f t="shared" si="326"/>
        <v/>
      </c>
      <c r="ED196" s="161" t="str">
        <f t="shared" si="327"/>
        <v/>
      </c>
      <c r="EE196" s="161" t="str">
        <f t="shared" si="328"/>
        <v/>
      </c>
      <c r="EF196" s="161" t="str">
        <f t="shared" si="329"/>
        <v/>
      </c>
      <c r="EG196" s="161" t="str">
        <f t="shared" si="330"/>
        <v/>
      </c>
      <c r="EH196" s="161" t="str">
        <f t="shared" si="331"/>
        <v/>
      </c>
      <c r="EI196" s="161" t="str">
        <f t="shared" si="332"/>
        <v/>
      </c>
      <c r="EJ196" s="161" t="str">
        <f t="shared" si="333"/>
        <v/>
      </c>
      <c r="EK196" s="147" t="str">
        <f t="shared" si="247"/>
        <v/>
      </c>
      <c r="EL196" s="149"/>
      <c r="EN196" s="146"/>
      <c r="EO196" s="146"/>
      <c r="EP196" s="139" t="str">
        <f t="shared" si="248"/>
        <v/>
      </c>
      <c r="EQ196" s="139" t="str">
        <f t="shared" si="249"/>
        <v/>
      </c>
      <c r="ER196" s="139" t="str">
        <f t="shared" si="250"/>
        <v/>
      </c>
      <c r="ES196" s="139" t="str">
        <f t="shared" si="251"/>
        <v/>
      </c>
      <c r="ET196" s="139" t="str">
        <f t="shared" si="252"/>
        <v/>
      </c>
      <c r="EU196" s="139" t="str">
        <f t="shared" si="253"/>
        <v/>
      </c>
      <c r="EV196" s="139" t="str">
        <f t="shared" si="254"/>
        <v/>
      </c>
      <c r="EW196" s="139" t="str">
        <f t="shared" si="255"/>
        <v/>
      </c>
      <c r="EX196" s="139" t="str">
        <f t="shared" si="256"/>
        <v/>
      </c>
      <c r="EY196" s="139" t="str">
        <f t="shared" si="257"/>
        <v/>
      </c>
      <c r="EZ196" s="139" t="str">
        <f t="shared" si="258"/>
        <v/>
      </c>
      <c r="FA196" s="139" t="str">
        <f t="shared" si="259"/>
        <v/>
      </c>
      <c r="FB196" s="139" t="str">
        <f t="shared" si="260"/>
        <v/>
      </c>
      <c r="FC196" s="139" t="str">
        <f t="shared" si="261"/>
        <v/>
      </c>
      <c r="FD196" s="139" t="str">
        <f t="shared" si="262"/>
        <v/>
      </c>
      <c r="FE196" s="139" t="str">
        <f t="shared" si="263"/>
        <v/>
      </c>
      <c r="FF196" s="139" t="str">
        <f t="shared" si="264"/>
        <v/>
      </c>
      <c r="FG196" s="139" t="str">
        <f t="shared" si="265"/>
        <v/>
      </c>
      <c r="FH196" s="139" t="str">
        <f t="shared" si="266"/>
        <v/>
      </c>
      <c r="FI196" s="139" t="str">
        <f t="shared" si="267"/>
        <v/>
      </c>
      <c r="FJ196" s="139" t="str">
        <f t="shared" si="268"/>
        <v/>
      </c>
      <c r="FK196" s="139" t="str">
        <f t="shared" si="269"/>
        <v/>
      </c>
      <c r="FL196" s="139" t="str">
        <f t="shared" si="270"/>
        <v/>
      </c>
      <c r="FM196" s="139" t="str">
        <f t="shared" si="271"/>
        <v/>
      </c>
      <c r="FN196" s="139" t="str">
        <f t="shared" si="272"/>
        <v/>
      </c>
      <c r="FO196" s="139" t="str">
        <f t="shared" si="273"/>
        <v/>
      </c>
      <c r="FP196" s="139" t="str">
        <f t="shared" si="274"/>
        <v/>
      </c>
      <c r="FQ196" s="139" t="str">
        <f t="shared" si="275"/>
        <v/>
      </c>
      <c r="FR196" s="139" t="str">
        <f t="shared" si="276"/>
        <v/>
      </c>
      <c r="FS196" s="139" t="str">
        <f t="shared" si="277"/>
        <v/>
      </c>
      <c r="FT196" s="139" t="str">
        <f t="shared" si="278"/>
        <v/>
      </c>
      <c r="FU196" s="148" t="str">
        <f t="shared" si="279"/>
        <v/>
      </c>
      <c r="FV196" s="149"/>
      <c r="FY196" s="212">
        <v>191</v>
      </c>
      <c r="FZ196">
        <v>42.064353834318105</v>
      </c>
      <c r="GA196">
        <v>94.755782840929854</v>
      </c>
      <c r="GB196">
        <v>49.598419361113649</v>
      </c>
      <c r="GC196">
        <v>14.982908809436365</v>
      </c>
      <c r="GD196">
        <v>11.324315865457365</v>
      </c>
      <c r="GE196">
        <v>16.514781755464895</v>
      </c>
      <c r="GF196">
        <v>21.174926998987331</v>
      </c>
      <c r="GG196">
        <v>18.73808298818571</v>
      </c>
      <c r="GH196">
        <v>24.811608668466715</v>
      </c>
      <c r="GI196">
        <v>33.001097512604289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708.11390558460937</v>
      </c>
      <c r="AO197">
        <v>51.250028290409929</v>
      </c>
      <c r="AP197">
        <v>67.301854006394777</v>
      </c>
      <c r="AQ197">
        <v>369.19760028159737</v>
      </c>
      <c r="AR197">
        <v>50.814862366595548</v>
      </c>
      <c r="AS197">
        <v>409.70667491339827</v>
      </c>
      <c r="AT197">
        <v>26.436050112539203</v>
      </c>
      <c r="AU197">
        <v>-51.040415843945581</v>
      </c>
      <c r="AV197"/>
      <c r="AW197"/>
      <c r="AX197" s="146"/>
      <c r="AY197" s="76" t="str">
        <f t="shared" ca="1" si="170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5"/>
        <v/>
      </c>
      <c r="CL197" s="179" t="str">
        <f t="shared" si="206"/>
        <v/>
      </c>
      <c r="CM197" s="180" t="str">
        <f t="shared" si="207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8"/>
        <v/>
      </c>
      <c r="DB197" s="146"/>
      <c r="DC197" s="76" t="str">
        <f t="shared" ca="1" si="171"/>
        <v/>
      </c>
      <c r="DD197" t="str">
        <f t="shared" si="209"/>
        <v/>
      </c>
      <c r="DE197" s="129" t="str">
        <f t="shared" si="280"/>
        <v/>
      </c>
      <c r="DF197" s="161" t="str">
        <f t="shared" si="281"/>
        <v/>
      </c>
      <c r="DG197" s="161" t="str">
        <f t="shared" si="282"/>
        <v/>
      </c>
      <c r="DH197" s="161" t="str">
        <f t="shared" si="283"/>
        <v/>
      </c>
      <c r="DI197" s="161" t="str">
        <f t="shared" si="284"/>
        <v/>
      </c>
      <c r="DJ197" s="161" t="str">
        <f t="shared" si="285"/>
        <v/>
      </c>
      <c r="DK197" s="161" t="str">
        <f t="shared" si="286"/>
        <v/>
      </c>
      <c r="DL197" s="161" t="str">
        <f t="shared" si="287"/>
        <v/>
      </c>
      <c r="DM197" s="161" t="str">
        <f t="shared" si="288"/>
        <v/>
      </c>
      <c r="DN197" s="161" t="str">
        <f t="shared" si="311"/>
        <v/>
      </c>
      <c r="DO197" s="161" t="str">
        <f t="shared" si="312"/>
        <v/>
      </c>
      <c r="DP197" s="161" t="str">
        <f t="shared" si="313"/>
        <v/>
      </c>
      <c r="DQ197" s="161" t="str">
        <f t="shared" si="314"/>
        <v/>
      </c>
      <c r="DR197" s="161" t="str">
        <f t="shared" si="315"/>
        <v/>
      </c>
      <c r="DS197" s="161" t="str">
        <f t="shared" si="316"/>
        <v/>
      </c>
      <c r="DT197" s="161" t="str">
        <f t="shared" si="317"/>
        <v/>
      </c>
      <c r="DU197" s="161" t="str">
        <f t="shared" si="318"/>
        <v/>
      </c>
      <c r="DV197" s="161" t="str">
        <f t="shared" si="319"/>
        <v/>
      </c>
      <c r="DW197" s="161" t="str">
        <f t="shared" si="320"/>
        <v/>
      </c>
      <c r="DX197" s="161" t="str">
        <f t="shared" si="321"/>
        <v/>
      </c>
      <c r="DY197" s="161" t="str">
        <f t="shared" si="322"/>
        <v/>
      </c>
      <c r="DZ197" s="161" t="str">
        <f t="shared" si="323"/>
        <v/>
      </c>
      <c r="EA197" s="161" t="str">
        <f t="shared" si="324"/>
        <v/>
      </c>
      <c r="EB197" s="161" t="str">
        <f t="shared" si="325"/>
        <v/>
      </c>
      <c r="EC197" s="161" t="str">
        <f t="shared" si="326"/>
        <v/>
      </c>
      <c r="ED197" s="161" t="str">
        <f t="shared" si="327"/>
        <v/>
      </c>
      <c r="EE197" s="161" t="str">
        <f t="shared" si="328"/>
        <v/>
      </c>
      <c r="EF197" s="161" t="str">
        <f t="shared" si="329"/>
        <v/>
      </c>
      <c r="EG197" s="161" t="str">
        <f t="shared" si="330"/>
        <v/>
      </c>
      <c r="EH197" s="161" t="str">
        <f t="shared" si="331"/>
        <v/>
      </c>
      <c r="EI197" s="161" t="str">
        <f t="shared" si="332"/>
        <v/>
      </c>
      <c r="EJ197" s="161" t="str">
        <f t="shared" si="333"/>
        <v/>
      </c>
      <c r="EK197" s="147" t="str">
        <f t="shared" si="247"/>
        <v/>
      </c>
      <c r="EL197" s="149"/>
      <c r="EN197" s="146"/>
      <c r="EO197" s="146"/>
      <c r="EP197" s="139" t="str">
        <f t="shared" si="248"/>
        <v/>
      </c>
      <c r="EQ197" s="139" t="str">
        <f t="shared" si="249"/>
        <v/>
      </c>
      <c r="ER197" s="139" t="str">
        <f t="shared" si="250"/>
        <v/>
      </c>
      <c r="ES197" s="139" t="str">
        <f t="shared" si="251"/>
        <v/>
      </c>
      <c r="ET197" s="139" t="str">
        <f t="shared" si="252"/>
        <v/>
      </c>
      <c r="EU197" s="139" t="str">
        <f t="shared" si="253"/>
        <v/>
      </c>
      <c r="EV197" s="139" t="str">
        <f t="shared" si="254"/>
        <v/>
      </c>
      <c r="EW197" s="139" t="str">
        <f t="shared" si="255"/>
        <v/>
      </c>
      <c r="EX197" s="139" t="str">
        <f t="shared" si="256"/>
        <v/>
      </c>
      <c r="EY197" s="139" t="str">
        <f t="shared" si="257"/>
        <v/>
      </c>
      <c r="EZ197" s="139" t="str">
        <f t="shared" si="258"/>
        <v/>
      </c>
      <c r="FA197" s="139" t="str">
        <f t="shared" si="259"/>
        <v/>
      </c>
      <c r="FB197" s="139" t="str">
        <f t="shared" si="260"/>
        <v/>
      </c>
      <c r="FC197" s="139" t="str">
        <f t="shared" si="261"/>
        <v/>
      </c>
      <c r="FD197" s="139" t="str">
        <f t="shared" si="262"/>
        <v/>
      </c>
      <c r="FE197" s="139" t="str">
        <f t="shared" si="263"/>
        <v/>
      </c>
      <c r="FF197" s="139" t="str">
        <f t="shared" si="264"/>
        <v/>
      </c>
      <c r="FG197" s="139" t="str">
        <f t="shared" si="265"/>
        <v/>
      </c>
      <c r="FH197" s="139" t="str">
        <f t="shared" si="266"/>
        <v/>
      </c>
      <c r="FI197" s="139" t="str">
        <f t="shared" si="267"/>
        <v/>
      </c>
      <c r="FJ197" s="139" t="str">
        <f t="shared" si="268"/>
        <v/>
      </c>
      <c r="FK197" s="139" t="str">
        <f t="shared" si="269"/>
        <v/>
      </c>
      <c r="FL197" s="139" t="str">
        <f t="shared" si="270"/>
        <v/>
      </c>
      <c r="FM197" s="139" t="str">
        <f t="shared" si="271"/>
        <v/>
      </c>
      <c r="FN197" s="139" t="str">
        <f t="shared" si="272"/>
        <v/>
      </c>
      <c r="FO197" s="139" t="str">
        <f t="shared" si="273"/>
        <v/>
      </c>
      <c r="FP197" s="139" t="str">
        <f t="shared" si="274"/>
        <v/>
      </c>
      <c r="FQ197" s="139" t="str">
        <f t="shared" si="275"/>
        <v/>
      </c>
      <c r="FR197" s="139" t="str">
        <f t="shared" si="276"/>
        <v/>
      </c>
      <c r="FS197" s="139" t="str">
        <f t="shared" si="277"/>
        <v/>
      </c>
      <c r="FT197" s="139" t="str">
        <f t="shared" si="278"/>
        <v/>
      </c>
      <c r="FU197" s="148" t="str">
        <f t="shared" si="279"/>
        <v/>
      </c>
      <c r="FV197" s="149"/>
      <c r="FY197" s="212">
        <v>192</v>
      </c>
      <c r="FZ197">
        <v>38.68968587696753</v>
      </c>
      <c r="GA197">
        <v>127.17390946528384</v>
      </c>
      <c r="GB197">
        <v>75.60159722914203</v>
      </c>
      <c r="GC197">
        <v>18.788314841419677</v>
      </c>
      <c r="GD197">
        <v>11.669547662883666</v>
      </c>
      <c r="GE197">
        <v>13.104598197787793</v>
      </c>
      <c r="GF197">
        <v>28.610467148495253</v>
      </c>
      <c r="GG197">
        <v>32.067143014567982</v>
      </c>
      <c r="GH197">
        <v>15.359662006795112</v>
      </c>
      <c r="GI197">
        <v>39.062133374274808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848.1281549780515</v>
      </c>
      <c r="AO198">
        <v>55.055849254180444</v>
      </c>
      <c r="AP198">
        <v>72.131806432897335</v>
      </c>
      <c r="AQ198">
        <v>404.24155796482341</v>
      </c>
      <c r="AR198">
        <v>52.0474238402604</v>
      </c>
      <c r="AS198">
        <v>409.93210395099442</v>
      </c>
      <c r="AT198">
        <v>25.143753621430847</v>
      </c>
      <c r="AU198">
        <v>-91.778067103965455</v>
      </c>
      <c r="AV198"/>
      <c r="AW198"/>
      <c r="AX198" s="128"/>
      <c r="AY198" s="76" t="str">
        <f t="shared" ca="1" si="170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5"/>
        <v/>
      </c>
      <c r="CL198" s="179" t="str">
        <f t="shared" si="206"/>
        <v/>
      </c>
      <c r="CM198" s="180" t="str">
        <f t="shared" si="207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8"/>
        <v/>
      </c>
      <c r="DB198" s="128"/>
      <c r="DC198" s="76" t="str">
        <f t="shared" ca="1" si="171"/>
        <v/>
      </c>
      <c r="DD198" t="str">
        <f t="shared" si="209"/>
        <v/>
      </c>
      <c r="DE198" s="129" t="str">
        <f t="shared" ref="DE198:DE207" si="334">IF((DD198)="", "", $C$15)</f>
        <v/>
      </c>
      <c r="DF198" s="161" t="str">
        <f t="shared" si="281"/>
        <v/>
      </c>
      <c r="DG198" s="161" t="str">
        <f t="shared" si="282"/>
        <v/>
      </c>
      <c r="DH198" s="161" t="str">
        <f t="shared" si="283"/>
        <v/>
      </c>
      <c r="DI198" s="161" t="str">
        <f t="shared" si="284"/>
        <v/>
      </c>
      <c r="DJ198" s="161" t="str">
        <f t="shared" si="285"/>
        <v/>
      </c>
      <c r="DK198" s="161" t="str">
        <f t="shared" si="286"/>
        <v/>
      </c>
      <c r="DL198" s="161" t="str">
        <f t="shared" si="287"/>
        <v/>
      </c>
      <c r="DM198" s="161" t="str">
        <f t="shared" si="288"/>
        <v/>
      </c>
      <c r="DN198" s="161" t="str">
        <f t="shared" si="311"/>
        <v/>
      </c>
      <c r="DO198" s="161" t="str">
        <f t="shared" si="312"/>
        <v/>
      </c>
      <c r="DP198" s="161" t="str">
        <f t="shared" si="313"/>
        <v/>
      </c>
      <c r="DQ198" s="161" t="str">
        <f t="shared" si="314"/>
        <v/>
      </c>
      <c r="DR198" s="161" t="str">
        <f t="shared" si="315"/>
        <v/>
      </c>
      <c r="DS198" s="161" t="str">
        <f t="shared" si="316"/>
        <v/>
      </c>
      <c r="DT198" s="161" t="str">
        <f t="shared" si="317"/>
        <v/>
      </c>
      <c r="DU198" s="161" t="str">
        <f t="shared" si="318"/>
        <v/>
      </c>
      <c r="DV198" s="161" t="str">
        <f t="shared" si="319"/>
        <v/>
      </c>
      <c r="DW198" s="161" t="str">
        <f t="shared" si="320"/>
        <v/>
      </c>
      <c r="DX198" s="161" t="str">
        <f t="shared" si="321"/>
        <v/>
      </c>
      <c r="DY198" s="161" t="str">
        <f t="shared" si="322"/>
        <v/>
      </c>
      <c r="DZ198" s="161" t="str">
        <f t="shared" si="323"/>
        <v/>
      </c>
      <c r="EA198" s="161" t="str">
        <f t="shared" si="324"/>
        <v/>
      </c>
      <c r="EB198" s="161" t="str">
        <f t="shared" si="325"/>
        <v/>
      </c>
      <c r="EC198" s="161" t="str">
        <f t="shared" si="326"/>
        <v/>
      </c>
      <c r="ED198" s="161" t="str">
        <f t="shared" si="327"/>
        <v/>
      </c>
      <c r="EE198" s="161" t="str">
        <f t="shared" si="328"/>
        <v/>
      </c>
      <c r="EF198" s="161" t="str">
        <f t="shared" si="329"/>
        <v/>
      </c>
      <c r="EG198" s="161" t="str">
        <f t="shared" si="330"/>
        <v/>
      </c>
      <c r="EH198" s="161" t="str">
        <f t="shared" si="331"/>
        <v/>
      </c>
      <c r="EI198" s="161" t="str">
        <f t="shared" si="332"/>
        <v/>
      </c>
      <c r="EJ198" s="161" t="str">
        <f t="shared" si="333"/>
        <v/>
      </c>
      <c r="EK198" s="147" t="str">
        <f t="shared" si="247"/>
        <v/>
      </c>
      <c r="EL198" s="149"/>
      <c r="EN198" s="146"/>
      <c r="EO198" s="146"/>
      <c r="EP198" s="139" t="str">
        <f t="shared" si="248"/>
        <v/>
      </c>
      <c r="EQ198" s="139" t="str">
        <f t="shared" si="249"/>
        <v/>
      </c>
      <c r="ER198" s="139" t="str">
        <f t="shared" si="250"/>
        <v/>
      </c>
      <c r="ES198" s="139" t="str">
        <f t="shared" si="251"/>
        <v/>
      </c>
      <c r="ET198" s="139" t="str">
        <f t="shared" si="252"/>
        <v/>
      </c>
      <c r="EU198" s="139" t="str">
        <f t="shared" si="253"/>
        <v/>
      </c>
      <c r="EV198" s="139" t="str">
        <f t="shared" si="254"/>
        <v/>
      </c>
      <c r="EW198" s="139" t="str">
        <f t="shared" si="255"/>
        <v/>
      </c>
      <c r="EX198" s="139" t="str">
        <f t="shared" si="256"/>
        <v/>
      </c>
      <c r="EY198" s="139" t="str">
        <f t="shared" si="257"/>
        <v/>
      </c>
      <c r="EZ198" s="139" t="str">
        <f t="shared" si="258"/>
        <v/>
      </c>
      <c r="FA198" s="139" t="str">
        <f t="shared" si="259"/>
        <v/>
      </c>
      <c r="FB198" s="139" t="str">
        <f t="shared" si="260"/>
        <v/>
      </c>
      <c r="FC198" s="139" t="str">
        <f t="shared" si="261"/>
        <v/>
      </c>
      <c r="FD198" s="139" t="str">
        <f t="shared" si="262"/>
        <v/>
      </c>
      <c r="FE198" s="139" t="str">
        <f t="shared" si="263"/>
        <v/>
      </c>
      <c r="FF198" s="139" t="str">
        <f t="shared" si="264"/>
        <v/>
      </c>
      <c r="FG198" s="139" t="str">
        <f t="shared" si="265"/>
        <v/>
      </c>
      <c r="FH198" s="139" t="str">
        <f t="shared" si="266"/>
        <v/>
      </c>
      <c r="FI198" s="139" t="str">
        <f t="shared" si="267"/>
        <v/>
      </c>
      <c r="FJ198" s="139" t="str">
        <f t="shared" si="268"/>
        <v/>
      </c>
      <c r="FK198" s="139" t="str">
        <f t="shared" si="269"/>
        <v/>
      </c>
      <c r="FL198" s="139" t="str">
        <f t="shared" si="270"/>
        <v/>
      </c>
      <c r="FM198" s="139" t="str">
        <f t="shared" si="271"/>
        <v/>
      </c>
      <c r="FN198" s="139" t="str">
        <f t="shared" si="272"/>
        <v/>
      </c>
      <c r="FO198" s="139" t="str">
        <f t="shared" si="273"/>
        <v/>
      </c>
      <c r="FP198" s="139" t="str">
        <f t="shared" si="274"/>
        <v/>
      </c>
      <c r="FQ198" s="139" t="str">
        <f t="shared" si="275"/>
        <v/>
      </c>
      <c r="FR198" s="139" t="str">
        <f t="shared" si="276"/>
        <v/>
      </c>
      <c r="FS198" s="139" t="str">
        <f t="shared" si="277"/>
        <v/>
      </c>
      <c r="FT198" s="139" t="str">
        <f t="shared" si="278"/>
        <v/>
      </c>
      <c r="FU198" s="148" t="str">
        <f t="shared" si="279"/>
        <v/>
      </c>
      <c r="FV198" s="149"/>
      <c r="FY198" s="212">
        <v>193</v>
      </c>
      <c r="FZ198">
        <v>45.541136922019177</v>
      </c>
      <c r="GA198">
        <v>84.461149508667944</v>
      </c>
      <c r="GB198">
        <v>51.437719765557695</v>
      </c>
      <c r="GC198">
        <v>20.389653999664237</v>
      </c>
      <c r="GD198">
        <v>11.065333114154205</v>
      </c>
      <c r="GE198">
        <v>12.794563999341236</v>
      </c>
      <c r="GF198">
        <v>11.083421810243317</v>
      </c>
      <c r="GG198">
        <v>21.094316186541178</v>
      </c>
      <c r="GH198">
        <v>35.233447323938236</v>
      </c>
      <c r="GI198">
        <v>33.58387185581023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801.72656810051103</v>
      </c>
      <c r="AO199">
        <v>52.049133108321236</v>
      </c>
      <c r="AP199">
        <v>107.69971182290774</v>
      </c>
      <c r="AQ199">
        <v>366.57268101061896</v>
      </c>
      <c r="AR199">
        <v>51.38837131578105</v>
      </c>
      <c r="AS199">
        <v>425.50840934312777</v>
      </c>
      <c r="AT199">
        <v>26.739805489153756</v>
      </c>
      <c r="AU199">
        <v>-25.331801852086926</v>
      </c>
      <c r="AV199"/>
      <c r="AW199"/>
      <c r="AX199" s="146"/>
      <c r="AY199" s="76" t="str">
        <f t="shared" ca="1" si="170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5"/>
        <v/>
      </c>
      <c r="CL199" s="179" t="str">
        <f t="shared" si="206"/>
        <v/>
      </c>
      <c r="CM199" s="180" t="str">
        <f t="shared" si="207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8"/>
        <v/>
      </c>
      <c r="DB199" s="146"/>
      <c r="DC199" s="76" t="str">
        <f t="shared" ca="1" si="171"/>
        <v/>
      </c>
      <c r="DD199" t="str">
        <f t="shared" si="209"/>
        <v/>
      </c>
      <c r="DE199" s="129" t="str">
        <f t="shared" si="334"/>
        <v/>
      </c>
      <c r="DF199" s="161" t="str">
        <f t="shared" si="281"/>
        <v/>
      </c>
      <c r="DG199" s="161" t="str">
        <f t="shared" si="282"/>
        <v/>
      </c>
      <c r="DH199" s="161" t="str">
        <f t="shared" si="283"/>
        <v/>
      </c>
      <c r="DI199" s="161" t="str">
        <f t="shared" si="284"/>
        <v/>
      </c>
      <c r="DJ199" s="161" t="str">
        <f t="shared" si="285"/>
        <v/>
      </c>
      <c r="DK199" s="161" t="str">
        <f t="shared" si="286"/>
        <v/>
      </c>
      <c r="DL199" s="161" t="str">
        <f t="shared" si="287"/>
        <v/>
      </c>
      <c r="DM199" s="161" t="str">
        <f t="shared" si="288"/>
        <v/>
      </c>
      <c r="DN199" s="161" t="str">
        <f t="shared" si="311"/>
        <v/>
      </c>
      <c r="DO199" s="161" t="str">
        <f t="shared" si="312"/>
        <v/>
      </c>
      <c r="DP199" s="161" t="str">
        <f t="shared" si="313"/>
        <v/>
      </c>
      <c r="DQ199" s="161" t="str">
        <f t="shared" si="314"/>
        <v/>
      </c>
      <c r="DR199" s="161" t="str">
        <f t="shared" si="315"/>
        <v/>
      </c>
      <c r="DS199" s="161" t="str">
        <f t="shared" si="316"/>
        <v/>
      </c>
      <c r="DT199" s="161" t="str">
        <f t="shared" si="317"/>
        <v/>
      </c>
      <c r="DU199" s="161" t="str">
        <f t="shared" si="318"/>
        <v/>
      </c>
      <c r="DV199" s="161" t="str">
        <f t="shared" si="319"/>
        <v/>
      </c>
      <c r="DW199" s="161" t="str">
        <f t="shared" si="320"/>
        <v/>
      </c>
      <c r="DX199" s="161" t="str">
        <f t="shared" si="321"/>
        <v/>
      </c>
      <c r="DY199" s="161" t="str">
        <f t="shared" si="322"/>
        <v/>
      </c>
      <c r="DZ199" s="161" t="str">
        <f t="shared" si="323"/>
        <v/>
      </c>
      <c r="EA199" s="161" t="str">
        <f t="shared" si="324"/>
        <v/>
      </c>
      <c r="EB199" s="161" t="str">
        <f t="shared" si="325"/>
        <v/>
      </c>
      <c r="EC199" s="161" t="str">
        <f t="shared" si="326"/>
        <v/>
      </c>
      <c r="ED199" s="161" t="str">
        <f t="shared" si="327"/>
        <v/>
      </c>
      <c r="EE199" s="161" t="str">
        <f t="shared" si="328"/>
        <v/>
      </c>
      <c r="EF199" s="161" t="str">
        <f t="shared" si="329"/>
        <v/>
      </c>
      <c r="EG199" s="161" t="str">
        <f t="shared" si="330"/>
        <v/>
      </c>
      <c r="EH199" s="161" t="str">
        <f t="shared" si="331"/>
        <v/>
      </c>
      <c r="EI199" s="161" t="str">
        <f t="shared" si="332"/>
        <v/>
      </c>
      <c r="EJ199" s="161" t="str">
        <f t="shared" si="333"/>
        <v/>
      </c>
      <c r="EK199" s="147" t="str">
        <f t="shared" si="247"/>
        <v/>
      </c>
      <c r="EL199" s="149"/>
      <c r="EN199" s="146"/>
      <c r="EO199" s="146"/>
      <c r="EP199" s="139" t="str">
        <f t="shared" si="248"/>
        <v/>
      </c>
      <c r="EQ199" s="139" t="str">
        <f t="shared" si="249"/>
        <v/>
      </c>
      <c r="ER199" s="139" t="str">
        <f t="shared" si="250"/>
        <v/>
      </c>
      <c r="ES199" s="139" t="str">
        <f t="shared" si="251"/>
        <v/>
      </c>
      <c r="ET199" s="139" t="str">
        <f t="shared" si="252"/>
        <v/>
      </c>
      <c r="EU199" s="139" t="str">
        <f t="shared" si="253"/>
        <v/>
      </c>
      <c r="EV199" s="139" t="str">
        <f t="shared" si="254"/>
        <v/>
      </c>
      <c r="EW199" s="139" t="str">
        <f t="shared" si="255"/>
        <v/>
      </c>
      <c r="EX199" s="139" t="str">
        <f t="shared" si="256"/>
        <v/>
      </c>
      <c r="EY199" s="139" t="str">
        <f t="shared" si="257"/>
        <v/>
      </c>
      <c r="EZ199" s="139" t="str">
        <f t="shared" si="258"/>
        <v/>
      </c>
      <c r="FA199" s="139" t="str">
        <f t="shared" si="259"/>
        <v/>
      </c>
      <c r="FB199" s="139" t="str">
        <f t="shared" si="260"/>
        <v/>
      </c>
      <c r="FC199" s="139" t="str">
        <f t="shared" si="261"/>
        <v/>
      </c>
      <c r="FD199" s="139" t="str">
        <f t="shared" si="262"/>
        <v/>
      </c>
      <c r="FE199" s="139" t="str">
        <f t="shared" si="263"/>
        <v/>
      </c>
      <c r="FF199" s="139" t="str">
        <f t="shared" si="264"/>
        <v/>
      </c>
      <c r="FG199" s="139" t="str">
        <f t="shared" si="265"/>
        <v/>
      </c>
      <c r="FH199" s="139" t="str">
        <f t="shared" si="266"/>
        <v/>
      </c>
      <c r="FI199" s="139" t="str">
        <f t="shared" si="267"/>
        <v/>
      </c>
      <c r="FJ199" s="139" t="str">
        <f t="shared" si="268"/>
        <v/>
      </c>
      <c r="FK199" s="139" t="str">
        <f t="shared" si="269"/>
        <v/>
      </c>
      <c r="FL199" s="139" t="str">
        <f t="shared" si="270"/>
        <v/>
      </c>
      <c r="FM199" s="139" t="str">
        <f t="shared" si="271"/>
        <v/>
      </c>
      <c r="FN199" s="139" t="str">
        <f t="shared" si="272"/>
        <v/>
      </c>
      <c r="FO199" s="139" t="str">
        <f t="shared" si="273"/>
        <v/>
      </c>
      <c r="FP199" s="139" t="str">
        <f t="shared" si="274"/>
        <v/>
      </c>
      <c r="FQ199" s="139" t="str">
        <f t="shared" si="275"/>
        <v/>
      </c>
      <c r="FR199" s="139" t="str">
        <f t="shared" si="276"/>
        <v/>
      </c>
      <c r="FS199" s="139" t="str">
        <f t="shared" si="277"/>
        <v/>
      </c>
      <c r="FT199" s="139" t="str">
        <f t="shared" si="278"/>
        <v/>
      </c>
      <c r="FU199" s="148" t="str">
        <f t="shared" si="279"/>
        <v/>
      </c>
      <c r="FV199" s="149"/>
      <c r="FY199" s="212">
        <v>194</v>
      </c>
      <c r="FZ199">
        <v>48.492674226368337</v>
      </c>
      <c r="GA199">
        <v>140.83675728772164</v>
      </c>
      <c r="GB199">
        <v>74.946687023394645</v>
      </c>
      <c r="GC199">
        <v>19.597172860855068</v>
      </c>
      <c r="GD199">
        <v>11.719931374152237</v>
      </c>
      <c r="GE199">
        <v>11.276123719551657</v>
      </c>
      <c r="GF199">
        <v>31.15725122706823</v>
      </c>
      <c r="GG199">
        <v>31.533697778763798</v>
      </c>
      <c r="GH199">
        <v>21.463737604606322</v>
      </c>
      <c r="GI199">
        <v>41.796406717697508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862.19628385483043</v>
      </c>
      <c r="AO200">
        <v>51.687426830347491</v>
      </c>
      <c r="AP200">
        <v>104.71252735209117</v>
      </c>
      <c r="AQ200">
        <v>359.48462319327587</v>
      </c>
      <c r="AR200">
        <v>50.699237141190252</v>
      </c>
      <c r="AS200">
        <v>431.2925244390828</v>
      </c>
      <c r="AT200">
        <v>26.189979868748591</v>
      </c>
      <c r="AU200">
        <v>-2.7426230905596398</v>
      </c>
      <c r="AV200"/>
      <c r="AW200"/>
      <c r="AX200" s="146"/>
      <c r="AY200" s="76" t="str">
        <f t="shared" ca="1" si="170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5"/>
        <v/>
      </c>
      <c r="CL200" s="179" t="str">
        <f t="shared" si="206"/>
        <v/>
      </c>
      <c r="CM200" s="180" t="str">
        <f t="shared" si="207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8"/>
        <v/>
      </c>
      <c r="DB200" s="146"/>
      <c r="DC200" s="76" t="str">
        <f t="shared" ca="1" si="171"/>
        <v/>
      </c>
      <c r="DD200" t="str">
        <f t="shared" si="209"/>
        <v/>
      </c>
      <c r="DE200" s="129" t="str">
        <f t="shared" si="334"/>
        <v/>
      </c>
      <c r="DF200" s="161" t="str">
        <f t="shared" si="281"/>
        <v/>
      </c>
      <c r="DG200" s="161" t="str">
        <f t="shared" si="282"/>
        <v/>
      </c>
      <c r="DH200" s="161" t="str">
        <f t="shared" si="283"/>
        <v/>
      </c>
      <c r="DI200" s="161" t="str">
        <f t="shared" si="284"/>
        <v/>
      </c>
      <c r="DJ200" s="161" t="str">
        <f t="shared" si="285"/>
        <v/>
      </c>
      <c r="DK200" s="161" t="str">
        <f t="shared" si="286"/>
        <v/>
      </c>
      <c r="DL200" s="161" t="str">
        <f t="shared" si="287"/>
        <v/>
      </c>
      <c r="DM200" s="161" t="str">
        <f t="shared" si="288"/>
        <v/>
      </c>
      <c r="DN200" s="161" t="str">
        <f t="shared" si="311"/>
        <v/>
      </c>
      <c r="DO200" s="161" t="str">
        <f t="shared" si="312"/>
        <v/>
      </c>
      <c r="DP200" s="161" t="str">
        <f t="shared" si="313"/>
        <v/>
      </c>
      <c r="DQ200" s="161" t="str">
        <f t="shared" si="314"/>
        <v/>
      </c>
      <c r="DR200" s="161" t="str">
        <f t="shared" si="315"/>
        <v/>
      </c>
      <c r="DS200" s="161" t="str">
        <f t="shared" si="316"/>
        <v/>
      </c>
      <c r="DT200" s="161" t="str">
        <f t="shared" si="317"/>
        <v/>
      </c>
      <c r="DU200" s="161" t="str">
        <f t="shared" si="318"/>
        <v/>
      </c>
      <c r="DV200" s="161" t="str">
        <f t="shared" si="319"/>
        <v/>
      </c>
      <c r="DW200" s="161" t="str">
        <f t="shared" si="320"/>
        <v/>
      </c>
      <c r="DX200" s="161" t="str">
        <f t="shared" si="321"/>
        <v/>
      </c>
      <c r="DY200" s="161" t="str">
        <f t="shared" si="322"/>
        <v/>
      </c>
      <c r="DZ200" s="161" t="str">
        <f t="shared" si="323"/>
        <v/>
      </c>
      <c r="EA200" s="161" t="str">
        <f t="shared" si="324"/>
        <v/>
      </c>
      <c r="EB200" s="161" t="str">
        <f t="shared" si="325"/>
        <v/>
      </c>
      <c r="EC200" s="161" t="str">
        <f t="shared" si="326"/>
        <v/>
      </c>
      <c r="ED200" s="161" t="str">
        <f t="shared" si="327"/>
        <v/>
      </c>
      <c r="EE200" s="161" t="str">
        <f t="shared" si="328"/>
        <v/>
      </c>
      <c r="EF200" s="161" t="str">
        <f t="shared" si="329"/>
        <v/>
      </c>
      <c r="EG200" s="161" t="str">
        <f t="shared" si="330"/>
        <v/>
      </c>
      <c r="EH200" s="161" t="str">
        <f t="shared" si="331"/>
        <v/>
      </c>
      <c r="EI200" s="161" t="str">
        <f t="shared" si="332"/>
        <v/>
      </c>
      <c r="EJ200" s="161" t="str">
        <f t="shared" si="333"/>
        <v/>
      </c>
      <c r="EK200" s="147" t="str">
        <f t="shared" si="247"/>
        <v/>
      </c>
      <c r="EL200" s="149"/>
      <c r="EN200" s="146"/>
      <c r="EO200" s="146"/>
      <c r="EP200" s="139" t="str">
        <f t="shared" si="248"/>
        <v/>
      </c>
      <c r="EQ200" s="139" t="str">
        <f t="shared" si="249"/>
        <v/>
      </c>
      <c r="ER200" s="139" t="str">
        <f t="shared" si="250"/>
        <v/>
      </c>
      <c r="ES200" s="139" t="str">
        <f t="shared" si="251"/>
        <v/>
      </c>
      <c r="ET200" s="139" t="str">
        <f t="shared" si="252"/>
        <v/>
      </c>
      <c r="EU200" s="139" t="str">
        <f t="shared" si="253"/>
        <v/>
      </c>
      <c r="EV200" s="139" t="str">
        <f t="shared" si="254"/>
        <v/>
      </c>
      <c r="EW200" s="139" t="str">
        <f t="shared" si="255"/>
        <v/>
      </c>
      <c r="EX200" s="139" t="str">
        <f t="shared" si="256"/>
        <v/>
      </c>
      <c r="EY200" s="139" t="str">
        <f t="shared" si="257"/>
        <v/>
      </c>
      <c r="EZ200" s="139" t="str">
        <f t="shared" si="258"/>
        <v/>
      </c>
      <c r="FA200" s="139" t="str">
        <f t="shared" si="259"/>
        <v/>
      </c>
      <c r="FB200" s="139" t="str">
        <f t="shared" si="260"/>
        <v/>
      </c>
      <c r="FC200" s="139" t="str">
        <f t="shared" si="261"/>
        <v/>
      </c>
      <c r="FD200" s="139" t="str">
        <f t="shared" si="262"/>
        <v/>
      </c>
      <c r="FE200" s="139" t="str">
        <f t="shared" si="263"/>
        <v/>
      </c>
      <c r="FF200" s="139" t="str">
        <f t="shared" si="264"/>
        <v/>
      </c>
      <c r="FG200" s="139" t="str">
        <f t="shared" si="265"/>
        <v/>
      </c>
      <c r="FH200" s="139" t="str">
        <f t="shared" si="266"/>
        <v/>
      </c>
      <c r="FI200" s="139" t="str">
        <f t="shared" si="267"/>
        <v/>
      </c>
      <c r="FJ200" s="139" t="str">
        <f t="shared" si="268"/>
        <v/>
      </c>
      <c r="FK200" s="139" t="str">
        <f t="shared" si="269"/>
        <v/>
      </c>
      <c r="FL200" s="139" t="str">
        <f t="shared" si="270"/>
        <v/>
      </c>
      <c r="FM200" s="139" t="str">
        <f t="shared" si="271"/>
        <v/>
      </c>
      <c r="FN200" s="139" t="str">
        <f t="shared" si="272"/>
        <v/>
      </c>
      <c r="FO200" s="139" t="str">
        <f t="shared" si="273"/>
        <v/>
      </c>
      <c r="FP200" s="139" t="str">
        <f t="shared" si="274"/>
        <v/>
      </c>
      <c r="FQ200" s="139" t="str">
        <f t="shared" si="275"/>
        <v/>
      </c>
      <c r="FR200" s="139" t="str">
        <f t="shared" si="276"/>
        <v/>
      </c>
      <c r="FS200" s="139" t="str">
        <f t="shared" si="277"/>
        <v/>
      </c>
      <c r="FT200" s="139" t="str">
        <f t="shared" si="278"/>
        <v/>
      </c>
      <c r="FU200" s="148" t="str">
        <f t="shared" si="279"/>
        <v/>
      </c>
      <c r="FV200" s="149"/>
      <c r="FY200" s="212">
        <v>195</v>
      </c>
      <c r="FZ200">
        <v>47.715788197299595</v>
      </c>
      <c r="GA200">
        <v>145.14253943452175</v>
      </c>
      <c r="GB200">
        <v>73.793011777031438</v>
      </c>
      <c r="GC200">
        <v>18.877199539136893</v>
      </c>
      <c r="GD200">
        <v>11.441314088962644</v>
      </c>
      <c r="GE200">
        <v>11.959678021861672</v>
      </c>
      <c r="GF200">
        <v>27.940686220156987</v>
      </c>
      <c r="GG200">
        <v>31.422267387752271</v>
      </c>
      <c r="GH200">
        <v>21.715459625789325</v>
      </c>
      <c r="GI200">
        <v>40.717405972255534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764.42632771531316</v>
      </c>
      <c r="AO201">
        <v>48.288390379575773</v>
      </c>
      <c r="AP201">
        <v>54.003378647293445</v>
      </c>
      <c r="AQ201">
        <v>342.30143844452857</v>
      </c>
      <c r="AR201">
        <v>47.964562663542658</v>
      </c>
      <c r="AS201">
        <v>402.53985676772083</v>
      </c>
      <c r="AT201">
        <v>24.641745618153575</v>
      </c>
      <c r="AU201">
        <v>-37.94694880305439</v>
      </c>
      <c r="AV201"/>
      <c r="AW201"/>
      <c r="AX201" s="146"/>
      <c r="AY201" s="76" t="str">
        <f t="shared" ca="1" si="170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5"/>
        <v/>
      </c>
      <c r="CL201" s="179" t="str">
        <f t="shared" si="206"/>
        <v/>
      </c>
      <c r="CM201" s="180" t="str">
        <f t="shared" si="207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8"/>
        <v/>
      </c>
      <c r="DB201" s="146"/>
      <c r="DC201" s="76" t="str">
        <f t="shared" ca="1" si="171"/>
        <v/>
      </c>
      <c r="DD201" t="str">
        <f t="shared" si="209"/>
        <v/>
      </c>
      <c r="DE201" s="129" t="str">
        <f t="shared" si="334"/>
        <v/>
      </c>
      <c r="DF201" s="161" t="str">
        <f t="shared" si="281"/>
        <v/>
      </c>
      <c r="DG201" s="161" t="str">
        <f t="shared" si="282"/>
        <v/>
      </c>
      <c r="DH201" s="161" t="str">
        <f t="shared" si="283"/>
        <v/>
      </c>
      <c r="DI201" s="161" t="str">
        <f t="shared" si="284"/>
        <v/>
      </c>
      <c r="DJ201" s="161" t="str">
        <f t="shared" si="285"/>
        <v/>
      </c>
      <c r="DK201" s="161" t="str">
        <f t="shared" si="286"/>
        <v/>
      </c>
      <c r="DL201" s="161" t="str">
        <f t="shared" si="287"/>
        <v/>
      </c>
      <c r="DM201" s="161" t="str">
        <f t="shared" si="288"/>
        <v/>
      </c>
      <c r="DN201" s="161" t="str">
        <f t="shared" si="311"/>
        <v/>
      </c>
      <c r="DO201" s="161" t="str">
        <f t="shared" si="312"/>
        <v/>
      </c>
      <c r="DP201" s="161" t="str">
        <f t="shared" si="313"/>
        <v/>
      </c>
      <c r="DQ201" s="161" t="str">
        <f t="shared" si="314"/>
        <v/>
      </c>
      <c r="DR201" s="161" t="str">
        <f t="shared" si="315"/>
        <v/>
      </c>
      <c r="DS201" s="161" t="str">
        <f t="shared" si="316"/>
        <v/>
      </c>
      <c r="DT201" s="161" t="str">
        <f t="shared" si="317"/>
        <v/>
      </c>
      <c r="DU201" s="161" t="str">
        <f t="shared" si="318"/>
        <v/>
      </c>
      <c r="DV201" s="161" t="str">
        <f t="shared" si="319"/>
        <v/>
      </c>
      <c r="DW201" s="161" t="str">
        <f t="shared" si="320"/>
        <v/>
      </c>
      <c r="DX201" s="161" t="str">
        <f t="shared" si="321"/>
        <v/>
      </c>
      <c r="DY201" s="161" t="str">
        <f t="shared" si="322"/>
        <v/>
      </c>
      <c r="DZ201" s="161" t="str">
        <f t="shared" si="323"/>
        <v/>
      </c>
      <c r="EA201" s="161" t="str">
        <f t="shared" si="324"/>
        <v/>
      </c>
      <c r="EB201" s="161" t="str">
        <f t="shared" si="325"/>
        <v/>
      </c>
      <c r="EC201" s="161" t="str">
        <f t="shared" si="326"/>
        <v/>
      </c>
      <c r="ED201" s="161" t="str">
        <f t="shared" si="327"/>
        <v/>
      </c>
      <c r="EE201" s="161" t="str">
        <f t="shared" si="328"/>
        <v/>
      </c>
      <c r="EF201" s="161" t="str">
        <f t="shared" si="329"/>
        <v/>
      </c>
      <c r="EG201" s="161" t="str">
        <f t="shared" si="330"/>
        <v/>
      </c>
      <c r="EH201" s="161" t="str">
        <f t="shared" si="331"/>
        <v/>
      </c>
      <c r="EI201" s="161" t="str">
        <f t="shared" si="332"/>
        <v/>
      </c>
      <c r="EJ201" s="161" t="str">
        <f t="shared" si="333"/>
        <v/>
      </c>
      <c r="EK201" s="147" t="str">
        <f t="shared" si="247"/>
        <v/>
      </c>
      <c r="EL201" s="149"/>
      <c r="EN201" s="146"/>
      <c r="EO201" s="146"/>
      <c r="EP201" s="139" t="str">
        <f t="shared" si="248"/>
        <v/>
      </c>
      <c r="EQ201" s="139" t="str">
        <f t="shared" si="249"/>
        <v/>
      </c>
      <c r="ER201" s="139" t="str">
        <f t="shared" si="250"/>
        <v/>
      </c>
      <c r="ES201" s="139" t="str">
        <f t="shared" si="251"/>
        <v/>
      </c>
      <c r="ET201" s="139" t="str">
        <f t="shared" si="252"/>
        <v/>
      </c>
      <c r="EU201" s="139" t="str">
        <f t="shared" si="253"/>
        <v/>
      </c>
      <c r="EV201" s="139" t="str">
        <f t="shared" si="254"/>
        <v/>
      </c>
      <c r="EW201" s="139" t="str">
        <f t="shared" si="255"/>
        <v/>
      </c>
      <c r="EX201" s="139" t="str">
        <f t="shared" si="256"/>
        <v/>
      </c>
      <c r="EY201" s="139" t="str">
        <f t="shared" si="257"/>
        <v/>
      </c>
      <c r="EZ201" s="139" t="str">
        <f t="shared" si="258"/>
        <v/>
      </c>
      <c r="FA201" s="139" t="str">
        <f t="shared" si="259"/>
        <v/>
      </c>
      <c r="FB201" s="139" t="str">
        <f t="shared" si="260"/>
        <v/>
      </c>
      <c r="FC201" s="139" t="str">
        <f t="shared" si="261"/>
        <v/>
      </c>
      <c r="FD201" s="139" t="str">
        <f t="shared" si="262"/>
        <v/>
      </c>
      <c r="FE201" s="139" t="str">
        <f t="shared" si="263"/>
        <v/>
      </c>
      <c r="FF201" s="139" t="str">
        <f t="shared" si="264"/>
        <v/>
      </c>
      <c r="FG201" s="139" t="str">
        <f t="shared" si="265"/>
        <v/>
      </c>
      <c r="FH201" s="139" t="str">
        <f t="shared" si="266"/>
        <v/>
      </c>
      <c r="FI201" s="139" t="str">
        <f t="shared" si="267"/>
        <v/>
      </c>
      <c r="FJ201" s="139" t="str">
        <f t="shared" si="268"/>
        <v/>
      </c>
      <c r="FK201" s="139" t="str">
        <f t="shared" si="269"/>
        <v/>
      </c>
      <c r="FL201" s="139" t="str">
        <f t="shared" si="270"/>
        <v/>
      </c>
      <c r="FM201" s="139" t="str">
        <f t="shared" si="271"/>
        <v/>
      </c>
      <c r="FN201" s="139" t="str">
        <f t="shared" si="272"/>
        <v/>
      </c>
      <c r="FO201" s="139" t="str">
        <f t="shared" si="273"/>
        <v/>
      </c>
      <c r="FP201" s="139" t="str">
        <f t="shared" si="274"/>
        <v/>
      </c>
      <c r="FQ201" s="139" t="str">
        <f t="shared" si="275"/>
        <v/>
      </c>
      <c r="FR201" s="139" t="str">
        <f t="shared" si="276"/>
        <v/>
      </c>
      <c r="FS201" s="139" t="str">
        <f t="shared" si="277"/>
        <v/>
      </c>
      <c r="FT201" s="139" t="str">
        <f t="shared" si="278"/>
        <v/>
      </c>
      <c r="FU201" s="148" t="str">
        <f t="shared" si="279"/>
        <v/>
      </c>
      <c r="FV201" s="149"/>
      <c r="FY201" s="212">
        <v>196</v>
      </c>
      <c r="FZ201">
        <v>50.426734666264394</v>
      </c>
      <c r="GA201">
        <v>108.33349559605377</v>
      </c>
      <c r="GB201">
        <v>66.540511656782158</v>
      </c>
      <c r="GC201">
        <v>22.636065807397362</v>
      </c>
      <c r="GD201">
        <v>14.797510572345075</v>
      </c>
      <c r="GE201">
        <v>21.04896594927073</v>
      </c>
      <c r="GF201">
        <v>31.356818912630601</v>
      </c>
      <c r="GG201">
        <v>26.052577559611258</v>
      </c>
      <c r="GH201">
        <v>22.666110865829321</v>
      </c>
      <c r="GI201">
        <v>41.905507624198009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592.69454135622641</v>
      </c>
      <c r="AO202">
        <v>45.950541873026665</v>
      </c>
      <c r="AP202">
        <v>56.101416896511019</v>
      </c>
      <c r="AQ202">
        <v>328.40618109346241</v>
      </c>
      <c r="AR202">
        <v>45.724852692419006</v>
      </c>
      <c r="AS202">
        <v>364.43576952427543</v>
      </c>
      <c r="AT202">
        <v>23.962997005017954</v>
      </c>
      <c r="AU202">
        <v>-39.252685168182502</v>
      </c>
      <c r="AV202"/>
      <c r="AW202"/>
      <c r="AX202" s="146"/>
      <c r="AY202" s="76" t="str">
        <f t="shared" ca="1" si="170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5"/>
        <v/>
      </c>
      <c r="CL202" s="179" t="str">
        <f t="shared" si="206"/>
        <v/>
      </c>
      <c r="CM202" s="180" t="str">
        <f t="shared" si="207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8"/>
        <v/>
      </c>
      <c r="DB202" s="146"/>
      <c r="DC202" s="76" t="str">
        <f t="shared" ca="1" si="171"/>
        <v/>
      </c>
      <c r="DD202" t="str">
        <f t="shared" si="209"/>
        <v/>
      </c>
      <c r="DE202" s="129" t="str">
        <f t="shared" si="334"/>
        <v/>
      </c>
      <c r="DF202" s="161" t="str">
        <f t="shared" si="281"/>
        <v/>
      </c>
      <c r="DG202" s="161" t="str">
        <f t="shared" si="282"/>
        <v/>
      </c>
      <c r="DH202" s="161" t="str">
        <f t="shared" si="283"/>
        <v/>
      </c>
      <c r="DI202" s="161" t="str">
        <f t="shared" si="284"/>
        <v/>
      </c>
      <c r="DJ202" s="161" t="str">
        <f t="shared" si="285"/>
        <v/>
      </c>
      <c r="DK202" s="161" t="str">
        <f t="shared" si="286"/>
        <v/>
      </c>
      <c r="DL202" s="161" t="str">
        <f t="shared" si="287"/>
        <v/>
      </c>
      <c r="DM202" s="161" t="str">
        <f t="shared" si="288"/>
        <v/>
      </c>
      <c r="DN202" s="161" t="str">
        <f t="shared" si="311"/>
        <v/>
      </c>
      <c r="DO202" s="161" t="str">
        <f t="shared" si="312"/>
        <v/>
      </c>
      <c r="DP202" s="161" t="str">
        <f t="shared" si="313"/>
        <v/>
      </c>
      <c r="DQ202" s="161" t="str">
        <f t="shared" si="314"/>
        <v/>
      </c>
      <c r="DR202" s="161" t="str">
        <f t="shared" si="315"/>
        <v/>
      </c>
      <c r="DS202" s="161" t="str">
        <f t="shared" si="316"/>
        <v/>
      </c>
      <c r="DT202" s="161" t="str">
        <f t="shared" si="317"/>
        <v/>
      </c>
      <c r="DU202" s="161" t="str">
        <f t="shared" si="318"/>
        <v/>
      </c>
      <c r="DV202" s="161" t="str">
        <f t="shared" si="319"/>
        <v/>
      </c>
      <c r="DW202" s="161" t="str">
        <f t="shared" si="320"/>
        <v/>
      </c>
      <c r="DX202" s="161" t="str">
        <f t="shared" si="321"/>
        <v/>
      </c>
      <c r="DY202" s="161" t="str">
        <f t="shared" si="322"/>
        <v/>
      </c>
      <c r="DZ202" s="161" t="str">
        <f t="shared" si="323"/>
        <v/>
      </c>
      <c r="EA202" s="161" t="str">
        <f t="shared" si="324"/>
        <v/>
      </c>
      <c r="EB202" s="161" t="str">
        <f t="shared" si="325"/>
        <v/>
      </c>
      <c r="EC202" s="161" t="str">
        <f t="shared" si="326"/>
        <v/>
      </c>
      <c r="ED202" s="161" t="str">
        <f t="shared" si="327"/>
        <v/>
      </c>
      <c r="EE202" s="161" t="str">
        <f t="shared" si="328"/>
        <v/>
      </c>
      <c r="EF202" s="161" t="str">
        <f t="shared" si="329"/>
        <v/>
      </c>
      <c r="EG202" s="161" t="str">
        <f t="shared" si="330"/>
        <v/>
      </c>
      <c r="EH202" s="161" t="str">
        <f t="shared" si="331"/>
        <v/>
      </c>
      <c r="EI202" s="161" t="str">
        <f t="shared" si="332"/>
        <v/>
      </c>
      <c r="EJ202" s="161" t="str">
        <f t="shared" si="333"/>
        <v/>
      </c>
      <c r="EK202" s="147" t="str">
        <f t="shared" si="247"/>
        <v/>
      </c>
      <c r="EL202" s="149"/>
      <c r="EN202" s="146"/>
      <c r="EO202" s="146"/>
      <c r="EP202" s="139" t="str">
        <f t="shared" si="248"/>
        <v/>
      </c>
      <c r="EQ202" s="139" t="str">
        <f t="shared" si="249"/>
        <v/>
      </c>
      <c r="ER202" s="139" t="str">
        <f t="shared" si="250"/>
        <v/>
      </c>
      <c r="ES202" s="139" t="str">
        <f t="shared" si="251"/>
        <v/>
      </c>
      <c r="ET202" s="139" t="str">
        <f t="shared" si="252"/>
        <v/>
      </c>
      <c r="EU202" s="139" t="str">
        <f t="shared" si="253"/>
        <v/>
      </c>
      <c r="EV202" s="139" t="str">
        <f t="shared" si="254"/>
        <v/>
      </c>
      <c r="EW202" s="139" t="str">
        <f t="shared" si="255"/>
        <v/>
      </c>
      <c r="EX202" s="139" t="str">
        <f t="shared" si="256"/>
        <v/>
      </c>
      <c r="EY202" s="139" t="str">
        <f t="shared" si="257"/>
        <v/>
      </c>
      <c r="EZ202" s="139" t="str">
        <f t="shared" si="258"/>
        <v/>
      </c>
      <c r="FA202" s="139" t="str">
        <f t="shared" si="259"/>
        <v/>
      </c>
      <c r="FB202" s="139" t="str">
        <f t="shared" si="260"/>
        <v/>
      </c>
      <c r="FC202" s="139" t="str">
        <f t="shared" si="261"/>
        <v/>
      </c>
      <c r="FD202" s="139" t="str">
        <f t="shared" si="262"/>
        <v/>
      </c>
      <c r="FE202" s="139" t="str">
        <f t="shared" si="263"/>
        <v/>
      </c>
      <c r="FF202" s="139" t="str">
        <f t="shared" si="264"/>
        <v/>
      </c>
      <c r="FG202" s="139" t="str">
        <f t="shared" si="265"/>
        <v/>
      </c>
      <c r="FH202" s="139" t="str">
        <f t="shared" si="266"/>
        <v/>
      </c>
      <c r="FI202" s="139" t="str">
        <f t="shared" si="267"/>
        <v/>
      </c>
      <c r="FJ202" s="139" t="str">
        <f t="shared" si="268"/>
        <v/>
      </c>
      <c r="FK202" s="139" t="str">
        <f t="shared" si="269"/>
        <v/>
      </c>
      <c r="FL202" s="139" t="str">
        <f t="shared" si="270"/>
        <v/>
      </c>
      <c r="FM202" s="139" t="str">
        <f t="shared" si="271"/>
        <v/>
      </c>
      <c r="FN202" s="139" t="str">
        <f t="shared" si="272"/>
        <v/>
      </c>
      <c r="FO202" s="139" t="str">
        <f t="shared" si="273"/>
        <v/>
      </c>
      <c r="FP202" s="139" t="str">
        <f t="shared" si="274"/>
        <v/>
      </c>
      <c r="FQ202" s="139" t="str">
        <f t="shared" si="275"/>
        <v/>
      </c>
      <c r="FR202" s="139" t="str">
        <f t="shared" si="276"/>
        <v/>
      </c>
      <c r="FS202" s="139" t="str">
        <f t="shared" si="277"/>
        <v/>
      </c>
      <c r="FT202" s="139" t="str">
        <f t="shared" si="278"/>
        <v/>
      </c>
      <c r="FU202" s="148" t="str">
        <f t="shared" si="279"/>
        <v/>
      </c>
      <c r="FV202" s="149"/>
      <c r="FY202" s="212">
        <v>197</v>
      </c>
      <c r="FZ202">
        <v>55.204336411609084</v>
      </c>
      <c r="GA202">
        <v>104.21440938536202</v>
      </c>
      <c r="GB202">
        <v>66.486952815128589</v>
      </c>
      <c r="GC202">
        <v>26.939884142651945</v>
      </c>
      <c r="GD202">
        <v>11.668088098966383</v>
      </c>
      <c r="GE202">
        <v>9.7976565488312417</v>
      </c>
      <c r="GF202">
        <v>22.314192115127209</v>
      </c>
      <c r="GG202">
        <v>24.973904674786976</v>
      </c>
      <c r="GH202">
        <v>18.447774503505581</v>
      </c>
      <c r="GI202">
        <v>38.476404327882186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759.71573292744745</v>
      </c>
      <c r="AO203">
        <v>55.665613273594204</v>
      </c>
      <c r="AP203">
        <v>102.84264710532611</v>
      </c>
      <c r="AQ203">
        <v>402.75541713181298</v>
      </c>
      <c r="AR203">
        <v>57.444016414226112</v>
      </c>
      <c r="AS203">
        <v>447.73447492657522</v>
      </c>
      <c r="AT203">
        <v>29.583554023063886</v>
      </c>
      <c r="AU203">
        <v>-12.785738925031374</v>
      </c>
      <c r="AV203"/>
      <c r="AW203"/>
      <c r="AX203" s="146"/>
      <c r="AY203" s="76" t="str">
        <f t="shared" ca="1" si="170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5"/>
        <v/>
      </c>
      <c r="CL203" s="179" t="str">
        <f t="shared" si="206"/>
        <v/>
      </c>
      <c r="CM203" s="180" t="str">
        <f t="shared" si="207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8"/>
        <v/>
      </c>
      <c r="DB203" s="146"/>
      <c r="DC203" s="76" t="str">
        <f t="shared" ca="1" si="171"/>
        <v/>
      </c>
      <c r="DD203" t="str">
        <f t="shared" si="209"/>
        <v/>
      </c>
      <c r="DE203" s="129" t="str">
        <f t="shared" si="334"/>
        <v/>
      </c>
      <c r="DF203" s="161" t="str">
        <f t="shared" si="281"/>
        <v/>
      </c>
      <c r="DG203" s="161" t="str">
        <f t="shared" si="282"/>
        <v/>
      </c>
      <c r="DH203" s="161" t="str">
        <f t="shared" si="283"/>
        <v/>
      </c>
      <c r="DI203" s="161" t="str">
        <f t="shared" si="284"/>
        <v/>
      </c>
      <c r="DJ203" s="161" t="str">
        <f t="shared" si="285"/>
        <v/>
      </c>
      <c r="DK203" s="161" t="str">
        <f t="shared" si="286"/>
        <v/>
      </c>
      <c r="DL203" s="161" t="str">
        <f t="shared" si="287"/>
        <v/>
      </c>
      <c r="DM203" s="161" t="str">
        <f t="shared" si="288"/>
        <v/>
      </c>
      <c r="DN203" s="161" t="str">
        <f t="shared" si="311"/>
        <v/>
      </c>
      <c r="DO203" s="161" t="str">
        <f t="shared" si="312"/>
        <v/>
      </c>
      <c r="DP203" s="161" t="str">
        <f t="shared" si="313"/>
        <v/>
      </c>
      <c r="DQ203" s="161" t="str">
        <f t="shared" si="314"/>
        <v/>
      </c>
      <c r="DR203" s="161" t="str">
        <f t="shared" si="315"/>
        <v/>
      </c>
      <c r="DS203" s="161" t="str">
        <f t="shared" si="316"/>
        <v/>
      </c>
      <c r="DT203" s="161" t="str">
        <f t="shared" si="317"/>
        <v/>
      </c>
      <c r="DU203" s="161" t="str">
        <f t="shared" si="318"/>
        <v/>
      </c>
      <c r="DV203" s="161" t="str">
        <f t="shared" si="319"/>
        <v/>
      </c>
      <c r="DW203" s="161" t="str">
        <f t="shared" si="320"/>
        <v/>
      </c>
      <c r="DX203" s="161" t="str">
        <f t="shared" si="321"/>
        <v/>
      </c>
      <c r="DY203" s="161" t="str">
        <f t="shared" si="322"/>
        <v/>
      </c>
      <c r="DZ203" s="161" t="str">
        <f t="shared" si="323"/>
        <v/>
      </c>
      <c r="EA203" s="161" t="str">
        <f t="shared" si="324"/>
        <v/>
      </c>
      <c r="EB203" s="161" t="str">
        <f t="shared" si="325"/>
        <v/>
      </c>
      <c r="EC203" s="161" t="str">
        <f t="shared" si="326"/>
        <v/>
      </c>
      <c r="ED203" s="161" t="str">
        <f t="shared" si="327"/>
        <v/>
      </c>
      <c r="EE203" s="161" t="str">
        <f t="shared" si="328"/>
        <v/>
      </c>
      <c r="EF203" s="161" t="str">
        <f t="shared" si="329"/>
        <v/>
      </c>
      <c r="EG203" s="161" t="str">
        <f t="shared" si="330"/>
        <v/>
      </c>
      <c r="EH203" s="161" t="str">
        <f t="shared" si="331"/>
        <v/>
      </c>
      <c r="EI203" s="161" t="str">
        <f t="shared" si="332"/>
        <v/>
      </c>
      <c r="EJ203" s="161" t="str">
        <f t="shared" si="333"/>
        <v/>
      </c>
      <c r="EK203" s="147" t="str">
        <f t="shared" si="247"/>
        <v/>
      </c>
      <c r="EL203" s="149"/>
      <c r="EN203" s="146"/>
      <c r="EO203" s="146"/>
      <c r="EP203" s="139" t="str">
        <f t="shared" si="248"/>
        <v/>
      </c>
      <c r="EQ203" s="139" t="str">
        <f t="shared" si="249"/>
        <v/>
      </c>
      <c r="ER203" s="139" t="str">
        <f t="shared" si="250"/>
        <v/>
      </c>
      <c r="ES203" s="139" t="str">
        <f t="shared" si="251"/>
        <v/>
      </c>
      <c r="ET203" s="139" t="str">
        <f t="shared" si="252"/>
        <v/>
      </c>
      <c r="EU203" s="139" t="str">
        <f t="shared" si="253"/>
        <v/>
      </c>
      <c r="EV203" s="139" t="str">
        <f t="shared" si="254"/>
        <v/>
      </c>
      <c r="EW203" s="139" t="str">
        <f t="shared" si="255"/>
        <v/>
      </c>
      <c r="EX203" s="139" t="str">
        <f t="shared" si="256"/>
        <v/>
      </c>
      <c r="EY203" s="139" t="str">
        <f t="shared" si="257"/>
        <v/>
      </c>
      <c r="EZ203" s="139" t="str">
        <f t="shared" si="258"/>
        <v/>
      </c>
      <c r="FA203" s="139" t="str">
        <f t="shared" si="259"/>
        <v/>
      </c>
      <c r="FB203" s="139" t="str">
        <f t="shared" si="260"/>
        <v/>
      </c>
      <c r="FC203" s="139" t="str">
        <f t="shared" si="261"/>
        <v/>
      </c>
      <c r="FD203" s="139" t="str">
        <f t="shared" si="262"/>
        <v/>
      </c>
      <c r="FE203" s="139" t="str">
        <f t="shared" si="263"/>
        <v/>
      </c>
      <c r="FF203" s="139" t="str">
        <f t="shared" si="264"/>
        <v/>
      </c>
      <c r="FG203" s="139" t="str">
        <f t="shared" si="265"/>
        <v/>
      </c>
      <c r="FH203" s="139" t="str">
        <f t="shared" si="266"/>
        <v/>
      </c>
      <c r="FI203" s="139" t="str">
        <f t="shared" si="267"/>
        <v/>
      </c>
      <c r="FJ203" s="139" t="str">
        <f t="shared" si="268"/>
        <v/>
      </c>
      <c r="FK203" s="139" t="str">
        <f t="shared" si="269"/>
        <v/>
      </c>
      <c r="FL203" s="139" t="str">
        <f t="shared" si="270"/>
        <v/>
      </c>
      <c r="FM203" s="139" t="str">
        <f t="shared" si="271"/>
        <v/>
      </c>
      <c r="FN203" s="139" t="str">
        <f t="shared" si="272"/>
        <v/>
      </c>
      <c r="FO203" s="139" t="str">
        <f t="shared" si="273"/>
        <v/>
      </c>
      <c r="FP203" s="139" t="str">
        <f t="shared" si="274"/>
        <v/>
      </c>
      <c r="FQ203" s="139" t="str">
        <f t="shared" si="275"/>
        <v/>
      </c>
      <c r="FR203" s="139" t="str">
        <f t="shared" si="276"/>
        <v/>
      </c>
      <c r="FS203" s="139" t="str">
        <f t="shared" si="277"/>
        <v/>
      </c>
      <c r="FT203" s="139" t="str">
        <f t="shared" si="278"/>
        <v/>
      </c>
      <c r="FU203" s="148" t="str">
        <f t="shared" si="279"/>
        <v/>
      </c>
      <c r="FV203" s="149"/>
      <c r="FY203" s="212">
        <v>198</v>
      </c>
      <c r="FZ203">
        <v>35.610727338423715</v>
      </c>
      <c r="GA203">
        <v>110.7984494679352</v>
      </c>
      <c r="GB203">
        <v>67.691972502924443</v>
      </c>
      <c r="GC203">
        <v>21.982845596752103</v>
      </c>
      <c r="GD203">
        <v>12.596982927854363</v>
      </c>
      <c r="GE203">
        <v>17.096278468225563</v>
      </c>
      <c r="GF203">
        <v>24.224625562108397</v>
      </c>
      <c r="GG203">
        <v>19.908388912901305</v>
      </c>
      <c r="GH203">
        <v>28.292053982667571</v>
      </c>
      <c r="GI203">
        <v>38.351471195900302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765.7293375365723</v>
      </c>
      <c r="AO204">
        <v>50.294942280091909</v>
      </c>
      <c r="AP204">
        <v>77.952148157166263</v>
      </c>
      <c r="AQ204">
        <v>353.85561271688482</v>
      </c>
      <c r="AR204">
        <v>49.252717391827872</v>
      </c>
      <c r="AS204">
        <v>423.89966497640677</v>
      </c>
      <c r="AT204">
        <v>25.920545661156883</v>
      </c>
      <c r="AU204">
        <v>-68.084342957370666</v>
      </c>
      <c r="AV204"/>
      <c r="AW204"/>
      <c r="AX204" s="146"/>
      <c r="AY204" s="76" t="str">
        <f t="shared" ca="1" si="170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5"/>
        <v/>
      </c>
      <c r="CL204" s="179" t="str">
        <f t="shared" si="206"/>
        <v/>
      </c>
      <c r="CM204" s="180" t="str">
        <f t="shared" si="207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8"/>
        <v/>
      </c>
      <c r="DB204" s="146"/>
      <c r="DC204" s="76" t="str">
        <f t="shared" ca="1" si="171"/>
        <v/>
      </c>
      <c r="DD204" t="str">
        <f t="shared" si="209"/>
        <v/>
      </c>
      <c r="DE204" s="129" t="str">
        <f t="shared" si="334"/>
        <v/>
      </c>
      <c r="DF204" s="161" t="str">
        <f t="shared" si="281"/>
        <v/>
      </c>
      <c r="DG204" s="161" t="str">
        <f t="shared" si="282"/>
        <v/>
      </c>
      <c r="DH204" s="161" t="str">
        <f t="shared" si="283"/>
        <v/>
      </c>
      <c r="DI204" s="161" t="str">
        <f t="shared" si="284"/>
        <v/>
      </c>
      <c r="DJ204" s="161" t="str">
        <f t="shared" si="285"/>
        <v/>
      </c>
      <c r="DK204" s="161" t="str">
        <f t="shared" si="286"/>
        <v/>
      </c>
      <c r="DL204" s="161" t="str">
        <f t="shared" si="287"/>
        <v/>
      </c>
      <c r="DM204" s="161" t="str">
        <f t="shared" si="288"/>
        <v/>
      </c>
      <c r="DN204" s="161" t="str">
        <f t="shared" si="311"/>
        <v/>
      </c>
      <c r="DO204" s="161" t="str">
        <f t="shared" si="312"/>
        <v/>
      </c>
      <c r="DP204" s="161" t="str">
        <f t="shared" si="313"/>
        <v/>
      </c>
      <c r="DQ204" s="161" t="str">
        <f t="shared" si="314"/>
        <v/>
      </c>
      <c r="DR204" s="161" t="str">
        <f t="shared" si="315"/>
        <v/>
      </c>
      <c r="DS204" s="161" t="str">
        <f t="shared" si="316"/>
        <v/>
      </c>
      <c r="DT204" s="161" t="str">
        <f t="shared" si="317"/>
        <v/>
      </c>
      <c r="DU204" s="161" t="str">
        <f t="shared" si="318"/>
        <v/>
      </c>
      <c r="DV204" s="161" t="str">
        <f t="shared" si="319"/>
        <v/>
      </c>
      <c r="DW204" s="161" t="str">
        <f t="shared" si="320"/>
        <v/>
      </c>
      <c r="DX204" s="161" t="str">
        <f t="shared" si="321"/>
        <v/>
      </c>
      <c r="DY204" s="161" t="str">
        <f t="shared" si="322"/>
        <v/>
      </c>
      <c r="DZ204" s="161" t="str">
        <f t="shared" si="323"/>
        <v/>
      </c>
      <c r="EA204" s="161" t="str">
        <f t="shared" si="324"/>
        <v/>
      </c>
      <c r="EB204" s="161" t="str">
        <f t="shared" si="325"/>
        <v/>
      </c>
      <c r="EC204" s="161" t="str">
        <f t="shared" si="326"/>
        <v/>
      </c>
      <c r="ED204" s="161" t="str">
        <f t="shared" si="327"/>
        <v/>
      </c>
      <c r="EE204" s="161" t="str">
        <f t="shared" si="328"/>
        <v/>
      </c>
      <c r="EF204" s="161" t="str">
        <f t="shared" si="329"/>
        <v/>
      </c>
      <c r="EG204" s="161" t="str">
        <f t="shared" si="330"/>
        <v/>
      </c>
      <c r="EH204" s="161" t="str">
        <f t="shared" si="331"/>
        <v/>
      </c>
      <c r="EI204" s="161" t="str">
        <f t="shared" si="332"/>
        <v/>
      </c>
      <c r="EJ204" s="161" t="str">
        <f t="shared" si="333"/>
        <v/>
      </c>
      <c r="EK204" s="147" t="str">
        <f t="shared" si="247"/>
        <v/>
      </c>
      <c r="EL204" s="149"/>
      <c r="EN204" s="146"/>
      <c r="EO204" s="146"/>
      <c r="EP204" s="139" t="str">
        <f t="shared" si="248"/>
        <v/>
      </c>
      <c r="EQ204" s="139" t="str">
        <f t="shared" si="249"/>
        <v/>
      </c>
      <c r="ER204" s="139" t="str">
        <f t="shared" si="250"/>
        <v/>
      </c>
      <c r="ES204" s="139" t="str">
        <f t="shared" si="251"/>
        <v/>
      </c>
      <c r="ET204" s="139" t="str">
        <f t="shared" si="252"/>
        <v/>
      </c>
      <c r="EU204" s="139" t="str">
        <f t="shared" si="253"/>
        <v/>
      </c>
      <c r="EV204" s="139" t="str">
        <f t="shared" si="254"/>
        <v/>
      </c>
      <c r="EW204" s="139" t="str">
        <f t="shared" si="255"/>
        <v/>
      </c>
      <c r="EX204" s="139" t="str">
        <f t="shared" si="256"/>
        <v/>
      </c>
      <c r="EY204" s="139" t="str">
        <f t="shared" si="257"/>
        <v/>
      </c>
      <c r="EZ204" s="139" t="str">
        <f t="shared" si="258"/>
        <v/>
      </c>
      <c r="FA204" s="139" t="str">
        <f t="shared" si="259"/>
        <v/>
      </c>
      <c r="FB204" s="139" t="str">
        <f t="shared" si="260"/>
        <v/>
      </c>
      <c r="FC204" s="139" t="str">
        <f t="shared" si="261"/>
        <v/>
      </c>
      <c r="FD204" s="139" t="str">
        <f t="shared" si="262"/>
        <v/>
      </c>
      <c r="FE204" s="139" t="str">
        <f t="shared" si="263"/>
        <v/>
      </c>
      <c r="FF204" s="139" t="str">
        <f t="shared" si="264"/>
        <v/>
      </c>
      <c r="FG204" s="139" t="str">
        <f t="shared" si="265"/>
        <v/>
      </c>
      <c r="FH204" s="139" t="str">
        <f t="shared" si="266"/>
        <v/>
      </c>
      <c r="FI204" s="139" t="str">
        <f t="shared" si="267"/>
        <v/>
      </c>
      <c r="FJ204" s="139" t="str">
        <f t="shared" si="268"/>
        <v/>
      </c>
      <c r="FK204" s="139" t="str">
        <f t="shared" si="269"/>
        <v/>
      </c>
      <c r="FL204" s="139" t="str">
        <f t="shared" si="270"/>
        <v/>
      </c>
      <c r="FM204" s="139" t="str">
        <f t="shared" si="271"/>
        <v/>
      </c>
      <c r="FN204" s="139" t="str">
        <f t="shared" si="272"/>
        <v/>
      </c>
      <c r="FO204" s="139" t="str">
        <f t="shared" si="273"/>
        <v/>
      </c>
      <c r="FP204" s="139" t="str">
        <f t="shared" si="274"/>
        <v/>
      </c>
      <c r="FQ204" s="139" t="str">
        <f t="shared" si="275"/>
        <v/>
      </c>
      <c r="FR204" s="139" t="str">
        <f t="shared" si="276"/>
        <v/>
      </c>
      <c r="FS204" s="139" t="str">
        <f t="shared" si="277"/>
        <v/>
      </c>
      <c r="FT204" s="139" t="str">
        <f t="shared" si="278"/>
        <v/>
      </c>
      <c r="FU204" s="148" t="str">
        <f t="shared" si="279"/>
        <v/>
      </c>
      <c r="FV204" s="149"/>
      <c r="FY204" s="212">
        <v>199</v>
      </c>
      <c r="FZ204">
        <v>44.31284625234575</v>
      </c>
      <c r="GA204">
        <v>92.511818187863199</v>
      </c>
      <c r="GB204">
        <v>45.233154017079883</v>
      </c>
      <c r="GC204">
        <v>13.823063128427222</v>
      </c>
      <c r="GD204">
        <v>9.9068893856113451</v>
      </c>
      <c r="GE204">
        <v>10.268529396472276</v>
      </c>
      <c r="GF204">
        <v>19.226212728612616</v>
      </c>
      <c r="GG204">
        <v>20.360677370697267</v>
      </c>
      <c r="GH204">
        <v>17.077537650079336</v>
      </c>
      <c r="GI204">
        <v>29.715664585271451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914.40920708102385</v>
      </c>
      <c r="AO205">
        <v>57.415727407512136</v>
      </c>
      <c r="AP205">
        <v>70.368868188925262</v>
      </c>
      <c r="AQ205">
        <v>402.94938692229766</v>
      </c>
      <c r="AR205">
        <v>56.070532427003954</v>
      </c>
      <c r="AS205">
        <v>449.76294770803759</v>
      </c>
      <c r="AT205">
        <v>28.082003203084096</v>
      </c>
      <c r="AU205">
        <v>-92.249132242609164</v>
      </c>
      <c r="AV205"/>
      <c r="AW205"/>
      <c r="AX205" s="146"/>
      <c r="AY205" s="76" t="str">
        <f t="shared" ca="1" si="170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5"/>
        <v/>
      </c>
      <c r="CL205" s="179" t="str">
        <f t="shared" si="206"/>
        <v/>
      </c>
      <c r="CM205" s="180" t="str">
        <f t="shared" si="207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8"/>
        <v/>
      </c>
      <c r="DB205" s="146"/>
      <c r="DC205" s="76" t="str">
        <f t="shared" ca="1" si="171"/>
        <v/>
      </c>
      <c r="DD205" t="str">
        <f t="shared" si="209"/>
        <v/>
      </c>
      <c r="DE205" s="129" t="str">
        <f t="shared" si="334"/>
        <v/>
      </c>
      <c r="DF205" s="161" t="str">
        <f t="shared" si="281"/>
        <v/>
      </c>
      <c r="DG205" s="161" t="str">
        <f t="shared" si="282"/>
        <v/>
      </c>
      <c r="DH205" s="161" t="str">
        <f t="shared" si="283"/>
        <v/>
      </c>
      <c r="DI205" s="161" t="str">
        <f t="shared" si="284"/>
        <v/>
      </c>
      <c r="DJ205" s="161" t="str">
        <f t="shared" si="285"/>
        <v/>
      </c>
      <c r="DK205" s="161" t="str">
        <f t="shared" si="286"/>
        <v/>
      </c>
      <c r="DL205" s="161" t="str">
        <f t="shared" si="287"/>
        <v/>
      </c>
      <c r="DM205" s="161" t="str">
        <f t="shared" si="288"/>
        <v/>
      </c>
      <c r="DN205" s="161" t="str">
        <f t="shared" si="311"/>
        <v/>
      </c>
      <c r="DO205" s="161" t="str">
        <f t="shared" si="312"/>
        <v/>
      </c>
      <c r="DP205" s="161" t="str">
        <f t="shared" si="313"/>
        <v/>
      </c>
      <c r="DQ205" s="161" t="str">
        <f t="shared" si="314"/>
        <v/>
      </c>
      <c r="DR205" s="161" t="str">
        <f t="shared" si="315"/>
        <v/>
      </c>
      <c r="DS205" s="161" t="str">
        <f t="shared" si="316"/>
        <v/>
      </c>
      <c r="DT205" s="161" t="str">
        <f t="shared" si="317"/>
        <v/>
      </c>
      <c r="DU205" s="161" t="str">
        <f t="shared" si="318"/>
        <v/>
      </c>
      <c r="DV205" s="161" t="str">
        <f t="shared" si="319"/>
        <v/>
      </c>
      <c r="DW205" s="161" t="str">
        <f t="shared" si="320"/>
        <v/>
      </c>
      <c r="DX205" s="161" t="str">
        <f t="shared" si="321"/>
        <v/>
      </c>
      <c r="DY205" s="161" t="str">
        <f t="shared" si="322"/>
        <v/>
      </c>
      <c r="DZ205" s="161" t="str">
        <f t="shared" si="323"/>
        <v/>
      </c>
      <c r="EA205" s="161" t="str">
        <f t="shared" si="324"/>
        <v/>
      </c>
      <c r="EB205" s="161" t="str">
        <f t="shared" si="325"/>
        <v/>
      </c>
      <c r="EC205" s="161" t="str">
        <f t="shared" si="326"/>
        <v/>
      </c>
      <c r="ED205" s="161" t="str">
        <f t="shared" si="327"/>
        <v/>
      </c>
      <c r="EE205" s="161" t="str">
        <f t="shared" si="328"/>
        <v/>
      </c>
      <c r="EF205" s="161" t="str">
        <f t="shared" si="329"/>
        <v/>
      </c>
      <c r="EG205" s="161" t="str">
        <f t="shared" si="330"/>
        <v/>
      </c>
      <c r="EH205" s="161" t="str">
        <f t="shared" si="331"/>
        <v/>
      </c>
      <c r="EI205" s="161" t="str">
        <f t="shared" si="332"/>
        <v/>
      </c>
      <c r="EJ205" s="161" t="str">
        <f t="shared" si="333"/>
        <v/>
      </c>
      <c r="EK205" s="147" t="str">
        <f t="shared" si="247"/>
        <v/>
      </c>
      <c r="EL205" s="149"/>
      <c r="EN205" s="146"/>
      <c r="EO205" s="146"/>
      <c r="EP205" s="139" t="str">
        <f t="shared" si="248"/>
        <v/>
      </c>
      <c r="EQ205" s="139" t="str">
        <f t="shared" si="249"/>
        <v/>
      </c>
      <c r="ER205" s="139" t="str">
        <f t="shared" si="250"/>
        <v/>
      </c>
      <c r="ES205" s="139" t="str">
        <f t="shared" si="251"/>
        <v/>
      </c>
      <c r="ET205" s="139" t="str">
        <f t="shared" si="252"/>
        <v/>
      </c>
      <c r="EU205" s="139" t="str">
        <f t="shared" si="253"/>
        <v/>
      </c>
      <c r="EV205" s="139" t="str">
        <f t="shared" si="254"/>
        <v/>
      </c>
      <c r="EW205" s="139" t="str">
        <f t="shared" si="255"/>
        <v/>
      </c>
      <c r="EX205" s="139" t="str">
        <f t="shared" si="256"/>
        <v/>
      </c>
      <c r="EY205" s="139" t="str">
        <f t="shared" si="257"/>
        <v/>
      </c>
      <c r="EZ205" s="139" t="str">
        <f t="shared" si="258"/>
        <v/>
      </c>
      <c r="FA205" s="139" t="str">
        <f t="shared" si="259"/>
        <v/>
      </c>
      <c r="FB205" s="139" t="str">
        <f t="shared" si="260"/>
        <v/>
      </c>
      <c r="FC205" s="139" t="str">
        <f t="shared" si="261"/>
        <v/>
      </c>
      <c r="FD205" s="139" t="str">
        <f t="shared" si="262"/>
        <v/>
      </c>
      <c r="FE205" s="139" t="str">
        <f t="shared" si="263"/>
        <v/>
      </c>
      <c r="FF205" s="139" t="str">
        <f t="shared" si="264"/>
        <v/>
      </c>
      <c r="FG205" s="139" t="str">
        <f t="shared" si="265"/>
        <v/>
      </c>
      <c r="FH205" s="139" t="str">
        <f t="shared" si="266"/>
        <v/>
      </c>
      <c r="FI205" s="139" t="str">
        <f t="shared" si="267"/>
        <v/>
      </c>
      <c r="FJ205" s="139" t="str">
        <f t="shared" si="268"/>
        <v/>
      </c>
      <c r="FK205" s="139" t="str">
        <f t="shared" si="269"/>
        <v/>
      </c>
      <c r="FL205" s="139" t="str">
        <f t="shared" si="270"/>
        <v/>
      </c>
      <c r="FM205" s="139" t="str">
        <f t="shared" si="271"/>
        <v/>
      </c>
      <c r="FN205" s="139" t="str">
        <f t="shared" si="272"/>
        <v/>
      </c>
      <c r="FO205" s="139" t="str">
        <f t="shared" si="273"/>
        <v/>
      </c>
      <c r="FP205" s="139" t="str">
        <f t="shared" si="274"/>
        <v/>
      </c>
      <c r="FQ205" s="139" t="str">
        <f t="shared" si="275"/>
        <v/>
      </c>
      <c r="FR205" s="139" t="str">
        <f t="shared" si="276"/>
        <v/>
      </c>
      <c r="FS205" s="139" t="str">
        <f t="shared" si="277"/>
        <v/>
      </c>
      <c r="FT205" s="139" t="str">
        <f t="shared" si="278"/>
        <v/>
      </c>
      <c r="FU205" s="148" t="str">
        <f t="shared" si="279"/>
        <v/>
      </c>
      <c r="FV205" s="149"/>
      <c r="FY205" s="212">
        <v>200</v>
      </c>
      <c r="FZ205">
        <v>40.58571606243575</v>
      </c>
      <c r="GA205">
        <v>85.83420004810516</v>
      </c>
      <c r="GB205">
        <v>44.896441467110307</v>
      </c>
      <c r="GC205">
        <v>16.740260853927431</v>
      </c>
      <c r="GD205">
        <v>12.040283864812286</v>
      </c>
      <c r="GE205">
        <v>12.562956481409742</v>
      </c>
      <c r="GF205">
        <v>28.464675566915808</v>
      </c>
      <c r="GG205">
        <v>27.796916566988845</v>
      </c>
      <c r="GH205">
        <v>34.266281899469959</v>
      </c>
      <c r="GI205">
        <v>34.808936623965216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776.70330522136646</v>
      </c>
      <c r="AO206">
        <v>63.75495417037596</v>
      </c>
      <c r="AP206">
        <v>45.788997545393215</v>
      </c>
      <c r="AQ206">
        <v>474.82171164422539</v>
      </c>
      <c r="AR206">
        <v>61.480031910910412</v>
      </c>
      <c r="AS206">
        <v>482.85717493236234</v>
      </c>
      <c r="AT206">
        <v>30.996621304671947</v>
      </c>
      <c r="AU206">
        <v>-109.84946662590201</v>
      </c>
      <c r="AV206"/>
      <c r="AW206"/>
      <c r="AX206" s="146"/>
      <c r="AY206" s="76" t="str">
        <f t="shared" ca="1" si="170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5"/>
        <v/>
      </c>
      <c r="CL206" s="179" t="str">
        <f t="shared" si="206"/>
        <v/>
      </c>
      <c r="CM206" s="180" t="str">
        <f t="shared" si="207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8"/>
        <v/>
      </c>
      <c r="DB206" s="146"/>
      <c r="DC206" s="76" t="str">
        <f t="shared" ca="1" si="171"/>
        <v/>
      </c>
      <c r="DD206" t="str">
        <f t="shared" si="209"/>
        <v/>
      </c>
      <c r="DE206" s="129" t="str">
        <f t="shared" si="334"/>
        <v/>
      </c>
      <c r="DF206" s="161" t="str">
        <f t="shared" si="281"/>
        <v/>
      </c>
      <c r="DG206" s="161" t="str">
        <f t="shared" si="282"/>
        <v/>
      </c>
      <c r="DH206" s="161" t="str">
        <f t="shared" si="283"/>
        <v/>
      </c>
      <c r="DI206" s="161" t="str">
        <f t="shared" si="284"/>
        <v/>
      </c>
      <c r="DJ206" s="161" t="str">
        <f t="shared" si="285"/>
        <v/>
      </c>
      <c r="DK206" s="161" t="str">
        <f t="shared" si="286"/>
        <v/>
      </c>
      <c r="DL206" s="161" t="str">
        <f t="shared" si="287"/>
        <v/>
      </c>
      <c r="DM206" s="161" t="str">
        <f t="shared" si="288"/>
        <v/>
      </c>
      <c r="DN206" s="161" t="str">
        <f t="shared" si="311"/>
        <v/>
      </c>
      <c r="DO206" s="161" t="str">
        <f t="shared" si="312"/>
        <v/>
      </c>
      <c r="DP206" s="161" t="str">
        <f t="shared" si="313"/>
        <v/>
      </c>
      <c r="DQ206" s="161" t="str">
        <f t="shared" si="314"/>
        <v/>
      </c>
      <c r="DR206" s="161" t="str">
        <f t="shared" si="315"/>
        <v/>
      </c>
      <c r="DS206" s="161" t="str">
        <f t="shared" si="316"/>
        <v/>
      </c>
      <c r="DT206" s="161" t="str">
        <f t="shared" si="317"/>
        <v/>
      </c>
      <c r="DU206" s="161" t="str">
        <f t="shared" si="318"/>
        <v/>
      </c>
      <c r="DV206" s="161" t="str">
        <f t="shared" si="319"/>
        <v/>
      </c>
      <c r="DW206" s="161" t="str">
        <f t="shared" si="320"/>
        <v/>
      </c>
      <c r="DX206" s="161" t="str">
        <f t="shared" si="321"/>
        <v/>
      </c>
      <c r="DY206" s="161" t="str">
        <f t="shared" si="322"/>
        <v/>
      </c>
      <c r="DZ206" s="161" t="str">
        <f t="shared" si="323"/>
        <v/>
      </c>
      <c r="EA206" s="161" t="str">
        <f t="shared" si="324"/>
        <v/>
      </c>
      <c r="EB206" s="161" t="str">
        <f t="shared" si="325"/>
        <v/>
      </c>
      <c r="EC206" s="161" t="str">
        <f t="shared" si="326"/>
        <v/>
      </c>
      <c r="ED206" s="161" t="str">
        <f t="shared" si="327"/>
        <v/>
      </c>
      <c r="EE206" s="161" t="str">
        <f t="shared" si="328"/>
        <v/>
      </c>
      <c r="EF206" s="161" t="str">
        <f t="shared" si="329"/>
        <v/>
      </c>
      <c r="EG206" s="161" t="str">
        <f t="shared" si="330"/>
        <v/>
      </c>
      <c r="EH206" s="161" t="str">
        <f t="shared" si="331"/>
        <v/>
      </c>
      <c r="EI206" s="161" t="str">
        <f t="shared" si="332"/>
        <v/>
      </c>
      <c r="EJ206" s="161" t="str">
        <f t="shared" si="333"/>
        <v/>
      </c>
      <c r="EK206" s="147" t="str">
        <f t="shared" si="247"/>
        <v/>
      </c>
      <c r="EL206" s="149"/>
      <c r="EN206" s="146"/>
      <c r="EO206" s="146"/>
      <c r="EP206" s="139" t="str">
        <f t="shared" si="248"/>
        <v/>
      </c>
      <c r="EQ206" s="139" t="str">
        <f t="shared" si="249"/>
        <v/>
      </c>
      <c r="ER206" s="139" t="str">
        <f t="shared" si="250"/>
        <v/>
      </c>
      <c r="ES206" s="139" t="str">
        <f t="shared" si="251"/>
        <v/>
      </c>
      <c r="ET206" s="139" t="str">
        <f t="shared" si="252"/>
        <v/>
      </c>
      <c r="EU206" s="139" t="str">
        <f t="shared" si="253"/>
        <v/>
      </c>
      <c r="EV206" s="139" t="str">
        <f t="shared" si="254"/>
        <v/>
      </c>
      <c r="EW206" s="139" t="str">
        <f t="shared" si="255"/>
        <v/>
      </c>
      <c r="EX206" s="139" t="str">
        <f t="shared" si="256"/>
        <v/>
      </c>
      <c r="EY206" s="139" t="str">
        <f t="shared" si="257"/>
        <v/>
      </c>
      <c r="EZ206" s="139" t="str">
        <f t="shared" si="258"/>
        <v/>
      </c>
      <c r="FA206" s="139" t="str">
        <f t="shared" si="259"/>
        <v/>
      </c>
      <c r="FB206" s="139" t="str">
        <f t="shared" si="260"/>
        <v/>
      </c>
      <c r="FC206" s="139" t="str">
        <f t="shared" si="261"/>
        <v/>
      </c>
      <c r="FD206" s="139" t="str">
        <f t="shared" si="262"/>
        <v/>
      </c>
      <c r="FE206" s="139" t="str">
        <f t="shared" si="263"/>
        <v/>
      </c>
      <c r="FF206" s="139" t="str">
        <f t="shared" si="264"/>
        <v/>
      </c>
      <c r="FG206" s="139" t="str">
        <f t="shared" si="265"/>
        <v/>
      </c>
      <c r="FH206" s="139" t="str">
        <f t="shared" si="266"/>
        <v/>
      </c>
      <c r="FI206" s="139" t="str">
        <f t="shared" si="267"/>
        <v/>
      </c>
      <c r="FJ206" s="139" t="str">
        <f t="shared" si="268"/>
        <v/>
      </c>
      <c r="FK206" s="139" t="str">
        <f t="shared" si="269"/>
        <v/>
      </c>
      <c r="FL206" s="139" t="str">
        <f t="shared" si="270"/>
        <v/>
      </c>
      <c r="FM206" s="139" t="str">
        <f t="shared" si="271"/>
        <v/>
      </c>
      <c r="FN206" s="139" t="str">
        <f t="shared" si="272"/>
        <v/>
      </c>
      <c r="FO206" s="139" t="str">
        <f t="shared" si="273"/>
        <v/>
      </c>
      <c r="FP206" s="139" t="str">
        <f t="shared" si="274"/>
        <v/>
      </c>
      <c r="FQ206" s="139" t="str">
        <f t="shared" si="275"/>
        <v/>
      </c>
      <c r="FR206" s="139" t="str">
        <f t="shared" si="276"/>
        <v/>
      </c>
      <c r="FS206" s="139" t="str">
        <f t="shared" si="277"/>
        <v/>
      </c>
      <c r="FT206" s="139" t="str">
        <f t="shared" si="278"/>
        <v/>
      </c>
      <c r="FU206" s="148" t="str">
        <f t="shared" si="279"/>
        <v/>
      </c>
      <c r="FV206" s="149"/>
      <c r="FY206" s="212">
        <v>201</v>
      </c>
      <c r="FZ206">
        <v>46.582458830674597</v>
      </c>
      <c r="GA206">
        <v>108.7207870175659</v>
      </c>
      <c r="GB206">
        <v>51.047431575523078</v>
      </c>
      <c r="GC206">
        <v>15.0587102157559</v>
      </c>
      <c r="GD206">
        <v>11.11760491330071</v>
      </c>
      <c r="GE206">
        <v>19.270522980020978</v>
      </c>
      <c r="GF206">
        <v>37.947775393121169</v>
      </c>
      <c r="GG206">
        <v>32.838395171622395</v>
      </c>
      <c r="GH206">
        <v>30.74875272730694</v>
      </c>
      <c r="GI206">
        <v>37.924104684790841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697.86830749128501</v>
      </c>
      <c r="AO207">
        <v>46.04956733108228</v>
      </c>
      <c r="AP207">
        <v>82.788901917790213</v>
      </c>
      <c r="AQ207">
        <v>326.96627863496428</v>
      </c>
      <c r="AR207">
        <v>45.531865196518815</v>
      </c>
      <c r="AS207">
        <v>353.27962857039876</v>
      </c>
      <c r="AT207">
        <v>23.035087387124637</v>
      </c>
      <c r="AU207">
        <v>-28.818630376780096</v>
      </c>
      <c r="AV207"/>
      <c r="AW207"/>
      <c r="AX207" s="146"/>
      <c r="AY207" s="76" t="str">
        <f t="shared" ca="1" si="170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5"/>
        <v/>
      </c>
      <c r="CL207" s="179" t="str">
        <f t="shared" si="206"/>
        <v/>
      </c>
      <c r="CM207" s="180" t="str">
        <f t="shared" si="207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8"/>
        <v/>
      </c>
      <c r="DB207" s="146"/>
      <c r="DC207" s="76" t="str">
        <f t="shared" ca="1" si="171"/>
        <v/>
      </c>
      <c r="DD207" t="str">
        <f t="shared" si="209"/>
        <v/>
      </c>
      <c r="DE207" s="129" t="str">
        <f t="shared" si="334"/>
        <v/>
      </c>
      <c r="DF207" s="161" t="str">
        <f t="shared" si="281"/>
        <v/>
      </c>
      <c r="DG207" s="161" t="str">
        <f t="shared" si="282"/>
        <v/>
      </c>
      <c r="DH207" s="161" t="str">
        <f t="shared" si="283"/>
        <v/>
      </c>
      <c r="DI207" s="161" t="str">
        <f t="shared" si="284"/>
        <v/>
      </c>
      <c r="DJ207" s="161" t="str">
        <f t="shared" si="285"/>
        <v/>
      </c>
      <c r="DK207" s="161" t="str">
        <f t="shared" si="286"/>
        <v/>
      </c>
      <c r="DL207" s="161" t="str">
        <f t="shared" si="287"/>
        <v/>
      </c>
      <c r="DM207" s="161" t="str">
        <f t="shared" si="288"/>
        <v/>
      </c>
      <c r="DN207" s="161" t="str">
        <f t="shared" si="311"/>
        <v/>
      </c>
      <c r="DO207" s="161" t="str">
        <f t="shared" ref="DO207:EJ207" si="335">IF($AZ207="", "", (BK207*$CW207)/$CZ207)</f>
        <v/>
      </c>
      <c r="DP207" s="161" t="str">
        <f t="shared" si="335"/>
        <v/>
      </c>
      <c r="DQ207" s="161" t="str">
        <f t="shared" si="335"/>
        <v/>
      </c>
      <c r="DR207" s="161" t="str">
        <f t="shared" si="335"/>
        <v/>
      </c>
      <c r="DS207" s="161" t="str">
        <f t="shared" si="335"/>
        <v/>
      </c>
      <c r="DT207" s="161" t="str">
        <f t="shared" si="335"/>
        <v/>
      </c>
      <c r="DU207" s="161" t="str">
        <f t="shared" si="335"/>
        <v/>
      </c>
      <c r="DV207" s="161" t="str">
        <f t="shared" si="335"/>
        <v/>
      </c>
      <c r="DW207" s="161" t="str">
        <f t="shared" si="335"/>
        <v/>
      </c>
      <c r="DX207" s="161" t="str">
        <f t="shared" si="335"/>
        <v/>
      </c>
      <c r="DY207" s="161" t="str">
        <f t="shared" si="335"/>
        <v/>
      </c>
      <c r="DZ207" s="161" t="str">
        <f t="shared" si="335"/>
        <v/>
      </c>
      <c r="EA207" s="161" t="str">
        <f t="shared" si="335"/>
        <v/>
      </c>
      <c r="EB207" s="161" t="str">
        <f t="shared" si="335"/>
        <v/>
      </c>
      <c r="EC207" s="161" t="str">
        <f t="shared" si="335"/>
        <v/>
      </c>
      <c r="ED207" s="161" t="str">
        <f t="shared" si="335"/>
        <v/>
      </c>
      <c r="EE207" s="161" t="str">
        <f t="shared" si="335"/>
        <v/>
      </c>
      <c r="EF207" s="161" t="str">
        <f t="shared" si="335"/>
        <v/>
      </c>
      <c r="EG207" s="161" t="str">
        <f t="shared" si="335"/>
        <v/>
      </c>
      <c r="EH207" s="161" t="str">
        <f t="shared" si="335"/>
        <v/>
      </c>
      <c r="EI207" s="161" t="str">
        <f t="shared" si="335"/>
        <v/>
      </c>
      <c r="EJ207" s="161" t="str">
        <f t="shared" si="335"/>
        <v/>
      </c>
      <c r="EK207" s="147" t="str">
        <f t="shared" si="247"/>
        <v/>
      </c>
      <c r="EL207" s="149"/>
      <c r="EN207" s="146"/>
      <c r="EO207" s="146"/>
      <c r="EP207" s="139" t="str">
        <f t="shared" si="248"/>
        <v/>
      </c>
      <c r="EQ207" s="139" t="str">
        <f t="shared" si="249"/>
        <v/>
      </c>
      <c r="ER207" s="139" t="str">
        <f t="shared" si="250"/>
        <v/>
      </c>
      <c r="ES207" s="139" t="str">
        <f t="shared" si="251"/>
        <v/>
      </c>
      <c r="ET207" s="139" t="str">
        <f t="shared" si="252"/>
        <v/>
      </c>
      <c r="EU207" s="139" t="str">
        <f t="shared" si="253"/>
        <v/>
      </c>
      <c r="EV207" s="139" t="str">
        <f t="shared" si="254"/>
        <v/>
      </c>
      <c r="EW207" s="139" t="str">
        <f t="shared" si="255"/>
        <v/>
      </c>
      <c r="EX207" s="139" t="str">
        <f t="shared" si="256"/>
        <v/>
      </c>
      <c r="EY207" s="139" t="str">
        <f t="shared" si="257"/>
        <v/>
      </c>
      <c r="EZ207" s="139" t="str">
        <f t="shared" si="258"/>
        <v/>
      </c>
      <c r="FA207" s="139" t="str">
        <f t="shared" si="259"/>
        <v/>
      </c>
      <c r="FB207" s="139" t="str">
        <f t="shared" si="260"/>
        <v/>
      </c>
      <c r="FC207" s="139" t="str">
        <f t="shared" si="261"/>
        <v/>
      </c>
      <c r="FD207" s="139" t="str">
        <f t="shared" si="262"/>
        <v/>
      </c>
      <c r="FE207" s="139" t="str">
        <f t="shared" si="263"/>
        <v/>
      </c>
      <c r="FF207" s="139" t="str">
        <f t="shared" si="264"/>
        <v/>
      </c>
      <c r="FG207" s="139" t="str">
        <f t="shared" si="265"/>
        <v/>
      </c>
      <c r="FH207" s="139" t="str">
        <f t="shared" si="266"/>
        <v/>
      </c>
      <c r="FI207" s="139" t="str">
        <f t="shared" si="267"/>
        <v/>
      </c>
      <c r="FJ207" s="139" t="str">
        <f t="shared" si="268"/>
        <v/>
      </c>
      <c r="FK207" s="139" t="str">
        <f t="shared" si="269"/>
        <v/>
      </c>
      <c r="FL207" s="139" t="str">
        <f t="shared" si="270"/>
        <v/>
      </c>
      <c r="FM207" s="139" t="str">
        <f t="shared" si="271"/>
        <v/>
      </c>
      <c r="FN207" s="139" t="str">
        <f t="shared" si="272"/>
        <v/>
      </c>
      <c r="FO207" s="139" t="str">
        <f t="shared" si="273"/>
        <v/>
      </c>
      <c r="FP207" s="139" t="str">
        <f t="shared" si="274"/>
        <v/>
      </c>
      <c r="FQ207" s="139" t="str">
        <f t="shared" si="275"/>
        <v/>
      </c>
      <c r="FR207" s="139" t="str">
        <f t="shared" si="276"/>
        <v/>
      </c>
      <c r="FS207" s="139" t="str">
        <f t="shared" si="277"/>
        <v/>
      </c>
      <c r="FT207" s="139" t="str">
        <f t="shared" si="278"/>
        <v/>
      </c>
      <c r="FU207" s="148" t="str">
        <f t="shared" si="279"/>
        <v/>
      </c>
      <c r="FV207" s="149"/>
      <c r="FY207" s="212">
        <v>202</v>
      </c>
      <c r="FZ207">
        <v>36.935022879818497</v>
      </c>
      <c r="GA207">
        <v>79.492852647961371</v>
      </c>
      <c r="GB207">
        <v>44.857673209964361</v>
      </c>
      <c r="GC207">
        <v>17.869991719525785</v>
      </c>
      <c r="GD207">
        <v>12.467447482504976</v>
      </c>
      <c r="GE207">
        <v>16.926281526628316</v>
      </c>
      <c r="GF207">
        <v>26.180065294174963</v>
      </c>
      <c r="GG207">
        <v>22.516710265821931</v>
      </c>
      <c r="GH207">
        <v>22.618603628848412</v>
      </c>
      <c r="GI207">
        <v>32.270293564915164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817.02189378482126</v>
      </c>
      <c r="AO208">
        <v>56.330276033117364</v>
      </c>
      <c r="AP208">
        <v>82.512024299159904</v>
      </c>
      <c r="AQ208">
        <v>400.12705881761769</v>
      </c>
      <c r="AR208">
        <v>53.957272652380375</v>
      </c>
      <c r="AS208">
        <v>436.04975541137532</v>
      </c>
      <c r="AT208">
        <v>25.708704657870683</v>
      </c>
      <c r="AU208">
        <v>-0.98790731754211691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2">
        <v>203</v>
      </c>
      <c r="FZ208">
        <v>47.606627691556504</v>
      </c>
      <c r="GA208">
        <v>90.520520779050514</v>
      </c>
      <c r="GB208">
        <v>57.144526487518689</v>
      </c>
      <c r="GC208">
        <v>22.098420199159118</v>
      </c>
      <c r="GD208">
        <v>11.744991594071275</v>
      </c>
      <c r="GE208">
        <v>14.870504952821006</v>
      </c>
      <c r="GF208">
        <v>20.499834054628884</v>
      </c>
      <c r="GG208">
        <v>22.524061998152785</v>
      </c>
      <c r="GH208">
        <v>29.677150734222831</v>
      </c>
      <c r="GI208">
        <v>36.549859111111509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681.07477465361137</v>
      </c>
      <c r="AO209">
        <v>46.8566647333963</v>
      </c>
      <c r="AP209">
        <v>45.952647143015675</v>
      </c>
      <c r="AQ209">
        <v>326.68461448593746</v>
      </c>
      <c r="AR209">
        <v>46.299173492728954</v>
      </c>
      <c r="AS209">
        <v>370.19263420904292</v>
      </c>
      <c r="AT209">
        <v>24.328668610767192</v>
      </c>
      <c r="AU209">
        <v>-50.761352484147153</v>
      </c>
      <c r="AV209"/>
      <c r="AW209"/>
      <c r="FY209" s="212">
        <v>204</v>
      </c>
      <c r="FZ209">
        <v>44.887373500561409</v>
      </c>
      <c r="GA209">
        <v>118.37331349252385</v>
      </c>
      <c r="GB209">
        <v>72.012611586174913</v>
      </c>
      <c r="GC209">
        <v>24.897411256322048</v>
      </c>
      <c r="GD209">
        <v>12.977790190981832</v>
      </c>
      <c r="GE209">
        <v>12.000957821327139</v>
      </c>
      <c r="GF209">
        <v>21.019772373826449</v>
      </c>
      <c r="GG209">
        <v>20.403719703837265</v>
      </c>
      <c r="GH209">
        <v>24.097948920828909</v>
      </c>
      <c r="GI209">
        <v>39.728020890080032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814.06221717145877</v>
      </c>
      <c r="AO210">
        <v>59.513576595215945</v>
      </c>
      <c r="AP210">
        <v>84.446239446372445</v>
      </c>
      <c r="AQ210">
        <v>432.82043982017939</v>
      </c>
      <c r="AR210">
        <v>57.644999173423273</v>
      </c>
      <c r="AS210">
        <v>475.41160959482534</v>
      </c>
      <c r="AT210">
        <v>28.344461655924373</v>
      </c>
      <c r="AU210">
        <v>-73.877008212015852</v>
      </c>
      <c r="AV210"/>
      <c r="AW210"/>
      <c r="FY210" s="212">
        <v>205</v>
      </c>
      <c r="FZ210">
        <v>44.955301861053513</v>
      </c>
      <c r="GA210">
        <v>84.526578749627589</v>
      </c>
      <c r="GB210">
        <v>48.136109601368645</v>
      </c>
      <c r="GC210">
        <v>13.172910120545785</v>
      </c>
      <c r="GD210">
        <v>5.9678398340126106</v>
      </c>
      <c r="GE210">
        <v>11.396433564373522</v>
      </c>
      <c r="GF210">
        <v>29.069205900394209</v>
      </c>
      <c r="GG210">
        <v>27.494997752676461</v>
      </c>
      <c r="GH210">
        <v>18.192142216141281</v>
      </c>
      <c r="GI210">
        <v>30.396440572621447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837.74591146522141</v>
      </c>
      <c r="AO211">
        <v>58.955579255921975</v>
      </c>
      <c r="AP211">
        <v>85.552699707663066</v>
      </c>
      <c r="AQ211">
        <v>430.72535026476805</v>
      </c>
      <c r="AR211">
        <v>56.202161669961839</v>
      </c>
      <c r="AS211">
        <v>426.895802876115</v>
      </c>
      <c r="AT211">
        <v>26.924263679541212</v>
      </c>
      <c r="AU211">
        <v>-74.365348876169065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2">
        <v>206</v>
      </c>
      <c r="FZ211">
        <v>38.205160713142035</v>
      </c>
      <c r="GA211">
        <v>65.397262405638656</v>
      </c>
      <c r="GB211">
        <v>35.61579530135424</v>
      </c>
      <c r="GC211">
        <v>13.396571826179722</v>
      </c>
      <c r="GD211">
        <v>8.6699469221566865</v>
      </c>
      <c r="GE211">
        <v>14.365313990869655</v>
      </c>
      <c r="GF211">
        <v>23.530600489698699</v>
      </c>
      <c r="GG211">
        <v>21.533620329752623</v>
      </c>
      <c r="GH211">
        <v>32.136386334541818</v>
      </c>
      <c r="GI211">
        <v>28.918760361070984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883.66075343212106</v>
      </c>
      <c r="AO212">
        <v>58.758305473398082</v>
      </c>
      <c r="AP212">
        <v>84.497475442310048</v>
      </c>
      <c r="AQ212">
        <v>405.76429921038266</v>
      </c>
      <c r="AR212">
        <v>57.721992681948684</v>
      </c>
      <c r="AS212">
        <v>473.95877311330071</v>
      </c>
      <c r="AT212">
        <v>28.856540684715608</v>
      </c>
      <c r="AU212">
        <v>-19.612050455324578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6">AVERAGE(DF88:DF97)</f>
        <v>0</v>
      </c>
      <c r="DG212" s="182">
        <f t="shared" si="336"/>
        <v>11.458333333333332</v>
      </c>
      <c r="DH212" s="182">
        <f t="shared" si="336"/>
        <v>48.958333333333336</v>
      </c>
      <c r="DI212" s="182">
        <f t="shared" si="336"/>
        <v>33.333333333333336</v>
      </c>
      <c r="DJ212" s="182">
        <f t="shared" si="336"/>
        <v>39.583333333333329</v>
      </c>
      <c r="DK212" s="182">
        <f t="shared" ref="DK212:DQ212" si="337">AVERAGE(DK88:DK97)</f>
        <v>30.208333333333332</v>
      </c>
      <c r="DL212" s="182">
        <f t="shared" si="337"/>
        <v>12.499999999999998</v>
      </c>
      <c r="DM212" s="182">
        <f t="shared" si="337"/>
        <v>2.083333333333333</v>
      </c>
      <c r="DN212" s="182">
        <f t="shared" si="337"/>
        <v>0</v>
      </c>
      <c r="DO212" s="182">
        <f t="shared" si="337"/>
        <v>0</v>
      </c>
      <c r="DP212" s="182">
        <f t="shared" si="337"/>
        <v>0</v>
      </c>
      <c r="DQ212" s="182">
        <f t="shared" si="337"/>
        <v>0</v>
      </c>
      <c r="DR212" s="182">
        <f t="shared" si="336"/>
        <v>0</v>
      </c>
      <c r="DS212" s="182">
        <f t="shared" si="336"/>
        <v>0</v>
      </c>
      <c r="DT212" s="182">
        <f t="shared" si="336"/>
        <v>0</v>
      </c>
      <c r="DU212" s="182">
        <f t="shared" si="336"/>
        <v>0</v>
      </c>
      <c r="DV212" s="182">
        <f t="shared" si="336"/>
        <v>0</v>
      </c>
      <c r="DW212" s="182">
        <f t="shared" si="336"/>
        <v>0</v>
      </c>
      <c r="DX212" s="182">
        <f t="shared" si="336"/>
        <v>0</v>
      </c>
      <c r="DY212" s="182">
        <f t="shared" si="336"/>
        <v>0</v>
      </c>
      <c r="DZ212" s="182">
        <f t="shared" si="336"/>
        <v>0</v>
      </c>
      <c r="EA212" s="182">
        <f t="shared" si="336"/>
        <v>0</v>
      </c>
      <c r="EB212" s="182">
        <f t="shared" si="336"/>
        <v>0</v>
      </c>
      <c r="EC212" s="182">
        <f t="shared" si="336"/>
        <v>0</v>
      </c>
      <c r="ED212" s="182">
        <f t="shared" si="336"/>
        <v>0</v>
      </c>
      <c r="EE212" s="182">
        <f t="shared" si="336"/>
        <v>0</v>
      </c>
      <c r="EF212" s="182">
        <f t="shared" si="336"/>
        <v>0</v>
      </c>
      <c r="EG212" s="182">
        <f t="shared" si="336"/>
        <v>0</v>
      </c>
      <c r="EH212" s="182">
        <f t="shared" si="336"/>
        <v>0</v>
      </c>
      <c r="EI212" s="182">
        <f t="shared" si="336"/>
        <v>0</v>
      </c>
      <c r="EJ212" s="182">
        <f t="shared" si="336"/>
        <v>0</v>
      </c>
      <c r="FY212" s="212">
        <v>207</v>
      </c>
      <c r="FZ212">
        <v>37.404363094130588</v>
      </c>
      <c r="GA212">
        <v>140.19710267096531</v>
      </c>
      <c r="GB212">
        <v>72.808038547581376</v>
      </c>
      <c r="GC212">
        <v>16.146356225678375</v>
      </c>
      <c r="GD212">
        <v>12.121406414659253</v>
      </c>
      <c r="GE212">
        <v>14.692532996136123</v>
      </c>
      <c r="GF212">
        <v>29.22301023728464</v>
      </c>
      <c r="GG212">
        <v>30.422916949578017</v>
      </c>
      <c r="GH212">
        <v>24.983069252669392</v>
      </c>
      <c r="GI212">
        <v>40.081900538343184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730.2976666391894</v>
      </c>
      <c r="AO213">
        <v>54.37468210921547</v>
      </c>
      <c r="AP213">
        <v>76.832443811388032</v>
      </c>
      <c r="AQ213">
        <v>378.52360302385114</v>
      </c>
      <c r="AR213">
        <v>52.866646620244609</v>
      </c>
      <c r="AS213">
        <v>435.1319515711495</v>
      </c>
      <c r="AT213">
        <v>27.446785208658564</v>
      </c>
      <c r="AU213">
        <v>-21.006619899904777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2">
        <f t="shared" ref="DF213:EJ213" si="338">AVERAGE(DF98:DF107)</f>
        <v>0</v>
      </c>
      <c r="DG213" s="182">
        <f t="shared" si="338"/>
        <v>12.357026143790851</v>
      </c>
      <c r="DH213" s="182">
        <f t="shared" si="338"/>
        <v>62.919697079248365</v>
      </c>
      <c r="DI213" s="182">
        <f t="shared" si="338"/>
        <v>105.36194047619047</v>
      </c>
      <c r="DJ213" s="182">
        <f t="shared" si="338"/>
        <v>56.619625000000006</v>
      </c>
      <c r="DK213" s="182">
        <f t="shared" ref="DK213:DQ213" si="339">AVERAGE(DK98:DK107)</f>
        <v>7.2916666666666661</v>
      </c>
      <c r="DL213" s="182">
        <f t="shared" si="339"/>
        <v>2.083333333333333</v>
      </c>
      <c r="DM213" s="182">
        <f t="shared" si="339"/>
        <v>0</v>
      </c>
      <c r="DN213" s="182">
        <f t="shared" si="339"/>
        <v>0</v>
      </c>
      <c r="DO213" s="182">
        <f t="shared" si="339"/>
        <v>0</v>
      </c>
      <c r="DP213" s="185">
        <f t="shared" si="339"/>
        <v>0</v>
      </c>
      <c r="DQ213" s="185">
        <f t="shared" si="339"/>
        <v>0</v>
      </c>
      <c r="DR213" s="185">
        <f t="shared" si="338"/>
        <v>0</v>
      </c>
      <c r="DS213" s="185">
        <f t="shared" si="338"/>
        <v>0</v>
      </c>
      <c r="DT213" s="185">
        <f t="shared" si="338"/>
        <v>0</v>
      </c>
      <c r="DU213" s="185">
        <f t="shared" si="338"/>
        <v>0</v>
      </c>
      <c r="DV213" s="185">
        <f t="shared" si="338"/>
        <v>0</v>
      </c>
      <c r="DW213" s="185">
        <f t="shared" si="338"/>
        <v>0</v>
      </c>
      <c r="DX213" s="185">
        <f t="shared" si="338"/>
        <v>0</v>
      </c>
      <c r="DY213" s="185">
        <f t="shared" si="338"/>
        <v>0</v>
      </c>
      <c r="DZ213" s="185">
        <f t="shared" si="338"/>
        <v>0</v>
      </c>
      <c r="EA213" s="185">
        <f t="shared" si="338"/>
        <v>0</v>
      </c>
      <c r="EB213" s="185">
        <f t="shared" si="338"/>
        <v>0</v>
      </c>
      <c r="EC213" s="185">
        <f t="shared" si="338"/>
        <v>0</v>
      </c>
      <c r="ED213" s="185">
        <f t="shared" si="338"/>
        <v>0</v>
      </c>
      <c r="EE213" s="185">
        <f t="shared" si="338"/>
        <v>0</v>
      </c>
      <c r="EF213" s="185">
        <f t="shared" si="338"/>
        <v>0</v>
      </c>
      <c r="EG213" s="185">
        <f t="shared" si="338"/>
        <v>0</v>
      </c>
      <c r="EH213" s="185">
        <f t="shared" si="338"/>
        <v>0</v>
      </c>
      <c r="EI213" s="185">
        <f t="shared" si="338"/>
        <v>0</v>
      </c>
      <c r="EJ213" s="185">
        <f t="shared" si="338"/>
        <v>0</v>
      </c>
      <c r="FY213" s="212">
        <v>208</v>
      </c>
      <c r="FZ213">
        <v>40.038174550776915</v>
      </c>
      <c r="GA213">
        <v>77.962691545735751</v>
      </c>
      <c r="GB213">
        <v>47.579100982975277</v>
      </c>
      <c r="GC213">
        <v>22.249537032263117</v>
      </c>
      <c r="GD213">
        <v>14.527813498207339</v>
      </c>
      <c r="GE213">
        <v>13.721875359431467</v>
      </c>
      <c r="GF213">
        <v>9.1662237075250808</v>
      </c>
      <c r="GG213">
        <v>15.085024515716142</v>
      </c>
      <c r="GH213">
        <v>29.360281096902451</v>
      </c>
      <c r="GI213">
        <v>32.506297620606013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868.86039068635057</v>
      </c>
      <c r="AO214">
        <v>54.23612604171295</v>
      </c>
      <c r="AP214">
        <v>61.555715863005005</v>
      </c>
      <c r="AQ214">
        <v>376.55379595569298</v>
      </c>
      <c r="AR214">
        <v>52.865058409597331</v>
      </c>
      <c r="AS214">
        <v>433.41727788633983</v>
      </c>
      <c r="AT214">
        <v>26.322990842907824</v>
      </c>
      <c r="AU214">
        <v>-97.550125344099186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>AVERAGE(DF108:DF117)</f>
        <v>53.028393817204304</v>
      </c>
      <c r="DG214" s="182">
        <f t="shared" ref="DG214:EJ214" si="340">AVERAGE(DG108:DG117)</f>
        <v>399.27515360983097</v>
      </c>
      <c r="DH214" s="182">
        <f t="shared" si="340"/>
        <v>545.08028513824888</v>
      </c>
      <c r="DI214" s="182">
        <f t="shared" si="340"/>
        <v>132.82990111367127</v>
      </c>
      <c r="DJ214" s="182">
        <f t="shared" si="340"/>
        <v>7.2916666666666661</v>
      </c>
      <c r="DK214" s="182">
        <f t="shared" si="340"/>
        <v>33.333333333333329</v>
      </c>
      <c r="DL214" s="182">
        <f t="shared" si="340"/>
        <v>30.208333333333332</v>
      </c>
      <c r="DM214" s="182">
        <f t="shared" si="340"/>
        <v>20.833333333333332</v>
      </c>
      <c r="DN214" s="182">
        <f t="shared" si="340"/>
        <v>3.125</v>
      </c>
      <c r="DO214" s="182">
        <f t="shared" si="340"/>
        <v>3.125</v>
      </c>
      <c r="DP214" s="182">
        <f t="shared" si="340"/>
        <v>0</v>
      </c>
      <c r="DQ214" s="182">
        <f t="shared" si="340"/>
        <v>0</v>
      </c>
      <c r="DR214" s="182">
        <f t="shared" si="340"/>
        <v>0</v>
      </c>
      <c r="DS214" s="182">
        <f t="shared" si="340"/>
        <v>0</v>
      </c>
      <c r="DT214" s="182">
        <f t="shared" si="340"/>
        <v>0</v>
      </c>
      <c r="DU214" s="182">
        <f t="shared" si="340"/>
        <v>0</v>
      </c>
      <c r="DV214" s="182">
        <f t="shared" si="340"/>
        <v>0</v>
      </c>
      <c r="DW214" s="182">
        <f t="shared" si="340"/>
        <v>0</v>
      </c>
      <c r="DX214" s="182">
        <f t="shared" si="340"/>
        <v>0</v>
      </c>
      <c r="DY214" s="182">
        <f t="shared" si="340"/>
        <v>0</v>
      </c>
      <c r="DZ214" s="182">
        <f t="shared" si="340"/>
        <v>0</v>
      </c>
      <c r="EA214" s="182">
        <f t="shared" si="340"/>
        <v>0</v>
      </c>
      <c r="EB214" s="182">
        <f t="shared" si="340"/>
        <v>0</v>
      </c>
      <c r="EC214" s="182">
        <f t="shared" si="340"/>
        <v>0</v>
      </c>
      <c r="ED214" s="182">
        <f t="shared" si="340"/>
        <v>0</v>
      </c>
      <c r="EE214" s="182">
        <f t="shared" si="340"/>
        <v>0</v>
      </c>
      <c r="EF214" s="182">
        <f t="shared" si="340"/>
        <v>0</v>
      </c>
      <c r="EG214" s="182">
        <f t="shared" si="340"/>
        <v>0</v>
      </c>
      <c r="EH214" s="182">
        <f t="shared" si="340"/>
        <v>0</v>
      </c>
      <c r="EI214" s="182">
        <f t="shared" si="340"/>
        <v>0</v>
      </c>
      <c r="EJ214" s="182">
        <f t="shared" si="340"/>
        <v>0</v>
      </c>
      <c r="FY214" s="212">
        <v>209</v>
      </c>
      <c r="FZ214">
        <v>37.46123130767355</v>
      </c>
      <c r="GA214">
        <v>117.94213063492423</v>
      </c>
      <c r="GB214">
        <v>74.969495835225217</v>
      </c>
      <c r="GC214">
        <v>21.910754707339031</v>
      </c>
      <c r="GD214">
        <v>11.186371539840609</v>
      </c>
      <c r="GE214">
        <v>12.103340273178166</v>
      </c>
      <c r="GF214">
        <v>13.778719934403531</v>
      </c>
      <c r="GG214">
        <v>12.250513591062981</v>
      </c>
      <c r="GH214">
        <v>28.732749643503308</v>
      </c>
      <c r="GI214">
        <v>37.806914747752927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604.7630805189192</v>
      </c>
      <c r="AO215">
        <v>41.527849861063984</v>
      </c>
      <c r="AP215">
        <v>68.310994974393125</v>
      </c>
      <c r="AQ215">
        <v>302.4363927024603</v>
      </c>
      <c r="AR215">
        <v>40.7663786752017</v>
      </c>
      <c r="AS215">
        <v>329.60119397364696</v>
      </c>
      <c r="AT215">
        <v>21.440495397484273</v>
      </c>
      <c r="AU215">
        <v>-46.407933639631018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>AVERAGE(DF118:DF127)</f>
        <v>78.012265512265515</v>
      </c>
      <c r="DG215" s="182">
        <f t="shared" ref="DG215:DH215" si="341">AVERAGE(DG118:DG127)</f>
        <v>582.35126568691237</v>
      </c>
      <c r="DH215" s="182">
        <f t="shared" si="341"/>
        <v>666.79595492973499</v>
      </c>
      <c r="DI215" s="182">
        <f t="shared" ref="DI215:EJ215" si="342">AVERAGE(DI118:DI127)</f>
        <v>173.8688520202989</v>
      </c>
      <c r="DJ215" s="182">
        <f t="shared" si="342"/>
        <v>3.8825757575757569</v>
      </c>
      <c r="DK215" s="182">
        <f t="shared" si="342"/>
        <v>0</v>
      </c>
      <c r="DL215" s="182">
        <f t="shared" si="342"/>
        <v>2.8409090909090908</v>
      </c>
      <c r="DM215" s="182">
        <f t="shared" si="342"/>
        <v>0</v>
      </c>
      <c r="DN215" s="182">
        <f t="shared" si="342"/>
        <v>0</v>
      </c>
      <c r="DO215" s="182">
        <f t="shared" si="342"/>
        <v>0</v>
      </c>
      <c r="DP215" s="182">
        <f t="shared" si="342"/>
        <v>0</v>
      </c>
      <c r="DQ215" s="182">
        <f t="shared" si="342"/>
        <v>0</v>
      </c>
      <c r="DR215" s="182">
        <f t="shared" si="342"/>
        <v>0</v>
      </c>
      <c r="DS215" s="182">
        <f t="shared" si="342"/>
        <v>0</v>
      </c>
      <c r="DT215" s="182">
        <f t="shared" si="342"/>
        <v>0</v>
      </c>
      <c r="DU215" s="182">
        <f t="shared" si="342"/>
        <v>0</v>
      </c>
      <c r="DV215" s="182">
        <f t="shared" si="342"/>
        <v>0</v>
      </c>
      <c r="DW215" s="182">
        <f t="shared" si="342"/>
        <v>0</v>
      </c>
      <c r="DX215" s="182">
        <f t="shared" si="342"/>
        <v>0</v>
      </c>
      <c r="DY215" s="182">
        <f t="shared" si="342"/>
        <v>0</v>
      </c>
      <c r="DZ215" s="182">
        <f t="shared" si="342"/>
        <v>0</v>
      </c>
      <c r="EA215" s="182">
        <f t="shared" si="342"/>
        <v>0</v>
      </c>
      <c r="EB215" s="182">
        <f t="shared" si="342"/>
        <v>0</v>
      </c>
      <c r="EC215" s="182">
        <f t="shared" si="342"/>
        <v>0</v>
      </c>
      <c r="ED215" s="182">
        <f t="shared" si="342"/>
        <v>0</v>
      </c>
      <c r="EE215" s="182">
        <f t="shared" si="342"/>
        <v>0</v>
      </c>
      <c r="EF215" s="182">
        <f t="shared" si="342"/>
        <v>0</v>
      </c>
      <c r="EG215" s="182">
        <f t="shared" si="342"/>
        <v>0</v>
      </c>
      <c r="EH215" s="182">
        <f t="shared" si="342"/>
        <v>0</v>
      </c>
      <c r="EI215" s="182">
        <f t="shared" si="342"/>
        <v>0</v>
      </c>
      <c r="EJ215" s="182">
        <f t="shared" si="342"/>
        <v>0</v>
      </c>
      <c r="FY215" s="212">
        <v>210</v>
      </c>
      <c r="FZ215">
        <v>51.95914485780532</v>
      </c>
      <c r="GA215">
        <v>65.995143958274838</v>
      </c>
      <c r="GB215">
        <v>42.144511210608862</v>
      </c>
      <c r="GC215">
        <v>18.776873605744541</v>
      </c>
      <c r="GD215">
        <v>13.003050553351471</v>
      </c>
      <c r="GE215">
        <v>20.783141032046878</v>
      </c>
      <c r="GF215">
        <v>21.638966553621994</v>
      </c>
      <c r="GG215">
        <v>15.979286048700645</v>
      </c>
      <c r="GH215">
        <v>24.913974420827472</v>
      </c>
      <c r="GI215">
        <v>33.491606114058825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644.81942541227841</v>
      </c>
      <c r="AO216">
        <v>47.658155541220523</v>
      </c>
      <c r="AP216">
        <v>78.493355267720489</v>
      </c>
      <c r="AQ216">
        <v>337.99666943514052</v>
      </c>
      <c r="AR216">
        <v>47.86934536758271</v>
      </c>
      <c r="AS216">
        <v>381.51419477509017</v>
      </c>
      <c r="AT216">
        <v>24.746741198092625</v>
      </c>
      <c r="AU216">
        <v>-47.619404509604379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>AVERAGE(DF128:DF137)</f>
        <v>1.0416666666666665</v>
      </c>
      <c r="DG216" s="182">
        <f t="shared" ref="DG216:DH216" si="343">AVERAGE(DG128:DG137)</f>
        <v>290.29352837394083</v>
      </c>
      <c r="DH216" s="182">
        <f t="shared" si="343"/>
        <v>555.27151520007772</v>
      </c>
      <c r="DI216" s="182">
        <f t="shared" ref="DI216:EJ216" si="344">AVERAGE(DI128:DI137)</f>
        <v>123.57480381986662</v>
      </c>
      <c r="DJ216" s="182">
        <f t="shared" si="344"/>
        <v>15.136670170454545</v>
      </c>
      <c r="DK216" s="182">
        <f t="shared" si="344"/>
        <v>2.083333333333333</v>
      </c>
      <c r="DL216" s="182">
        <f t="shared" si="344"/>
        <v>0</v>
      </c>
      <c r="DM216" s="182">
        <f t="shared" si="344"/>
        <v>0</v>
      </c>
      <c r="DN216" s="182">
        <f t="shared" si="344"/>
        <v>0</v>
      </c>
      <c r="DO216" s="182">
        <f t="shared" si="344"/>
        <v>0</v>
      </c>
      <c r="DP216" s="182">
        <f t="shared" si="344"/>
        <v>0</v>
      </c>
      <c r="DQ216" s="182">
        <f t="shared" si="344"/>
        <v>0</v>
      </c>
      <c r="DR216" s="182">
        <f t="shared" si="344"/>
        <v>0</v>
      </c>
      <c r="DS216" s="182">
        <f t="shared" si="344"/>
        <v>0</v>
      </c>
      <c r="DT216" s="182">
        <f t="shared" si="344"/>
        <v>0</v>
      </c>
      <c r="DU216" s="182">
        <f t="shared" si="344"/>
        <v>0</v>
      </c>
      <c r="DV216" s="182">
        <f t="shared" si="344"/>
        <v>0</v>
      </c>
      <c r="DW216" s="182">
        <f t="shared" si="344"/>
        <v>0</v>
      </c>
      <c r="DX216" s="182">
        <f t="shared" si="344"/>
        <v>0</v>
      </c>
      <c r="DY216" s="182">
        <f t="shared" si="344"/>
        <v>0</v>
      </c>
      <c r="DZ216" s="182">
        <f t="shared" si="344"/>
        <v>0</v>
      </c>
      <c r="EA216" s="182">
        <f t="shared" si="344"/>
        <v>0</v>
      </c>
      <c r="EB216" s="182">
        <f t="shared" si="344"/>
        <v>0</v>
      </c>
      <c r="EC216" s="182">
        <f t="shared" si="344"/>
        <v>0</v>
      </c>
      <c r="ED216" s="182">
        <f t="shared" si="344"/>
        <v>0</v>
      </c>
      <c r="EE216" s="182">
        <f t="shared" si="344"/>
        <v>0</v>
      </c>
      <c r="EF216" s="182">
        <f t="shared" si="344"/>
        <v>0</v>
      </c>
      <c r="EG216" s="182">
        <f t="shared" si="344"/>
        <v>0</v>
      </c>
      <c r="EH216" s="182">
        <f t="shared" si="344"/>
        <v>0</v>
      </c>
      <c r="EI216" s="182">
        <f t="shared" si="344"/>
        <v>0</v>
      </c>
      <c r="EJ216" s="182">
        <f t="shared" si="344"/>
        <v>0</v>
      </c>
      <c r="FY216" s="212">
        <v>211</v>
      </c>
      <c r="FZ216">
        <v>42.279210414699392</v>
      </c>
      <c r="GA216">
        <v>106.07407321153623</v>
      </c>
      <c r="GB216">
        <v>52.487085674716177</v>
      </c>
      <c r="GC216">
        <v>17.039492691606025</v>
      </c>
      <c r="GD216">
        <v>9.7845304857854298</v>
      </c>
      <c r="GE216">
        <v>15.658104260201076</v>
      </c>
      <c r="GF216">
        <v>34.35364403149805</v>
      </c>
      <c r="GG216">
        <v>29.151050528035878</v>
      </c>
      <c r="GH216">
        <v>38.55250437325823</v>
      </c>
      <c r="GI216">
        <v>37.325988900948815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847.63558661833827</v>
      </c>
      <c r="AO217">
        <v>53.883793255210719</v>
      </c>
      <c r="AP217">
        <v>103.07680803235834</v>
      </c>
      <c r="AQ217">
        <v>391.2565435096825</v>
      </c>
      <c r="AR217">
        <v>52.299489433675738</v>
      </c>
      <c r="AS217">
        <v>412.21505984966041</v>
      </c>
      <c r="AT217">
        <v>25.893373243820747</v>
      </c>
      <c r="AU217">
        <v>-32.214440030130703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>AVERAGE(DF138:DF147)</f>
        <v>208.70130686307158</v>
      </c>
      <c r="DG217" s="182">
        <f t="shared" ref="DG217:DH217" si="345">AVERAGE(DG138:DG147)</f>
        <v>593.97943763752573</v>
      </c>
      <c r="DH217" s="182">
        <f t="shared" si="345"/>
        <v>287.82090524994078</v>
      </c>
      <c r="DI217" s="182">
        <f t="shared" ref="DI217:EJ217" si="346">AVERAGE(DI138:DI147)</f>
        <v>103.54199992324136</v>
      </c>
      <c r="DJ217" s="182">
        <f t="shared" si="346"/>
        <v>14.204545454545453</v>
      </c>
      <c r="DK217" s="182">
        <f t="shared" si="346"/>
        <v>2.083333333333333</v>
      </c>
      <c r="DL217" s="182">
        <f t="shared" si="346"/>
        <v>2.083333333333333</v>
      </c>
      <c r="DM217" s="182">
        <f t="shared" si="346"/>
        <v>0</v>
      </c>
      <c r="DN217" s="182">
        <f t="shared" si="346"/>
        <v>0</v>
      </c>
      <c r="DO217" s="182">
        <f t="shared" si="346"/>
        <v>0</v>
      </c>
      <c r="DP217" s="182">
        <f t="shared" si="346"/>
        <v>0</v>
      </c>
      <c r="DQ217" s="182">
        <f t="shared" si="346"/>
        <v>0</v>
      </c>
      <c r="DR217" s="182">
        <f t="shared" si="346"/>
        <v>0</v>
      </c>
      <c r="DS217" s="182">
        <f t="shared" si="346"/>
        <v>0</v>
      </c>
      <c r="DT217" s="182">
        <f t="shared" si="346"/>
        <v>0</v>
      </c>
      <c r="DU217" s="182">
        <f t="shared" si="346"/>
        <v>0</v>
      </c>
      <c r="DV217" s="182">
        <f t="shared" si="346"/>
        <v>0</v>
      </c>
      <c r="DW217" s="182">
        <f t="shared" si="346"/>
        <v>0</v>
      </c>
      <c r="DX217" s="182">
        <f t="shared" si="346"/>
        <v>0</v>
      </c>
      <c r="DY217" s="182">
        <f t="shared" si="346"/>
        <v>0</v>
      </c>
      <c r="DZ217" s="182">
        <f t="shared" si="346"/>
        <v>0</v>
      </c>
      <c r="EA217" s="182">
        <f t="shared" si="346"/>
        <v>0</v>
      </c>
      <c r="EB217" s="182">
        <f t="shared" si="346"/>
        <v>0</v>
      </c>
      <c r="EC217" s="182">
        <f t="shared" si="346"/>
        <v>0</v>
      </c>
      <c r="ED217" s="182">
        <f t="shared" si="346"/>
        <v>0</v>
      </c>
      <c r="EE217" s="182">
        <f t="shared" si="346"/>
        <v>0</v>
      </c>
      <c r="EF217" s="182">
        <f t="shared" si="346"/>
        <v>0</v>
      </c>
      <c r="EG217" s="182">
        <f t="shared" si="346"/>
        <v>0</v>
      </c>
      <c r="EH217" s="182">
        <f t="shared" si="346"/>
        <v>0</v>
      </c>
      <c r="EI217" s="182">
        <f t="shared" si="346"/>
        <v>0</v>
      </c>
      <c r="EJ217" s="182">
        <f t="shared" si="346"/>
        <v>0</v>
      </c>
      <c r="FY217" s="212">
        <v>212</v>
      </c>
      <c r="FZ217">
        <v>45.803108724023978</v>
      </c>
      <c r="GA217">
        <v>92.459477092187001</v>
      </c>
      <c r="GB217">
        <v>56.00738043512802</v>
      </c>
      <c r="GC217">
        <v>21.569097344318941</v>
      </c>
      <c r="GD217">
        <v>14.754153601331922</v>
      </c>
      <c r="GE217">
        <v>20.638580596077603</v>
      </c>
      <c r="GF217">
        <v>35.622276306242171</v>
      </c>
      <c r="GG217">
        <v>31.688556237361851</v>
      </c>
      <c r="GH217">
        <v>17.710030870729824</v>
      </c>
      <c r="GI217">
        <v>38.541120938560745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632.40153076210254</v>
      </c>
      <c r="AO218">
        <v>45.510971005547709</v>
      </c>
      <c r="AP218">
        <v>42.021576281251008</v>
      </c>
      <c r="AQ218">
        <v>312.13494222016379</v>
      </c>
      <c r="AR218">
        <v>44.400899643194997</v>
      </c>
      <c r="AS218">
        <v>368.5040971402936</v>
      </c>
      <c r="AT218">
        <v>22.976396171569036</v>
      </c>
      <c r="AU218">
        <v>-31.385737661015153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>AVERAGE(DF148:DF157)</f>
        <v>20.014880952380953</v>
      </c>
      <c r="DG218" s="182">
        <f t="shared" ref="DG218:DH218" si="347">AVERAGE(DG148:DG157)</f>
        <v>250.22631448412699</v>
      </c>
      <c r="DH218" s="182">
        <f t="shared" si="347"/>
        <v>142.14719742063491</v>
      </c>
      <c r="DI218" s="182">
        <f t="shared" ref="DI218:EJ218" si="348">AVERAGE(DI148:DI157)</f>
        <v>27.802579365079367</v>
      </c>
      <c r="DJ218" s="182">
        <f t="shared" si="348"/>
        <v>4.1666666666666661</v>
      </c>
      <c r="DK218" s="182">
        <f t="shared" si="348"/>
        <v>2.083333333333333</v>
      </c>
      <c r="DL218" s="182">
        <f t="shared" si="348"/>
        <v>1.0416666666666665</v>
      </c>
      <c r="DM218" s="182">
        <f t="shared" si="348"/>
        <v>0</v>
      </c>
      <c r="DN218" s="182">
        <f t="shared" si="348"/>
        <v>0</v>
      </c>
      <c r="DO218" s="182">
        <f t="shared" si="348"/>
        <v>0</v>
      </c>
      <c r="DP218" s="182">
        <f t="shared" si="348"/>
        <v>0</v>
      </c>
      <c r="DQ218" s="182">
        <f t="shared" si="348"/>
        <v>0</v>
      </c>
      <c r="DR218" s="182">
        <f t="shared" si="348"/>
        <v>0</v>
      </c>
      <c r="DS218" s="182">
        <f t="shared" si="348"/>
        <v>0</v>
      </c>
      <c r="DT218" s="182">
        <f t="shared" si="348"/>
        <v>0</v>
      </c>
      <c r="DU218" s="182">
        <f t="shared" si="348"/>
        <v>0</v>
      </c>
      <c r="DV218" s="182">
        <f t="shared" si="348"/>
        <v>0</v>
      </c>
      <c r="DW218" s="182">
        <f t="shared" si="348"/>
        <v>0</v>
      </c>
      <c r="DX218" s="182">
        <f t="shared" si="348"/>
        <v>0</v>
      </c>
      <c r="DY218" s="182">
        <f t="shared" si="348"/>
        <v>0</v>
      </c>
      <c r="DZ218" s="182">
        <f t="shared" si="348"/>
        <v>0</v>
      </c>
      <c r="EA218" s="182">
        <f t="shared" si="348"/>
        <v>0</v>
      </c>
      <c r="EB218" s="182">
        <f t="shared" si="348"/>
        <v>0</v>
      </c>
      <c r="EC218" s="182">
        <f t="shared" si="348"/>
        <v>0</v>
      </c>
      <c r="ED218" s="182">
        <f t="shared" si="348"/>
        <v>0</v>
      </c>
      <c r="EE218" s="182">
        <f t="shared" si="348"/>
        <v>0</v>
      </c>
      <c r="EF218" s="182">
        <f t="shared" si="348"/>
        <v>0</v>
      </c>
      <c r="EG218" s="182">
        <f t="shared" si="348"/>
        <v>0</v>
      </c>
      <c r="EH218" s="182">
        <f t="shared" si="348"/>
        <v>0</v>
      </c>
      <c r="EI218" s="182">
        <f t="shared" si="348"/>
        <v>0</v>
      </c>
      <c r="EJ218" s="182">
        <f t="shared" si="348"/>
        <v>0</v>
      </c>
      <c r="FY218" s="212">
        <v>213</v>
      </c>
      <c r="FZ218">
        <v>59.388733532835026</v>
      </c>
      <c r="GA218">
        <v>108.98180438601386</v>
      </c>
      <c r="GB218">
        <v>56.526438763700625</v>
      </c>
      <c r="GC218">
        <v>19.084858492116293</v>
      </c>
      <c r="GD218">
        <v>15.721163903207872</v>
      </c>
      <c r="GE218">
        <v>19.03308235457531</v>
      </c>
      <c r="GF218">
        <v>22.937883273448904</v>
      </c>
      <c r="GG218">
        <v>26.519791660046387</v>
      </c>
      <c r="GH218">
        <v>32.757616294051466</v>
      </c>
      <c r="GI218">
        <v>41.297190309281497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766.09865789414209</v>
      </c>
      <c r="AO219">
        <v>50.926275314095093</v>
      </c>
      <c r="AP219">
        <v>74.859200145786943</v>
      </c>
      <c r="AQ219">
        <v>353.23649760229307</v>
      </c>
      <c r="AR219">
        <v>50.371759566032075</v>
      </c>
      <c r="AS219">
        <v>403.36681782418697</v>
      </c>
      <c r="AT219">
        <v>25.728735625409204</v>
      </c>
      <c r="AU219">
        <v>-28.934553509127333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>AVERAGE(DF158:DF167)</f>
        <v>90.277777777777786</v>
      </c>
      <c r="DG219" s="182">
        <f t="shared" ref="DG219:DH219" si="349">AVERAGE(DG158:DG167)</f>
        <v>239.72446384131163</v>
      </c>
      <c r="DH219" s="182">
        <f t="shared" si="349"/>
        <v>332.6791465378422</v>
      </c>
      <c r="DI219" s="182">
        <f t="shared" ref="DI219" si="350">AVERAGE(DI158:DI167)</f>
        <v>102.71990740740739</v>
      </c>
      <c r="DJ219" s="182">
        <f t="shared" ref="DJ219:EJ219" si="351">AVERAGE(DJ158:DJ167)</f>
        <v>27.272727272727273</v>
      </c>
      <c r="DK219" s="182">
        <f t="shared" si="351"/>
        <v>4.9242424242424239</v>
      </c>
      <c r="DL219" s="182">
        <f t="shared" si="351"/>
        <v>6.875</v>
      </c>
      <c r="DM219" s="182">
        <f t="shared" si="351"/>
        <v>0</v>
      </c>
      <c r="DN219" s="182">
        <f t="shared" si="351"/>
        <v>0</v>
      </c>
      <c r="DO219" s="182">
        <f t="shared" si="351"/>
        <v>0</v>
      </c>
      <c r="DP219" s="182">
        <f t="shared" si="351"/>
        <v>0</v>
      </c>
      <c r="DQ219" s="182">
        <f t="shared" si="351"/>
        <v>0</v>
      </c>
      <c r="DR219" s="182">
        <f t="shared" si="351"/>
        <v>0</v>
      </c>
      <c r="DS219" s="182">
        <f t="shared" si="351"/>
        <v>0</v>
      </c>
      <c r="DT219" s="182">
        <f t="shared" si="351"/>
        <v>0</v>
      </c>
      <c r="DU219" s="182">
        <f t="shared" si="351"/>
        <v>0</v>
      </c>
      <c r="DV219" s="182">
        <f t="shared" si="351"/>
        <v>0</v>
      </c>
      <c r="DW219" s="182">
        <f t="shared" si="351"/>
        <v>0</v>
      </c>
      <c r="DX219" s="182">
        <f t="shared" si="351"/>
        <v>0</v>
      </c>
      <c r="DY219" s="182">
        <f t="shared" si="351"/>
        <v>0</v>
      </c>
      <c r="DZ219" s="182">
        <f t="shared" si="351"/>
        <v>0</v>
      </c>
      <c r="EA219" s="182">
        <f t="shared" si="351"/>
        <v>0</v>
      </c>
      <c r="EB219" s="182">
        <f t="shared" si="351"/>
        <v>0</v>
      </c>
      <c r="EC219" s="182">
        <f t="shared" si="351"/>
        <v>0</v>
      </c>
      <c r="ED219" s="182">
        <f t="shared" si="351"/>
        <v>0</v>
      </c>
      <c r="EE219" s="182">
        <f t="shared" si="351"/>
        <v>0</v>
      </c>
      <c r="EF219" s="182">
        <f t="shared" si="351"/>
        <v>0</v>
      </c>
      <c r="EG219" s="182">
        <f t="shared" si="351"/>
        <v>0</v>
      </c>
      <c r="EH219" s="182">
        <f t="shared" si="351"/>
        <v>0</v>
      </c>
      <c r="EI219" s="182">
        <f t="shared" si="351"/>
        <v>0</v>
      </c>
      <c r="EJ219" s="182">
        <f t="shared" si="351"/>
        <v>0</v>
      </c>
      <c r="FY219" s="212">
        <v>214</v>
      </c>
      <c r="FZ219">
        <v>55.34590142169268</v>
      </c>
      <c r="GA219">
        <v>109.21440563242662</v>
      </c>
      <c r="GB219">
        <v>56.510133266692478</v>
      </c>
      <c r="GC219">
        <v>20.329736200172739</v>
      </c>
      <c r="GD219">
        <v>15.702847841435863</v>
      </c>
      <c r="GE219">
        <v>17.380218437521748</v>
      </c>
      <c r="GF219">
        <v>13.740747649097731</v>
      </c>
      <c r="GG219">
        <v>17.913120898363964</v>
      </c>
      <c r="GH219">
        <v>26.660964463308339</v>
      </c>
      <c r="GI219">
        <v>38.105252222252908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887.90313870413445</v>
      </c>
      <c r="AO220">
        <v>55.827002532039707</v>
      </c>
      <c r="AP220">
        <v>78.7724667199208</v>
      </c>
      <c r="AQ220">
        <v>390.39891973646382</v>
      </c>
      <c r="AR220">
        <v>54.675879487789707</v>
      </c>
      <c r="AS220">
        <v>455.1322068224585</v>
      </c>
      <c r="AT220">
        <v>27.410127999181785</v>
      </c>
      <c r="AU220">
        <v>-108.61575821027179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>AVERAGE(DF168:DF177)</f>
        <v>0</v>
      </c>
      <c r="DG220" s="182">
        <f t="shared" ref="DG220:DH220" si="352">AVERAGE(DG168:DG177)</f>
        <v>33.449074074074076</v>
      </c>
      <c r="DH220" s="182">
        <f t="shared" si="352"/>
        <v>125.7980677499269</v>
      </c>
      <c r="DI220" s="182">
        <f t="shared" ref="DI220" si="353">AVERAGE(DI168:DI177)</f>
        <v>32.691210045662096</v>
      </c>
      <c r="DJ220" s="182">
        <f t="shared" ref="DJ220:EJ220" si="354">AVERAGE(DJ168:DJ177)</f>
        <v>18.749999999999996</v>
      </c>
      <c r="DK220" s="182">
        <f t="shared" si="354"/>
        <v>5.208333333333333</v>
      </c>
      <c r="DL220" s="182">
        <f t="shared" si="354"/>
        <v>5.208333333333333</v>
      </c>
      <c r="DM220" s="182">
        <f t="shared" si="354"/>
        <v>0</v>
      </c>
      <c r="DN220" s="182"/>
      <c r="DO220" s="182">
        <f t="shared" si="354"/>
        <v>0</v>
      </c>
      <c r="DP220" s="182">
        <f t="shared" si="354"/>
        <v>0</v>
      </c>
      <c r="DQ220" s="182">
        <f t="shared" si="354"/>
        <v>0</v>
      </c>
      <c r="DR220" s="182">
        <f t="shared" si="354"/>
        <v>0</v>
      </c>
      <c r="DS220" s="182">
        <f t="shared" si="354"/>
        <v>0</v>
      </c>
      <c r="DT220" s="182">
        <f t="shared" si="354"/>
        <v>0</v>
      </c>
      <c r="DU220" s="182">
        <f t="shared" si="354"/>
        <v>0</v>
      </c>
      <c r="DV220" s="182">
        <f t="shared" si="354"/>
        <v>0</v>
      </c>
      <c r="DW220" s="182">
        <f t="shared" si="354"/>
        <v>0</v>
      </c>
      <c r="DX220" s="182">
        <f t="shared" si="354"/>
        <v>0</v>
      </c>
      <c r="DY220" s="182">
        <f t="shared" si="354"/>
        <v>0</v>
      </c>
      <c r="DZ220" s="182">
        <f t="shared" si="354"/>
        <v>0</v>
      </c>
      <c r="EA220" s="182">
        <f t="shared" si="354"/>
        <v>0</v>
      </c>
      <c r="EB220" s="182">
        <f t="shared" si="354"/>
        <v>0</v>
      </c>
      <c r="EC220" s="182">
        <f t="shared" si="354"/>
        <v>0</v>
      </c>
      <c r="ED220" s="182">
        <f t="shared" si="354"/>
        <v>0</v>
      </c>
      <c r="EE220" s="182">
        <f t="shared" si="354"/>
        <v>0</v>
      </c>
      <c r="EF220" s="182">
        <f t="shared" si="354"/>
        <v>0</v>
      </c>
      <c r="EG220" s="182">
        <f t="shared" si="354"/>
        <v>0</v>
      </c>
      <c r="EH220" s="182">
        <f t="shared" si="354"/>
        <v>0</v>
      </c>
      <c r="EI220" s="182">
        <f t="shared" si="354"/>
        <v>0</v>
      </c>
      <c r="EJ220" s="182">
        <f t="shared" si="354"/>
        <v>0</v>
      </c>
      <c r="FY220" s="212">
        <v>215</v>
      </c>
      <c r="FZ220">
        <v>42.98524863432835</v>
      </c>
      <c r="GA220">
        <v>133.52024820919956</v>
      </c>
      <c r="GB220">
        <v>76.11482333201603</v>
      </c>
      <c r="GC220">
        <v>19.115889702548078</v>
      </c>
      <c r="GD220">
        <v>10.756631865776169</v>
      </c>
      <c r="GE220">
        <v>13.383874908068163</v>
      </c>
      <c r="GF220">
        <v>23.048787767666511</v>
      </c>
      <c r="GG220">
        <v>27.654050064169304</v>
      </c>
      <c r="GH220">
        <v>38.062743377936144</v>
      </c>
      <c r="GI220">
        <v>41.704350970252108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603.53552704710523</v>
      </c>
      <c r="AO221">
        <v>42.79866321842696</v>
      </c>
      <c r="AP221">
        <v>86.556879090083811</v>
      </c>
      <c r="AQ221">
        <v>313.30796017281506</v>
      </c>
      <c r="AR221">
        <v>42.001591757401911</v>
      </c>
      <c r="AS221">
        <v>323.00258639305429</v>
      </c>
      <c r="AT221">
        <v>21.326544080081753</v>
      </c>
      <c r="AU221">
        <v>5.4531964169379101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>AVERAGE(DF178:DF187)</f>
        <v>0</v>
      </c>
      <c r="DG221" s="182">
        <f t="shared" ref="DG221:DH221" si="355">AVERAGE(DG178:DG187)</f>
        <v>19.509210379308417</v>
      </c>
      <c r="DH221" s="182">
        <f t="shared" si="355"/>
        <v>73.993303446830225</v>
      </c>
      <c r="DI221" s="182">
        <f t="shared" ref="DI221" si="356">AVERAGE(DI178:DI187)</f>
        <v>80.571251477052172</v>
      </c>
      <c r="DJ221" s="182">
        <f t="shared" ref="DJ221:EJ221" si="357">AVERAGE(DJ178:DJ187)</f>
        <v>23.639759368013436</v>
      </c>
      <c r="DK221" s="182">
        <f t="shared" si="357"/>
        <v>1.0416666666666665</v>
      </c>
      <c r="DL221" s="182">
        <f t="shared" si="357"/>
        <v>8.798758865248228</v>
      </c>
      <c r="DM221" s="182">
        <f t="shared" si="357"/>
        <v>0</v>
      </c>
      <c r="DN221" s="182">
        <f t="shared" si="357"/>
        <v>0</v>
      </c>
      <c r="DO221" s="182">
        <f t="shared" si="357"/>
        <v>0</v>
      </c>
      <c r="DP221" s="182">
        <f t="shared" si="357"/>
        <v>0</v>
      </c>
      <c r="DQ221" s="182">
        <f t="shared" si="357"/>
        <v>0</v>
      </c>
      <c r="DR221" s="182">
        <f t="shared" si="357"/>
        <v>0</v>
      </c>
      <c r="DS221" s="182">
        <f t="shared" si="357"/>
        <v>0</v>
      </c>
      <c r="DT221" s="182">
        <f t="shared" si="357"/>
        <v>0</v>
      </c>
      <c r="DU221" s="182">
        <f t="shared" si="357"/>
        <v>0</v>
      </c>
      <c r="DV221" s="182">
        <f t="shared" si="357"/>
        <v>0</v>
      </c>
      <c r="DW221" s="182">
        <f t="shared" si="357"/>
        <v>0</v>
      </c>
      <c r="DX221" s="182">
        <f t="shared" si="357"/>
        <v>0</v>
      </c>
      <c r="DY221" s="182">
        <f t="shared" si="357"/>
        <v>0</v>
      </c>
      <c r="DZ221" s="182">
        <f t="shared" si="357"/>
        <v>0</v>
      </c>
      <c r="EA221" s="182">
        <f t="shared" si="357"/>
        <v>0</v>
      </c>
      <c r="EB221" s="182">
        <f t="shared" si="357"/>
        <v>0</v>
      </c>
      <c r="EC221" s="182">
        <f t="shared" si="357"/>
        <v>0</v>
      </c>
      <c r="ED221" s="182">
        <f t="shared" si="357"/>
        <v>0</v>
      </c>
      <c r="EE221" s="182">
        <f t="shared" si="357"/>
        <v>0</v>
      </c>
      <c r="EF221" s="182">
        <f t="shared" si="357"/>
        <v>0</v>
      </c>
      <c r="EG221" s="182">
        <f t="shared" si="357"/>
        <v>0</v>
      </c>
      <c r="EH221" s="182">
        <f t="shared" si="357"/>
        <v>0</v>
      </c>
      <c r="EI221" s="182">
        <f t="shared" si="357"/>
        <v>0</v>
      </c>
      <c r="EJ221" s="182">
        <f t="shared" si="357"/>
        <v>0</v>
      </c>
      <c r="FY221" s="212">
        <v>216</v>
      </c>
      <c r="FZ221">
        <v>37.050586934143062</v>
      </c>
      <c r="GA221">
        <v>123.69296207293587</v>
      </c>
      <c r="GB221">
        <v>70.27728469628812</v>
      </c>
      <c r="GC221">
        <v>19.997075126574067</v>
      </c>
      <c r="GD221">
        <v>12.497805004363814</v>
      </c>
      <c r="GE221">
        <v>14.908269539156544</v>
      </c>
      <c r="GF221">
        <v>17.103992933675439</v>
      </c>
      <c r="GG221">
        <v>13.427026705221007</v>
      </c>
      <c r="GH221">
        <v>21.050914400350816</v>
      </c>
      <c r="GI221">
        <v>36.746709705104543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565.47469897649023</v>
      </c>
      <c r="AO222">
        <v>39.454040939119089</v>
      </c>
      <c r="AP222">
        <v>49.78080097230535</v>
      </c>
      <c r="AQ222">
        <v>281.76941867440513</v>
      </c>
      <c r="AR222">
        <v>39.73785561715647</v>
      </c>
      <c r="AS222">
        <v>316.32337108982864</v>
      </c>
      <c r="AT222">
        <v>20.850599960716828</v>
      </c>
      <c r="AU222">
        <v>-18.301462358667642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2">
        <v>217</v>
      </c>
      <c r="FZ222">
        <v>42.601614886443905</v>
      </c>
      <c r="GA222">
        <v>100.34573624743258</v>
      </c>
      <c r="GB222">
        <v>51.146279403456489</v>
      </c>
      <c r="GC222">
        <v>21.859808806057739</v>
      </c>
      <c r="GD222">
        <v>13.902602896136948</v>
      </c>
      <c r="GE222">
        <v>11.462563189624284</v>
      </c>
      <c r="GF222">
        <v>32.300572267511455</v>
      </c>
      <c r="GG222">
        <v>35.807595526418858</v>
      </c>
      <c r="GH222">
        <v>18.811965355473312</v>
      </c>
      <c r="GI222">
        <v>35.976290353164231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780.8674859297879</v>
      </c>
      <c r="AO223">
        <v>57.605616517697271</v>
      </c>
      <c r="AP223">
        <v>77.850732104460391</v>
      </c>
      <c r="AQ223">
        <v>418.08069692702622</v>
      </c>
      <c r="AR223">
        <v>55.370065121371141</v>
      </c>
      <c r="AS223">
        <v>434.59415577317077</v>
      </c>
      <c r="AT223">
        <v>26.662198233877561</v>
      </c>
      <c r="AU223">
        <v>-40.943674386492802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2">
        <v>218</v>
      </c>
      <c r="FZ223">
        <v>31.099006340930405</v>
      </c>
      <c r="GA223">
        <v>116.62751884379171</v>
      </c>
      <c r="GB223">
        <v>69.889129813298453</v>
      </c>
      <c r="GC223">
        <v>22.503655836736609</v>
      </c>
      <c r="GD223">
        <v>16.176502396286693</v>
      </c>
      <c r="GE223">
        <v>22.747796490961989</v>
      </c>
      <c r="GF223">
        <v>35.100952179302901</v>
      </c>
      <c r="GG223">
        <v>34.539359789643221</v>
      </c>
      <c r="GH223">
        <v>33.505147676367507</v>
      </c>
      <c r="GI223">
        <v>43.139961892623873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698.43778206340039</v>
      </c>
      <c r="AO224">
        <v>45.163732175050093</v>
      </c>
      <c r="AP224">
        <v>58.706642693977251</v>
      </c>
      <c r="AQ224">
        <v>302.19701991013955</v>
      </c>
      <c r="AR224">
        <v>44.701640430360541</v>
      </c>
      <c r="AS224">
        <v>344.01562133321755</v>
      </c>
      <c r="AT224">
        <v>23.455524591772292</v>
      </c>
      <c r="AU224">
        <v>-64.933465530930874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2">
        <v>219</v>
      </c>
      <c r="FZ224">
        <v>36.009186634976203</v>
      </c>
      <c r="GA224">
        <v>95.908487337988859</v>
      </c>
      <c r="GB224">
        <v>58.293623765874848</v>
      </c>
      <c r="GC224">
        <v>20.243014549235166</v>
      </c>
      <c r="GD224">
        <v>9.9949475833583623</v>
      </c>
      <c r="GE224">
        <v>11.480670637073574</v>
      </c>
      <c r="GF224">
        <v>25.168988620805198</v>
      </c>
      <c r="GG224">
        <v>24.293757100440402</v>
      </c>
      <c r="GH224">
        <v>18.098308552530863</v>
      </c>
      <c r="GI224">
        <v>33.206521166027841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756.2952073058002</v>
      </c>
      <c r="AO225">
        <v>52.436350741284819</v>
      </c>
      <c r="AP225">
        <v>49.182959486716939</v>
      </c>
      <c r="AQ225">
        <v>368.14222221490354</v>
      </c>
      <c r="AR225">
        <v>52.250879335187769</v>
      </c>
      <c r="AS225">
        <v>401.82724067683171</v>
      </c>
      <c r="AT225">
        <v>25.61234143315383</v>
      </c>
      <c r="AU225">
        <v>-103.0613668935187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0.27832652043876438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2">
        <v>220</v>
      </c>
      <c r="FZ225">
        <v>35.422894300701266</v>
      </c>
      <c r="GA225">
        <v>80.95307418979047</v>
      </c>
      <c r="GB225">
        <v>51.511257298689792</v>
      </c>
      <c r="GC225">
        <v>21.100955267665782</v>
      </c>
      <c r="GD225">
        <v>10.924349419299022</v>
      </c>
      <c r="GE225">
        <v>18.455654267136158</v>
      </c>
      <c r="GF225">
        <v>33.81500705917388</v>
      </c>
      <c r="GG225">
        <v>25.557830011805315</v>
      </c>
      <c r="GH225">
        <v>20.535078904411773</v>
      </c>
      <c r="GI225">
        <v>33.8386386376392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734.13399178380848</v>
      </c>
      <c r="AO226">
        <v>45.172633190024399</v>
      </c>
      <c r="AP226">
        <v>56.543839853121156</v>
      </c>
      <c r="AQ226">
        <v>308.68569835504087</v>
      </c>
      <c r="AR226">
        <v>45.869859398984381</v>
      </c>
      <c r="AS226">
        <v>385.79305624975615</v>
      </c>
      <c r="AT226">
        <v>24.451255172954351</v>
      </c>
      <c r="AU226">
        <v>-16.73279902004041</v>
      </c>
      <c r="AV226"/>
      <c r="AW226"/>
      <c r="DE226" s="187">
        <f>DE101</f>
        <v>39673</v>
      </c>
      <c r="DF226" s="205"/>
      <c r="DG226" s="205">
        <f t="shared" ref="DG226:DG233" si="358">((DG213*$H$372)+(DH213*$I$372)+(DI213*$J$372)+(DJ213*$K$372)+(DK213*$L$372)+(DL213*$M$372)+(DM213*$N$372)+(DN213*$O$372)+(DO213*$P$372)+(DP213*$Q$372)+(DQ213*$R$372)+(DR213*$S$372)+(DS213*$T$372)+(DT213*$U$372))/SUM(DG213:DT213)</f>
        <v>0.16465437353482162</v>
      </c>
      <c r="DH226" s="205">
        <f>(LN(DG226/DG225))/(DE213-DE212)</f>
        <v>-1.944245879005433E-2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2">
        <v>221</v>
      </c>
      <c r="FZ226">
        <v>36.480234965821793</v>
      </c>
      <c r="GA226">
        <v>62.650609554670005</v>
      </c>
      <c r="GB226">
        <v>44.519535119240878</v>
      </c>
      <c r="GC226">
        <v>19.587262315932161</v>
      </c>
      <c r="GD226">
        <v>7.9869711602515725</v>
      </c>
      <c r="GE226">
        <v>12.238995128453443</v>
      </c>
      <c r="GF226">
        <v>25.897315874349669</v>
      </c>
      <c r="GG226">
        <v>15.657445039462626</v>
      </c>
      <c r="GH226">
        <v>16.561353204497372</v>
      </c>
      <c r="GI226">
        <v>28.486316611511203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819.0991957322093</v>
      </c>
      <c r="AO227">
        <v>52.188985377380433</v>
      </c>
      <c r="AP227">
        <v>100.94483981260514</v>
      </c>
      <c r="AQ227">
        <v>382.70568457228524</v>
      </c>
      <c r="AR227">
        <v>51.208899395340694</v>
      </c>
      <c r="AS227">
        <v>429.04934000104799</v>
      </c>
      <c r="AT227">
        <v>26.573296395010015</v>
      </c>
      <c r="AU227">
        <v>-47.436343966613762</v>
      </c>
      <c r="AV227"/>
      <c r="AW227"/>
      <c r="DE227" s="187">
        <f>DE111</f>
        <v>39714</v>
      </c>
      <c r="DF227" s="205"/>
      <c r="DG227" s="205">
        <f t="shared" si="358"/>
        <v>0.11671242086505938</v>
      </c>
      <c r="DH227" s="205">
        <f t="shared" ref="DH227:DH233" si="359">(LN(DG227/DG226))/(DE214-DE213)</f>
        <v>-8.393551300231469E-3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2">
        <v>222</v>
      </c>
      <c r="FZ227">
        <v>57.983790494220607</v>
      </c>
      <c r="GA227">
        <v>100.27462255242683</v>
      </c>
      <c r="GB227">
        <v>55.999622622044932</v>
      </c>
      <c r="GC227">
        <v>21.374289997606915</v>
      </c>
      <c r="GD227">
        <v>14.781722577848265</v>
      </c>
      <c r="GE227">
        <v>20.564780434821099</v>
      </c>
      <c r="GF227">
        <v>36.829725583440414</v>
      </c>
      <c r="GG227">
        <v>33.111792835206927</v>
      </c>
      <c r="GH227">
        <v>30.578488162254565</v>
      </c>
      <c r="GI227">
        <v>42.5148397820669</v>
      </c>
      <c r="GJ227"/>
      <c r="GK227"/>
      <c r="GL227"/>
      <c r="GM227"/>
    </row>
    <row r="228" spans="1:195" s="7" customFormat="1">
      <c r="A228" s="9" t="s">
        <v>60</v>
      </c>
      <c r="B228">
        <v>0.6888815510744295</v>
      </c>
      <c r="C228">
        <v>3</v>
      </c>
      <c r="D228">
        <v>39646</v>
      </c>
      <c r="E228">
        <v>0</v>
      </c>
      <c r="F228">
        <v>93.75</v>
      </c>
      <c r="G228">
        <v>83.333333333333329</v>
      </c>
      <c r="H228">
        <v>20.833333333333332</v>
      </c>
      <c r="I228">
        <v>31.25</v>
      </c>
      <c r="J228">
        <v>20.833333333333332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845.52781057306879</v>
      </c>
      <c r="AO228">
        <v>54.832327009963898</v>
      </c>
      <c r="AP228">
        <v>109.44829162726464</v>
      </c>
      <c r="AQ228">
        <v>374.7937821459621</v>
      </c>
      <c r="AR228">
        <v>52.933676350071565</v>
      </c>
      <c r="AS228">
        <v>422.36360795837425</v>
      </c>
      <c r="AT228">
        <v>27.583094254855393</v>
      </c>
      <c r="AU228">
        <v>-9.5466836567201838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8"/>
        <v>4.4212938092030252E-2</v>
      </c>
      <c r="DH228" s="205">
        <f t="shared" si="359"/>
        <v>-2.9415015288243907E-2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2">
        <v>223</v>
      </c>
      <c r="FZ228">
        <v>50.733008935297882</v>
      </c>
      <c r="GA228">
        <v>98.861178511973733</v>
      </c>
      <c r="GB228">
        <v>53.199318707901909</v>
      </c>
      <c r="GC228">
        <v>16.415752605335751</v>
      </c>
      <c r="GD228">
        <v>13.078646497278381</v>
      </c>
      <c r="GE228">
        <v>21.169852133624179</v>
      </c>
      <c r="GF228">
        <v>29.335705910186022</v>
      </c>
      <c r="GG228">
        <v>28.234369800373216</v>
      </c>
      <c r="GH228">
        <v>33.610144509940525</v>
      </c>
      <c r="GI228">
        <v>38.951711017282697</v>
      </c>
      <c r="GJ228"/>
      <c r="GK228"/>
      <c r="GL228"/>
      <c r="GM228"/>
    </row>
    <row r="229" spans="1:195" s="7" customFormat="1">
      <c r="A229" s="90"/>
      <c r="B229">
        <v>0.49720327994356439</v>
      </c>
      <c r="C229">
        <v>2</v>
      </c>
      <c r="D229">
        <v>39646</v>
      </c>
      <c r="E229">
        <v>0</v>
      </c>
      <c r="F229">
        <v>0</v>
      </c>
      <c r="G229">
        <v>145.83333333333334</v>
      </c>
      <c r="H229">
        <v>10.416666666666666</v>
      </c>
      <c r="I229">
        <v>10.416666666666666</v>
      </c>
      <c r="J229">
        <v>10.416666666666666</v>
      </c>
      <c r="K229">
        <v>10.416666666666666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801.35224906864437</v>
      </c>
      <c r="AO229">
        <v>56.769767283170722</v>
      </c>
      <c r="AP229">
        <v>61.085557528444085</v>
      </c>
      <c r="AQ229">
        <v>402.24856296927726</v>
      </c>
      <c r="AR229">
        <v>56.786791368536029</v>
      </c>
      <c r="AS229">
        <v>447.19492811707539</v>
      </c>
      <c r="AT229">
        <v>29.245318927677914</v>
      </c>
      <c r="AU229">
        <v>-60.292931871814872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8"/>
        <v>5.1598375318551812E-2</v>
      </c>
      <c r="DH229" s="205">
        <f t="shared" si="359"/>
        <v>5.516882951878503E-3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2">
        <v>224</v>
      </c>
      <c r="FZ229">
        <v>48.844245027155196</v>
      </c>
      <c r="GA229">
        <v>86.761761778632788</v>
      </c>
      <c r="GB229">
        <v>45.012695654403934</v>
      </c>
      <c r="GC229">
        <v>17.146743692748036</v>
      </c>
      <c r="GD229">
        <v>13.489596943585608</v>
      </c>
      <c r="GE229">
        <v>16.068516216098928</v>
      </c>
      <c r="GF229">
        <v>24.390531486195883</v>
      </c>
      <c r="GG229">
        <v>26.06322796120638</v>
      </c>
      <c r="GH229">
        <v>22.710458263245648</v>
      </c>
      <c r="GI229">
        <v>34.239003929969392</v>
      </c>
      <c r="GJ229"/>
      <c r="GK229"/>
      <c r="GL229"/>
      <c r="GM229"/>
    </row>
    <row r="230" spans="1:195" s="7" customFormat="1">
      <c r="A230" s="77"/>
      <c r="B230">
        <v>0.27286152892169691</v>
      </c>
      <c r="C230">
        <v>4</v>
      </c>
      <c r="D230">
        <v>39646</v>
      </c>
      <c r="E230">
        <v>0</v>
      </c>
      <c r="F230">
        <v>0</v>
      </c>
      <c r="G230">
        <v>0</v>
      </c>
      <c r="H230">
        <v>41.666666666666664</v>
      </c>
      <c r="I230">
        <v>114.58333333333333</v>
      </c>
      <c r="J230">
        <v>83.333333333333329</v>
      </c>
      <c r="K230">
        <v>41.666666666666664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824.7119174153238</v>
      </c>
      <c r="AO230">
        <v>53.057112318851502</v>
      </c>
      <c r="AP230">
        <v>58.747551884952699</v>
      </c>
      <c r="AQ230">
        <v>370.90332803296502</v>
      </c>
      <c r="AR230">
        <v>52.449830731729051</v>
      </c>
      <c r="AS230">
        <v>438.82259929342115</v>
      </c>
      <c r="AT230">
        <v>26.926899385222843</v>
      </c>
      <c r="AU230">
        <v>-96.694830391806988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8"/>
        <v>3.9265646827833491E-2</v>
      </c>
      <c r="DH230" s="205">
        <f t="shared" si="359"/>
        <v>-1.1380840659651221E-2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2">
        <v>225</v>
      </c>
      <c r="FZ230">
        <v>42.650453831772843</v>
      </c>
      <c r="GA230">
        <v>105.63396629111084</v>
      </c>
      <c r="GB230">
        <v>63.229551309982128</v>
      </c>
      <c r="GC230">
        <v>21.331978993457255</v>
      </c>
      <c r="GD230">
        <v>13.363272793913628</v>
      </c>
      <c r="GE230">
        <v>17.768301429046467</v>
      </c>
      <c r="GF230">
        <v>38.696209419486514</v>
      </c>
      <c r="GG230">
        <v>36.149340516887513</v>
      </c>
      <c r="GH230">
        <v>19.884027623156758</v>
      </c>
      <c r="GI230">
        <v>39.9724017948406</v>
      </c>
      <c r="GJ230"/>
      <c r="GK230"/>
      <c r="GL230"/>
      <c r="GM230"/>
    </row>
    <row r="231" spans="1:195" s="7" customFormat="1">
      <c r="A231" s="77"/>
      <c r="B231">
        <v>0.55618549195252864</v>
      </c>
      <c r="C231">
        <v>7</v>
      </c>
      <c r="D231">
        <v>39646</v>
      </c>
      <c r="E231">
        <v>0</v>
      </c>
      <c r="F231">
        <v>0</v>
      </c>
      <c r="G231">
        <v>62.5</v>
      </c>
      <c r="H231">
        <v>41.666666666666664</v>
      </c>
      <c r="I231">
        <v>52.083333333333336</v>
      </c>
      <c r="J231">
        <v>0</v>
      </c>
      <c r="K231">
        <v>20.833333333333332</v>
      </c>
      <c r="L231">
        <v>10.416666666666666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863.92586327347055</v>
      </c>
      <c r="AO231">
        <v>58.163837265976632</v>
      </c>
      <c r="AP231">
        <v>83.370655671291402</v>
      </c>
      <c r="AQ231">
        <v>426.34664883196047</v>
      </c>
      <c r="AR231">
        <v>57.243763326107128</v>
      </c>
      <c r="AS231">
        <v>473.99994992568708</v>
      </c>
      <c r="AT231">
        <v>29.182544610003276</v>
      </c>
      <c r="AU231">
        <v>-76.562074412226323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58"/>
        <v>3.6592381658111288E-2</v>
      </c>
      <c r="DH231" s="205">
        <f t="shared" si="359"/>
        <v>-1.4689571408860499E-3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2">
        <v>226</v>
      </c>
      <c r="FZ231">
        <v>48.41492194303116</v>
      </c>
      <c r="GA231">
        <v>83.186845384186498</v>
      </c>
      <c r="GB231">
        <v>39.706308921358954</v>
      </c>
      <c r="GC231">
        <v>15.991004500177201</v>
      </c>
      <c r="GD231">
        <v>15.066031091483385</v>
      </c>
      <c r="GE231">
        <v>18.824261809241094</v>
      </c>
      <c r="GF231">
        <v>25.689097053272135</v>
      </c>
      <c r="GG231">
        <v>24.639483461025243</v>
      </c>
      <c r="GH231">
        <v>26.45393484164363</v>
      </c>
      <c r="GI231">
        <v>34.695033964033492</v>
      </c>
      <c r="GJ231"/>
      <c r="GK231"/>
      <c r="GL231"/>
      <c r="GM231"/>
    </row>
    <row r="232" spans="1:195" s="7" customFormat="1">
      <c r="A232" s="77"/>
      <c r="B232">
        <v>0.1603301197469682</v>
      </c>
      <c r="C232">
        <v>8</v>
      </c>
      <c r="D232">
        <v>39646</v>
      </c>
      <c r="E232">
        <v>0</v>
      </c>
      <c r="F232">
        <v>0</v>
      </c>
      <c r="G232">
        <v>20.833333333333332</v>
      </c>
      <c r="H232">
        <v>52.083333333333336</v>
      </c>
      <c r="I232">
        <v>0</v>
      </c>
      <c r="J232">
        <v>10.416666666666666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753.09914695756356</v>
      </c>
      <c r="AO232">
        <v>52.077566949326659</v>
      </c>
      <c r="AP232">
        <v>49.534221349173308</v>
      </c>
      <c r="AQ232">
        <v>366.75262711781329</v>
      </c>
      <c r="AR232">
        <v>50.688584572990401</v>
      </c>
      <c r="AS232">
        <v>409.71026693739293</v>
      </c>
      <c r="AT232">
        <v>25.006269207979326</v>
      </c>
      <c r="AU232">
        <v>-90.095123561678605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8"/>
        <v>6.8090959525750061E-2</v>
      </c>
      <c r="DH232" s="205">
        <f t="shared" si="359"/>
        <v>9.8572124459379434E-3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2">
        <v>227</v>
      </c>
      <c r="FZ232">
        <v>36.456790408704386</v>
      </c>
      <c r="GA232">
        <v>79.081871615390327</v>
      </c>
      <c r="GB232">
        <v>52.305654410682536</v>
      </c>
      <c r="GC232">
        <v>20.435850296749255</v>
      </c>
      <c r="GD232">
        <v>9.8138235229004458</v>
      </c>
      <c r="GE232">
        <v>11.438445904785585</v>
      </c>
      <c r="GF232">
        <v>39.200309264095644</v>
      </c>
      <c r="GG232">
        <v>40.366647394765472</v>
      </c>
      <c r="GH232">
        <v>20.622341199542944</v>
      </c>
      <c r="GI232">
        <v>34.493392134519695</v>
      </c>
      <c r="GJ232"/>
      <c r="GK232"/>
      <c r="GL232"/>
      <c r="GM232"/>
    </row>
    <row r="233" spans="1:195" s="7" customFormat="1">
      <c r="A233" s="77"/>
      <c r="B233">
        <v>0.95703548950654604</v>
      </c>
      <c r="C233">
        <v>1</v>
      </c>
      <c r="D233">
        <v>39646</v>
      </c>
      <c r="E233">
        <v>0</v>
      </c>
      <c r="F233">
        <v>0</v>
      </c>
      <c r="G233">
        <v>62.5</v>
      </c>
      <c r="H233">
        <v>72.916666666666671</v>
      </c>
      <c r="I233">
        <v>72.916666666666671</v>
      </c>
      <c r="J233">
        <v>52.083333333333336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748.44844499256828</v>
      </c>
      <c r="AO233">
        <v>52.339083985476989</v>
      </c>
      <c r="AP233">
        <v>67.554518906531641</v>
      </c>
      <c r="AQ233">
        <v>364.21502893171987</v>
      </c>
      <c r="AR233">
        <v>49.453578878612383</v>
      </c>
      <c r="AS233">
        <v>421.18184104026807</v>
      </c>
      <c r="AT233">
        <v>25.418336916511535</v>
      </c>
      <c r="AU233">
        <v>-30.99182035711484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8"/>
        <v>0.10783676717317593</v>
      </c>
      <c r="DH233" s="205">
        <f t="shared" si="359"/>
        <v>1.1789082494972502E-2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2">
        <v>228</v>
      </c>
      <c r="FZ233">
        <v>54.003052431518562</v>
      </c>
      <c r="GA233">
        <v>71.935938137540688</v>
      </c>
      <c r="GB233">
        <v>39.646193889975905</v>
      </c>
      <c r="GC233">
        <v>17.287377779008644</v>
      </c>
      <c r="GD233">
        <v>11.678034092507982</v>
      </c>
      <c r="GE233">
        <v>14.204871715010507</v>
      </c>
      <c r="GF233">
        <v>23.938310683145428</v>
      </c>
      <c r="GG233">
        <v>24.942358882336709</v>
      </c>
      <c r="GH233">
        <v>22.676239948458367</v>
      </c>
      <c r="GI233">
        <v>32.633772678467103</v>
      </c>
      <c r="GJ233"/>
      <c r="GK233"/>
      <c r="GL233"/>
      <c r="GM233"/>
    </row>
    <row r="234" spans="1:195" s="7" customFormat="1">
      <c r="A234" s="77"/>
      <c r="B234">
        <v>0.86861812640938396</v>
      </c>
      <c r="C234">
        <v>8</v>
      </c>
      <c r="D234">
        <v>39646</v>
      </c>
      <c r="E234">
        <v>0</v>
      </c>
      <c r="F234">
        <v>0</v>
      </c>
      <c r="G234">
        <v>20.833333333333332</v>
      </c>
      <c r="H234">
        <v>52.083333333333336</v>
      </c>
      <c r="I234">
        <v>0</v>
      </c>
      <c r="J234">
        <v>10.416666666666666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961.36863368887657</v>
      </c>
      <c r="AO234">
        <v>62.010170860632989</v>
      </c>
      <c r="AP234">
        <v>110.21000543386799</v>
      </c>
      <c r="AQ234">
        <v>425.32903125994341</v>
      </c>
      <c r="AR234">
        <v>59.448546040309374</v>
      </c>
      <c r="AS234">
        <v>519.03615511649252</v>
      </c>
      <c r="AT234">
        <v>28.950409619903823</v>
      </c>
      <c r="AU234">
        <v>-104.65217693924853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>((DG221*$H$372)+(DH221*$I$372)+(DI221*$J$372)+(DJ221*$K$372)+(DK221*$L$372)+(DL221*$M$372)+(DM221*$N$372)+(DN221*$O$372)+(DO221*$P$372)+(DP221*$Q$372)+(DQ221*$R$372)+(DR221*$S$372)+(DS221*$T$372)+(DT221*$U$372))/SUM(DG221:DT221)</f>
        <v>0.14639642002260445</v>
      </c>
      <c r="DH234" s="205">
        <f>(LN(DG234/DG233))/(DE221-DE220)</f>
        <v>8.0447231344634249E-3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2">
        <v>229</v>
      </c>
      <c r="FZ234">
        <v>50.629680869095438</v>
      </c>
      <c r="GA234">
        <v>74.923898740319501</v>
      </c>
      <c r="GB234">
        <v>48.911744144263558</v>
      </c>
      <c r="GC234">
        <v>15.838560365030911</v>
      </c>
      <c r="GD234">
        <v>9.9680505787743297</v>
      </c>
      <c r="GE234">
        <v>13.557128257815899</v>
      </c>
      <c r="GF234">
        <v>23.153020208182006</v>
      </c>
      <c r="GG234">
        <v>26.548681849546782</v>
      </c>
      <c r="GH234">
        <v>24.090801488861299</v>
      </c>
      <c r="GI234">
        <v>33.512460650147652</v>
      </c>
      <c r="GJ234"/>
      <c r="GK234"/>
      <c r="GL234"/>
      <c r="GM234"/>
    </row>
    <row r="235" spans="1:195" s="7" customFormat="1">
      <c r="A235" s="77"/>
      <c r="B235">
        <v>0.65367108243372418</v>
      </c>
      <c r="C235">
        <v>2</v>
      </c>
      <c r="D235">
        <v>39646</v>
      </c>
      <c r="E235">
        <v>0</v>
      </c>
      <c r="F235">
        <v>0</v>
      </c>
      <c r="G235">
        <v>145.83333333333334</v>
      </c>
      <c r="H235">
        <v>10.416666666666666</v>
      </c>
      <c r="I235">
        <v>10.416666666666666</v>
      </c>
      <c r="J235">
        <v>10.416666666666666</v>
      </c>
      <c r="K235">
        <v>10.416666666666666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715.83546123424048</v>
      </c>
      <c r="AO235">
        <v>47.732066613315752</v>
      </c>
      <c r="AP235">
        <v>69.322718131090411</v>
      </c>
      <c r="AQ235">
        <v>332.69750594831135</v>
      </c>
      <c r="AR235">
        <v>45.789770244922742</v>
      </c>
      <c r="AS235">
        <v>373.41271029690677</v>
      </c>
      <c r="AT235">
        <v>23.223461314522822</v>
      </c>
      <c r="AU235">
        <v>-49.23820022721749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E235" s="187">
        <v>40011</v>
      </c>
      <c r="DF235" s="205"/>
      <c r="DG235" s="205" t="e">
        <f>((DG222*$H$372)+(DH222*$I$372)+(DI222*$J$372)+(DJ222*$K$372)+(DK222*$L$372)+(DL222*$M$372)+(DM222*$N$372)+(DN222*$O$372)+(DO222*$P$372)+(DP222*$Q$372)+(DQ222*$R$372)+(DR222*$S$372)+(DS222*$T$372)+(DT222*$U$372))/SUM(DG222:DT222)</f>
        <v>#DIV/0!</v>
      </c>
      <c r="DH235" s="205">
        <f>(LN(DG225/DG234))/(DE222-DE221)</f>
        <v>-1.6067142085851382E-5</v>
      </c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2">
        <v>230</v>
      </c>
      <c r="FZ235">
        <v>45.730940984018474</v>
      </c>
      <c r="GA235">
        <v>103.77693060449722</v>
      </c>
      <c r="GB235">
        <v>55.27216237953138</v>
      </c>
      <c r="GC235">
        <v>21.712516181994811</v>
      </c>
      <c r="GD235">
        <v>13.558892291354356</v>
      </c>
      <c r="GE235">
        <v>11.885725020388286</v>
      </c>
      <c r="GF235">
        <v>17.005668597401524</v>
      </c>
      <c r="GG235">
        <v>22.470086625277261</v>
      </c>
      <c r="GH235">
        <v>27.399293675215429</v>
      </c>
      <c r="GI235">
        <v>35.846711318962896</v>
      </c>
      <c r="GJ235"/>
      <c r="GK235"/>
      <c r="GL235"/>
      <c r="GM235"/>
    </row>
    <row r="236" spans="1:195" s="7" customFormat="1">
      <c r="A236" s="77"/>
      <c r="B236">
        <v>0.36576004402058437</v>
      </c>
      <c r="C236">
        <v>9</v>
      </c>
      <c r="D236">
        <v>39646</v>
      </c>
      <c r="E236">
        <v>0</v>
      </c>
      <c r="F236">
        <v>0</v>
      </c>
      <c r="G236">
        <v>10.416666666666666</v>
      </c>
      <c r="H236">
        <v>0</v>
      </c>
      <c r="I236">
        <v>0</v>
      </c>
      <c r="J236">
        <v>20.833333333333332</v>
      </c>
      <c r="K236">
        <v>20.833333333333332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765.55431433309263</v>
      </c>
      <c r="AO236">
        <v>48.578282406685567</v>
      </c>
      <c r="AP236">
        <v>87.167383959534135</v>
      </c>
      <c r="AQ236">
        <v>332.11473935631267</v>
      </c>
      <c r="AR236">
        <v>46.493390649496646</v>
      </c>
      <c r="AS236">
        <v>382.50658824039976</v>
      </c>
      <c r="AT236">
        <v>23.697842386734788</v>
      </c>
      <c r="AU236">
        <v>-11.234897809490292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2">
        <v>231</v>
      </c>
      <c r="FZ236">
        <v>45.783066098331155</v>
      </c>
      <c r="GA236">
        <v>115.29297065624741</v>
      </c>
      <c r="GB236">
        <v>60.678240280130069</v>
      </c>
      <c r="GC236">
        <v>15.999611881243196</v>
      </c>
      <c r="GD236">
        <v>10.219330804651451</v>
      </c>
      <c r="GE236">
        <v>15.890526709908734</v>
      </c>
      <c r="GF236">
        <v>31.989161136926565</v>
      </c>
      <c r="GG236">
        <v>26.817268344392506</v>
      </c>
      <c r="GH236">
        <v>15.136541394225812</v>
      </c>
      <c r="GI236">
        <v>36.090255404795947</v>
      </c>
      <c r="GJ236"/>
      <c r="GK236"/>
      <c r="GL236"/>
      <c r="GM236"/>
    </row>
    <row r="237" spans="1:195" s="7" customFormat="1">
      <c r="A237" s="77"/>
      <c r="B237">
        <v>0.96189963639608944</v>
      </c>
      <c r="C237">
        <v>5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622.68863500452665</v>
      </c>
      <c r="AO237">
        <v>39.541927998673948</v>
      </c>
      <c r="AP237">
        <v>69.342016760984748</v>
      </c>
      <c r="AQ237">
        <v>270.06603897419075</v>
      </c>
      <c r="AR237">
        <v>39.248218177229667</v>
      </c>
      <c r="AS237">
        <v>319.03785212335208</v>
      </c>
      <c r="AT237">
        <v>20.06951812470826</v>
      </c>
      <c r="AU237">
        <v>-27.396519110781583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2">
        <v>232</v>
      </c>
      <c r="FZ237">
        <v>37.388377459894613</v>
      </c>
      <c r="GA237">
        <v>119.46934749872955</v>
      </c>
      <c r="GB237">
        <v>59.520808208281238</v>
      </c>
      <c r="GC237">
        <v>13.683865597968797</v>
      </c>
      <c r="GD237">
        <v>9.1538202185274429</v>
      </c>
      <c r="GE237">
        <v>8.0966983610342691</v>
      </c>
      <c r="GF237">
        <v>10.184451446485189</v>
      </c>
      <c r="GG237">
        <v>21.229396403702218</v>
      </c>
      <c r="GH237">
        <v>28.589298562017543</v>
      </c>
      <c r="GI237">
        <v>32.040513412634141</v>
      </c>
      <c r="GJ237"/>
      <c r="GK237"/>
      <c r="GL237"/>
      <c r="GM237"/>
    </row>
    <row r="238" spans="1:195" s="7" customFormat="1">
      <c r="A238" s="77"/>
      <c r="B238">
        <v>0.23911632875886757</v>
      </c>
      <c r="C238">
        <v>6</v>
      </c>
      <c r="D238">
        <v>39673</v>
      </c>
      <c r="E238">
        <v>0</v>
      </c>
      <c r="F238">
        <v>0</v>
      </c>
      <c r="G238">
        <v>10.416666666666666</v>
      </c>
      <c r="H238">
        <v>0</v>
      </c>
      <c r="I238">
        <v>10.416666666666666</v>
      </c>
      <c r="J238">
        <v>0</v>
      </c>
      <c r="K238">
        <v>10.416666666666666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969.86406048105641</v>
      </c>
      <c r="AO238">
        <v>58.64173535041779</v>
      </c>
      <c r="AP238">
        <v>78.026431898080546</v>
      </c>
      <c r="AQ238">
        <v>414.0136750419374</v>
      </c>
      <c r="AR238">
        <v>58.165214180676223</v>
      </c>
      <c r="AS238">
        <v>527.88069699546486</v>
      </c>
      <c r="AT238">
        <v>31.143776955871818</v>
      </c>
      <c r="AU238">
        <v>-68.651527020268375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2">
        <v>233</v>
      </c>
      <c r="FZ238">
        <v>39.686232675368032</v>
      </c>
      <c r="GA238">
        <v>64.465169118843306</v>
      </c>
      <c r="GB238">
        <v>39.972482653407461</v>
      </c>
      <c r="GC238">
        <v>17.625687151963326</v>
      </c>
      <c r="GD238">
        <v>11.866706137073807</v>
      </c>
      <c r="GE238">
        <v>17.238941873089438</v>
      </c>
      <c r="GF238">
        <v>40.565592596149408</v>
      </c>
      <c r="GG238">
        <v>37.296853396640209</v>
      </c>
      <c r="GH238">
        <v>19.323727761287355</v>
      </c>
      <c r="GI238">
        <v>33.081276160822881</v>
      </c>
      <c r="GJ238"/>
      <c r="GK238"/>
      <c r="GL238"/>
      <c r="GM238"/>
    </row>
    <row r="239" spans="1:195" s="7" customFormat="1">
      <c r="A239" s="77" t="s">
        <v>61</v>
      </c>
      <c r="B239">
        <v>0.70335232495329203</v>
      </c>
      <c r="C239">
        <v>8</v>
      </c>
      <c r="D239">
        <v>39673</v>
      </c>
      <c r="E239">
        <v>0</v>
      </c>
      <c r="F239">
        <v>41.666666666666664</v>
      </c>
      <c r="G239">
        <v>413.30644791666668</v>
      </c>
      <c r="H239">
        <v>305.10750000000002</v>
      </c>
      <c r="I239">
        <v>159.94624999999999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807.90464796102458</v>
      </c>
      <c r="AO239">
        <v>53.788826165771205</v>
      </c>
      <c r="AP239">
        <v>71.256252079331688</v>
      </c>
      <c r="AQ239">
        <v>383.58968862919431</v>
      </c>
      <c r="AR239">
        <v>53.544043110075258</v>
      </c>
      <c r="AS239">
        <v>411.57178479876808</v>
      </c>
      <c r="AT239">
        <v>27.596580736533259</v>
      </c>
      <c r="AU239">
        <v>-57.740166496833986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2">
        <v>234</v>
      </c>
      <c r="FZ239">
        <v>40.221430555800744</v>
      </c>
      <c r="GA239">
        <v>82.554949444431585</v>
      </c>
      <c r="GB239">
        <v>48.67313366827112</v>
      </c>
      <c r="GC239">
        <v>18.715909379887282</v>
      </c>
      <c r="GD239">
        <v>11.049982182046119</v>
      </c>
      <c r="GE239">
        <v>13.862075952927579</v>
      </c>
      <c r="GF239">
        <v>17.477985707315227</v>
      </c>
      <c r="GG239">
        <v>18.946532162772627</v>
      </c>
      <c r="GH239">
        <v>25.719936703121377</v>
      </c>
      <c r="GI239">
        <v>31.697429830792586</v>
      </c>
      <c r="GJ239"/>
      <c r="GK239"/>
      <c r="GL239"/>
      <c r="GM239"/>
    </row>
    <row r="240" spans="1:195" s="7" customFormat="1">
      <c r="A240" s="77" t="s">
        <v>62</v>
      </c>
      <c r="B240">
        <v>0.20362560978377875</v>
      </c>
      <c r="C240">
        <v>4</v>
      </c>
      <c r="D240">
        <v>39673</v>
      </c>
      <c r="E240">
        <v>0</v>
      </c>
      <c r="F240">
        <v>0</v>
      </c>
      <c r="G240">
        <v>0</v>
      </c>
      <c r="H240">
        <v>20.833333333333332</v>
      </c>
      <c r="I240">
        <v>20.833333333333332</v>
      </c>
      <c r="J240">
        <v>20.833333333333332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740.19347248217537</v>
      </c>
      <c r="AO240">
        <v>47.715134004603819</v>
      </c>
      <c r="AP240">
        <v>80.184201849673855</v>
      </c>
      <c r="AQ240">
        <v>334.72678095324176</v>
      </c>
      <c r="AR240">
        <v>47.01731296198399</v>
      </c>
      <c r="AS240">
        <v>400.47405923018795</v>
      </c>
      <c r="AT240">
        <v>25.049376312581227</v>
      </c>
      <c r="AU240">
        <v>-6.1337879946065925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11.458333333333332</v>
      </c>
      <c r="DH240" s="182">
        <v>48.958333333333336</v>
      </c>
      <c r="DI240" s="182">
        <v>33.333333333333336</v>
      </c>
      <c r="DJ240" s="182">
        <v>39.583333333333329</v>
      </c>
      <c r="DK240" s="182">
        <v>30.208333333333332</v>
      </c>
      <c r="DL240" s="182">
        <v>12.499999999999998</v>
      </c>
      <c r="DM240" s="182">
        <v>2.083333333333333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2">
        <v>235</v>
      </c>
      <c r="FZ240">
        <v>56.255665062841828</v>
      </c>
      <c r="GA240">
        <v>118.58146308246147</v>
      </c>
      <c r="GB240">
        <v>61.023045056912046</v>
      </c>
      <c r="GC240">
        <v>17.149332748148812</v>
      </c>
      <c r="GD240">
        <v>13.034577508911955</v>
      </c>
      <c r="GE240">
        <v>20.948082992548759</v>
      </c>
      <c r="GF240">
        <v>33.270767824884224</v>
      </c>
      <c r="GG240">
        <v>31.667810093105007</v>
      </c>
      <c r="GH240">
        <v>30.384275586764847</v>
      </c>
      <c r="GI240">
        <v>41.974097076520927</v>
      </c>
      <c r="GJ240"/>
      <c r="GK240"/>
      <c r="GL240"/>
      <c r="GM240"/>
    </row>
    <row r="241" spans="1:195" s="7" customFormat="1">
      <c r="A241" s="77"/>
      <c r="B241">
        <v>0.79880230621745252</v>
      </c>
      <c r="C241">
        <v>3</v>
      </c>
      <c r="D241">
        <v>39673</v>
      </c>
      <c r="E241">
        <v>0</v>
      </c>
      <c r="F241">
        <v>71.486928104575156</v>
      </c>
      <c r="G241">
        <v>142.97385620915031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922.770333385208</v>
      </c>
      <c r="AO241">
        <v>57.057153374660878</v>
      </c>
      <c r="AP241">
        <v>119.07806466360975</v>
      </c>
      <c r="AQ241">
        <v>398.67950400365459</v>
      </c>
      <c r="AR241">
        <v>54.797159225723121</v>
      </c>
      <c r="AS241">
        <v>466.71880910218005</v>
      </c>
      <c r="AT241">
        <v>29.194650687891283</v>
      </c>
      <c r="AU241">
        <v>-50.041872932149047</v>
      </c>
      <c r="AV241"/>
      <c r="AW241"/>
      <c r="DE241" s="187">
        <v>39673</v>
      </c>
      <c r="DF241" s="182">
        <v>0</v>
      </c>
      <c r="DG241" s="182">
        <v>12.357026143790851</v>
      </c>
      <c r="DH241" s="182">
        <v>62.919697079248365</v>
      </c>
      <c r="DI241" s="182">
        <v>105.36194047619047</v>
      </c>
      <c r="DJ241" s="182">
        <v>56.619625000000006</v>
      </c>
      <c r="DK241" s="182">
        <v>7.2916666666666661</v>
      </c>
      <c r="DL241" s="182">
        <v>2.083333333333333</v>
      </c>
      <c r="DM241" s="182">
        <v>0</v>
      </c>
      <c r="DN241" s="182">
        <v>0</v>
      </c>
      <c r="DO241" s="182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2">
        <v>236</v>
      </c>
      <c r="FZ241">
        <v>70.515998226858514</v>
      </c>
      <c r="GA241">
        <v>95.057563472367306</v>
      </c>
      <c r="GB241">
        <v>51.428803489053422</v>
      </c>
      <c r="GC241">
        <v>25.090668154911157</v>
      </c>
      <c r="GD241">
        <v>14.041380536775518</v>
      </c>
      <c r="GE241">
        <v>14.320572382297367</v>
      </c>
      <c r="GF241">
        <v>15.056272222779173</v>
      </c>
      <c r="GG241">
        <v>13.453990909282712</v>
      </c>
      <c r="GH241">
        <v>25.408550158808328</v>
      </c>
      <c r="GI241">
        <v>38.203543757008077</v>
      </c>
      <c r="GJ241"/>
      <c r="GK241"/>
      <c r="GL241"/>
      <c r="GM241"/>
    </row>
    <row r="242" spans="1:195" s="7" customFormat="1">
      <c r="A242" s="1"/>
      <c r="B242">
        <v>0.16950182203580777</v>
      </c>
      <c r="C242">
        <v>8</v>
      </c>
      <c r="D242">
        <v>39673</v>
      </c>
      <c r="E242">
        <v>0</v>
      </c>
      <c r="F242">
        <v>41.666666666666664</v>
      </c>
      <c r="G242">
        <v>413.30644791666668</v>
      </c>
      <c r="H242">
        <v>305.10750000000002</v>
      </c>
      <c r="I242">
        <v>159.94624999999999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645.5134365415978</v>
      </c>
      <c r="AO242">
        <v>47.908164403836068</v>
      </c>
      <c r="AP242">
        <v>51.493035693283453</v>
      </c>
      <c r="AQ242">
        <v>332.66692296945274</v>
      </c>
      <c r="AR242">
        <v>47.745255089137608</v>
      </c>
      <c r="AS242">
        <v>375.95254807158045</v>
      </c>
      <c r="AT242">
        <v>25.029949906826484</v>
      </c>
      <c r="AU242">
        <v>-34.813551973780093</v>
      </c>
      <c r="AV242"/>
      <c r="AW242"/>
      <c r="BI242" s="162"/>
      <c r="DE242" s="187">
        <v>39714</v>
      </c>
      <c r="DF242" s="182">
        <v>53.028393817204304</v>
      </c>
      <c r="DG242" s="182">
        <v>399.27515360983097</v>
      </c>
      <c r="DH242" s="182">
        <v>545.08028513824888</v>
      </c>
      <c r="DI242" s="182">
        <v>132.82990111367127</v>
      </c>
      <c r="DJ242" s="182">
        <v>7.2916666666666661</v>
      </c>
      <c r="DK242" s="182">
        <v>33.333333333333329</v>
      </c>
      <c r="DL242" s="182">
        <v>30.208333333333332</v>
      </c>
      <c r="DM242" s="182">
        <v>20.833333333333332</v>
      </c>
      <c r="DN242" s="182">
        <v>3.125</v>
      </c>
      <c r="DO242" s="182">
        <v>3.125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2">
        <v>237</v>
      </c>
      <c r="FZ242">
        <v>43.009957793825926</v>
      </c>
      <c r="GA242">
        <v>124.26805801127533</v>
      </c>
      <c r="GB242">
        <v>75.582240691402603</v>
      </c>
      <c r="GC242">
        <v>21.722344717449822</v>
      </c>
      <c r="GD242">
        <v>13.109919321072699</v>
      </c>
      <c r="GE242">
        <v>21.338383153307966</v>
      </c>
      <c r="GF242">
        <v>42.950197471047531</v>
      </c>
      <c r="GG242">
        <v>39.629772542274473</v>
      </c>
      <c r="GH242">
        <v>28.300215618936189</v>
      </c>
      <c r="GI242">
        <v>45.108769526118067</v>
      </c>
      <c r="GJ242"/>
      <c r="GK242"/>
      <c r="GL242"/>
      <c r="GM242"/>
    </row>
    <row r="243" spans="1:195" s="7" customFormat="1">
      <c r="A243" s="1"/>
      <c r="B243">
        <v>0.77080504965944852</v>
      </c>
      <c r="C243">
        <v>8</v>
      </c>
      <c r="D243">
        <v>39673</v>
      </c>
      <c r="E243">
        <v>0</v>
      </c>
      <c r="F243">
        <v>41.666666666666664</v>
      </c>
      <c r="G243">
        <v>413.30644791666668</v>
      </c>
      <c r="H243">
        <v>305.10750000000002</v>
      </c>
      <c r="I243">
        <v>159.94624999999999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812.03187284670196</v>
      </c>
      <c r="AO243">
        <v>49.351850675061954</v>
      </c>
      <c r="AP243">
        <v>92.924981272122224</v>
      </c>
      <c r="AQ243">
        <v>344.21512615213635</v>
      </c>
      <c r="AR243">
        <v>47.27729396550383</v>
      </c>
      <c r="AS243">
        <v>425.81224094736001</v>
      </c>
      <c r="AT243">
        <v>24.227929557094654</v>
      </c>
      <c r="AU243">
        <v>-7.6186037448865918</v>
      </c>
      <c r="AV243"/>
      <c r="AW243"/>
      <c r="DE243" s="187">
        <v>39747</v>
      </c>
      <c r="DF243" s="182">
        <v>78.012265512265515</v>
      </c>
      <c r="DG243" s="182">
        <v>582.35126568691237</v>
      </c>
      <c r="DH243" s="182">
        <v>666.79595492973499</v>
      </c>
      <c r="DI243" s="182">
        <v>173.8688520202989</v>
      </c>
      <c r="DJ243" s="182">
        <v>3.8825757575757569</v>
      </c>
      <c r="DK243" s="182">
        <v>0</v>
      </c>
      <c r="DL243" s="182">
        <v>2.8409090909090908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2">
        <v>238</v>
      </c>
      <c r="FZ243">
        <v>28.739338795442983</v>
      </c>
      <c r="GA243">
        <v>89.536982591875557</v>
      </c>
      <c r="GB243">
        <v>52.810544089526488</v>
      </c>
      <c r="GC243">
        <v>19.213220031496473</v>
      </c>
      <c r="GD243">
        <v>12.462012630887529</v>
      </c>
      <c r="GE243">
        <v>12.314525255381888</v>
      </c>
      <c r="GF243">
        <v>24.077995012218562</v>
      </c>
      <c r="GG243">
        <v>25.144239658030425</v>
      </c>
      <c r="GH243">
        <v>36.226973207704965</v>
      </c>
      <c r="GI243">
        <v>34.751741438179018</v>
      </c>
      <c r="GJ243"/>
      <c r="GK243"/>
      <c r="GL243"/>
      <c r="GM243"/>
    </row>
    <row r="244" spans="1:195" s="7" customFormat="1">
      <c r="A244" s="1"/>
      <c r="B244">
        <v>0.87948348635335361</v>
      </c>
      <c r="C244">
        <v>2</v>
      </c>
      <c r="D244">
        <v>39673</v>
      </c>
      <c r="E244">
        <v>0</v>
      </c>
      <c r="F244">
        <v>0</v>
      </c>
      <c r="G244">
        <v>0</v>
      </c>
      <c r="H244">
        <v>125</v>
      </c>
      <c r="I244">
        <v>72.916666666666671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608.63673650241708</v>
      </c>
      <c r="AO244">
        <v>44.911804842569715</v>
      </c>
      <c r="AP244">
        <v>82.553457590663612</v>
      </c>
      <c r="AQ244">
        <v>312.9461502379699</v>
      </c>
      <c r="AR244">
        <v>45.001018717917695</v>
      </c>
      <c r="AS244">
        <v>375.82305452490255</v>
      </c>
      <c r="AT244">
        <v>23.215777177156014</v>
      </c>
      <c r="AU244">
        <v>20.860653574654613</v>
      </c>
      <c r="AV244"/>
      <c r="AW244"/>
      <c r="DE244" s="187">
        <v>39775</v>
      </c>
      <c r="DF244" s="182">
        <v>1.0416666666666665</v>
      </c>
      <c r="DG244" s="182">
        <v>290.29352837394083</v>
      </c>
      <c r="DH244" s="182">
        <v>555.27151520007772</v>
      </c>
      <c r="DI244" s="182">
        <v>123.57480381986662</v>
      </c>
      <c r="DJ244" s="182">
        <v>15.136670170454545</v>
      </c>
      <c r="DK244" s="182">
        <v>2.083333333333333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2">
        <v>239</v>
      </c>
      <c r="FZ244">
        <v>45.58657572294959</v>
      </c>
      <c r="GA244">
        <v>96.276120037706036</v>
      </c>
      <c r="GB244">
        <v>56.959298773605155</v>
      </c>
      <c r="GC244">
        <v>23.165417482308108</v>
      </c>
      <c r="GD244">
        <v>14.779927188329445</v>
      </c>
      <c r="GE244">
        <v>16.613978035294164</v>
      </c>
      <c r="GF244">
        <v>27.364488319609663</v>
      </c>
      <c r="GG244">
        <v>24.818625588609127</v>
      </c>
      <c r="GH244">
        <v>30.383706788238332</v>
      </c>
      <c r="GI244">
        <v>39.217275159773429</v>
      </c>
      <c r="GJ244"/>
      <c r="GK244"/>
      <c r="GL244"/>
      <c r="GM244"/>
    </row>
    <row r="245" spans="1:195" s="7" customFormat="1">
      <c r="A245" s="1"/>
      <c r="B245">
        <v>0.76563464806174331</v>
      </c>
      <c r="C245">
        <v>1</v>
      </c>
      <c r="D245">
        <v>39673</v>
      </c>
      <c r="E245">
        <v>0</v>
      </c>
      <c r="F245">
        <v>0</v>
      </c>
      <c r="G245">
        <v>20.833333333333332</v>
      </c>
      <c r="H245">
        <v>72.916666666666671</v>
      </c>
      <c r="I245">
        <v>156.25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654.00951822342381</v>
      </c>
      <c r="AO245">
        <v>45.495768892694201</v>
      </c>
      <c r="AP245">
        <v>44.343641818192751</v>
      </c>
      <c r="AQ245">
        <v>321.13402715203733</v>
      </c>
      <c r="AR245">
        <v>46.194645841173298</v>
      </c>
      <c r="AS245">
        <v>372.40714897149081</v>
      </c>
      <c r="AT245">
        <v>23.819796612141406</v>
      </c>
      <c r="AU245">
        <v>-31.110239828686865</v>
      </c>
      <c r="AV245"/>
      <c r="AW245"/>
      <c r="DE245" s="187">
        <v>39799</v>
      </c>
      <c r="DF245" s="182">
        <v>208.70130686307158</v>
      </c>
      <c r="DG245" s="182">
        <v>593.97943763752573</v>
      </c>
      <c r="DH245" s="182">
        <v>287.82090524994078</v>
      </c>
      <c r="DI245" s="182">
        <v>103.54199992324136</v>
      </c>
      <c r="DJ245" s="182">
        <v>14.204545454545453</v>
      </c>
      <c r="DK245" s="182">
        <v>2.083333333333333</v>
      </c>
      <c r="DL245" s="182">
        <v>2.083333333333333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2">
        <v>240</v>
      </c>
      <c r="FZ245">
        <v>48.713678196571763</v>
      </c>
      <c r="GA245">
        <v>117.52311239504085</v>
      </c>
      <c r="GB245">
        <v>65.232241592669595</v>
      </c>
      <c r="GC245">
        <v>21.365243151693804</v>
      </c>
      <c r="GD245">
        <v>14.346857451014872</v>
      </c>
      <c r="GE245">
        <v>15.31140628009957</v>
      </c>
      <c r="GF245">
        <v>36.690573362110797</v>
      </c>
      <c r="GG245">
        <v>33.354952274188527</v>
      </c>
      <c r="GH245">
        <v>21.182638279310133</v>
      </c>
      <c r="GI245">
        <v>41.82623656531856</v>
      </c>
      <c r="GJ245"/>
      <c r="GK245"/>
      <c r="GL245"/>
      <c r="GM245"/>
    </row>
    <row r="246" spans="1:195" s="7" customFormat="1">
      <c r="A246" s="1"/>
      <c r="B246">
        <v>0.99035431674994823</v>
      </c>
      <c r="C246">
        <v>9</v>
      </c>
      <c r="D246">
        <v>39673</v>
      </c>
      <c r="E246">
        <v>0</v>
      </c>
      <c r="F246">
        <v>0</v>
      </c>
      <c r="G246">
        <v>41.666666666666664</v>
      </c>
      <c r="H246">
        <v>0</v>
      </c>
      <c r="I246">
        <v>52.083333333333336</v>
      </c>
      <c r="J246">
        <v>20.833333333333332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696.7759750529458</v>
      </c>
      <c r="AO246">
        <v>50.724887277765809</v>
      </c>
      <c r="AP246">
        <v>69.398125494303969</v>
      </c>
      <c r="AQ246">
        <v>354.65892767864159</v>
      </c>
      <c r="AR246">
        <v>49.364889630592792</v>
      </c>
      <c r="AS246">
        <v>385.84766766366738</v>
      </c>
      <c r="AT246">
        <v>25.937245986519738</v>
      </c>
      <c r="AU246">
        <v>-49.734493257131774</v>
      </c>
      <c r="AV246"/>
      <c r="AW246"/>
      <c r="DE246" s="187">
        <v>39847</v>
      </c>
      <c r="DF246" s="182">
        <v>20.014880952380953</v>
      </c>
      <c r="DG246" s="182">
        <v>250.22631448412699</v>
      </c>
      <c r="DH246" s="182">
        <v>142.14719742063491</v>
      </c>
      <c r="DI246" s="182">
        <v>27.802579365079367</v>
      </c>
      <c r="DJ246" s="182">
        <v>4.1666666666666661</v>
      </c>
      <c r="DK246" s="182">
        <v>2.083333333333333</v>
      </c>
      <c r="DL246" s="182">
        <v>1.0416666666666665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2">
        <v>241</v>
      </c>
      <c r="FZ246">
        <v>34.091347017576219</v>
      </c>
      <c r="GA246">
        <v>100.18639636838921</v>
      </c>
      <c r="GB246">
        <v>59.743854002281815</v>
      </c>
      <c r="GC246">
        <v>18.709696184457783</v>
      </c>
      <c r="GD246">
        <v>13.458350985363689</v>
      </c>
      <c r="GE246">
        <v>18.213342726616354</v>
      </c>
      <c r="GF246">
        <v>36.631379375771424</v>
      </c>
      <c r="GG246">
        <v>31.019577647299506</v>
      </c>
      <c r="GH246">
        <v>15.735503000173912</v>
      </c>
      <c r="GI246">
        <v>36.829467825777328</v>
      </c>
      <c r="GJ246"/>
      <c r="GK246"/>
      <c r="GL246"/>
      <c r="GM246"/>
    </row>
    <row r="247" spans="1:195" s="7" customFormat="1">
      <c r="A247" s="77" t="s">
        <v>61</v>
      </c>
      <c r="B247">
        <v>0.20576635664621179</v>
      </c>
      <c r="C247">
        <v>2</v>
      </c>
      <c r="D247">
        <v>39673</v>
      </c>
      <c r="E247">
        <v>0</v>
      </c>
      <c r="F247">
        <v>0</v>
      </c>
      <c r="G247">
        <v>0</v>
      </c>
      <c r="H247">
        <v>125</v>
      </c>
      <c r="I247">
        <v>72.916666666666671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737.12216893677942</v>
      </c>
      <c r="AO247">
        <v>51.633808735244813</v>
      </c>
      <c r="AP247">
        <v>77.412702702327863</v>
      </c>
      <c r="AQ247">
        <v>373.89697271085282</v>
      </c>
      <c r="AR247">
        <v>49.70336061368068</v>
      </c>
      <c r="AS247">
        <v>388.40075823188317</v>
      </c>
      <c r="AT247">
        <v>24.343101432817662</v>
      </c>
      <c r="AU247">
        <v>-20.064992204743128</v>
      </c>
      <c r="AV247"/>
      <c r="AW247"/>
      <c r="DE247" s="187">
        <v>39910</v>
      </c>
      <c r="DF247" s="182">
        <v>90.277777777777786</v>
      </c>
      <c r="DG247" s="182">
        <v>239.72446384131163</v>
      </c>
      <c r="DH247" s="182">
        <v>332.6791465378422</v>
      </c>
      <c r="DI247" s="182">
        <v>102.71990740740739</v>
      </c>
      <c r="DJ247" s="182">
        <v>27.272727272727273</v>
      </c>
      <c r="DK247" s="182">
        <v>4.9242424242424239</v>
      </c>
      <c r="DL247" s="182">
        <v>6.875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2">
        <v>242</v>
      </c>
      <c r="FZ247">
        <v>67.060703813965645</v>
      </c>
      <c r="GA247">
        <v>150.62109266120626</v>
      </c>
      <c r="GB247">
        <v>76.633021389585096</v>
      </c>
      <c r="GC247">
        <v>17.872826861072969</v>
      </c>
      <c r="GD247">
        <v>10.193181431759328</v>
      </c>
      <c r="GE247">
        <v>13.340164905389994</v>
      </c>
      <c r="GF247">
        <v>12.457242960622315</v>
      </c>
      <c r="GG247">
        <v>17.64184434190441</v>
      </c>
      <c r="GH247">
        <v>32.449937902942928</v>
      </c>
      <c r="GI247">
        <v>42.438450786785872</v>
      </c>
      <c r="GJ247"/>
      <c r="GK247"/>
      <c r="GL247"/>
      <c r="GM247"/>
    </row>
    <row r="248" spans="1:195" s="7" customFormat="1">
      <c r="A248" s="77" t="s">
        <v>62</v>
      </c>
      <c r="B248">
        <v>0.92260037117755278</v>
      </c>
      <c r="C248">
        <v>2</v>
      </c>
      <c r="D248">
        <v>39714</v>
      </c>
      <c r="E248">
        <v>0</v>
      </c>
      <c r="F248">
        <v>10.416666666666666</v>
      </c>
      <c r="G248">
        <v>0</v>
      </c>
      <c r="H248">
        <v>93.75</v>
      </c>
      <c r="I248">
        <v>0</v>
      </c>
      <c r="J248">
        <v>31.25</v>
      </c>
      <c r="K248">
        <v>20.833333333333332</v>
      </c>
      <c r="L248">
        <v>20.833333333333332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628.16435296658437</v>
      </c>
      <c r="AO248">
        <v>45.551784183170376</v>
      </c>
      <c r="AP248">
        <v>38.835503804853566</v>
      </c>
      <c r="AQ248">
        <v>339.35657716927494</v>
      </c>
      <c r="AR248">
        <v>44.079402886871925</v>
      </c>
      <c r="AS248">
        <v>373.08560795704585</v>
      </c>
      <c r="AT248">
        <v>22.356546322128963</v>
      </c>
      <c r="AU248">
        <v>-92.946837276648751</v>
      </c>
      <c r="AV248"/>
      <c r="AW248"/>
      <c r="DE248" s="187">
        <v>39949</v>
      </c>
      <c r="DF248" s="182">
        <v>0</v>
      </c>
      <c r="DG248" s="182">
        <v>33.449074074074076</v>
      </c>
      <c r="DH248" s="182">
        <v>125.7980677499269</v>
      </c>
      <c r="DI248" s="182">
        <v>32.691210045662096</v>
      </c>
      <c r="DJ248" s="182">
        <v>18.749999999999996</v>
      </c>
      <c r="DK248" s="182">
        <v>5.208333333333333</v>
      </c>
      <c r="DL248" s="182">
        <v>5.208333333333333</v>
      </c>
      <c r="DM248" s="182">
        <v>0</v>
      </c>
      <c r="DN248" s="182"/>
      <c r="DO248" s="182">
        <v>0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2">
        <v>243</v>
      </c>
      <c r="FZ248">
        <v>30.558055499735037</v>
      </c>
      <c r="GA248">
        <v>97.728286961409268</v>
      </c>
      <c r="GB248">
        <v>53.142018520304354</v>
      </c>
      <c r="GC248">
        <v>17.879654173573826</v>
      </c>
      <c r="GD248">
        <v>12.766373141074427</v>
      </c>
      <c r="GE248">
        <v>13.125937032389341</v>
      </c>
      <c r="GF248">
        <v>8.5569733375325931</v>
      </c>
      <c r="GG248">
        <v>10.180093771554429</v>
      </c>
      <c r="GH248">
        <v>19.14172282456526</v>
      </c>
      <c r="GI248">
        <v>29.785510555370571</v>
      </c>
      <c r="GJ248"/>
      <c r="GK248"/>
      <c r="GL248"/>
      <c r="GM248"/>
    </row>
    <row r="249" spans="1:195" s="7" customFormat="1">
      <c r="A249" s="1"/>
      <c r="B249">
        <v>0.87969165487808265</v>
      </c>
      <c r="C249">
        <v>2</v>
      </c>
      <c r="D249">
        <v>39714</v>
      </c>
      <c r="E249">
        <v>0</v>
      </c>
      <c r="F249">
        <v>10.416666666666666</v>
      </c>
      <c r="G249">
        <v>0</v>
      </c>
      <c r="H249">
        <v>93.75</v>
      </c>
      <c r="I249">
        <v>0</v>
      </c>
      <c r="J249">
        <v>31.25</v>
      </c>
      <c r="K249">
        <v>20.833333333333332</v>
      </c>
      <c r="L249">
        <v>20.833333333333332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816.11868784965213</v>
      </c>
      <c r="AO249">
        <v>46.693157283585712</v>
      </c>
      <c r="AP249">
        <v>89.771764825588392</v>
      </c>
      <c r="AQ249">
        <v>321.12266952464518</v>
      </c>
      <c r="AR249">
        <v>45.296126409252487</v>
      </c>
      <c r="AS249">
        <v>377.49150910689866</v>
      </c>
      <c r="AT249">
        <v>23.539078541358695</v>
      </c>
      <c r="AU249">
        <v>-9.8178383338039268</v>
      </c>
      <c r="AV249"/>
      <c r="AW249"/>
      <c r="DE249" s="187">
        <v>39987</v>
      </c>
      <c r="DF249" s="182">
        <v>0</v>
      </c>
      <c r="DG249" s="182">
        <v>19.509210379308417</v>
      </c>
      <c r="DH249" s="182">
        <v>73.993303446830225</v>
      </c>
      <c r="DI249" s="182">
        <v>80.571251477052172</v>
      </c>
      <c r="DJ249" s="182">
        <v>23.639759368013436</v>
      </c>
      <c r="DK249" s="182">
        <v>1.0416666666666665</v>
      </c>
      <c r="DL249" s="182">
        <v>8.798758865248228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2">
        <v>244</v>
      </c>
      <c r="FZ249">
        <v>46.748810634928262</v>
      </c>
      <c r="GA249">
        <v>127.61972377816116</v>
      </c>
      <c r="GB249">
        <v>77.111136314122504</v>
      </c>
      <c r="GC249">
        <v>19.212250177496013</v>
      </c>
      <c r="GD249">
        <v>10.979014365113715</v>
      </c>
      <c r="GE249">
        <v>14.079205184104593</v>
      </c>
      <c r="GF249">
        <v>30.601519756465233</v>
      </c>
      <c r="GG249">
        <v>31.302244672582479</v>
      </c>
      <c r="GH249">
        <v>21.368128116358179</v>
      </c>
      <c r="GI249">
        <v>41.511044977896915</v>
      </c>
      <c r="GJ249"/>
      <c r="GK249"/>
      <c r="GL249"/>
      <c r="GM249"/>
    </row>
    <row r="250" spans="1:195" s="7" customFormat="1">
      <c r="A250" s="1"/>
      <c r="B250">
        <v>0.13471350578054953</v>
      </c>
      <c r="C250">
        <v>10</v>
      </c>
      <c r="D250">
        <v>39714</v>
      </c>
      <c r="E250">
        <v>0</v>
      </c>
      <c r="F250">
        <v>1428.5714285714284</v>
      </c>
      <c r="G250">
        <v>1391.3690476190475</v>
      </c>
      <c r="H250">
        <v>319.9404761904762</v>
      </c>
      <c r="I250">
        <v>20.833333333333332</v>
      </c>
      <c r="J250">
        <v>83.333333333333329</v>
      </c>
      <c r="K250">
        <v>31.25</v>
      </c>
      <c r="L250">
        <v>104.16666666666667</v>
      </c>
      <c r="M250">
        <v>10.416666666666666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738.30660069089049</v>
      </c>
      <c r="AO250">
        <v>44.346378124889199</v>
      </c>
      <c r="AP250">
        <v>55.356109444789631</v>
      </c>
      <c r="AQ250">
        <v>308.91936558736626</v>
      </c>
      <c r="AR250">
        <v>43.562476528113258</v>
      </c>
      <c r="AS250">
        <v>391.70957166415752</v>
      </c>
      <c r="AT250">
        <v>23.019357109523682</v>
      </c>
      <c r="AU250">
        <v>-44.628645277594536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2">
        <v>245</v>
      </c>
      <c r="FZ250">
        <v>33.581140874077775</v>
      </c>
      <c r="GA250">
        <v>110.99062887040648</v>
      </c>
      <c r="GB250">
        <v>64.446380711241474</v>
      </c>
      <c r="GC250">
        <v>16.938353383118457</v>
      </c>
      <c r="GD250">
        <v>9.7691160612487202</v>
      </c>
      <c r="GE250">
        <v>11.910212328990086</v>
      </c>
      <c r="GF250">
        <v>37.945693629770503</v>
      </c>
      <c r="GG250">
        <v>41.145181611123427</v>
      </c>
      <c r="GH250">
        <v>33.55200755950041</v>
      </c>
      <c r="GI250">
        <v>38.910620845385132</v>
      </c>
      <c r="GJ250"/>
      <c r="GK250"/>
      <c r="GL250"/>
      <c r="GM250"/>
    </row>
    <row r="251" spans="1:195" s="7" customFormat="1">
      <c r="A251" s="1"/>
      <c r="B251">
        <v>0.91840730782215285</v>
      </c>
      <c r="C251">
        <v>1</v>
      </c>
      <c r="D251">
        <v>39714</v>
      </c>
      <c r="E251">
        <v>130.20833333333334</v>
      </c>
      <c r="F251">
        <v>65.104166666666671</v>
      </c>
      <c r="G251">
        <v>520.83333333333337</v>
      </c>
      <c r="H251">
        <v>85.9375</v>
      </c>
      <c r="I251">
        <v>10.416666666666666</v>
      </c>
      <c r="J251">
        <v>20.833333333333332</v>
      </c>
      <c r="K251">
        <v>10.416666666666666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867.93756145492921</v>
      </c>
      <c r="AO251">
        <v>58.76566589834556</v>
      </c>
      <c r="AP251">
        <v>79.089001615262418</v>
      </c>
      <c r="AQ251">
        <v>424.28911703309984</v>
      </c>
      <c r="AR251">
        <v>57.791997432296185</v>
      </c>
      <c r="AS251">
        <v>452.03805373562381</v>
      </c>
      <c r="AT251">
        <v>29.295492900658957</v>
      </c>
      <c r="AU251">
        <v>-70.94422712786222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2">
        <v>246</v>
      </c>
      <c r="FZ251">
        <v>67.395869505014872</v>
      </c>
      <c r="GA251">
        <v>108.7277026094459</v>
      </c>
      <c r="GB251">
        <v>54.045131799995076</v>
      </c>
      <c r="GC251">
        <v>13.896553489355911</v>
      </c>
      <c r="GD251">
        <v>12.051922958972847</v>
      </c>
      <c r="GE251">
        <v>12.796732806418586</v>
      </c>
      <c r="GF251">
        <v>15.471449695686559</v>
      </c>
      <c r="GG251">
        <v>16.247083361287888</v>
      </c>
      <c r="GH251">
        <v>19.807501748417849</v>
      </c>
      <c r="GI251">
        <v>36.356712073359603</v>
      </c>
      <c r="GJ251"/>
      <c r="GK251"/>
      <c r="GL251"/>
      <c r="GM251"/>
    </row>
    <row r="252" spans="1:195" s="7" customFormat="1">
      <c r="A252" s="1"/>
      <c r="B252">
        <v>0.70474290677965978</v>
      </c>
      <c r="C252">
        <v>7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688.41506521327585</v>
      </c>
      <c r="AO252">
        <v>52.176896201099929</v>
      </c>
      <c r="AP252">
        <v>66.392889606672384</v>
      </c>
      <c r="AQ252">
        <v>362.5773433101416</v>
      </c>
      <c r="AR252">
        <v>52.668331158731895</v>
      </c>
      <c r="AS252">
        <v>411.62662019288751</v>
      </c>
      <c r="AT252">
        <v>28.781580743903813</v>
      </c>
      <c r="AU252">
        <v>-54.795783231020813</v>
      </c>
      <c r="AV252"/>
      <c r="AW252"/>
      <c r="FY252" s="212">
        <v>247</v>
      </c>
      <c r="FZ252">
        <v>32.009316084717142</v>
      </c>
      <c r="GA252">
        <v>105.89529238844408</v>
      </c>
      <c r="GB252">
        <v>64.024225949165569</v>
      </c>
      <c r="GC252">
        <v>18.133253362739275</v>
      </c>
      <c r="GD252">
        <v>11.75537992653946</v>
      </c>
      <c r="GE252">
        <v>17.152663533540725</v>
      </c>
      <c r="GF252">
        <v>18.669745785797474</v>
      </c>
      <c r="GG252">
        <v>14.100441594348734</v>
      </c>
      <c r="GH252">
        <v>15.913651213974653</v>
      </c>
      <c r="GI252">
        <v>33.406060704310804</v>
      </c>
      <c r="GJ252"/>
      <c r="GK252"/>
      <c r="GL252"/>
      <c r="GM252"/>
    </row>
    <row r="253" spans="1:195" s="7" customFormat="1">
      <c r="A253" s="1"/>
      <c r="B253">
        <v>0.67874168395377765</v>
      </c>
      <c r="C253">
        <v>3</v>
      </c>
      <c r="D253">
        <v>39714</v>
      </c>
      <c r="E253">
        <v>97.65625</v>
      </c>
      <c r="F253">
        <v>976.5625</v>
      </c>
      <c r="G253">
        <v>1074.21875</v>
      </c>
      <c r="H253">
        <v>509.11458333333331</v>
      </c>
      <c r="I253">
        <v>10.416666666666666</v>
      </c>
      <c r="J253">
        <v>20.833333333333332</v>
      </c>
      <c r="K253">
        <v>20.833333333333332</v>
      </c>
      <c r="L253">
        <v>10.416666666666666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1016.3929344551668</v>
      </c>
      <c r="AO253">
        <v>64.422947577941201</v>
      </c>
      <c r="AP253">
        <v>104.33407297594373</v>
      </c>
      <c r="AQ253">
        <v>455.01985884671063</v>
      </c>
      <c r="AR253">
        <v>62.052129760985544</v>
      </c>
      <c r="AS253">
        <v>500.58374468314742</v>
      </c>
      <c r="AT253">
        <v>30.854950276138641</v>
      </c>
      <c r="AU253">
        <v>-93.152053696005552</v>
      </c>
      <c r="AV253"/>
      <c r="AW253"/>
      <c r="FY253" s="212">
        <v>248</v>
      </c>
      <c r="FZ253">
        <v>31.121397353580296</v>
      </c>
      <c r="GA253">
        <v>94.424414950300857</v>
      </c>
      <c r="GB253">
        <v>54.171349928839625</v>
      </c>
      <c r="GC253">
        <v>16.540402591390183</v>
      </c>
      <c r="GD253">
        <v>12.629693207799285</v>
      </c>
      <c r="GE253">
        <v>21.605909762179092</v>
      </c>
      <c r="GF253">
        <v>28.018538473309253</v>
      </c>
      <c r="GG253">
        <v>27.960278763623272</v>
      </c>
      <c r="GH253">
        <v>27.508819983218476</v>
      </c>
      <c r="GI253">
        <v>34.873828600221564</v>
      </c>
      <c r="GJ253"/>
      <c r="GK253"/>
      <c r="GL253"/>
      <c r="GM253"/>
    </row>
    <row r="254" spans="1:195" s="7" customFormat="1">
      <c r="A254" s="1"/>
      <c r="B254">
        <v>0.18582275180184471</v>
      </c>
      <c r="C254">
        <v>5</v>
      </c>
      <c r="D254">
        <v>39714</v>
      </c>
      <c r="E254">
        <v>0</v>
      </c>
      <c r="F254">
        <v>0</v>
      </c>
      <c r="G254">
        <v>0</v>
      </c>
      <c r="H254">
        <v>114.58333333333333</v>
      </c>
      <c r="I254">
        <v>10.416666666666666</v>
      </c>
      <c r="J254">
        <v>0</v>
      </c>
      <c r="K254">
        <v>0</v>
      </c>
      <c r="L254">
        <v>0</v>
      </c>
      <c r="M254">
        <v>0</v>
      </c>
      <c r="N254">
        <v>20.833333333333332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702.77629048889071</v>
      </c>
      <c r="AO254">
        <v>48.222786261705423</v>
      </c>
      <c r="AP254">
        <v>84.062878254583438</v>
      </c>
      <c r="AQ254">
        <v>335.27757271074393</v>
      </c>
      <c r="AR254">
        <v>47.767200156332741</v>
      </c>
      <c r="AS254">
        <v>415.99024871073789</v>
      </c>
      <c r="AT254">
        <v>23.449049500603692</v>
      </c>
      <c r="AU254">
        <v>-40.278030140347127</v>
      </c>
      <c r="AV254"/>
      <c r="AW254"/>
      <c r="FY254" s="212">
        <v>249</v>
      </c>
      <c r="FZ254">
        <v>38.257312918189399</v>
      </c>
      <c r="GA254">
        <v>119.44813089187083</v>
      </c>
      <c r="GB254">
        <v>68.085778980322971</v>
      </c>
      <c r="GC254">
        <v>22.756855938505286</v>
      </c>
      <c r="GD254">
        <v>16.087680094753608</v>
      </c>
      <c r="GE254">
        <v>17.320258939504836</v>
      </c>
      <c r="GF254">
        <v>14.845117272316493</v>
      </c>
      <c r="GG254">
        <v>17.860214468411588</v>
      </c>
      <c r="GH254">
        <v>17.773016552764481</v>
      </c>
      <c r="GI254">
        <v>37.408920655801921</v>
      </c>
      <c r="GJ254"/>
      <c r="GK254"/>
      <c r="GL254"/>
      <c r="GM254"/>
    </row>
    <row r="255" spans="1:195" s="7" customFormat="1">
      <c r="A255" s="1"/>
      <c r="B255">
        <v>0.98575173571172092</v>
      </c>
      <c r="C255">
        <v>3</v>
      </c>
      <c r="D255">
        <v>39714</v>
      </c>
      <c r="E255">
        <v>97.65625</v>
      </c>
      <c r="F255">
        <v>976.5625</v>
      </c>
      <c r="G255">
        <v>1074.21875</v>
      </c>
      <c r="H255">
        <v>509.11458333333331</v>
      </c>
      <c r="I255">
        <v>10.416666666666666</v>
      </c>
      <c r="J255">
        <v>20.833333333333332</v>
      </c>
      <c r="K255">
        <v>20.833333333333332</v>
      </c>
      <c r="L255">
        <v>10.416666666666666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885.67568795405134</v>
      </c>
      <c r="AO255">
        <v>54.345850469389156</v>
      </c>
      <c r="AP255">
        <v>102.1910179582368</v>
      </c>
      <c r="AQ255">
        <v>375.16541309642304</v>
      </c>
      <c r="AR255">
        <v>53.802662276703892</v>
      </c>
      <c r="AS255">
        <v>456.46084480041048</v>
      </c>
      <c r="AT255">
        <v>28.051786222801642</v>
      </c>
      <c r="AU255">
        <v>-39.825826224211475</v>
      </c>
      <c r="AV255"/>
      <c r="AW255"/>
      <c r="FY255" s="212">
        <v>250</v>
      </c>
      <c r="FZ255">
        <v>44.21565914628286</v>
      </c>
      <c r="GA255">
        <v>78.369138114477394</v>
      </c>
      <c r="GB255">
        <v>43.297872947837234</v>
      </c>
      <c r="GC255">
        <v>18.9367209484945</v>
      </c>
      <c r="GD255">
        <v>13.196882033219532</v>
      </c>
      <c r="GE255">
        <v>16.460019980634563</v>
      </c>
      <c r="GF255">
        <v>17.640899949475283</v>
      </c>
      <c r="GG255">
        <v>18.045960107932654</v>
      </c>
      <c r="GH255">
        <v>30.840293988151117</v>
      </c>
      <c r="GI255">
        <v>32.988673182339042</v>
      </c>
      <c r="GJ255"/>
      <c r="GK255"/>
      <c r="GL255"/>
      <c r="GM255"/>
    </row>
    <row r="256" spans="1:195" s="7" customFormat="1">
      <c r="A256" s="1"/>
      <c r="B256">
        <v>0.64858545534042467</v>
      </c>
      <c r="C256">
        <v>5</v>
      </c>
      <c r="D256">
        <v>39714</v>
      </c>
      <c r="E256">
        <v>0</v>
      </c>
      <c r="F256">
        <v>0</v>
      </c>
      <c r="G256">
        <v>0</v>
      </c>
      <c r="H256">
        <v>114.58333333333333</v>
      </c>
      <c r="I256">
        <v>10.416666666666666</v>
      </c>
      <c r="J256">
        <v>0</v>
      </c>
      <c r="K256">
        <v>0</v>
      </c>
      <c r="L256">
        <v>0</v>
      </c>
      <c r="M256">
        <v>0</v>
      </c>
      <c r="N256">
        <v>20.833333333333332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872.49234622702011</v>
      </c>
      <c r="AO256">
        <v>58.87368105495964</v>
      </c>
      <c r="AP256">
        <v>70.123712620107312</v>
      </c>
      <c r="AQ256">
        <v>415.54693954801849</v>
      </c>
      <c r="AR256">
        <v>57.448467666999946</v>
      </c>
      <c r="AS256">
        <v>471.94199793815744</v>
      </c>
      <c r="AT256">
        <v>28.667380895848169</v>
      </c>
      <c r="AU256">
        <v>-44.729322126071374</v>
      </c>
      <c r="AV256"/>
      <c r="AW256"/>
      <c r="FY256" s="212">
        <v>251</v>
      </c>
      <c r="FZ256">
        <v>66.953437763294389</v>
      </c>
      <c r="GA256">
        <v>72.20059274294573</v>
      </c>
      <c r="GB256">
        <v>41.878990994919633</v>
      </c>
      <c r="GC256">
        <v>25.366090855930565</v>
      </c>
      <c r="GD256">
        <v>15.814237985111527</v>
      </c>
      <c r="GE256">
        <v>19.593930499637487</v>
      </c>
      <c r="GF256">
        <v>40.632128292842125</v>
      </c>
      <c r="GG256">
        <v>36.591732194101333</v>
      </c>
      <c r="GH256">
        <v>26.785406560665066</v>
      </c>
      <c r="GI256">
        <v>41.046105269624178</v>
      </c>
      <c r="GJ256"/>
      <c r="GK256"/>
      <c r="GL256"/>
      <c r="GM256"/>
    </row>
    <row r="257" spans="1:195" s="7" customFormat="1">
      <c r="A257" s="1"/>
      <c r="B257">
        <v>0.22888566441114144</v>
      </c>
      <c r="C257">
        <v>7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838.91306815780842</v>
      </c>
      <c r="AO257">
        <v>52.556589940078538</v>
      </c>
      <c r="AP257">
        <v>93.885084168266332</v>
      </c>
      <c r="AQ257">
        <v>364.61891513370728</v>
      </c>
      <c r="AR257">
        <v>50.518921556548243</v>
      </c>
      <c r="AS257">
        <v>416.4763026825247</v>
      </c>
      <c r="AT257">
        <v>25.606884546137788</v>
      </c>
      <c r="AU257">
        <v>-25.005199020845879</v>
      </c>
      <c r="AV257"/>
      <c r="AW257"/>
      <c r="FY257" s="212">
        <v>252</v>
      </c>
      <c r="FZ257">
        <v>37.282238665040857</v>
      </c>
      <c r="GA257">
        <v>60.074765442861057</v>
      </c>
      <c r="GB257">
        <v>40.180331217341532</v>
      </c>
      <c r="GC257">
        <v>17.018467691963181</v>
      </c>
      <c r="GD257">
        <v>7.2800534370935797</v>
      </c>
      <c r="GE257">
        <v>11.980781023654155</v>
      </c>
      <c r="GF257">
        <v>24.601535965443915</v>
      </c>
      <c r="GG257">
        <v>23.160913358381944</v>
      </c>
      <c r="GH257">
        <v>22.431920138455368</v>
      </c>
      <c r="GI257">
        <v>27.706120197293114</v>
      </c>
      <c r="GJ257"/>
      <c r="GK257"/>
      <c r="GL257"/>
      <c r="GM257"/>
    </row>
    <row r="258" spans="1:195" s="7" customFormat="1">
      <c r="A258" s="1"/>
      <c r="B258">
        <v>0.54093975374178038</v>
      </c>
      <c r="C258">
        <v>2</v>
      </c>
      <c r="D258">
        <v>39747</v>
      </c>
      <c r="E258">
        <v>0</v>
      </c>
      <c r="F258">
        <v>638.02083333333337</v>
      </c>
      <c r="G258">
        <v>1549.4791666666667</v>
      </c>
      <c r="H258">
        <v>299.47916666666669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765.75694118221691</v>
      </c>
      <c r="AO258">
        <v>58.951879808555326</v>
      </c>
      <c r="AP258">
        <v>60.570206932669393</v>
      </c>
      <c r="AQ258">
        <v>440.70846705523479</v>
      </c>
      <c r="AR258">
        <v>58.70238291648711</v>
      </c>
      <c r="AS258">
        <v>450.06343103650948</v>
      </c>
      <c r="AT258">
        <v>29.277596901605715</v>
      </c>
      <c r="AU258">
        <v>-96.961017819543116</v>
      </c>
      <c r="AV258"/>
      <c r="AW258"/>
      <c r="FY258" s="212">
        <v>253</v>
      </c>
      <c r="FZ258">
        <v>37.891111075428078</v>
      </c>
      <c r="GA258">
        <v>77.362889893941443</v>
      </c>
      <c r="GB258">
        <v>48.489776437761442</v>
      </c>
      <c r="GC258">
        <v>20.078033882476898</v>
      </c>
      <c r="GD258">
        <v>12.350359269721194</v>
      </c>
      <c r="GE258">
        <v>17.31986923839322</v>
      </c>
      <c r="GF258">
        <v>41.685035467398265</v>
      </c>
      <c r="GG258">
        <v>30.854373504616483</v>
      </c>
      <c r="GH258">
        <v>20.159179587403621</v>
      </c>
      <c r="GI258">
        <v>35.662062367907261</v>
      </c>
      <c r="GJ258"/>
      <c r="GK258"/>
      <c r="GL258"/>
      <c r="GM258"/>
    </row>
    <row r="259" spans="1:195" s="7" customFormat="1">
      <c r="A259" s="90"/>
      <c r="B259">
        <v>0.61590743772682366</v>
      </c>
      <c r="C259">
        <v>7</v>
      </c>
      <c r="D259">
        <v>39747</v>
      </c>
      <c r="E259">
        <v>669.64285714285722</v>
      </c>
      <c r="F259">
        <v>744.04761904761904</v>
      </c>
      <c r="G259">
        <v>892.85714285714289</v>
      </c>
      <c r="H259">
        <v>148.80952380952382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678.28760173565706</v>
      </c>
      <c r="AO259">
        <v>42.621860735574082</v>
      </c>
      <c r="AP259">
        <v>48.399851585588557</v>
      </c>
      <c r="AQ259">
        <v>292.86462581750914</v>
      </c>
      <c r="AR259">
        <v>41.116310275215746</v>
      </c>
      <c r="AS259">
        <v>332.23192113341008</v>
      </c>
      <c r="AT259">
        <v>20.092819387693954</v>
      </c>
      <c r="AU259">
        <v>-75.835317578761263</v>
      </c>
      <c r="AV259"/>
      <c r="AW259"/>
      <c r="FY259" s="212">
        <v>254</v>
      </c>
      <c r="FZ259">
        <v>47.309224933335102</v>
      </c>
      <c r="GA259">
        <v>100.65387102705409</v>
      </c>
      <c r="GB259">
        <v>54.557233743779676</v>
      </c>
      <c r="GC259">
        <v>14.394810849694672</v>
      </c>
      <c r="GD259">
        <v>10.031115453461211</v>
      </c>
      <c r="GE259">
        <v>13.675596352720937</v>
      </c>
      <c r="GF259">
        <v>19.804778488927351</v>
      </c>
      <c r="GG259">
        <v>21.161172476458542</v>
      </c>
      <c r="GH259">
        <v>35.99650532792829</v>
      </c>
      <c r="GI259">
        <v>35.671014339496459</v>
      </c>
      <c r="GJ259"/>
      <c r="GK259"/>
      <c r="GL259"/>
      <c r="GM259"/>
    </row>
    <row r="260" spans="1:195" s="7" customFormat="1">
      <c r="A260" s="77" t="s">
        <v>61</v>
      </c>
      <c r="B260">
        <v>0.34959401044146854</v>
      </c>
      <c r="C260">
        <v>1</v>
      </c>
      <c r="D260">
        <v>39747</v>
      </c>
      <c r="E260">
        <v>0</v>
      </c>
      <c r="F260">
        <v>0</v>
      </c>
      <c r="G260">
        <v>86.805555555555557</v>
      </c>
      <c r="H260">
        <v>0</v>
      </c>
      <c r="I260">
        <v>10.416666666666666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824.06618432530649</v>
      </c>
      <c r="AO260">
        <v>58.51946701161252</v>
      </c>
      <c r="AP260">
        <v>88.579363336506361</v>
      </c>
      <c r="AQ260">
        <v>420.53307797722908</v>
      </c>
      <c r="AR260">
        <v>57.239642730799993</v>
      </c>
      <c r="AS260">
        <v>448.27146995266958</v>
      </c>
      <c r="AT260">
        <v>28.216235905995529</v>
      </c>
      <c r="AU260">
        <v>-22.360875691332389</v>
      </c>
      <c r="AV260"/>
      <c r="AW260"/>
      <c r="FY260" s="212">
        <v>255</v>
      </c>
      <c r="FZ260">
        <v>48.022197285631449</v>
      </c>
      <c r="GA260">
        <v>75.193923988867397</v>
      </c>
      <c r="GB260">
        <v>50.295598329499882</v>
      </c>
      <c r="GC260">
        <v>25.38590662203287</v>
      </c>
      <c r="GD260">
        <v>11.485893100790545</v>
      </c>
      <c r="GE260">
        <v>10.291145982588771</v>
      </c>
      <c r="GF260">
        <v>30.45084157950695</v>
      </c>
      <c r="GG260">
        <v>29.906202969368408</v>
      </c>
      <c r="GH260">
        <v>21.198321923662416</v>
      </c>
      <c r="GI260">
        <v>35.15869107121005</v>
      </c>
      <c r="GJ260"/>
      <c r="GK260"/>
      <c r="GL260"/>
      <c r="GM260"/>
    </row>
    <row r="261" spans="1:195" s="7" customFormat="1">
      <c r="A261" s="77" t="s">
        <v>62</v>
      </c>
      <c r="B261">
        <v>0.2786017719018492</v>
      </c>
      <c r="C261">
        <v>3</v>
      </c>
      <c r="D261">
        <v>39747</v>
      </c>
      <c r="E261">
        <v>0</v>
      </c>
      <c r="F261">
        <v>0</v>
      </c>
      <c r="G261">
        <v>0</v>
      </c>
      <c r="H261">
        <v>10.416666666666666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815.10258924718232</v>
      </c>
      <c r="AO261">
        <v>55.026390521244387</v>
      </c>
      <c r="AP261">
        <v>56.99986281841953</v>
      </c>
      <c r="AQ261">
        <v>399.18933587486248</v>
      </c>
      <c r="AR261">
        <v>53.44978300453112</v>
      </c>
      <c r="AS261">
        <v>447.73738770659969</v>
      </c>
      <c r="AT261">
        <v>26.384440029523674</v>
      </c>
      <c r="AU261">
        <v>-114.36545334272499</v>
      </c>
      <c r="AV261"/>
      <c r="AW261"/>
      <c r="FY261" s="212">
        <v>256</v>
      </c>
      <c r="FZ261">
        <v>30.260652465876539</v>
      </c>
      <c r="GA261">
        <v>86.742290355930038</v>
      </c>
      <c r="GB261">
        <v>55.376363861346235</v>
      </c>
      <c r="GC261">
        <v>16.090858746527704</v>
      </c>
      <c r="GD261">
        <v>9.3997646184206776</v>
      </c>
      <c r="GE261">
        <v>13.252859434121389</v>
      </c>
      <c r="GF261">
        <v>26.32637730516101</v>
      </c>
      <c r="GG261">
        <v>34.236323065478345</v>
      </c>
      <c r="GH261">
        <v>34.663009104162228</v>
      </c>
      <c r="GI261">
        <v>34.153577385806358</v>
      </c>
      <c r="GJ261"/>
      <c r="GK261"/>
      <c r="GL261"/>
      <c r="GM261"/>
    </row>
    <row r="262" spans="1:195" s="7" customFormat="1" ht="12.75" customHeight="1">
      <c r="A262" s="77"/>
      <c r="B262">
        <v>0.15806454336695452</v>
      </c>
      <c r="C262">
        <v>4</v>
      </c>
      <c r="D262">
        <v>39747</v>
      </c>
      <c r="E262">
        <v>0</v>
      </c>
      <c r="F262">
        <v>1060.748922413793</v>
      </c>
      <c r="G262">
        <v>919.3157327586207</v>
      </c>
      <c r="H262">
        <v>368.09365203761752</v>
      </c>
      <c r="I262">
        <v>28.409090909090907</v>
      </c>
      <c r="J262">
        <v>0</v>
      </c>
      <c r="K262">
        <v>28.409090909090907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609.31489642139798</v>
      </c>
      <c r="AO262">
        <v>48.557419247312289</v>
      </c>
      <c r="AP262">
        <v>56.4759016451953</v>
      </c>
      <c r="AQ262">
        <v>356.79666004795502</v>
      </c>
      <c r="AR262">
        <v>50.168542733175848</v>
      </c>
      <c r="AS262">
        <v>380.38504538873735</v>
      </c>
      <c r="AT262">
        <v>26.757322253498142</v>
      </c>
      <c r="AU262">
        <v>-49.911880674122557</v>
      </c>
      <c r="AV262"/>
      <c r="AW262"/>
      <c r="FY262" s="212">
        <v>257</v>
      </c>
      <c r="FZ262">
        <v>33.808158410281479</v>
      </c>
      <c r="GA262">
        <v>103.45594040123451</v>
      </c>
      <c r="GB262">
        <v>68.619208826731764</v>
      </c>
      <c r="GC262">
        <v>23.07880119255989</v>
      </c>
      <c r="GD262">
        <v>13.753690120625773</v>
      </c>
      <c r="GE262">
        <v>19.087246731346344</v>
      </c>
      <c r="GF262">
        <v>39.9079818753086</v>
      </c>
      <c r="GG262">
        <v>31.946719000736916</v>
      </c>
      <c r="GH262">
        <v>17.908019363909126</v>
      </c>
      <c r="GI262">
        <v>40.15545790229357</v>
      </c>
      <c r="GJ262"/>
      <c r="GK262"/>
      <c r="GL262"/>
      <c r="GM262"/>
    </row>
    <row r="263" spans="1:195" s="7" customFormat="1">
      <c r="A263" s="77"/>
      <c r="B263">
        <v>3.6725685741626712E-2</v>
      </c>
      <c r="C263">
        <v>10</v>
      </c>
      <c r="D263">
        <v>39747</v>
      </c>
      <c r="E263">
        <v>0</v>
      </c>
      <c r="F263">
        <v>716.14583333333337</v>
      </c>
      <c r="G263">
        <v>585.9375</v>
      </c>
      <c r="H263">
        <v>260.41666666666669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766.4443672020991</v>
      </c>
      <c r="AO263">
        <v>47.635350539239795</v>
      </c>
      <c r="AP263">
        <v>52.099582274981884</v>
      </c>
      <c r="AQ263">
        <v>331.06003054357791</v>
      </c>
      <c r="AR263">
        <v>46.001658516847428</v>
      </c>
      <c r="AS263">
        <v>368.42653244431949</v>
      </c>
      <c r="AT263">
        <v>22.045663868744288</v>
      </c>
      <c r="AU263">
        <v>-57.455757631275503</v>
      </c>
      <c r="AV263"/>
      <c r="AW263"/>
      <c r="FY263" s="212">
        <v>258</v>
      </c>
      <c r="FZ263">
        <v>48.719004737363171</v>
      </c>
      <c r="GA263">
        <v>102.22665438036448</v>
      </c>
      <c r="GB263">
        <v>62.317307546768205</v>
      </c>
      <c r="GC263">
        <v>17.877603715701934</v>
      </c>
      <c r="GD263">
        <v>8.2955546030628273</v>
      </c>
      <c r="GE263">
        <v>8.2979575462662272</v>
      </c>
      <c r="GF263">
        <v>11.67522698721803</v>
      </c>
      <c r="GG263">
        <v>12.290617942355903</v>
      </c>
      <c r="GH263">
        <v>22.798458771165404</v>
      </c>
      <c r="GI263">
        <v>33.271017083935739</v>
      </c>
      <c r="GJ263"/>
      <c r="GK263"/>
      <c r="GL263"/>
      <c r="GM263"/>
    </row>
    <row r="264" spans="1:195" s="7" customFormat="1">
      <c r="A264" s="77"/>
      <c r="B264">
        <v>0.32535282107747521</v>
      </c>
      <c r="C264">
        <v>3</v>
      </c>
      <c r="D264">
        <v>39747</v>
      </c>
      <c r="E264">
        <v>0</v>
      </c>
      <c r="F264">
        <v>0</v>
      </c>
      <c r="G264">
        <v>0</v>
      </c>
      <c r="H264">
        <v>10.416666666666666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792.33913428256926</v>
      </c>
      <c r="AO264">
        <v>50.156362152673744</v>
      </c>
      <c r="AP264">
        <v>59.770935872571968</v>
      </c>
      <c r="AQ264">
        <v>348.85463361446182</v>
      </c>
      <c r="AR264">
        <v>47.90900996565346</v>
      </c>
      <c r="AS264">
        <v>403.85266805710785</v>
      </c>
      <c r="AT264">
        <v>23.903111816629337</v>
      </c>
      <c r="AU264">
        <v>-75.435787982471936</v>
      </c>
      <c r="AV264"/>
      <c r="AW264"/>
      <c r="FY264" s="212">
        <v>259</v>
      </c>
      <c r="FZ264">
        <v>38.181660801044657</v>
      </c>
      <c r="GA264">
        <v>117.03414280957327</v>
      </c>
      <c r="GB264">
        <v>71.502972150248183</v>
      </c>
      <c r="GC264">
        <v>25.973763556880368</v>
      </c>
      <c r="GD264">
        <v>15.003340089807571</v>
      </c>
      <c r="GE264">
        <v>17.781103430750438</v>
      </c>
      <c r="GF264">
        <v>22.03093662466782</v>
      </c>
      <c r="GG264">
        <v>25.491381647420578</v>
      </c>
      <c r="GH264">
        <v>29.851148548625723</v>
      </c>
      <c r="GI264">
        <v>41.00730252153312</v>
      </c>
      <c r="GJ264"/>
      <c r="GK264"/>
      <c r="GL264"/>
      <c r="GM264"/>
    </row>
    <row r="265" spans="1:195" s="7" customFormat="1">
      <c r="A265" s="77"/>
      <c r="B265">
        <v>0.26244855817112001</v>
      </c>
      <c r="C265">
        <v>2</v>
      </c>
      <c r="D265">
        <v>39747</v>
      </c>
      <c r="E265">
        <v>0</v>
      </c>
      <c r="F265">
        <v>638.02083333333337</v>
      </c>
      <c r="G265">
        <v>1549.4791666666667</v>
      </c>
      <c r="H265">
        <v>299.47916666666669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782.96440105042586</v>
      </c>
      <c r="AO265">
        <v>54.001129935470793</v>
      </c>
      <c r="AP265">
        <v>62.557900574382352</v>
      </c>
      <c r="AQ265">
        <v>369.84328671244134</v>
      </c>
      <c r="AR265">
        <v>51.429445768425296</v>
      </c>
      <c r="AS265">
        <v>443.19569778770983</v>
      </c>
      <c r="AT265">
        <v>26.208614341403976</v>
      </c>
      <c r="AU265">
        <v>-118.03769749612198</v>
      </c>
      <c r="AV265"/>
      <c r="AW265"/>
      <c r="FY265" s="212">
        <v>260</v>
      </c>
      <c r="FZ265">
        <v>45.703598168095944</v>
      </c>
      <c r="GA265">
        <v>116.92100987231933</v>
      </c>
      <c r="GB265">
        <v>64.887947097438811</v>
      </c>
      <c r="GC265">
        <v>22.033294866419023</v>
      </c>
      <c r="GD265">
        <v>10.359327577177991</v>
      </c>
      <c r="GE265">
        <v>9.7072213639180625</v>
      </c>
      <c r="GF265">
        <v>29.701524646141284</v>
      </c>
      <c r="GG265">
        <v>29.020045521135113</v>
      </c>
      <c r="GH265">
        <v>40.953990356449218</v>
      </c>
      <c r="GI265">
        <v>40.862605191085819</v>
      </c>
      <c r="GJ265"/>
      <c r="GK265"/>
      <c r="GL265"/>
      <c r="GM265"/>
    </row>
    <row r="266" spans="1:195" s="7" customFormat="1">
      <c r="A266" s="1"/>
      <c r="B266">
        <v>0.15577857010549256</v>
      </c>
      <c r="C266">
        <v>2</v>
      </c>
      <c r="D266">
        <v>39747</v>
      </c>
      <c r="E266">
        <v>0</v>
      </c>
      <c r="F266">
        <v>638.02083333333337</v>
      </c>
      <c r="G266">
        <v>1549.4791666666667</v>
      </c>
      <c r="H266">
        <v>299.47916666666669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725.3559748276806</v>
      </c>
      <c r="AO266">
        <v>45.34590294015085</v>
      </c>
      <c r="AP266">
        <v>58.543505103177452</v>
      </c>
      <c r="AQ266">
        <v>313.99212039884418</v>
      </c>
      <c r="AR266">
        <v>45.201807478984264</v>
      </c>
      <c r="AS266">
        <v>368.89228140097396</v>
      </c>
      <c r="AT266">
        <v>24.528129417793746</v>
      </c>
      <c r="AU266">
        <v>-45.397193139730241</v>
      </c>
      <c r="AV266"/>
      <c r="AW266"/>
      <c r="FY266" s="212">
        <v>261</v>
      </c>
      <c r="FZ266">
        <v>56.640750671928046</v>
      </c>
      <c r="GA266">
        <v>107.4746783186342</v>
      </c>
      <c r="GB266">
        <v>62.343567266805465</v>
      </c>
      <c r="GC266">
        <v>23.241543355537704</v>
      </c>
      <c r="GD266">
        <v>12.395433174391091</v>
      </c>
      <c r="GE266">
        <v>14.099642217905819</v>
      </c>
      <c r="GF266">
        <v>36.973279949768788</v>
      </c>
      <c r="GG266">
        <v>36.148396077318473</v>
      </c>
      <c r="GH266">
        <v>24.31008096821774</v>
      </c>
      <c r="GI266">
        <v>41.72843256253887</v>
      </c>
      <c r="GJ266"/>
      <c r="GK266"/>
      <c r="GL266"/>
      <c r="GM266"/>
    </row>
    <row r="267" spans="1:195" s="7" customFormat="1">
      <c r="A267" s="1"/>
      <c r="B267">
        <v>1.2693228712323368E-2</v>
      </c>
      <c r="C267">
        <v>10</v>
      </c>
      <c r="D267">
        <v>39747</v>
      </c>
      <c r="E267">
        <v>0</v>
      </c>
      <c r="F267">
        <v>716.14583333333337</v>
      </c>
      <c r="G267">
        <v>585.9375</v>
      </c>
      <c r="H267">
        <v>260.41666666666669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880.57062420224452</v>
      </c>
      <c r="AO267">
        <v>56.528244486797618</v>
      </c>
      <c r="AP267">
        <v>127.67395362857415</v>
      </c>
      <c r="AQ267">
        <v>386.86265315907201</v>
      </c>
      <c r="AR267">
        <v>56.155184127020618</v>
      </c>
      <c r="AS267">
        <v>468.46084587078246</v>
      </c>
      <c r="AT267">
        <v>30.675054778838316</v>
      </c>
      <c r="AU267">
        <v>43.2218283307324</v>
      </c>
      <c r="AV267"/>
      <c r="AW267"/>
      <c r="FY267" s="212">
        <v>262</v>
      </c>
      <c r="FZ267">
        <v>36.197239266578485</v>
      </c>
      <c r="GA267">
        <v>146.23920653088331</v>
      </c>
      <c r="GB267">
        <v>82.457957214706141</v>
      </c>
      <c r="GC267">
        <v>19.409099886507835</v>
      </c>
      <c r="GD267">
        <v>13.597573541856029</v>
      </c>
      <c r="GE267">
        <v>15.735927449925574</v>
      </c>
      <c r="GF267">
        <v>19.451597358346159</v>
      </c>
      <c r="GG267">
        <v>26.668820414787398</v>
      </c>
      <c r="GH267">
        <v>32.434672817744378</v>
      </c>
      <c r="GI267">
        <v>42.418832581627456</v>
      </c>
      <c r="GJ267"/>
      <c r="GK267"/>
      <c r="GL267"/>
      <c r="GM267"/>
    </row>
    <row r="268" spans="1:195" s="7" customFormat="1">
      <c r="A268" s="1"/>
      <c r="B268">
        <v>0.31955176522164419</v>
      </c>
      <c r="C268">
        <v>6</v>
      </c>
      <c r="D268">
        <v>39775</v>
      </c>
      <c r="E268">
        <v>0</v>
      </c>
      <c r="F268">
        <v>52.083333333333336</v>
      </c>
      <c r="G268">
        <v>197.91666666666666</v>
      </c>
      <c r="H268">
        <v>83.333333333333329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604.79797795260083</v>
      </c>
      <c r="AO268">
        <v>38.695405490532913</v>
      </c>
      <c r="AP268">
        <v>41.721323319433822</v>
      </c>
      <c r="AQ268">
        <v>271.71712713752873</v>
      </c>
      <c r="AR268">
        <v>37.949231114062876</v>
      </c>
      <c r="AS268">
        <v>329.75178852004183</v>
      </c>
      <c r="AT268">
        <v>20.689078127079508</v>
      </c>
      <c r="AU268">
        <v>-35.348621910941546</v>
      </c>
      <c r="AV268"/>
      <c r="AW268"/>
      <c r="FY268" s="212">
        <v>263</v>
      </c>
      <c r="FZ268">
        <v>47.806180500072827</v>
      </c>
      <c r="GA268">
        <v>94.63436997890193</v>
      </c>
      <c r="GB268">
        <v>51.798574391319654</v>
      </c>
      <c r="GC268">
        <v>16.32179958129279</v>
      </c>
      <c r="GD268">
        <v>9.1312301731649796</v>
      </c>
      <c r="GE268">
        <v>18.762404185472782</v>
      </c>
      <c r="GF268">
        <v>43.157792201077818</v>
      </c>
      <c r="GG268">
        <v>40.135007129012912</v>
      </c>
      <c r="GH268">
        <v>38.823418378473129</v>
      </c>
      <c r="GI268">
        <v>39.252421628129618</v>
      </c>
      <c r="GJ268"/>
      <c r="GK268"/>
      <c r="GL268"/>
      <c r="GM268"/>
    </row>
    <row r="269" spans="1:195" s="7" customFormat="1">
      <c r="A269" s="1"/>
      <c r="B269">
        <v>5.0020183882223401E-2</v>
      </c>
      <c r="C269">
        <v>4</v>
      </c>
      <c r="D269">
        <v>39775</v>
      </c>
      <c r="E269">
        <v>0</v>
      </c>
      <c r="F269">
        <v>177.08333333333334</v>
      </c>
      <c r="G269">
        <v>416.66666666666669</v>
      </c>
      <c r="H269">
        <v>20.833333333333332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741.79167240871459</v>
      </c>
      <c r="AO269">
        <v>49.996373685421005</v>
      </c>
      <c r="AP269">
        <v>91.635708676897607</v>
      </c>
      <c r="AQ269">
        <v>341.85269072504786</v>
      </c>
      <c r="AR269">
        <v>49.028891498146947</v>
      </c>
      <c r="AS269">
        <v>408.87730847573368</v>
      </c>
      <c r="AT269">
        <v>25.369076970537396</v>
      </c>
      <c r="AU269">
        <v>1.8674417731797774</v>
      </c>
      <c r="AV269"/>
      <c r="AW269"/>
      <c r="FY269" s="212">
        <v>264</v>
      </c>
      <c r="FZ269">
        <v>49.312224400847455</v>
      </c>
      <c r="GA269">
        <v>74.662316746082737</v>
      </c>
      <c r="GB269">
        <v>37.276914082027901</v>
      </c>
      <c r="GC269">
        <v>17.986571576935578</v>
      </c>
      <c r="GD269">
        <v>14.417836715859197</v>
      </c>
      <c r="GE269">
        <v>17.995281513719995</v>
      </c>
      <c r="GF269">
        <v>28.816110673237869</v>
      </c>
      <c r="GG269">
        <v>30.532025478256521</v>
      </c>
      <c r="GH269">
        <v>28.71731608095541</v>
      </c>
      <c r="GI269">
        <v>34.619175036067126</v>
      </c>
      <c r="GJ269"/>
      <c r="GK269"/>
      <c r="GL269"/>
      <c r="GM269"/>
    </row>
    <row r="270" spans="1:195" s="7" customFormat="1">
      <c r="A270" s="1"/>
      <c r="B270">
        <v>0.17830830898219308</v>
      </c>
      <c r="C270">
        <v>3</v>
      </c>
      <c r="D270">
        <v>39775</v>
      </c>
      <c r="E270">
        <v>0</v>
      </c>
      <c r="F270">
        <v>416.66666666666669</v>
      </c>
      <c r="G270">
        <v>781.25</v>
      </c>
      <c r="H270">
        <v>156.25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719.89654376616716</v>
      </c>
      <c r="AO270">
        <v>48.215275778314364</v>
      </c>
      <c r="AP270">
        <v>71.837575897740166</v>
      </c>
      <c r="AQ270">
        <v>353.25532299285629</v>
      </c>
      <c r="AR270">
        <v>49.102793364356046</v>
      </c>
      <c r="AS270">
        <v>396.8219165299347</v>
      </c>
      <c r="AT270">
        <v>25.143174469431926</v>
      </c>
      <c r="AU270">
        <v>-30.465907008046216</v>
      </c>
      <c r="AV270"/>
      <c r="AW270"/>
      <c r="FY270" s="212">
        <v>265</v>
      </c>
      <c r="FZ270">
        <v>43.544727129968273</v>
      </c>
      <c r="GA270">
        <v>82.254877614123146</v>
      </c>
      <c r="GB270">
        <v>42.260213111862882</v>
      </c>
      <c r="GC270">
        <v>15.095890703735417</v>
      </c>
      <c r="GD270">
        <v>10.687157046793194</v>
      </c>
      <c r="GE270">
        <v>13.415073050698579</v>
      </c>
      <c r="GF270">
        <v>21.66310988276193</v>
      </c>
      <c r="GG270">
        <v>18.014965354851341</v>
      </c>
      <c r="GH270">
        <v>22.994323539588063</v>
      </c>
      <c r="GI270">
        <v>30.776614996596546</v>
      </c>
      <c r="GJ270"/>
      <c r="GK270"/>
      <c r="GL270"/>
      <c r="GM270"/>
    </row>
    <row r="271" spans="1:195" s="7" customFormat="1">
      <c r="A271" s="77"/>
      <c r="B271">
        <v>0.44994885783614347</v>
      </c>
      <c r="C271">
        <v>5</v>
      </c>
      <c r="D271">
        <v>39775</v>
      </c>
      <c r="E271">
        <v>0</v>
      </c>
      <c r="F271">
        <v>381.94345238095241</v>
      </c>
      <c r="G271">
        <v>625</v>
      </c>
      <c r="H271">
        <v>34.722023809523812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731.03265694907611</v>
      </c>
      <c r="AO271">
        <v>49.345094310037084</v>
      </c>
      <c r="AP271">
        <v>86.099154397039669</v>
      </c>
      <c r="AQ271">
        <v>337.38872285315875</v>
      </c>
      <c r="AR271">
        <v>48.161453615433082</v>
      </c>
      <c r="AS271">
        <v>431.39710748911313</v>
      </c>
      <c r="AT271">
        <v>25.84902413095951</v>
      </c>
      <c r="AU271">
        <v>2.3811403402774296</v>
      </c>
      <c r="AV271"/>
      <c r="AW271"/>
      <c r="FY271" s="212">
        <v>266</v>
      </c>
      <c r="FZ271">
        <v>64.356727961258017</v>
      </c>
      <c r="GA271">
        <v>98.331782109413822</v>
      </c>
      <c r="GB271">
        <v>55.419015079249789</v>
      </c>
      <c r="GC271">
        <v>21.036235183197533</v>
      </c>
      <c r="GD271">
        <v>15.078502821811233</v>
      </c>
      <c r="GE271">
        <v>22.054603307580642</v>
      </c>
      <c r="GF271">
        <v>17.32704147829449</v>
      </c>
      <c r="GG271">
        <v>27.342977474276815</v>
      </c>
      <c r="GH271">
        <v>38.255017312511974</v>
      </c>
      <c r="GI271">
        <v>41.200278668042316</v>
      </c>
      <c r="GJ271"/>
      <c r="GK271"/>
      <c r="GL271"/>
      <c r="GM271"/>
    </row>
    <row r="272" spans="1:195" s="7" customFormat="1">
      <c r="A272" s="77"/>
      <c r="B272">
        <v>0.27242121295290644</v>
      </c>
      <c r="C272">
        <v>5</v>
      </c>
      <c r="D272">
        <v>39775</v>
      </c>
      <c r="E272">
        <v>0</v>
      </c>
      <c r="F272">
        <v>381.94345238095241</v>
      </c>
      <c r="G272">
        <v>625</v>
      </c>
      <c r="H272">
        <v>34.722023809523812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645.98946066113137</v>
      </c>
      <c r="AO272">
        <v>48.402084003326699</v>
      </c>
      <c r="AP272">
        <v>60.201504564388401</v>
      </c>
      <c r="AQ272">
        <v>340.50207634283049</v>
      </c>
      <c r="AR272">
        <v>47.239130716611577</v>
      </c>
      <c r="AS272">
        <v>382.979597009781</v>
      </c>
      <c r="AT272">
        <v>22.436165650443623</v>
      </c>
      <c r="AU272">
        <v>-13.340582608601196</v>
      </c>
      <c r="AV272"/>
      <c r="AW272"/>
      <c r="FY272" s="212">
        <v>267</v>
      </c>
      <c r="FZ272">
        <v>52.845949017140725</v>
      </c>
      <c r="GA272">
        <v>103.76036365040029</v>
      </c>
      <c r="GB272">
        <v>63.069616089644647</v>
      </c>
      <c r="GC272">
        <v>22.725725350859371</v>
      </c>
      <c r="GD272">
        <v>12.995928682634437</v>
      </c>
      <c r="GE272">
        <v>15.923297574122206</v>
      </c>
      <c r="GF272">
        <v>36.522296463264993</v>
      </c>
      <c r="GG272">
        <v>31.440218204099352</v>
      </c>
      <c r="GH272">
        <v>22.695918748758736</v>
      </c>
      <c r="GI272">
        <v>41.406323014671109</v>
      </c>
      <c r="GJ272"/>
      <c r="GK272"/>
      <c r="GL272"/>
      <c r="GM272"/>
    </row>
    <row r="273" spans="1:195" s="7" customFormat="1">
      <c r="A273" s="1"/>
      <c r="B273">
        <v>0.53262484067795057</v>
      </c>
      <c r="C273">
        <v>4</v>
      </c>
      <c r="D273">
        <v>39775</v>
      </c>
      <c r="E273">
        <v>0</v>
      </c>
      <c r="F273">
        <v>177.08333333333334</v>
      </c>
      <c r="G273">
        <v>416.66666666666669</v>
      </c>
      <c r="H273">
        <v>20.833333333333332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937.30816925032616</v>
      </c>
      <c r="AO273">
        <v>57.320681799573251</v>
      </c>
      <c r="AP273">
        <v>96.810783821157202</v>
      </c>
      <c r="AQ273">
        <v>391.72122382502801</v>
      </c>
      <c r="AR273">
        <v>55.163923462131443</v>
      </c>
      <c r="AS273">
        <v>476.19634506563517</v>
      </c>
      <c r="AT273">
        <v>26.500473296108357</v>
      </c>
      <c r="AU273">
        <v>-6.0553391310013005</v>
      </c>
      <c r="AV273"/>
      <c r="AW273"/>
      <c r="FY273" s="212">
        <v>268</v>
      </c>
      <c r="FZ273">
        <v>40.686060814041682</v>
      </c>
      <c r="GA273">
        <v>101.48278377580311</v>
      </c>
      <c r="GB273">
        <v>55.057086232348361</v>
      </c>
      <c r="GC273">
        <v>19.701811917553034</v>
      </c>
      <c r="GD273">
        <v>13.563766750160202</v>
      </c>
      <c r="GE273">
        <v>17.531591815574302</v>
      </c>
      <c r="GF273">
        <v>41.186151722681174</v>
      </c>
      <c r="GG273">
        <v>30.772539670655821</v>
      </c>
      <c r="GH273">
        <v>21.051334285973116</v>
      </c>
      <c r="GI273">
        <v>38.384572032533278</v>
      </c>
      <c r="GJ273"/>
      <c r="GK273"/>
      <c r="GL273"/>
      <c r="GM273"/>
    </row>
    <row r="274" spans="1:195" s="7" customFormat="1">
      <c r="A274" s="1"/>
      <c r="B274">
        <v>0.85284784199700092</v>
      </c>
      <c r="C274">
        <v>6</v>
      </c>
      <c r="D274">
        <v>39775</v>
      </c>
      <c r="E274">
        <v>0</v>
      </c>
      <c r="F274">
        <v>52.083333333333336</v>
      </c>
      <c r="G274">
        <v>197.91666666666666</v>
      </c>
      <c r="H274">
        <v>83.333333333333329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585.57909049449631</v>
      </c>
      <c r="AO274">
        <v>45.225325590495103</v>
      </c>
      <c r="AP274">
        <v>48.579740629223608</v>
      </c>
      <c r="AQ274">
        <v>327.76940331420195</v>
      </c>
      <c r="AR274">
        <v>45.850159170249249</v>
      </c>
      <c r="AS274">
        <v>384.69160787251025</v>
      </c>
      <c r="AT274">
        <v>23.823957095780035</v>
      </c>
      <c r="AU274">
        <v>-58.262381913900477</v>
      </c>
      <c r="AV274"/>
      <c r="AW274"/>
      <c r="FY274" s="212">
        <v>269</v>
      </c>
      <c r="FZ274">
        <v>48.614429106609023</v>
      </c>
      <c r="GA274">
        <v>113.02358557462708</v>
      </c>
      <c r="GB274">
        <v>62.345269095327332</v>
      </c>
      <c r="GC274">
        <v>21.666527864914293</v>
      </c>
      <c r="GD274">
        <v>14.861946317984021</v>
      </c>
      <c r="GE274">
        <v>14.771404005690414</v>
      </c>
      <c r="GF274">
        <v>24.026174151805538</v>
      </c>
      <c r="GG274">
        <v>24.093194449002855</v>
      </c>
      <c r="GH274">
        <v>22.949276641405699</v>
      </c>
      <c r="GI274">
        <v>39.459908549801966</v>
      </c>
      <c r="GJ274"/>
      <c r="GK274"/>
      <c r="GL274"/>
      <c r="GM274"/>
    </row>
    <row r="275" spans="1:195" s="7" customFormat="1">
      <c r="A275" s="1"/>
      <c r="B275">
        <v>0.78614605769591961</v>
      </c>
      <c r="C275">
        <v>9</v>
      </c>
      <c r="D275">
        <v>39775</v>
      </c>
      <c r="E275">
        <v>0</v>
      </c>
      <c r="F275">
        <v>20.833333333333332</v>
      </c>
      <c r="G275">
        <v>83.333333333333329</v>
      </c>
      <c r="H275">
        <v>20.833333333333332</v>
      </c>
      <c r="I275">
        <v>0</v>
      </c>
      <c r="J275">
        <v>10.416666666666666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878.09841996690102</v>
      </c>
      <c r="AO275">
        <v>59.192663495778334</v>
      </c>
      <c r="AP275">
        <v>74.117694528341616</v>
      </c>
      <c r="AQ275">
        <v>403.85775218055164</v>
      </c>
      <c r="AR275">
        <v>56.581209140688792</v>
      </c>
      <c r="AS275">
        <v>457.47825690527412</v>
      </c>
      <c r="AT275">
        <v>27.650999869253003</v>
      </c>
      <c r="AU275">
        <v>-79.558889809709655</v>
      </c>
      <c r="AV275"/>
      <c r="AW275"/>
      <c r="FY275" s="212">
        <v>270</v>
      </c>
      <c r="FZ275">
        <v>36.437918975023123</v>
      </c>
      <c r="GA275">
        <v>166.5242265576787</v>
      </c>
      <c r="GB275">
        <v>86.850878279113289</v>
      </c>
      <c r="GC275">
        <v>16.689543360649068</v>
      </c>
      <c r="GD275">
        <v>10.734460258451227</v>
      </c>
      <c r="GE275">
        <v>12.015311660944839</v>
      </c>
      <c r="GF275">
        <v>45.177334860992119</v>
      </c>
      <c r="GG275">
        <v>46.110905074868349</v>
      </c>
      <c r="GH275">
        <v>32.276053168718306</v>
      </c>
      <c r="GI275">
        <v>46.582674151047541</v>
      </c>
      <c r="GJ275"/>
      <c r="GK275"/>
      <c r="GL275"/>
      <c r="GM275"/>
    </row>
    <row r="276" spans="1:195" s="7" customFormat="1">
      <c r="A276" s="1"/>
      <c r="B276">
        <v>0.78456384341647123</v>
      </c>
      <c r="C276">
        <v>7</v>
      </c>
      <c r="D276">
        <v>39775</v>
      </c>
      <c r="E276">
        <v>0</v>
      </c>
      <c r="F276">
        <v>425.87899831649833</v>
      </c>
      <c r="G276">
        <v>1131.8597222222222</v>
      </c>
      <c r="H276">
        <v>250.44653855629463</v>
      </c>
      <c r="I276">
        <v>14.204545454545453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791.67805128669193</v>
      </c>
      <c r="AO276">
        <v>56.631966554549578</v>
      </c>
      <c r="AP276">
        <v>77.875785512163105</v>
      </c>
      <c r="AQ276">
        <v>410.15056466018058</v>
      </c>
      <c r="AR276">
        <v>56.247111266294411</v>
      </c>
      <c r="AS276">
        <v>472.81899107570445</v>
      </c>
      <c r="AT276">
        <v>28.994035709674364</v>
      </c>
      <c r="AU276">
        <v>-70.690001521682234</v>
      </c>
      <c r="AV276"/>
      <c r="AW276"/>
      <c r="FY276" s="212">
        <v>271</v>
      </c>
      <c r="FZ276">
        <v>57.420591309619731</v>
      </c>
      <c r="GA276">
        <v>107.10265501951883</v>
      </c>
      <c r="GB276">
        <v>58.502911272192947</v>
      </c>
      <c r="GC276">
        <v>18.650957001044741</v>
      </c>
      <c r="GD276">
        <v>11.562338316042695</v>
      </c>
      <c r="GE276">
        <v>13.131940293853352</v>
      </c>
      <c r="GF276">
        <v>6.3258499335278708</v>
      </c>
      <c r="GG276">
        <v>11.834460606938991</v>
      </c>
      <c r="GH276">
        <v>30.234820947505817</v>
      </c>
      <c r="GI276">
        <v>35.7682424425401</v>
      </c>
      <c r="GJ276"/>
      <c r="GK276"/>
      <c r="GL276"/>
      <c r="GM276"/>
    </row>
    <row r="277" spans="1:195" s="7" customFormat="1">
      <c r="A277" s="1"/>
      <c r="B277">
        <v>0.22317254771514872</v>
      </c>
      <c r="C277">
        <v>2</v>
      </c>
      <c r="D277">
        <v>39775</v>
      </c>
      <c r="E277">
        <v>0</v>
      </c>
      <c r="F277">
        <v>351.73106060606062</v>
      </c>
      <c r="G277">
        <v>643.53352272727273</v>
      </c>
      <c r="H277">
        <v>256.62878787878788</v>
      </c>
      <c r="I277">
        <v>0</v>
      </c>
      <c r="J277">
        <v>10.416666666666666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855.92299031963432</v>
      </c>
      <c r="AO277">
        <v>58.759327455839923</v>
      </c>
      <c r="AP277">
        <v>64.865788511588107</v>
      </c>
      <c r="AQ277">
        <v>415.35580456304615</v>
      </c>
      <c r="AR277">
        <v>57.41554126512802</v>
      </c>
      <c r="AS277">
        <v>472.90910623306507</v>
      </c>
      <c r="AT277">
        <v>29.197609243884074</v>
      </c>
      <c r="AU277">
        <v>-43.923261934396216</v>
      </c>
      <c r="AV277"/>
      <c r="AW277"/>
      <c r="FY277" s="212">
        <v>272</v>
      </c>
      <c r="FZ277">
        <v>40.089150897052583</v>
      </c>
      <c r="GA277">
        <v>122.4989007742906</v>
      </c>
      <c r="GB277">
        <v>68.569865941760696</v>
      </c>
      <c r="GC277">
        <v>16.304028459935136</v>
      </c>
      <c r="GD277">
        <v>10.943501740168152</v>
      </c>
      <c r="GE277">
        <v>14.458959116738775</v>
      </c>
      <c r="GF277">
        <v>23.696693814844597</v>
      </c>
      <c r="GG277">
        <v>20.023115527409892</v>
      </c>
      <c r="GH277">
        <v>10.567676969040289</v>
      </c>
      <c r="GI277">
        <v>35.455016453205843</v>
      </c>
      <c r="GJ277"/>
      <c r="GK277"/>
      <c r="GL277"/>
      <c r="GM277"/>
    </row>
    <row r="278" spans="1:195" s="7" customFormat="1">
      <c r="A278" s="1"/>
      <c r="B278">
        <v>8.1577103006731377E-3</v>
      </c>
      <c r="C278">
        <v>9</v>
      </c>
      <c r="D278">
        <v>39799</v>
      </c>
      <c r="E278">
        <v>0</v>
      </c>
      <c r="F278">
        <v>0</v>
      </c>
      <c r="G278">
        <v>57.53391472868217</v>
      </c>
      <c r="H278">
        <v>57.53391472868217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886.99751462920744</v>
      </c>
      <c r="AO278">
        <v>60.388638411316151</v>
      </c>
      <c r="AP278">
        <v>50.382252059753398</v>
      </c>
      <c r="AQ278">
        <v>434.61092706296267</v>
      </c>
      <c r="AR278">
        <v>58.280260255450955</v>
      </c>
      <c r="AS278">
        <v>481.17138886367235</v>
      </c>
      <c r="AT278">
        <v>28.766764722235081</v>
      </c>
      <c r="AU278">
        <v>-123.55403197203562</v>
      </c>
      <c r="AV278"/>
      <c r="AW278"/>
      <c r="FY278" s="212">
        <v>273</v>
      </c>
      <c r="FZ278">
        <v>42.076588931894179</v>
      </c>
      <c r="GA278">
        <v>113.66633362645545</v>
      </c>
      <c r="GB278">
        <v>58.911504339594295</v>
      </c>
      <c r="GC278">
        <v>15.736545374078755</v>
      </c>
      <c r="GD278">
        <v>9.3842176032709919</v>
      </c>
      <c r="GE278">
        <v>14.429039843361437</v>
      </c>
      <c r="GF278">
        <v>44.035701275769505</v>
      </c>
      <c r="GG278">
        <v>33.560965124048025</v>
      </c>
      <c r="GH278">
        <v>13.147000074360482</v>
      </c>
      <c r="GI278">
        <v>36.516412619018936</v>
      </c>
      <c r="GJ278"/>
      <c r="GK278"/>
      <c r="GL278"/>
      <c r="GM278"/>
    </row>
    <row r="279" spans="1:195" s="7" customFormat="1">
      <c r="A279" s="1"/>
      <c r="B279">
        <v>0.91510140811953655</v>
      </c>
      <c r="C279">
        <v>7</v>
      </c>
      <c r="D279">
        <v>39799</v>
      </c>
      <c r="E279">
        <v>60.763888888888886</v>
      </c>
      <c r="F279">
        <v>668.40277777777771</v>
      </c>
      <c r="G279">
        <v>314.23611111111109</v>
      </c>
      <c r="H279">
        <v>125</v>
      </c>
      <c r="I279">
        <v>31.25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841.30354796932829</v>
      </c>
      <c r="AO279">
        <v>54.890924117548479</v>
      </c>
      <c r="AP279">
        <v>100.9606095832776</v>
      </c>
      <c r="AQ279">
        <v>399.82319814691846</v>
      </c>
      <c r="AR279">
        <v>53.944384765395959</v>
      </c>
      <c r="AS279">
        <v>473.67323295353287</v>
      </c>
      <c r="AT279">
        <v>28.337366986027117</v>
      </c>
      <c r="AU279">
        <v>-23.752964270491177</v>
      </c>
      <c r="AV279"/>
      <c r="AW279"/>
      <c r="FY279" s="212">
        <v>274</v>
      </c>
      <c r="FZ279">
        <v>56.280795703057024</v>
      </c>
      <c r="GA279">
        <v>98.289971776794644</v>
      </c>
      <c r="GB279">
        <v>57.495100519701943</v>
      </c>
      <c r="GC279">
        <v>19.293123796541945</v>
      </c>
      <c r="GD279">
        <v>12.346988839397746</v>
      </c>
      <c r="GE279">
        <v>14.049287800414575</v>
      </c>
      <c r="GF279">
        <v>9.876226780599147</v>
      </c>
      <c r="GG279">
        <v>16.012947042108976</v>
      </c>
      <c r="GH279">
        <v>27.422396950930679</v>
      </c>
      <c r="GI279">
        <v>35.918139816058265</v>
      </c>
      <c r="GJ279"/>
      <c r="GK279"/>
      <c r="GL279"/>
      <c r="GM279"/>
    </row>
    <row r="280" spans="1:195" s="7" customFormat="1">
      <c r="A280" s="1"/>
      <c r="B280">
        <v>0.29341573808514809</v>
      </c>
      <c r="C280">
        <v>10</v>
      </c>
      <c r="D280">
        <v>39799</v>
      </c>
      <c r="E280">
        <v>0</v>
      </c>
      <c r="F280">
        <v>20.833333333333332</v>
      </c>
      <c r="G280">
        <v>104.16666666666667</v>
      </c>
      <c r="H280">
        <v>20.833333333333332</v>
      </c>
      <c r="I280">
        <v>10.416666666666666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780.42739423712078</v>
      </c>
      <c r="AO280">
        <v>48.014481044229875</v>
      </c>
      <c r="AP280">
        <v>70.580459730108117</v>
      </c>
      <c r="AQ280">
        <v>334.33577230398981</v>
      </c>
      <c r="AR280">
        <v>47.313999094100062</v>
      </c>
      <c r="AS280">
        <v>433.83060709208274</v>
      </c>
      <c r="AT280">
        <v>25.552399136746999</v>
      </c>
      <c r="AU280">
        <v>-25.724176800290774</v>
      </c>
      <c r="AV280"/>
      <c r="AW280"/>
      <c r="FY280" s="212">
        <v>275</v>
      </c>
      <c r="FZ280">
        <v>48.261793295326214</v>
      </c>
      <c r="GA280">
        <v>100.30303400174213</v>
      </c>
      <c r="GB280">
        <v>60.950226837562738</v>
      </c>
      <c r="GC280">
        <v>22.718340008486756</v>
      </c>
      <c r="GD280">
        <v>11.7950950865186</v>
      </c>
      <c r="GE280">
        <v>12.617318254989412</v>
      </c>
      <c r="GF280">
        <v>30.071522122569078</v>
      </c>
      <c r="GG280">
        <v>28.497498675239171</v>
      </c>
      <c r="GH280">
        <v>26.80318860761388</v>
      </c>
      <c r="GI280">
        <v>38.75512866892619</v>
      </c>
      <c r="GJ280"/>
      <c r="GK280"/>
      <c r="GL280"/>
      <c r="GM280"/>
    </row>
    <row r="281" spans="1:195" s="7" customFormat="1">
      <c r="A281" s="1"/>
      <c r="B281">
        <v>0.27299401981929705</v>
      </c>
      <c r="C281">
        <v>6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41.666666666666664</v>
      </c>
      <c r="J281">
        <v>20.833333333333332</v>
      </c>
      <c r="K281">
        <v>20.833333333333332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663.48764171422431</v>
      </c>
      <c r="AO281">
        <v>42.291727772740245</v>
      </c>
      <c r="AP281">
        <v>67.138029275999713</v>
      </c>
      <c r="AQ281">
        <v>300.70695243097936</v>
      </c>
      <c r="AR281">
        <v>42.346850393156515</v>
      </c>
      <c r="AS281">
        <v>339.05996978136261</v>
      </c>
      <c r="AT281">
        <v>21.405570377201439</v>
      </c>
      <c r="AU281">
        <v>-42.156991817256532</v>
      </c>
      <c r="AV281"/>
      <c r="AW281"/>
      <c r="FY281" s="212">
        <v>276</v>
      </c>
      <c r="FZ281">
        <v>40.831191051798157</v>
      </c>
      <c r="GA281">
        <v>102.09073670145128</v>
      </c>
      <c r="GB281">
        <v>63.703048998011909</v>
      </c>
      <c r="GC281">
        <v>22.635001203396481</v>
      </c>
      <c r="GD281">
        <v>14.205148556507487</v>
      </c>
      <c r="GE281">
        <v>18.496397914634489</v>
      </c>
      <c r="GF281">
        <v>37.384155539637433</v>
      </c>
      <c r="GG281">
        <v>29.733867708803182</v>
      </c>
      <c r="GH281">
        <v>29.409934275147428</v>
      </c>
      <c r="GI281">
        <v>41.674217823192542</v>
      </c>
      <c r="GJ281"/>
      <c r="GK281"/>
      <c r="GL281"/>
      <c r="GM281"/>
    </row>
    <row r="282" spans="1:195" s="7" customFormat="1">
      <c r="A282" s="1"/>
      <c r="B282">
        <v>0.13691579445870583</v>
      </c>
      <c r="C282">
        <v>7</v>
      </c>
      <c r="D282">
        <v>39799</v>
      </c>
      <c r="E282">
        <v>60.763888888888886</v>
      </c>
      <c r="F282">
        <v>668.40277777777771</v>
      </c>
      <c r="G282">
        <v>314.23611111111109</v>
      </c>
      <c r="H282">
        <v>125</v>
      </c>
      <c r="I282">
        <v>31.25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865.51623520008184</v>
      </c>
      <c r="AO282">
        <v>56.974633653548644</v>
      </c>
      <c r="AP282">
        <v>73.241579737049506</v>
      </c>
      <c r="AQ282">
        <v>400.40218139563672</v>
      </c>
      <c r="AR282">
        <v>56.576462537198076</v>
      </c>
      <c r="AS282">
        <v>473.21959106889415</v>
      </c>
      <c r="AT282">
        <v>31.066610144220757</v>
      </c>
      <c r="AU282">
        <v>-47.899523013932225</v>
      </c>
      <c r="AV282"/>
      <c r="AW282"/>
      <c r="FY282" s="212">
        <v>277</v>
      </c>
      <c r="FZ282">
        <v>44.000485152831615</v>
      </c>
      <c r="GA282">
        <v>116.25364616115473</v>
      </c>
      <c r="GB282">
        <v>64.281286835781103</v>
      </c>
      <c r="GC282">
        <v>19.325283261184278</v>
      </c>
      <c r="GD282">
        <v>12.713696664819324</v>
      </c>
      <c r="GE282">
        <v>15.197093609800632</v>
      </c>
      <c r="GF282">
        <v>28.177996122969422</v>
      </c>
      <c r="GG282">
        <v>23.06429299734052</v>
      </c>
      <c r="GH282">
        <v>13.378959250947242</v>
      </c>
      <c r="GI282">
        <v>37.086942198995992</v>
      </c>
      <c r="GJ282"/>
      <c r="GK282"/>
      <c r="GL282"/>
      <c r="GM282"/>
    </row>
    <row r="283" spans="1:195" s="7" customFormat="1">
      <c r="A283" s="1"/>
      <c r="B283">
        <v>0.81962971972406207</v>
      </c>
      <c r="C283">
        <v>1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790.83764195178389</v>
      </c>
      <c r="AO283">
        <v>57.812916540789629</v>
      </c>
      <c r="AP283">
        <v>71.842360617632636</v>
      </c>
      <c r="AQ283">
        <v>403.38563679559587</v>
      </c>
      <c r="AR283">
        <v>57.104542033504494</v>
      </c>
      <c r="AS283">
        <v>487.69177596011747</v>
      </c>
      <c r="AT283">
        <v>29.509335733141853</v>
      </c>
      <c r="AU283">
        <v>-21.86278195943833</v>
      </c>
      <c r="AV283"/>
      <c r="AW283"/>
      <c r="FY283" s="212">
        <v>278</v>
      </c>
      <c r="FZ283">
        <v>45.679485739250353</v>
      </c>
      <c r="GA283">
        <v>78.039454746708785</v>
      </c>
      <c r="GB283">
        <v>41.248712500190692</v>
      </c>
      <c r="GC283">
        <v>16.238419903084658</v>
      </c>
      <c r="GD283">
        <v>11.401051058535472</v>
      </c>
      <c r="GE283">
        <v>18.121176901510964</v>
      </c>
      <c r="GF283">
        <v>34.004968827981543</v>
      </c>
      <c r="GG283">
        <v>34.316994800400401</v>
      </c>
      <c r="GH283">
        <v>35.052047425233788</v>
      </c>
      <c r="GI283">
        <v>35.464640104695285</v>
      </c>
      <c r="GJ283"/>
      <c r="GK283"/>
      <c r="GL283"/>
      <c r="GM283"/>
    </row>
    <row r="284" spans="1:195" s="7" customFormat="1">
      <c r="A284" s="1"/>
      <c r="B284">
        <v>0.53376799974089995</v>
      </c>
      <c r="C284">
        <v>8</v>
      </c>
      <c r="D284">
        <v>39799</v>
      </c>
      <c r="E284">
        <v>372.02380952380952</v>
      </c>
      <c r="F284">
        <v>1116.0714285714287</v>
      </c>
      <c r="G284">
        <v>446.42857142857144</v>
      </c>
      <c r="H284">
        <v>318.45238095238096</v>
      </c>
      <c r="I284">
        <v>10.416666666666666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871.01185591775027</v>
      </c>
      <c r="AO284">
        <v>54.077208703306631</v>
      </c>
      <c r="AP284">
        <v>85.3884992840146</v>
      </c>
      <c r="AQ284">
        <v>379.41769901732408</v>
      </c>
      <c r="AR284">
        <v>52.659520152125928</v>
      </c>
      <c r="AS284">
        <v>447.63096597080749</v>
      </c>
      <c r="AT284">
        <v>26.874618703474738</v>
      </c>
      <c r="AU284">
        <v>-51.343214817818875</v>
      </c>
      <c r="AV284"/>
      <c r="AW284"/>
      <c r="FY284" s="212">
        <v>279</v>
      </c>
      <c r="FZ284">
        <v>45.33523971973873</v>
      </c>
      <c r="GA284">
        <v>82.634095271306435</v>
      </c>
      <c r="GB284">
        <v>49.435079649122514</v>
      </c>
      <c r="GC284">
        <v>20.554333616831915</v>
      </c>
      <c r="GD284">
        <v>14.367352510469427</v>
      </c>
      <c r="GE284">
        <v>18.665395998921152</v>
      </c>
      <c r="GF284">
        <v>30.768280883432876</v>
      </c>
      <c r="GG284">
        <v>31.632789499970833</v>
      </c>
      <c r="GH284">
        <v>24.662636569749882</v>
      </c>
      <c r="GI284">
        <v>36.901230770402947</v>
      </c>
      <c r="GJ284"/>
      <c r="GK284"/>
      <c r="GL284"/>
      <c r="GM284"/>
    </row>
    <row r="285" spans="1:195" s="7" customFormat="1">
      <c r="A285" s="1"/>
      <c r="B285">
        <v>0.1295943598365441</v>
      </c>
      <c r="C285">
        <v>6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41.666666666666664</v>
      </c>
      <c r="J285">
        <v>20.833333333333332</v>
      </c>
      <c r="K285">
        <v>20.833333333333332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744.69954260877978</v>
      </c>
      <c r="AO285">
        <v>55.501877652207234</v>
      </c>
      <c r="AP285">
        <v>71.106304042087345</v>
      </c>
      <c r="AQ285">
        <v>385.81171575716814</v>
      </c>
      <c r="AR285">
        <v>54.51340622185198</v>
      </c>
      <c r="AS285">
        <v>421.53671920434704</v>
      </c>
      <c r="AT285">
        <v>27.017886417070958</v>
      </c>
      <c r="AU285">
        <v>-53.035164298515319</v>
      </c>
      <c r="AV285"/>
      <c r="AW285"/>
      <c r="FY285" s="212">
        <v>280</v>
      </c>
      <c r="FZ285">
        <v>34.508566595721277</v>
      </c>
      <c r="GA285">
        <v>72.232263168528661</v>
      </c>
      <c r="GB285">
        <v>47.64377332273795</v>
      </c>
      <c r="GC285">
        <v>18.356317878876045</v>
      </c>
      <c r="GD285">
        <v>10.67673013206274</v>
      </c>
      <c r="GE285">
        <v>14.539183759349134</v>
      </c>
      <c r="GF285">
        <v>10.803228470129461</v>
      </c>
      <c r="GG285">
        <v>16.616629491891139</v>
      </c>
      <c r="GH285">
        <v>21.379662711659464</v>
      </c>
      <c r="GI285">
        <v>28.502924908760924</v>
      </c>
      <c r="GJ285"/>
      <c r="GK285"/>
      <c r="GL285"/>
      <c r="GM285"/>
    </row>
    <row r="286" spans="1:195" s="7" customFormat="1">
      <c r="A286" s="1"/>
      <c r="B286">
        <v>0.86969747054686897</v>
      </c>
      <c r="C286">
        <v>2</v>
      </c>
      <c r="D286">
        <v>39799</v>
      </c>
      <c r="E286">
        <v>41.666666666666664</v>
      </c>
      <c r="F286">
        <v>322.91666666666669</v>
      </c>
      <c r="G286">
        <v>229.16666666666666</v>
      </c>
      <c r="H286">
        <v>93.75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922.27223711577153</v>
      </c>
      <c r="AO286">
        <v>66.781031391955224</v>
      </c>
      <c r="AP286">
        <v>69.992524914036125</v>
      </c>
      <c r="AQ286">
        <v>499.39930634748657</v>
      </c>
      <c r="AR286">
        <v>63.99849950141779</v>
      </c>
      <c r="AS286">
        <v>525.18715747675583</v>
      </c>
      <c r="AT286">
        <v>31.630713969403544</v>
      </c>
      <c r="AU286">
        <v>-206.74521517154841</v>
      </c>
      <c r="AV286"/>
      <c r="AW286"/>
      <c r="FY286" s="212">
        <v>281</v>
      </c>
      <c r="FZ286">
        <v>51.311223658860527</v>
      </c>
      <c r="GA286">
        <v>110.09154351803079</v>
      </c>
      <c r="GB286">
        <v>52.970884259700888</v>
      </c>
      <c r="GC286">
        <v>16.467392353517827</v>
      </c>
      <c r="GD286">
        <v>15.884499044013593</v>
      </c>
      <c r="GE286">
        <v>26.413854522309443</v>
      </c>
      <c r="GF286">
        <v>40.63462675423024</v>
      </c>
      <c r="GG286">
        <v>31.953809688948212</v>
      </c>
      <c r="GH286">
        <v>17.128622653475613</v>
      </c>
      <c r="GI286">
        <v>40.146878268835486</v>
      </c>
      <c r="GJ286"/>
      <c r="GK286"/>
      <c r="GL286"/>
      <c r="GM286"/>
    </row>
    <row r="287" spans="1:195" s="7" customFormat="1">
      <c r="A287" s="1"/>
      <c r="B287">
        <v>0.38913170710488121</v>
      </c>
      <c r="C287">
        <v>7</v>
      </c>
      <c r="D287">
        <v>39799</v>
      </c>
      <c r="E287">
        <v>60.763888888888886</v>
      </c>
      <c r="F287">
        <v>668.40277777777771</v>
      </c>
      <c r="G287">
        <v>314.23611111111109</v>
      </c>
      <c r="H287">
        <v>125</v>
      </c>
      <c r="I287">
        <v>31.25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676.61058378547614</v>
      </c>
      <c r="AO287">
        <v>48.979543415689847</v>
      </c>
      <c r="AP287">
        <v>33.124931426478312</v>
      </c>
      <c r="AQ287">
        <v>350.53476714278509</v>
      </c>
      <c r="AR287">
        <v>49.433189430318336</v>
      </c>
      <c r="AS287">
        <v>386.49709948779963</v>
      </c>
      <c r="AT287">
        <v>25.227953890736398</v>
      </c>
      <c r="AU287">
        <v>-72.990426208789899</v>
      </c>
      <c r="AV287"/>
      <c r="AW287"/>
      <c r="FY287" s="212">
        <v>282</v>
      </c>
      <c r="FZ287">
        <v>37.86369032309041</v>
      </c>
      <c r="GA287">
        <v>82.867307608178223</v>
      </c>
      <c r="GB287">
        <v>46.344367552672225</v>
      </c>
      <c r="GC287">
        <v>20.330830651240625</v>
      </c>
      <c r="GD287">
        <v>11.682458610995067</v>
      </c>
      <c r="GE287">
        <v>12.324811067810279</v>
      </c>
      <c r="GF287">
        <v>23.348330393749794</v>
      </c>
      <c r="GG287">
        <v>29.503005660404806</v>
      </c>
      <c r="GH287">
        <v>37.308336446403843</v>
      </c>
      <c r="GI287">
        <v>34.079762654364373</v>
      </c>
      <c r="GJ287"/>
      <c r="GK287"/>
      <c r="GL287"/>
      <c r="GM287"/>
    </row>
    <row r="288" spans="1:195" s="7" customFormat="1">
      <c r="A288" s="1"/>
      <c r="B288">
        <v>0.13500444384796939</v>
      </c>
      <c r="C288">
        <v>1</v>
      </c>
      <c r="D288">
        <v>39847</v>
      </c>
      <c r="E288">
        <v>69.94047619047619</v>
      </c>
      <c r="F288">
        <v>268.10515873015873</v>
      </c>
      <c r="G288">
        <v>116.5674603174603</v>
      </c>
      <c r="H288">
        <v>118.30357142857143</v>
      </c>
      <c r="I288">
        <v>10.416666666666666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693.17419181471178</v>
      </c>
      <c r="AO288">
        <v>50.844030519963958</v>
      </c>
      <c r="AP288">
        <v>57.854369908054188</v>
      </c>
      <c r="AQ288">
        <v>362.60690969444659</v>
      </c>
      <c r="AR288">
        <v>49.108337395724227</v>
      </c>
      <c r="AS288">
        <v>376.20108244347898</v>
      </c>
      <c r="AT288">
        <v>23.777601602128936</v>
      </c>
      <c r="AU288">
        <v>-50.993077860790407</v>
      </c>
      <c r="AV288"/>
      <c r="AW288"/>
      <c r="FY288" s="212">
        <v>283</v>
      </c>
      <c r="FZ288">
        <v>53.986327527368339</v>
      </c>
      <c r="GA288">
        <v>110.28741508162199</v>
      </c>
      <c r="GB288">
        <v>60.953886754273704</v>
      </c>
      <c r="GC288">
        <v>15.311157929262935</v>
      </c>
      <c r="GD288">
        <v>8.2726814897933689</v>
      </c>
      <c r="GE288">
        <v>10.76292901121184</v>
      </c>
      <c r="GF288">
        <v>27.281196434702569</v>
      </c>
      <c r="GG288">
        <v>23.97072955120975</v>
      </c>
      <c r="GH288">
        <v>25.233118314622846</v>
      </c>
      <c r="GI288">
        <v>36.968990138681619</v>
      </c>
      <c r="GJ288"/>
      <c r="GK288"/>
      <c r="GL288"/>
      <c r="GM288"/>
    </row>
    <row r="289" spans="1:195" s="7" customFormat="1">
      <c r="A289" s="1"/>
      <c r="B289">
        <v>0.51008594901192605</v>
      </c>
      <c r="C289">
        <v>6</v>
      </c>
      <c r="D289">
        <v>39847</v>
      </c>
      <c r="E289">
        <v>0</v>
      </c>
      <c r="F289">
        <v>0</v>
      </c>
      <c r="G289">
        <v>10.416666666666666</v>
      </c>
      <c r="H289">
        <v>0</v>
      </c>
      <c r="I289">
        <v>20.833333333333332</v>
      </c>
      <c r="J289">
        <v>20.833333333333332</v>
      </c>
      <c r="K289">
        <v>10.416666666666666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763.352515955748</v>
      </c>
      <c r="AO289">
        <v>52.408497906323625</v>
      </c>
      <c r="AP289">
        <v>113.66159236621809</v>
      </c>
      <c r="AQ289">
        <v>381.46430881185211</v>
      </c>
      <c r="AR289">
        <v>50.234970048361639</v>
      </c>
      <c r="AS289">
        <v>410.94381654958431</v>
      </c>
      <c r="AT289">
        <v>24.669708528335445</v>
      </c>
      <c r="AU289">
        <v>-30.723410989622504</v>
      </c>
      <c r="AV289"/>
      <c r="AW289"/>
      <c r="FY289" s="212">
        <v>284</v>
      </c>
      <c r="FZ289">
        <v>42.12615739990288</v>
      </c>
      <c r="GA289">
        <v>106.0080171903313</v>
      </c>
      <c r="GB289">
        <v>59.791271632872586</v>
      </c>
      <c r="GC289">
        <v>16.220714551530143</v>
      </c>
      <c r="GD289">
        <v>7.4505170915228431</v>
      </c>
      <c r="GE289">
        <v>7.7880319969452607</v>
      </c>
      <c r="GF289">
        <v>12.639016725081731</v>
      </c>
      <c r="GG289">
        <v>15.366367124126535</v>
      </c>
      <c r="GH289">
        <v>32.796246500270627</v>
      </c>
      <c r="GI289">
        <v>32.981880741988427</v>
      </c>
      <c r="GJ289"/>
      <c r="GK289"/>
      <c r="GL289"/>
      <c r="GM289"/>
    </row>
    <row r="290" spans="1:195" s="7" customFormat="1">
      <c r="A290" s="1"/>
      <c r="B290">
        <v>0.33644208948970933</v>
      </c>
      <c r="C290">
        <v>1</v>
      </c>
      <c r="D290">
        <v>39847</v>
      </c>
      <c r="E290">
        <v>69.94047619047619</v>
      </c>
      <c r="F290">
        <v>268.10515873015873</v>
      </c>
      <c r="G290">
        <v>116.5674603174603</v>
      </c>
      <c r="H290">
        <v>118.30357142857143</v>
      </c>
      <c r="I290">
        <v>10.416666666666666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652.23955560339004</v>
      </c>
      <c r="AO290">
        <v>49.10797514166471</v>
      </c>
      <c r="AP290">
        <v>53.594376360079124</v>
      </c>
      <c r="AQ290">
        <v>346.98497902560496</v>
      </c>
      <c r="AR290">
        <v>49.486583815941742</v>
      </c>
      <c r="AS290">
        <v>365.92971445381204</v>
      </c>
      <c r="AT290">
        <v>25.462637006155433</v>
      </c>
      <c r="AU290">
        <v>-44.426087642059592</v>
      </c>
      <c r="AV290"/>
      <c r="AW290"/>
      <c r="FY290" s="212">
        <v>285</v>
      </c>
      <c r="FZ290">
        <v>40.469854617970334</v>
      </c>
      <c r="GA290">
        <v>82.849110930540334</v>
      </c>
      <c r="GB290">
        <v>49.072414868013496</v>
      </c>
      <c r="GC290">
        <v>18.056224560752501</v>
      </c>
      <c r="GD290">
        <v>10.493244317762272</v>
      </c>
      <c r="GE290">
        <v>12.360058298948784</v>
      </c>
      <c r="GF290">
        <v>27.497521472719495</v>
      </c>
      <c r="GG290">
        <v>35.507550731885154</v>
      </c>
      <c r="GH290">
        <v>26.293760908890082</v>
      </c>
      <c r="GI290">
        <v>33.494129023296544</v>
      </c>
      <c r="GJ290"/>
      <c r="GK290"/>
      <c r="GL290"/>
      <c r="GM290"/>
    </row>
    <row r="291" spans="1:195" s="7" customFormat="1">
      <c r="A291" s="1"/>
      <c r="B291">
        <v>0.50126826947372205</v>
      </c>
      <c r="C291">
        <v>6</v>
      </c>
      <c r="D291">
        <v>39847</v>
      </c>
      <c r="E291">
        <v>0</v>
      </c>
      <c r="F291">
        <v>0</v>
      </c>
      <c r="G291">
        <v>10.416666666666666</v>
      </c>
      <c r="H291">
        <v>0</v>
      </c>
      <c r="I291">
        <v>20.833333333333332</v>
      </c>
      <c r="J291">
        <v>20.833333333333332</v>
      </c>
      <c r="K291">
        <v>10.416666666666666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766.98194112259227</v>
      </c>
      <c r="AO291">
        <v>53.833500833116247</v>
      </c>
      <c r="AP291">
        <v>75.798003878210551</v>
      </c>
      <c r="AQ291">
        <v>380.77314555897425</v>
      </c>
      <c r="AR291">
        <v>53.05124920851221</v>
      </c>
      <c r="AS291">
        <v>458.8307176053404</v>
      </c>
      <c r="AT291">
        <v>28.299390719125213</v>
      </c>
      <c r="AU291">
        <v>-14.567695987709186</v>
      </c>
      <c r="AV291"/>
      <c r="AW291"/>
      <c r="FY291" s="212">
        <v>286</v>
      </c>
      <c r="FZ291">
        <v>50.65543467952493</v>
      </c>
      <c r="GA291">
        <v>135.12878489313974</v>
      </c>
      <c r="GB291">
        <v>77.376149086909223</v>
      </c>
      <c r="GC291">
        <v>22.884355948999275</v>
      </c>
      <c r="GD291">
        <v>9.8641025108488538</v>
      </c>
      <c r="GE291">
        <v>7.5506676907039276</v>
      </c>
      <c r="GF291">
        <v>40.48356001625924</v>
      </c>
      <c r="GG291">
        <v>41.115361913338319</v>
      </c>
      <c r="GH291">
        <v>27.955667368402377</v>
      </c>
      <c r="GI291">
        <v>44.237506566197567</v>
      </c>
      <c r="GJ291"/>
      <c r="GK291"/>
      <c r="GL291"/>
      <c r="GM291"/>
    </row>
    <row r="292" spans="1:195" s="7" customFormat="1">
      <c r="A292" s="1"/>
      <c r="B292">
        <v>0.45855912670044097</v>
      </c>
      <c r="C292">
        <v>4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10.416666666666666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909.08925221251934</v>
      </c>
      <c r="AO292">
        <v>58.076959435157377</v>
      </c>
      <c r="AP292">
        <v>80.460221315293126</v>
      </c>
      <c r="AQ292">
        <v>400.16369977258034</v>
      </c>
      <c r="AR292">
        <v>57.406580321890658</v>
      </c>
      <c r="AS292">
        <v>472.0123598747125</v>
      </c>
      <c r="AT292">
        <v>28.848156190343815</v>
      </c>
      <c r="AU292">
        <v>-63.555756202339815</v>
      </c>
      <c r="AV292"/>
      <c r="AW292"/>
      <c r="FY292" s="212">
        <v>287</v>
      </c>
      <c r="FZ292">
        <v>40.590621547317575</v>
      </c>
      <c r="GA292">
        <v>68.131274302393351</v>
      </c>
      <c r="GB292">
        <v>41.529005637255246</v>
      </c>
      <c r="GC292">
        <v>20.138916224760052</v>
      </c>
      <c r="GD292">
        <v>15.090955578829389</v>
      </c>
      <c r="GE292">
        <v>16.615811843732907</v>
      </c>
      <c r="GF292">
        <v>10.778661994529338</v>
      </c>
      <c r="GG292">
        <v>21.409096747504279</v>
      </c>
      <c r="GH292">
        <v>43.707068783366324</v>
      </c>
      <c r="GI292">
        <v>33.978485539383122</v>
      </c>
      <c r="GJ292"/>
      <c r="GK292"/>
      <c r="GL292"/>
      <c r="GM292"/>
    </row>
    <row r="293" spans="1:195" s="7" customFormat="1">
      <c r="A293" s="1"/>
      <c r="B293">
        <v>0.34856788095978541</v>
      </c>
      <c r="C293">
        <v>6</v>
      </c>
      <c r="D293">
        <v>39847</v>
      </c>
      <c r="E293">
        <v>0</v>
      </c>
      <c r="F293">
        <v>0</v>
      </c>
      <c r="G293">
        <v>10.416666666666666</v>
      </c>
      <c r="H293">
        <v>0</v>
      </c>
      <c r="I293">
        <v>20.833333333333332</v>
      </c>
      <c r="J293">
        <v>20.833333333333332</v>
      </c>
      <c r="K293">
        <v>10.416666666666666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853.46908417538884</v>
      </c>
      <c r="AO293">
        <v>52.673093473989034</v>
      </c>
      <c r="AP293">
        <v>71.572276544785808</v>
      </c>
      <c r="AQ293">
        <v>373.47968225582486</v>
      </c>
      <c r="AR293">
        <v>50.93897864851418</v>
      </c>
      <c r="AS293">
        <v>445.87496118732247</v>
      </c>
      <c r="AT293">
        <v>25.382061856160689</v>
      </c>
      <c r="AU293">
        <v>-75.603024609754613</v>
      </c>
      <c r="AV293"/>
      <c r="AW293"/>
      <c r="FY293" s="212">
        <v>288</v>
      </c>
      <c r="FZ293">
        <v>53.184976791856144</v>
      </c>
      <c r="GA293">
        <v>86.137914114913315</v>
      </c>
      <c r="GB293">
        <v>49.978292898775614</v>
      </c>
      <c r="GC293">
        <v>19.99290116798845</v>
      </c>
      <c r="GD293">
        <v>11.681286304876846</v>
      </c>
      <c r="GE293">
        <v>17.032940969795568</v>
      </c>
      <c r="GF293">
        <v>23.998939980865156</v>
      </c>
      <c r="GG293">
        <v>14.832773826395153</v>
      </c>
      <c r="GH293">
        <v>23.982372586900304</v>
      </c>
      <c r="GI293">
        <v>35.247580411409345</v>
      </c>
      <c r="GJ293"/>
      <c r="GK293"/>
      <c r="GL293"/>
      <c r="GM293"/>
    </row>
    <row r="294" spans="1:195" s="7" customFormat="1">
      <c r="A294" s="1"/>
      <c r="B294">
        <v>0.77410618844913426</v>
      </c>
      <c r="C294">
        <v>8</v>
      </c>
      <c r="D294">
        <v>39847</v>
      </c>
      <c r="E294">
        <v>0</v>
      </c>
      <c r="F294">
        <v>69.444444444444443</v>
      </c>
      <c r="G294">
        <v>138.88888888888889</v>
      </c>
      <c r="H294">
        <v>10.416666666666666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732.67734166325943</v>
      </c>
      <c r="AO294">
        <v>49.490954354834059</v>
      </c>
      <c r="AP294">
        <v>75.388887527916879</v>
      </c>
      <c r="AQ294">
        <v>349.56695200759191</v>
      </c>
      <c r="AR294">
        <v>48.843926812484007</v>
      </c>
      <c r="AS294">
        <v>401.2677115236479</v>
      </c>
      <c r="AT294">
        <v>25.673493792722454</v>
      </c>
      <c r="AU294">
        <v>-29.734290989276325</v>
      </c>
      <c r="AV294"/>
      <c r="AW294"/>
      <c r="FY294" s="212">
        <v>289</v>
      </c>
      <c r="FZ294">
        <v>34.494469578856638</v>
      </c>
      <c r="GA294">
        <v>120.77379257196249</v>
      </c>
      <c r="GB294">
        <v>68.900200767572429</v>
      </c>
      <c r="GC294">
        <v>19.566503111943486</v>
      </c>
      <c r="GD294">
        <v>11.105630964148398</v>
      </c>
      <c r="GE294">
        <v>11.220319332034096</v>
      </c>
      <c r="GF294">
        <v>19.568140138903757</v>
      </c>
      <c r="GG294">
        <v>20.789959560458101</v>
      </c>
      <c r="GH294">
        <v>26.287442685637199</v>
      </c>
      <c r="GI294">
        <v>36.510229555955945</v>
      </c>
      <c r="GJ294"/>
      <c r="GK294"/>
      <c r="GL294"/>
      <c r="GM294"/>
    </row>
    <row r="295" spans="1:195" s="7" customFormat="1">
      <c r="A295" s="1"/>
      <c r="B295">
        <v>0.16085974530209546</v>
      </c>
      <c r="C295">
        <v>7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823.12099164646554</v>
      </c>
      <c r="AO295">
        <v>52.076871189299837</v>
      </c>
      <c r="AP295">
        <v>83.259027671578323</v>
      </c>
      <c r="AQ295">
        <v>354.95643448994673</v>
      </c>
      <c r="AR295">
        <v>50.812876310335852</v>
      </c>
      <c r="AS295">
        <v>395.60735294910063</v>
      </c>
      <c r="AT295">
        <v>26.015097023417436</v>
      </c>
      <c r="AU295">
        <v>-37.779756581444857</v>
      </c>
      <c r="AV295"/>
      <c r="AW295"/>
      <c r="FY295" s="212">
        <v>290</v>
      </c>
      <c r="FZ295">
        <v>42.222044033306958</v>
      </c>
      <c r="GA295">
        <v>120.50338776719769</v>
      </c>
      <c r="GB295">
        <v>69.895940938832879</v>
      </c>
      <c r="GC295">
        <v>20.434555023400943</v>
      </c>
      <c r="GD295">
        <v>12.491570006767086</v>
      </c>
      <c r="GE295">
        <v>13.836875097050434</v>
      </c>
      <c r="GF295">
        <v>31.826983097355782</v>
      </c>
      <c r="GG295">
        <v>28.501386515482054</v>
      </c>
      <c r="GH295">
        <v>32.125676692104904</v>
      </c>
      <c r="GI295">
        <v>41.774963356568506</v>
      </c>
      <c r="GJ295"/>
      <c r="GK295"/>
      <c r="GL295"/>
      <c r="GM295"/>
    </row>
    <row r="296" spans="1:195" s="7" customFormat="1">
      <c r="A296" s="1"/>
      <c r="B296">
        <v>0.86740943904779044</v>
      </c>
      <c r="C296">
        <v>9</v>
      </c>
      <c r="D296">
        <v>39847</v>
      </c>
      <c r="E296">
        <v>130.20833333333334</v>
      </c>
      <c r="F296">
        <v>455.72916666666663</v>
      </c>
      <c r="G296">
        <v>130.20833333333334</v>
      </c>
      <c r="H296">
        <v>10.416666666666666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706.19698731076915</v>
      </c>
      <c r="AO296">
        <v>40.526586497185441</v>
      </c>
      <c r="AP296">
        <v>86.848864887052557</v>
      </c>
      <c r="AQ296">
        <v>275.25928043971675</v>
      </c>
      <c r="AR296">
        <v>39.171292260364758</v>
      </c>
      <c r="AS296">
        <v>317.54143949420205</v>
      </c>
      <c r="AT296">
        <v>19.729265218415907</v>
      </c>
      <c r="AU296">
        <v>-20.540240414420349</v>
      </c>
      <c r="AV296"/>
      <c r="AW296"/>
      <c r="FY296" s="212">
        <v>291</v>
      </c>
      <c r="FZ296">
        <v>28.112157401409036</v>
      </c>
      <c r="GA296">
        <v>58.898508520298698</v>
      </c>
      <c r="GB296">
        <v>40.051846729496233</v>
      </c>
      <c r="GC296">
        <v>17.998528705720044</v>
      </c>
      <c r="GD296">
        <v>13.33785180616508</v>
      </c>
      <c r="GE296">
        <v>18.026489713088438</v>
      </c>
      <c r="GF296">
        <v>13.311007010771137</v>
      </c>
      <c r="GG296">
        <v>18.457689783204756</v>
      </c>
      <c r="GH296">
        <v>32.055756364989705</v>
      </c>
      <c r="GI296">
        <v>29.304379787045129</v>
      </c>
      <c r="GJ296"/>
      <c r="GK296"/>
      <c r="GL296"/>
      <c r="GM296"/>
    </row>
    <row r="297" spans="1:195" s="7" customFormat="1">
      <c r="A297" s="1"/>
      <c r="B297">
        <v>0.48741708516336235</v>
      </c>
      <c r="C297">
        <v>9</v>
      </c>
      <c r="D297">
        <v>39847</v>
      </c>
      <c r="E297">
        <v>130.20833333333334</v>
      </c>
      <c r="F297">
        <v>455.72916666666663</v>
      </c>
      <c r="G297">
        <v>130.20833333333334</v>
      </c>
      <c r="H297">
        <v>10.416666666666666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932.98880094708147</v>
      </c>
      <c r="AO297">
        <v>57.352203111547922</v>
      </c>
      <c r="AP297">
        <v>76.333818631177905</v>
      </c>
      <c r="AQ297">
        <v>403.00333472192261</v>
      </c>
      <c r="AR297">
        <v>55.174924142340913</v>
      </c>
      <c r="AS297">
        <v>454.24823797295431</v>
      </c>
      <c r="AT297">
        <v>27.746729951229472</v>
      </c>
      <c r="AU297">
        <v>-20.079241536977612</v>
      </c>
      <c r="AV297"/>
      <c r="AW297"/>
      <c r="FY297" s="212">
        <v>292</v>
      </c>
      <c r="FZ297">
        <v>48.098703439621104</v>
      </c>
      <c r="GA297">
        <v>82.02655534900282</v>
      </c>
      <c r="GB297">
        <v>43.4476519604872</v>
      </c>
      <c r="GC297">
        <v>19.06985675160584</v>
      </c>
      <c r="GD297">
        <v>10.307840398617964</v>
      </c>
      <c r="GE297">
        <v>9.8604315388750621</v>
      </c>
      <c r="GF297">
        <v>37.246280929801713</v>
      </c>
      <c r="GG297">
        <v>33.049806077329251</v>
      </c>
      <c r="GH297">
        <v>17.640272748742799</v>
      </c>
      <c r="GI297">
        <v>33.592348998332014</v>
      </c>
      <c r="GJ297"/>
      <c r="GK297"/>
      <c r="GL297"/>
      <c r="GM297"/>
    </row>
    <row r="298" spans="1:195" s="7" customFormat="1">
      <c r="A298" s="1"/>
      <c r="B298">
        <v>0.9166507323692461</v>
      </c>
      <c r="C298">
        <v>7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689.51064353349113</v>
      </c>
      <c r="AO298">
        <v>48.026302930118042</v>
      </c>
      <c r="AP298">
        <v>71.03528559420181</v>
      </c>
      <c r="AQ298">
        <v>335.65290096890965</v>
      </c>
      <c r="AR298">
        <v>46.799205813045198</v>
      </c>
      <c r="AS298">
        <v>406.24636248066582</v>
      </c>
      <c r="AT298">
        <v>24.288642909035065</v>
      </c>
      <c r="AU298">
        <v>-36.251213019931285</v>
      </c>
      <c r="AV298"/>
      <c r="AW298"/>
      <c r="FY298" s="212">
        <v>293</v>
      </c>
      <c r="FZ298">
        <v>39.66471888489562</v>
      </c>
      <c r="GA298">
        <v>70.364349914323682</v>
      </c>
      <c r="GB298">
        <v>41.916186279038882</v>
      </c>
      <c r="GC298">
        <v>22.038575860714861</v>
      </c>
      <c r="GD298">
        <v>12.514286752662015</v>
      </c>
      <c r="GE298">
        <v>12.338441955548097</v>
      </c>
      <c r="GF298">
        <v>42.521983282042825</v>
      </c>
      <c r="GG298">
        <v>37.054985839657832</v>
      </c>
      <c r="GH298">
        <v>24.020751271952271</v>
      </c>
      <c r="GI298">
        <v>35.043330230369754</v>
      </c>
      <c r="GJ298"/>
      <c r="GK298"/>
      <c r="GL298"/>
      <c r="GM298"/>
    </row>
    <row r="299" spans="1:195" s="7" customFormat="1">
      <c r="A299" s="1"/>
      <c r="B299">
        <v>0.18577194582445244</v>
      </c>
      <c r="C299">
        <v>9</v>
      </c>
      <c r="D299">
        <v>39910</v>
      </c>
      <c r="E299">
        <v>0</v>
      </c>
      <c r="F299">
        <v>1114.0046296296293</v>
      </c>
      <c r="G299">
        <v>810.18518518518511</v>
      </c>
      <c r="H299">
        <v>506.3657407407407</v>
      </c>
      <c r="I299">
        <v>0</v>
      </c>
      <c r="J299">
        <v>0</v>
      </c>
      <c r="K299">
        <v>68.75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684.35105382484892</v>
      </c>
      <c r="AO299">
        <v>50.351235612582293</v>
      </c>
      <c r="AP299">
        <v>86.150338744667522</v>
      </c>
      <c r="AQ299">
        <v>373.02843223274897</v>
      </c>
      <c r="AR299">
        <v>50.947554147631713</v>
      </c>
      <c r="AS299">
        <v>393.03563104627835</v>
      </c>
      <c r="AT299">
        <v>25.471683779716951</v>
      </c>
      <c r="AU299">
        <v>-19.77702901000653</v>
      </c>
      <c r="AV299"/>
      <c r="AW299"/>
      <c r="FY299" s="212">
        <v>294</v>
      </c>
      <c r="FZ299">
        <v>39.717145034437671</v>
      </c>
      <c r="GA299">
        <v>96.442412108134732</v>
      </c>
      <c r="GB299">
        <v>63.122619225501566</v>
      </c>
      <c r="GC299">
        <v>25.923913036016906</v>
      </c>
      <c r="GD299">
        <v>11.867727181731484</v>
      </c>
      <c r="GE299">
        <v>15.628629441852523</v>
      </c>
      <c r="GF299">
        <v>40.377183238768339</v>
      </c>
      <c r="GG299">
        <v>29.031146630639249</v>
      </c>
      <c r="GH299">
        <v>20.463559424173315</v>
      </c>
      <c r="GI299">
        <v>38.945982657808713</v>
      </c>
      <c r="GJ299"/>
      <c r="GK299"/>
      <c r="GL299"/>
      <c r="GM299"/>
    </row>
    <row r="300" spans="1:195" s="7" customFormat="1">
      <c r="A300" s="1"/>
      <c r="B300">
        <v>1.3337737162309793E-2</v>
      </c>
      <c r="C300">
        <v>6</v>
      </c>
      <c r="D300">
        <v>39910</v>
      </c>
      <c r="E300">
        <v>0</v>
      </c>
      <c r="F300">
        <v>0</v>
      </c>
      <c r="G300">
        <v>0</v>
      </c>
      <c r="H300">
        <v>20.833333333333332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598.5542016747645</v>
      </c>
      <c r="AO300">
        <v>45.200819942366095</v>
      </c>
      <c r="AP300">
        <v>49.986827270483388</v>
      </c>
      <c r="AQ300">
        <v>333.16822095457235</v>
      </c>
      <c r="AR300">
        <v>45.544386580392157</v>
      </c>
      <c r="AS300">
        <v>349.11929675833858</v>
      </c>
      <c r="AT300">
        <v>22.853345228694376</v>
      </c>
      <c r="AU300">
        <v>-66.170254797456238</v>
      </c>
      <c r="AV300"/>
      <c r="AW300"/>
      <c r="FY300" s="212">
        <v>295</v>
      </c>
      <c r="FZ300">
        <v>44.956130645214664</v>
      </c>
      <c r="GA300">
        <v>90.907819362578437</v>
      </c>
      <c r="GB300">
        <v>48.654890231785224</v>
      </c>
      <c r="GC300">
        <v>15.29914104577349</v>
      </c>
      <c r="GD300">
        <v>11.853149875870072</v>
      </c>
      <c r="GE300">
        <v>16.007236101586528</v>
      </c>
      <c r="GF300">
        <v>21.647489811113573</v>
      </c>
      <c r="GG300">
        <v>19.465571627052292</v>
      </c>
      <c r="GH300">
        <v>18.780605809061349</v>
      </c>
      <c r="GI300">
        <v>32.571595670650353</v>
      </c>
      <c r="GJ300"/>
      <c r="GK300"/>
      <c r="GL300"/>
      <c r="GM300"/>
    </row>
    <row r="301" spans="1:195" s="7" customFormat="1">
      <c r="A301" s="1"/>
      <c r="B301">
        <v>0.20348419177232357</v>
      </c>
      <c r="C301">
        <v>6</v>
      </c>
      <c r="D301">
        <v>39910</v>
      </c>
      <c r="E301">
        <v>0</v>
      </c>
      <c r="F301">
        <v>0</v>
      </c>
      <c r="G301">
        <v>0</v>
      </c>
      <c r="H301">
        <v>20.833333333333332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704.09226199946761</v>
      </c>
      <c r="AO301">
        <v>47.772993747119379</v>
      </c>
      <c r="AP301">
        <v>62.839277257317349</v>
      </c>
      <c r="AQ301">
        <v>336.09386973077898</v>
      </c>
      <c r="AR301">
        <v>46.048140562226621</v>
      </c>
      <c r="AS301">
        <v>372.74407834876416</v>
      </c>
      <c r="AT301">
        <v>24.06135490276705</v>
      </c>
      <c r="AU301">
        <v>-30.464354521801077</v>
      </c>
      <c r="AV301"/>
      <c r="AW301"/>
      <c r="FY301" s="212">
        <v>296</v>
      </c>
      <c r="FZ301">
        <v>41.882547454708678</v>
      </c>
      <c r="GA301">
        <v>101.86484659678148</v>
      </c>
      <c r="GB301">
        <v>49.64006797237586</v>
      </c>
      <c r="GC301">
        <v>17.279486856472325</v>
      </c>
      <c r="GD301">
        <v>13.282490763961162</v>
      </c>
      <c r="GE301">
        <v>12.383312106366517</v>
      </c>
      <c r="GF301">
        <v>16.807087307429008</v>
      </c>
      <c r="GG301">
        <v>19.326575706822425</v>
      </c>
      <c r="GH301">
        <v>20.028201815704776</v>
      </c>
      <c r="GI301">
        <v>32.622923512703238</v>
      </c>
      <c r="GJ301"/>
      <c r="GK301"/>
      <c r="GL301"/>
      <c r="GM301"/>
    </row>
    <row r="302" spans="1:195" s="7" customFormat="1">
      <c r="A302" s="1"/>
      <c r="B302">
        <v>0.32582219614468944</v>
      </c>
      <c r="C302">
        <v>1</v>
      </c>
      <c r="D302">
        <v>39910</v>
      </c>
      <c r="E302">
        <v>0</v>
      </c>
      <c r="F302">
        <v>0</v>
      </c>
      <c r="G302">
        <v>0</v>
      </c>
      <c r="H302">
        <v>10.416666666666666</v>
      </c>
      <c r="I302">
        <v>10.416666666666666</v>
      </c>
      <c r="J302">
        <v>10.416666666666666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957.99812794519471</v>
      </c>
      <c r="AO302">
        <v>62.411267743436703</v>
      </c>
      <c r="AP302">
        <v>108.21311678035988</v>
      </c>
      <c r="AQ302">
        <v>457.25159067432332</v>
      </c>
      <c r="AR302">
        <v>60.785440189428265</v>
      </c>
      <c r="AS302">
        <v>530.67680672835183</v>
      </c>
      <c r="AT302">
        <v>30.365627404303115</v>
      </c>
      <c r="AU302">
        <v>-26.250519183120012</v>
      </c>
      <c r="AV302"/>
      <c r="AW302"/>
      <c r="FY302" s="212">
        <v>297</v>
      </c>
      <c r="FZ302">
        <v>45.247036805034767</v>
      </c>
      <c r="GA302">
        <v>86.385110270641604</v>
      </c>
      <c r="GB302">
        <v>39.197478387506195</v>
      </c>
      <c r="GC302">
        <v>14.302484343309647</v>
      </c>
      <c r="GD302">
        <v>9.9277953403307393</v>
      </c>
      <c r="GE302">
        <v>11.932863689583547</v>
      </c>
      <c r="GF302">
        <v>6.5924784973239401</v>
      </c>
      <c r="GG302">
        <v>9.22579196205165</v>
      </c>
      <c r="GH302">
        <v>23.416145843461063</v>
      </c>
      <c r="GI302">
        <v>27.155840412362462</v>
      </c>
      <c r="GJ302"/>
      <c r="GK302"/>
      <c r="GL302"/>
      <c r="GM302"/>
    </row>
    <row r="303" spans="1:195" s="7" customFormat="1">
      <c r="A303" s="1"/>
      <c r="B303">
        <v>0.72158668488377953</v>
      </c>
      <c r="C303">
        <v>10</v>
      </c>
      <c r="D303">
        <v>39910</v>
      </c>
      <c r="E303">
        <v>208.33333333333334</v>
      </c>
      <c r="F303">
        <v>312.5</v>
      </c>
      <c r="G303">
        <v>937.5</v>
      </c>
      <c r="H303">
        <v>208.33333333333334</v>
      </c>
      <c r="I303">
        <v>177.08333333333334</v>
      </c>
      <c r="J303">
        <v>10.416666666666666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638.76404175180346</v>
      </c>
      <c r="AO303">
        <v>46.39984953839479</v>
      </c>
      <c r="AP303">
        <v>99.773183658323717</v>
      </c>
      <c r="AQ303">
        <v>311.96989819907157</v>
      </c>
      <c r="AR303">
        <v>46.815706009115431</v>
      </c>
      <c r="AS303">
        <v>379.80103594686386</v>
      </c>
      <c r="AT303">
        <v>25.787630249427139</v>
      </c>
      <c r="AU303">
        <v>-87.164623692150812</v>
      </c>
      <c r="AV303"/>
      <c r="AW303"/>
      <c r="FY303" s="212">
        <v>298</v>
      </c>
      <c r="FZ303">
        <v>47.89494065940557</v>
      </c>
      <c r="GA303">
        <v>140.40091786657433</v>
      </c>
      <c r="GB303">
        <v>78.789231659325054</v>
      </c>
      <c r="GC303">
        <v>21.038356166704229</v>
      </c>
      <c r="GD303">
        <v>14.859174537400898</v>
      </c>
      <c r="GE303">
        <v>18.628414442854222</v>
      </c>
      <c r="GF303">
        <v>29.651934479794345</v>
      </c>
      <c r="GG303">
        <v>38.308695530677703</v>
      </c>
      <c r="GH303">
        <v>36.717136287682209</v>
      </c>
      <c r="GI303">
        <v>46.655075218050392</v>
      </c>
      <c r="GJ303"/>
      <c r="GK303"/>
      <c r="GL303"/>
      <c r="GM303"/>
    </row>
    <row r="304" spans="1:195" s="7" customFormat="1">
      <c r="A304" s="1"/>
      <c r="B304">
        <v>0.5935444232439786</v>
      </c>
      <c r="C304">
        <v>9</v>
      </c>
      <c r="D304">
        <v>39910</v>
      </c>
      <c r="E304">
        <v>0</v>
      </c>
      <c r="F304">
        <v>1114.0046296296293</v>
      </c>
      <c r="G304">
        <v>810.18518518518511</v>
      </c>
      <c r="H304">
        <v>506.3657407407407</v>
      </c>
      <c r="I304">
        <v>0</v>
      </c>
      <c r="J304">
        <v>0</v>
      </c>
      <c r="K304">
        <v>68.75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762.90616518813499</v>
      </c>
      <c r="AO304">
        <v>48.002286480387802</v>
      </c>
      <c r="AP304">
        <v>59.466632588224691</v>
      </c>
      <c r="AQ304">
        <v>336.06997905377585</v>
      </c>
      <c r="AR304">
        <v>48.456902568641752</v>
      </c>
      <c r="AS304">
        <v>395.31536066047101</v>
      </c>
      <c r="AT304">
        <v>25.549051938310175</v>
      </c>
      <c r="AU304">
        <v>-42.073514747081759</v>
      </c>
      <c r="AV304"/>
      <c r="AW304"/>
      <c r="FY304" s="212">
        <v>299</v>
      </c>
      <c r="FZ304">
        <v>53.346173693574499</v>
      </c>
      <c r="GA304">
        <v>94.468455818256203</v>
      </c>
      <c r="GB304">
        <v>59.078952809958658</v>
      </c>
      <c r="GC304">
        <v>20.887849915586756</v>
      </c>
      <c r="GD304">
        <v>10.896255421469608</v>
      </c>
      <c r="GE304">
        <v>18.136074427164665</v>
      </c>
      <c r="GF304">
        <v>34.958664018745154</v>
      </c>
      <c r="GG304">
        <v>31.646761027387551</v>
      </c>
      <c r="GH304">
        <v>36.434971904381683</v>
      </c>
      <c r="GI304">
        <v>41.120740369952031</v>
      </c>
      <c r="GJ304"/>
      <c r="GK304"/>
      <c r="GL304"/>
      <c r="GM304"/>
    </row>
    <row r="305" spans="1:195" s="7" customFormat="1">
      <c r="A305" s="1"/>
      <c r="B305">
        <v>0.77974205008739927</v>
      </c>
      <c r="C305">
        <v>4</v>
      </c>
      <c r="D305">
        <v>39910</v>
      </c>
      <c r="E305">
        <v>0</v>
      </c>
      <c r="F305">
        <v>34.722222222222221</v>
      </c>
      <c r="G305">
        <v>34.722222222222221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704.97090614012154</v>
      </c>
      <c r="AO305">
        <v>51.891726580993506</v>
      </c>
      <c r="AP305">
        <v>60.51540734286332</v>
      </c>
      <c r="AQ305">
        <v>369.21668826747248</v>
      </c>
      <c r="AR305">
        <v>50.391934777717573</v>
      </c>
      <c r="AS305">
        <v>405.78649924127865</v>
      </c>
      <c r="AT305">
        <v>24.423789649903522</v>
      </c>
      <c r="AU305">
        <v>-60.977989812886833</v>
      </c>
      <c r="AV305"/>
      <c r="AW305"/>
      <c r="FY305" s="212">
        <v>300</v>
      </c>
      <c r="FZ305">
        <v>49.789167379318641</v>
      </c>
      <c r="GA305">
        <v>134.50654214284</v>
      </c>
      <c r="GB305">
        <v>67.132455600063707</v>
      </c>
      <c r="GC305">
        <v>18.30780216042583</v>
      </c>
      <c r="GD305">
        <v>13.942656105436104</v>
      </c>
      <c r="GE305">
        <v>18.238134180229306</v>
      </c>
      <c r="GF305">
        <v>20.51615010633698</v>
      </c>
      <c r="GG305">
        <v>16.50769409754157</v>
      </c>
      <c r="GH305">
        <v>23.083794381181896</v>
      </c>
      <c r="GI305">
        <v>39.538250395374241</v>
      </c>
      <c r="GJ305"/>
      <c r="GK305"/>
      <c r="GL305"/>
      <c r="GM305"/>
    </row>
    <row r="306" spans="1:195" s="7" customFormat="1">
      <c r="A306" s="1"/>
      <c r="B306">
        <v>0.22896189280538692</v>
      </c>
      <c r="C306">
        <v>10</v>
      </c>
      <c r="D306">
        <v>39910</v>
      </c>
      <c r="E306">
        <v>208.33333333333334</v>
      </c>
      <c r="F306">
        <v>312.5</v>
      </c>
      <c r="G306">
        <v>937.5</v>
      </c>
      <c r="H306">
        <v>208.33333333333334</v>
      </c>
      <c r="I306">
        <v>177.08333333333334</v>
      </c>
      <c r="J306">
        <v>10.416666666666666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873.67488676775974</v>
      </c>
      <c r="AO306">
        <v>57.870431566044701</v>
      </c>
      <c r="AP306">
        <v>86.468116785410558</v>
      </c>
      <c r="AQ306">
        <v>413.61338252806718</v>
      </c>
      <c r="AR306">
        <v>57.479638244449902</v>
      </c>
      <c r="AS306">
        <v>469.30652414358332</v>
      </c>
      <c r="AT306">
        <v>28.52748462372568</v>
      </c>
      <c r="AU306">
        <v>-24.037012087477002</v>
      </c>
      <c r="AV306"/>
      <c r="AW306"/>
      <c r="FY306" s="212">
        <v>301</v>
      </c>
      <c r="FZ306">
        <v>51.873249642220898</v>
      </c>
      <c r="GA306">
        <v>119.78087465908986</v>
      </c>
      <c r="GB306">
        <v>61.976522943720632</v>
      </c>
      <c r="GC306">
        <v>14.510517168117998</v>
      </c>
      <c r="GD306">
        <v>5.1985817546093598</v>
      </c>
      <c r="GE306">
        <v>11.532480061939726</v>
      </c>
      <c r="GF306">
        <v>23.03231756058987</v>
      </c>
      <c r="GG306">
        <v>19.103980358817665</v>
      </c>
      <c r="GH306">
        <v>25.919225769852599</v>
      </c>
      <c r="GI306">
        <v>34.508191626445779</v>
      </c>
      <c r="GJ306"/>
      <c r="GK306"/>
      <c r="GL306"/>
      <c r="GM306"/>
    </row>
    <row r="307" spans="1:195" s="7" customFormat="1">
      <c r="A307" s="1"/>
      <c r="B307">
        <v>0.52128050209979859</v>
      </c>
      <c r="C307">
        <v>3</v>
      </c>
      <c r="D307">
        <v>39910</v>
      </c>
      <c r="E307">
        <v>694.44444444444446</v>
      </c>
      <c r="F307">
        <v>809.65909090909099</v>
      </c>
      <c r="G307">
        <v>1302.0833333333335</v>
      </c>
      <c r="H307">
        <v>260.41666666666669</v>
      </c>
      <c r="I307">
        <v>85.22727272727272</v>
      </c>
      <c r="J307">
        <v>28.409090909090907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702.23143288491337</v>
      </c>
      <c r="AO307">
        <v>40.772007595400048</v>
      </c>
      <c r="AP307">
        <v>56.728836614335663</v>
      </c>
      <c r="AQ307">
        <v>269.55421582218827</v>
      </c>
      <c r="AR307">
        <v>40.190684274250607</v>
      </c>
      <c r="AS307">
        <v>361.06059369053116</v>
      </c>
      <c r="AT307">
        <v>21.376648564338382</v>
      </c>
      <c r="AU307">
        <v>-40.674217317112266</v>
      </c>
      <c r="AV307"/>
      <c r="AW307"/>
      <c r="FY307" s="212">
        <v>302</v>
      </c>
      <c r="FZ307">
        <v>45.816724794576295</v>
      </c>
      <c r="GA307">
        <v>109.5824373536246</v>
      </c>
      <c r="GB307">
        <v>55.538095339304853</v>
      </c>
      <c r="GC307">
        <v>13.997602711189284</v>
      </c>
      <c r="GD307">
        <v>9.7954597017514118</v>
      </c>
      <c r="GE307">
        <v>10.898488421186471</v>
      </c>
      <c r="GF307">
        <v>31.158299461946577</v>
      </c>
      <c r="GG307">
        <v>28.418044503684442</v>
      </c>
      <c r="GH307">
        <v>15.243142180562982</v>
      </c>
      <c r="GI307">
        <v>34.37360468973138</v>
      </c>
      <c r="GJ307"/>
      <c r="GK307"/>
      <c r="GL307"/>
      <c r="GM307"/>
    </row>
    <row r="308" spans="1:195" s="7" customFormat="1">
      <c r="A308" s="1"/>
      <c r="B308">
        <v>0.16013534691981146</v>
      </c>
      <c r="C308">
        <v>10</v>
      </c>
      <c r="D308">
        <v>39949</v>
      </c>
      <c r="E308">
        <v>0</v>
      </c>
      <c r="F308">
        <v>0</v>
      </c>
      <c r="G308">
        <v>179.59770114942526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698.20788664252859</v>
      </c>
      <c r="AO308">
        <v>47.307629932246257</v>
      </c>
      <c r="AP308">
        <v>73.977371149049105</v>
      </c>
      <c r="AQ308">
        <v>334.33974819241575</v>
      </c>
      <c r="AR308">
        <v>46.204326552733214</v>
      </c>
      <c r="AS308">
        <v>383.39596263023242</v>
      </c>
      <c r="AT308">
        <v>23.294715839381794</v>
      </c>
      <c r="AU308">
        <v>-22.051969924483462</v>
      </c>
      <c r="AV308"/>
      <c r="AW308"/>
      <c r="FY308" s="212">
        <v>303</v>
      </c>
      <c r="FZ308">
        <v>50.176079988372273</v>
      </c>
      <c r="GA308">
        <v>81.209284051500575</v>
      </c>
      <c r="GB308">
        <v>40.06383197464757</v>
      </c>
      <c r="GC308">
        <v>16.081441229861856</v>
      </c>
      <c r="GD308">
        <v>10.947641823775465</v>
      </c>
      <c r="GE308">
        <v>13.515515285754823</v>
      </c>
      <c r="GF308">
        <v>17.442517847079049</v>
      </c>
      <c r="GG308">
        <v>22.031984013481562</v>
      </c>
      <c r="GH308">
        <v>28.04627619684835</v>
      </c>
      <c r="GI308">
        <v>31.414935834878531</v>
      </c>
      <c r="GJ308"/>
      <c r="GK308"/>
      <c r="GL308"/>
      <c r="GM308"/>
    </row>
    <row r="309" spans="1:195" s="7" customFormat="1">
      <c r="A309" s="1"/>
      <c r="B309">
        <v>0.85359577280263821</v>
      </c>
      <c r="C309">
        <v>3</v>
      </c>
      <c r="D309">
        <v>39949</v>
      </c>
      <c r="E309">
        <v>0</v>
      </c>
      <c r="F309">
        <v>324.07407407407408</v>
      </c>
      <c r="G309">
        <v>831.01851851851848</v>
      </c>
      <c r="H309">
        <v>41.666666666666664</v>
      </c>
      <c r="I309">
        <v>20.833333333333332</v>
      </c>
      <c r="J309">
        <v>20.833333333333332</v>
      </c>
      <c r="K309">
        <v>31.25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778.97198042032983</v>
      </c>
      <c r="AO309">
        <v>49.115694740447168</v>
      </c>
      <c r="AP309">
        <v>78.807725299556608</v>
      </c>
      <c r="AQ309">
        <v>337.47761027120583</v>
      </c>
      <c r="AR309">
        <v>47.92846067733921</v>
      </c>
      <c r="AS309">
        <v>413.86251863323105</v>
      </c>
      <c r="AT309">
        <v>25.681890571829214</v>
      </c>
      <c r="AU309">
        <v>-42.902593012990742</v>
      </c>
      <c r="AV309"/>
      <c r="AW309"/>
      <c r="FY309" s="212">
        <v>304</v>
      </c>
      <c r="FZ309">
        <v>58.208407646333697</v>
      </c>
      <c r="GA309">
        <v>121.49675357837491</v>
      </c>
      <c r="GB309">
        <v>59.98639262299092</v>
      </c>
      <c r="GC309">
        <v>14.928866578776638</v>
      </c>
      <c r="GD309">
        <v>12.75139502087158</v>
      </c>
      <c r="GE309">
        <v>16.817975180324485</v>
      </c>
      <c r="GF309">
        <v>41.033077590248979</v>
      </c>
      <c r="GG309">
        <v>47.339357872039805</v>
      </c>
      <c r="GH309">
        <v>33.596187845651059</v>
      </c>
      <c r="GI309">
        <v>43.745148315844453</v>
      </c>
      <c r="GJ309"/>
      <c r="GK309"/>
      <c r="GL309"/>
      <c r="GM309"/>
    </row>
    <row r="310" spans="1:195" s="7" customFormat="1">
      <c r="A310" s="1"/>
      <c r="B310">
        <v>0.82781686013171218</v>
      </c>
      <c r="C310">
        <v>9</v>
      </c>
      <c r="D310">
        <v>39949</v>
      </c>
      <c r="E310">
        <v>0</v>
      </c>
      <c r="F310">
        <v>0</v>
      </c>
      <c r="G310">
        <v>20.833333333333332</v>
      </c>
      <c r="H310">
        <v>20.833333333333332</v>
      </c>
      <c r="I310">
        <v>10.416666666666666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929.37207510360292</v>
      </c>
      <c r="AO310">
        <v>55.239889007384214</v>
      </c>
      <c r="AP310">
        <v>85.452853550543963</v>
      </c>
      <c r="AQ310">
        <v>381.52031797906449</v>
      </c>
      <c r="AR310">
        <v>53.291504012487721</v>
      </c>
      <c r="AS310">
        <v>473.18278951013775</v>
      </c>
      <c r="AT310">
        <v>28.23443284306769</v>
      </c>
      <c r="AU310">
        <v>-40.362532892261406</v>
      </c>
      <c r="AV310"/>
      <c r="AW310"/>
      <c r="FY310" s="212">
        <v>305</v>
      </c>
      <c r="FZ310">
        <v>52.71335920770337</v>
      </c>
      <c r="GA310">
        <v>100.43167431142336</v>
      </c>
      <c r="GB310">
        <v>49.879710419750715</v>
      </c>
      <c r="GC310">
        <v>14.240770423297809</v>
      </c>
      <c r="GD310">
        <v>10.938026830696444</v>
      </c>
      <c r="GE310">
        <v>18.309639278482592</v>
      </c>
      <c r="GF310">
        <v>33.229034809834808</v>
      </c>
      <c r="GG310">
        <v>27.443315857024015</v>
      </c>
      <c r="GH310">
        <v>27.296268176729633</v>
      </c>
      <c r="GI310">
        <v>36.967667122774621</v>
      </c>
      <c r="GJ310"/>
      <c r="GK310"/>
      <c r="GL310"/>
      <c r="GM310"/>
    </row>
    <row r="311" spans="1:195" s="7" customFormat="1">
      <c r="A311" s="1"/>
      <c r="B311">
        <v>0.42454797343119299</v>
      </c>
      <c r="C311">
        <v>10</v>
      </c>
      <c r="D311">
        <v>39949</v>
      </c>
      <c r="E311">
        <v>0</v>
      </c>
      <c r="F311">
        <v>0</v>
      </c>
      <c r="G311">
        <v>179.59770114942526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678.42371815313857</v>
      </c>
      <c r="AO311">
        <v>45.362159952506907</v>
      </c>
      <c r="AP311">
        <v>64.013691981119337</v>
      </c>
      <c r="AQ311">
        <v>320.14363018068599</v>
      </c>
      <c r="AR311">
        <v>44.861965658754073</v>
      </c>
      <c r="AS311">
        <v>386.53732561944366</v>
      </c>
      <c r="AT311">
        <v>23.214573127092624</v>
      </c>
      <c r="AU311">
        <v>-14.441986587236507</v>
      </c>
      <c r="AV311"/>
      <c r="AW311"/>
      <c r="FY311" s="212">
        <v>306</v>
      </c>
      <c r="FZ311">
        <v>43.478573207773188</v>
      </c>
      <c r="GA311">
        <v>81.563498341978715</v>
      </c>
      <c r="GB311">
        <v>46.129642843577017</v>
      </c>
      <c r="GC311">
        <v>17.788922609184574</v>
      </c>
      <c r="GD311">
        <v>12.22727137674698</v>
      </c>
      <c r="GE311">
        <v>20.240969899444913</v>
      </c>
      <c r="GF311">
        <v>30.641793490346341</v>
      </c>
      <c r="GG311">
        <v>28.542756648956001</v>
      </c>
      <c r="GH311">
        <v>31.17701144711916</v>
      </c>
      <c r="GI311">
        <v>35.550262904397073</v>
      </c>
      <c r="GJ311"/>
      <c r="GK311"/>
      <c r="GL311"/>
      <c r="GM311"/>
    </row>
    <row r="312" spans="1:195" s="7" customFormat="1">
      <c r="A312" s="1"/>
      <c r="B312">
        <v>0.42215822479418641</v>
      </c>
      <c r="C312">
        <v>10</v>
      </c>
      <c r="D312">
        <v>39949</v>
      </c>
      <c r="E312">
        <v>0</v>
      </c>
      <c r="F312">
        <v>0</v>
      </c>
      <c r="G312">
        <v>179.59770114942526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653.64180160869546</v>
      </c>
      <c r="AO312">
        <v>46.446298970658134</v>
      </c>
      <c r="AP312">
        <v>83.108345319993802</v>
      </c>
      <c r="AQ312">
        <v>325.11754009332549</v>
      </c>
      <c r="AR312">
        <v>45.108655587481586</v>
      </c>
      <c r="AS312">
        <v>362.97923611021292</v>
      </c>
      <c r="AT312">
        <v>22.703056891788549</v>
      </c>
      <c r="AU312">
        <v>-58.934665393370949</v>
      </c>
      <c r="AV312"/>
      <c r="AW312"/>
      <c r="FY312" s="212">
        <v>307</v>
      </c>
      <c r="FZ312">
        <v>47.957932113665585</v>
      </c>
      <c r="GA312">
        <v>67.164457174917857</v>
      </c>
      <c r="GB312">
        <v>52.516751272276451</v>
      </c>
      <c r="GC312">
        <v>23.831859947357781</v>
      </c>
      <c r="GD312">
        <v>12.811256500776572</v>
      </c>
      <c r="GE312">
        <v>19.207261768397014</v>
      </c>
      <c r="GF312">
        <v>36.429687846924061</v>
      </c>
      <c r="GG312">
        <v>28.94526097300102</v>
      </c>
      <c r="GH312">
        <v>25.797297610517322</v>
      </c>
      <c r="GI312">
        <v>38.180594591269333</v>
      </c>
      <c r="GJ312"/>
      <c r="GK312"/>
      <c r="GL312"/>
      <c r="GM312"/>
    </row>
    <row r="313" spans="1:195" s="7" customFormat="1">
      <c r="A313" s="1"/>
      <c r="B313">
        <v>0.39669490650593353</v>
      </c>
      <c r="C313">
        <v>4</v>
      </c>
      <c r="D313">
        <v>39949</v>
      </c>
      <c r="E313">
        <v>0</v>
      </c>
      <c r="F313">
        <v>0</v>
      </c>
      <c r="G313">
        <v>0</v>
      </c>
      <c r="H313">
        <v>56.078767123287669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517.46168165715483</v>
      </c>
      <c r="AO313">
        <v>37.941744245612028</v>
      </c>
      <c r="AP313">
        <v>32.117999668929123</v>
      </c>
      <c r="AQ313">
        <v>273.38302555160561</v>
      </c>
      <c r="AR313">
        <v>37.418353876292393</v>
      </c>
      <c r="AS313">
        <v>316.48019276178803</v>
      </c>
      <c r="AT313">
        <v>20.053973269863814</v>
      </c>
      <c r="AU313">
        <v>-54.112484022029463</v>
      </c>
      <c r="AV313"/>
      <c r="AW313"/>
      <c r="FY313" s="212">
        <v>308</v>
      </c>
      <c r="FZ313">
        <v>39.325131787817</v>
      </c>
      <c r="GA313">
        <v>77.411751018909413</v>
      </c>
      <c r="GB313">
        <v>51.591276121363769</v>
      </c>
      <c r="GC313">
        <v>24.937765182228713</v>
      </c>
      <c r="GD313">
        <v>13.233331382347208</v>
      </c>
      <c r="GE313">
        <v>12.404856847772622</v>
      </c>
      <c r="GF313">
        <v>17.991423959323033</v>
      </c>
      <c r="GG313">
        <v>26.289686912662365</v>
      </c>
      <c r="GH313">
        <v>40.729459015796081</v>
      </c>
      <c r="GI313">
        <v>36.00325858005624</v>
      </c>
      <c r="GJ313"/>
      <c r="GK313"/>
      <c r="GL313"/>
      <c r="GM313"/>
    </row>
    <row r="314" spans="1:195" s="7" customFormat="1">
      <c r="A314" s="1"/>
      <c r="B314">
        <v>0.38628718436686693</v>
      </c>
      <c r="C314">
        <v>2</v>
      </c>
      <c r="D314">
        <v>39949</v>
      </c>
      <c r="E314">
        <v>0</v>
      </c>
      <c r="F314">
        <v>10.416666666666666</v>
      </c>
      <c r="G314">
        <v>20.833333333333332</v>
      </c>
      <c r="H314">
        <v>0</v>
      </c>
      <c r="I314">
        <v>0</v>
      </c>
      <c r="J314">
        <v>0</v>
      </c>
      <c r="K314">
        <v>20.833333333333332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892.41257034087744</v>
      </c>
      <c r="AO314">
        <v>66.426995268707316</v>
      </c>
      <c r="AP314">
        <v>68.673555993907826</v>
      </c>
      <c r="AQ314">
        <v>472.9438768484689</v>
      </c>
      <c r="AR314">
        <v>64.384144525905882</v>
      </c>
      <c r="AS314">
        <v>492.41391665180305</v>
      </c>
      <c r="AT314">
        <v>31.361561153258066</v>
      </c>
      <c r="AU314">
        <v>-124.91558092522585</v>
      </c>
      <c r="AV314"/>
      <c r="AW314"/>
      <c r="FY314" s="212">
        <v>309</v>
      </c>
      <c r="FZ314">
        <v>38.490273470790335</v>
      </c>
      <c r="GA314">
        <v>79.350206865934965</v>
      </c>
      <c r="GB314">
        <v>42.43742619251676</v>
      </c>
      <c r="GC314">
        <v>16.634139301856525</v>
      </c>
      <c r="GD314">
        <v>10.202720830097853</v>
      </c>
      <c r="GE314">
        <v>9.6043703121140478</v>
      </c>
      <c r="GF314">
        <v>18.748044222865978</v>
      </c>
      <c r="GG314">
        <v>19.3698277749398</v>
      </c>
      <c r="GH314">
        <v>23.076753242729385</v>
      </c>
      <c r="GI314">
        <v>29.304790160550997</v>
      </c>
      <c r="GJ314"/>
      <c r="GK314"/>
      <c r="GL314"/>
      <c r="GM314"/>
    </row>
    <row r="315" spans="1:195" s="7" customFormat="1">
      <c r="A315" s="1"/>
      <c r="B315">
        <v>0.92726092761639478</v>
      </c>
      <c r="C315">
        <v>8</v>
      </c>
      <c r="D315">
        <v>39949</v>
      </c>
      <c r="E315">
        <v>0</v>
      </c>
      <c r="F315">
        <v>0</v>
      </c>
      <c r="G315">
        <v>83.333333333333329</v>
      </c>
      <c r="H315">
        <v>187.5</v>
      </c>
      <c r="I315">
        <v>83.333333333333329</v>
      </c>
      <c r="J315">
        <v>31.25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779.56667512179342</v>
      </c>
      <c r="AO315">
        <v>56.624985900126674</v>
      </c>
      <c r="AP315">
        <v>81.81819149431999</v>
      </c>
      <c r="AQ315">
        <v>400.97489940647677</v>
      </c>
      <c r="AR315">
        <v>56.636850778275011</v>
      </c>
      <c r="AS315">
        <v>461.68585764751123</v>
      </c>
      <c r="AT315">
        <v>28.965285667822357</v>
      </c>
      <c r="AU315">
        <v>-28.066309234925448</v>
      </c>
      <c r="AV315"/>
      <c r="AW315"/>
      <c r="FY315" s="212">
        <v>310</v>
      </c>
      <c r="FZ315">
        <v>37.341360890756931</v>
      </c>
      <c r="GA315">
        <v>77.813150069650447</v>
      </c>
      <c r="GB315">
        <v>54.379173033792014</v>
      </c>
      <c r="GC315">
        <v>27.128748219271273</v>
      </c>
      <c r="GD315">
        <v>16.574052903339251</v>
      </c>
      <c r="GE315">
        <v>19.528617655893761</v>
      </c>
      <c r="GF315">
        <v>28.542950123599738</v>
      </c>
      <c r="GG315">
        <v>28.957715850735212</v>
      </c>
      <c r="GH315">
        <v>29.379083131213221</v>
      </c>
      <c r="GI315">
        <v>38.570608099916427</v>
      </c>
      <c r="GJ315"/>
      <c r="GK315"/>
      <c r="GL315"/>
      <c r="GM315"/>
    </row>
    <row r="316" spans="1:195" s="7" customFormat="1">
      <c r="A316" s="1"/>
      <c r="B316">
        <v>0.21136685501563424</v>
      </c>
      <c r="C316">
        <v>1</v>
      </c>
      <c r="D316">
        <v>39949</v>
      </c>
      <c r="E316">
        <v>0</v>
      </c>
      <c r="F316">
        <v>0</v>
      </c>
      <c r="G316">
        <v>122.36445783132528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862.85049548906136</v>
      </c>
      <c r="AO316">
        <v>55.694286760899253</v>
      </c>
      <c r="AP316">
        <v>56.798735383907385</v>
      </c>
      <c r="AQ316">
        <v>401.56264654874826</v>
      </c>
      <c r="AR316">
        <v>54.357531111153065</v>
      </c>
      <c r="AS316">
        <v>432.78619994997092</v>
      </c>
      <c r="AT316">
        <v>27.810828724199983</v>
      </c>
      <c r="AU316">
        <v>-111.28163659244711</v>
      </c>
      <c r="AV316"/>
      <c r="AW316"/>
      <c r="FY316" s="212">
        <v>311</v>
      </c>
      <c r="FZ316">
        <v>52.360368511740276</v>
      </c>
      <c r="GA316">
        <v>82.250017059751912</v>
      </c>
      <c r="GB316">
        <v>46.633035464745483</v>
      </c>
      <c r="GC316">
        <v>22.030163292519923</v>
      </c>
      <c r="GD316">
        <v>13.404193766965074</v>
      </c>
      <c r="GE316">
        <v>14.167528746220732</v>
      </c>
      <c r="GF316">
        <v>43.627361945664155</v>
      </c>
      <c r="GG316">
        <v>43.229942150922135</v>
      </c>
      <c r="GH316">
        <v>37.937870030786335</v>
      </c>
      <c r="GI316">
        <v>41.096301552103242</v>
      </c>
      <c r="GJ316"/>
      <c r="GK316"/>
      <c r="GL316"/>
      <c r="GM316"/>
    </row>
    <row r="317" spans="1:195" s="7" customFormat="1">
      <c r="A317" s="1"/>
      <c r="B317">
        <v>0.17151474492023344</v>
      </c>
      <c r="C317">
        <v>6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607.14013460916351</v>
      </c>
      <c r="AO317">
        <v>48.384674731138283</v>
      </c>
      <c r="AP317">
        <v>57.18043439029708</v>
      </c>
      <c r="AQ317">
        <v>367.43594154540438</v>
      </c>
      <c r="AR317">
        <v>47.581445348875015</v>
      </c>
      <c r="AS317">
        <v>376.73127463975032</v>
      </c>
      <c r="AT317">
        <v>24.265313124690593</v>
      </c>
      <c r="AU317">
        <v>-67.754765095898406</v>
      </c>
      <c r="AV317"/>
      <c r="AW317"/>
      <c r="FY317" s="212">
        <v>312</v>
      </c>
      <c r="FZ317">
        <v>47.284905780279715</v>
      </c>
      <c r="GA317">
        <v>119.64542178791467</v>
      </c>
      <c r="GB317">
        <v>70.173938343172011</v>
      </c>
      <c r="GC317">
        <v>19.122397007358536</v>
      </c>
      <c r="GD317">
        <v>9.1821221648448397</v>
      </c>
      <c r="GE317">
        <v>13.317230853030583</v>
      </c>
      <c r="GF317">
        <v>37.166689387245029</v>
      </c>
      <c r="GG317">
        <v>35.340840901811013</v>
      </c>
      <c r="GH317">
        <v>21.898512847421838</v>
      </c>
      <c r="GI317">
        <v>40.052555785133208</v>
      </c>
      <c r="GJ317"/>
      <c r="GK317"/>
      <c r="GL317"/>
      <c r="GM317"/>
    </row>
    <row r="318" spans="1:195" s="7" customFormat="1">
      <c r="A318" s="1"/>
      <c r="B318">
        <v>0.62371172372264039</v>
      </c>
      <c r="C318">
        <v>4</v>
      </c>
      <c r="D318">
        <v>39987</v>
      </c>
      <c r="E318">
        <v>0</v>
      </c>
      <c r="F318">
        <v>0</v>
      </c>
      <c r="G318">
        <v>0</v>
      </c>
      <c r="H318">
        <v>88.922764227642276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719.45356315699951</v>
      </c>
      <c r="AO318">
        <v>48.239955653621337</v>
      </c>
      <c r="AP318">
        <v>71.858310453828039</v>
      </c>
      <c r="AQ318">
        <v>354.82189915755828</v>
      </c>
      <c r="AR318">
        <v>47.242376271587375</v>
      </c>
      <c r="AS318">
        <v>404.62035619142125</v>
      </c>
      <c r="AT318">
        <v>23.907544041620643</v>
      </c>
      <c r="AU318">
        <v>-51.40341378833061</v>
      </c>
      <c r="AV318"/>
      <c r="AW318"/>
      <c r="FY318" s="212">
        <v>313</v>
      </c>
      <c r="FZ318">
        <v>47.958223839222249</v>
      </c>
      <c r="GA318">
        <v>108.0557687461733</v>
      </c>
      <c r="GB318">
        <v>63.474300589543276</v>
      </c>
      <c r="GC318">
        <v>21.714520341088395</v>
      </c>
      <c r="GD318">
        <v>14.351749284128946</v>
      </c>
      <c r="GE318">
        <v>15.199107090377916</v>
      </c>
      <c r="GF318">
        <v>29.919257975176595</v>
      </c>
      <c r="GG318">
        <v>28.128531583766019</v>
      </c>
      <c r="GH318">
        <v>32.474417236765049</v>
      </c>
      <c r="GI318">
        <v>41.6747388512199</v>
      </c>
      <c r="GJ318"/>
      <c r="GK318"/>
      <c r="GL318"/>
      <c r="GM318"/>
    </row>
    <row r="319" spans="1:195" s="7" customFormat="1">
      <c r="A319" s="1"/>
      <c r="B319">
        <v>0.90496860857737627</v>
      </c>
      <c r="C319">
        <v>1</v>
      </c>
      <c r="D319">
        <v>39987</v>
      </c>
      <c r="E319">
        <v>0</v>
      </c>
      <c r="F319">
        <v>0</v>
      </c>
      <c r="G319">
        <v>155.1418439716312</v>
      </c>
      <c r="H319">
        <v>87.987588652482273</v>
      </c>
      <c r="I319">
        <v>77.570921985815602</v>
      </c>
      <c r="J319">
        <v>0</v>
      </c>
      <c r="K319">
        <v>77.570921985815602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623.05685976055679</v>
      </c>
      <c r="AO319">
        <v>43.676506600027551</v>
      </c>
      <c r="AP319">
        <v>51.374185077873086</v>
      </c>
      <c r="AQ319">
        <v>310.92950824620004</v>
      </c>
      <c r="AR319">
        <v>43.248539762000661</v>
      </c>
      <c r="AS319">
        <v>365.20488920200108</v>
      </c>
      <c r="AT319">
        <v>22.907554048941421</v>
      </c>
      <c r="AU319">
        <v>-42.691980802143497</v>
      </c>
      <c r="AV319"/>
      <c r="AW319"/>
      <c r="FY319" s="212">
        <v>314</v>
      </c>
      <c r="FZ319">
        <v>46.10610243808155</v>
      </c>
      <c r="GA319">
        <v>138.37986751931359</v>
      </c>
      <c r="GB319">
        <v>79.780600694641322</v>
      </c>
      <c r="GC319">
        <v>20.607702617895352</v>
      </c>
      <c r="GD319">
        <v>10.009931252908261</v>
      </c>
      <c r="GE319">
        <v>11.479959418147114</v>
      </c>
      <c r="GF319">
        <v>20.44652799852711</v>
      </c>
      <c r="GG319">
        <v>15.850201921287086</v>
      </c>
      <c r="GH319">
        <v>24.562849949308323</v>
      </c>
      <c r="GI319">
        <v>40.04774292536603</v>
      </c>
      <c r="GJ319"/>
      <c r="GK319"/>
      <c r="GL319"/>
      <c r="GM319"/>
    </row>
    <row r="320" spans="1:195" s="7" customFormat="1">
      <c r="A320" s="1"/>
      <c r="B320">
        <v>0.23318432205279649</v>
      </c>
      <c r="C320">
        <v>3</v>
      </c>
      <c r="D320">
        <v>39987</v>
      </c>
      <c r="E320">
        <v>0</v>
      </c>
      <c r="F320">
        <v>67.51543209876543</v>
      </c>
      <c r="G320">
        <v>135.03086419753086</v>
      </c>
      <c r="H320">
        <v>0</v>
      </c>
      <c r="I320">
        <v>20.833333333333332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916.71336686278028</v>
      </c>
      <c r="AO320">
        <v>61.082350298578852</v>
      </c>
      <c r="AP320">
        <v>104.4090184682333</v>
      </c>
      <c r="AQ320">
        <v>449.90356225145655</v>
      </c>
      <c r="AR320">
        <v>60.084819084693322</v>
      </c>
      <c r="AS320">
        <v>491.74704729118395</v>
      </c>
      <c r="AT320">
        <v>31.644601622217493</v>
      </c>
      <c r="AU320">
        <v>-55.754426646689531</v>
      </c>
      <c r="AV320"/>
      <c r="AW320"/>
      <c r="FY320" s="212">
        <v>315</v>
      </c>
      <c r="FZ320">
        <v>48.380664058682015</v>
      </c>
      <c r="GA320">
        <v>69.327086543149264</v>
      </c>
      <c r="GB320">
        <v>48.953582329384915</v>
      </c>
      <c r="GC320">
        <v>23.820223543376784</v>
      </c>
      <c r="GD320">
        <v>9.6831593815547077</v>
      </c>
      <c r="GE320">
        <v>11.965866227032041</v>
      </c>
      <c r="GF320">
        <v>35.616790375259349</v>
      </c>
      <c r="GG320">
        <v>30.933457618615677</v>
      </c>
      <c r="GH320">
        <v>25.043012129019825</v>
      </c>
      <c r="GI320">
        <v>35.397016722853778</v>
      </c>
      <c r="GJ320"/>
      <c r="GK320"/>
      <c r="GL320"/>
      <c r="GM320"/>
    </row>
    <row r="321" spans="1:195" s="7" customFormat="1">
      <c r="A321" s="1"/>
      <c r="B321">
        <v>0.19701160786744865</v>
      </c>
      <c r="C321">
        <v>4</v>
      </c>
      <c r="D321">
        <v>39987</v>
      </c>
      <c r="E321">
        <v>0</v>
      </c>
      <c r="F321">
        <v>0</v>
      </c>
      <c r="G321">
        <v>0</v>
      </c>
      <c r="H321">
        <v>88.922764227642276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735.56139051538844</v>
      </c>
      <c r="AO321">
        <v>51.105013526923045</v>
      </c>
      <c r="AP321">
        <v>78.830212460552787</v>
      </c>
      <c r="AQ321">
        <v>371.44946643771743</v>
      </c>
      <c r="AR321">
        <v>50.963818540367456</v>
      </c>
      <c r="AS321">
        <v>397.29174812475787</v>
      </c>
      <c r="AT321">
        <v>25.819438269621553</v>
      </c>
      <c r="AU321">
        <v>-34.747392735791571</v>
      </c>
      <c r="AV321"/>
      <c r="AW321"/>
      <c r="FY321" s="212">
        <v>316</v>
      </c>
      <c r="FZ321">
        <v>45.247547349871617</v>
      </c>
      <c r="GA321">
        <v>117.18023890680477</v>
      </c>
      <c r="GB321">
        <v>66.856499758593031</v>
      </c>
      <c r="GC321">
        <v>21.095030920129023</v>
      </c>
      <c r="GD321">
        <v>12.645565417123043</v>
      </c>
      <c r="GE321">
        <v>9.9139640057111151</v>
      </c>
      <c r="GF321">
        <v>35.443232853349407</v>
      </c>
      <c r="GG321">
        <v>41.974469740959556</v>
      </c>
      <c r="GH321">
        <v>30.165171304732681</v>
      </c>
      <c r="GI321">
        <v>41.981791677390277</v>
      </c>
      <c r="GJ321"/>
      <c r="GK321"/>
      <c r="GL321"/>
      <c r="GM321"/>
    </row>
    <row r="322" spans="1:195" s="7" customFormat="1">
      <c r="A322" s="1"/>
      <c r="B322">
        <v>0.29686539706302195</v>
      </c>
      <c r="C322">
        <v>9</v>
      </c>
      <c r="D322">
        <v>39987</v>
      </c>
      <c r="E322">
        <v>0</v>
      </c>
      <c r="F322">
        <v>0</v>
      </c>
      <c r="G322">
        <v>0</v>
      </c>
      <c r="H322">
        <v>10.416666666666666</v>
      </c>
      <c r="I322">
        <v>10.416666666666666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746.60927769522846</v>
      </c>
      <c r="AO322">
        <v>49.83313084187926</v>
      </c>
      <c r="AP322">
        <v>70.783578606054675</v>
      </c>
      <c r="AQ322">
        <v>347.340702769524</v>
      </c>
      <c r="AR322">
        <v>48.889182552052048</v>
      </c>
      <c r="AS322">
        <v>411.25051542200691</v>
      </c>
      <c r="AT322">
        <v>25.184082871861378</v>
      </c>
      <c r="AU322">
        <v>-25.812882322541899</v>
      </c>
      <c r="AV322"/>
      <c r="AW322"/>
      <c r="FY322" s="212">
        <v>317</v>
      </c>
      <c r="FZ322">
        <v>61.223124987928209</v>
      </c>
      <c r="GA322">
        <v>161.46637238631436</v>
      </c>
      <c r="GB322">
        <v>82.543851330870226</v>
      </c>
      <c r="GC322">
        <v>16.215646059818305</v>
      </c>
      <c r="GD322">
        <v>9.4226078024417941</v>
      </c>
      <c r="GE322">
        <v>11.094375878427973</v>
      </c>
      <c r="GF322">
        <v>19.856909068228852</v>
      </c>
      <c r="GG322">
        <v>19.219313164840692</v>
      </c>
      <c r="GH322">
        <v>27.054149184822435</v>
      </c>
      <c r="GI322">
        <v>43.04941646326084</v>
      </c>
      <c r="GJ322"/>
      <c r="GK322"/>
      <c r="GL322"/>
      <c r="GM322"/>
    </row>
    <row r="323" spans="1:195" s="7" customFormat="1">
      <c r="A323" s="1"/>
      <c r="B323">
        <v>0.88297977943840689</v>
      </c>
      <c r="C323">
        <v>2</v>
      </c>
      <c r="D323">
        <v>39987</v>
      </c>
      <c r="E323">
        <v>0</v>
      </c>
      <c r="F323">
        <v>0</v>
      </c>
      <c r="G323">
        <v>57.779947916666664</v>
      </c>
      <c r="H323">
        <v>0</v>
      </c>
      <c r="I323">
        <v>0</v>
      </c>
      <c r="J323">
        <v>0</v>
      </c>
      <c r="K323">
        <v>10.416666666666666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882.49111352951809</v>
      </c>
      <c r="AO323">
        <v>52.115879957765195</v>
      </c>
      <c r="AP323">
        <v>82.717387720512505</v>
      </c>
      <c r="AQ323">
        <v>352.84235979910301</v>
      </c>
      <c r="AR323">
        <v>52.259732213251539</v>
      </c>
      <c r="AS323">
        <v>467.21483735073593</v>
      </c>
      <c r="AT323">
        <v>28.60437650290767</v>
      </c>
      <c r="AU323">
        <v>-13.587138215266712</v>
      </c>
      <c r="AV323"/>
      <c r="AW323"/>
      <c r="FY323" s="212">
        <v>318</v>
      </c>
      <c r="FZ323">
        <v>41.934027971446397</v>
      </c>
      <c r="GA323">
        <v>124.97137060584458</v>
      </c>
      <c r="GB323">
        <v>65.798070660242132</v>
      </c>
      <c r="GC323">
        <v>16.735621376620365</v>
      </c>
      <c r="GD323">
        <v>11.250373973794682</v>
      </c>
      <c r="GE323">
        <v>14.96870967296918</v>
      </c>
      <c r="GF323">
        <v>12.328916302073882</v>
      </c>
      <c r="GG323">
        <v>11.005234857207801</v>
      </c>
      <c r="GH323">
        <v>26.509649421078652</v>
      </c>
      <c r="GI323">
        <v>35.612139383916841</v>
      </c>
      <c r="GJ323"/>
      <c r="GK323"/>
      <c r="GL323"/>
      <c r="GM323"/>
    </row>
    <row r="324" spans="1:195" s="7" customFormat="1">
      <c r="A324" s="1"/>
      <c r="B324">
        <v>0.65279528295500278</v>
      </c>
      <c r="C324">
        <v>10</v>
      </c>
      <c r="D324">
        <v>39987</v>
      </c>
      <c r="E324">
        <v>0</v>
      </c>
      <c r="F324">
        <v>0</v>
      </c>
      <c r="G324">
        <v>49.942922374429216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742.4961207073286</v>
      </c>
      <c r="AO324">
        <v>50.042289815878746</v>
      </c>
      <c r="AP324">
        <v>49.099865602048126</v>
      </c>
      <c r="AQ324">
        <v>339.91794080827646</v>
      </c>
      <c r="AR324">
        <v>49.386959539221543</v>
      </c>
      <c r="AS324">
        <v>433.41979637271839</v>
      </c>
      <c r="AT324">
        <v>26.076428247942999</v>
      </c>
      <c r="AU324">
        <v>-37.226582560342187</v>
      </c>
      <c r="AV324"/>
      <c r="AW324"/>
      <c r="FY324" s="212">
        <v>319</v>
      </c>
      <c r="FZ324">
        <v>38.835416145109178</v>
      </c>
      <c r="GA324">
        <v>70.645212672448352</v>
      </c>
      <c r="GB324">
        <v>34.19079096754573</v>
      </c>
      <c r="GC324">
        <v>14.535054813105413</v>
      </c>
      <c r="GD324">
        <v>12.63129627744113</v>
      </c>
      <c r="GE324">
        <v>14.161607038057692</v>
      </c>
      <c r="GF324">
        <v>31.522111567468414</v>
      </c>
      <c r="GG324">
        <v>32.708943963157154</v>
      </c>
      <c r="GH324">
        <v>24.986076210849781</v>
      </c>
      <c r="GI324">
        <v>31.335948239007646</v>
      </c>
      <c r="GJ324"/>
      <c r="GK324"/>
      <c r="GL324"/>
      <c r="GM324"/>
    </row>
    <row r="325" spans="1:195" s="7" customFormat="1">
      <c r="A325" s="1"/>
      <c r="B325">
        <v>7.596574795889488E-3</v>
      </c>
      <c r="C325">
        <v>1</v>
      </c>
      <c r="D325">
        <v>39987</v>
      </c>
      <c r="E325">
        <v>0</v>
      </c>
      <c r="F325">
        <v>0</v>
      </c>
      <c r="G325">
        <v>155.1418439716312</v>
      </c>
      <c r="H325">
        <v>87.987588652482273</v>
      </c>
      <c r="I325">
        <v>77.570921985815602</v>
      </c>
      <c r="J325">
        <v>0</v>
      </c>
      <c r="K325">
        <v>77.570921985815602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580.75428435654464</v>
      </c>
      <c r="AO325">
        <v>40.861364540568729</v>
      </c>
      <c r="AP325">
        <v>41.640915632627895</v>
      </c>
      <c r="AQ325">
        <v>287.21855237439672</v>
      </c>
      <c r="AR325">
        <v>40.402615049554072</v>
      </c>
      <c r="AS325">
        <v>329.64232253122333</v>
      </c>
      <c r="AT325">
        <v>21.264166176446871</v>
      </c>
      <c r="AU325">
        <v>-56.486079878026587</v>
      </c>
      <c r="AV325"/>
      <c r="AW325"/>
      <c r="FY325" s="212">
        <v>320</v>
      </c>
      <c r="FZ325">
        <v>41.419646613466099</v>
      </c>
      <c r="GA325">
        <v>97.909625986867482</v>
      </c>
      <c r="GB325">
        <v>53.36579123476065</v>
      </c>
      <c r="GC325">
        <v>20.983302937934354</v>
      </c>
      <c r="GD325">
        <v>13.838244577899713</v>
      </c>
      <c r="GE325">
        <v>18.934358865106827</v>
      </c>
      <c r="GF325">
        <v>36.998320165329723</v>
      </c>
      <c r="GG325">
        <v>27.902837062687027</v>
      </c>
      <c r="GH325">
        <v>20.54890724507602</v>
      </c>
      <c r="GI325">
        <v>37.358717943797458</v>
      </c>
      <c r="GJ325"/>
      <c r="GK325"/>
      <c r="GL325"/>
      <c r="GM325"/>
    </row>
    <row r="326" spans="1:195" s="7" customFormat="1">
      <c r="A326" s="1"/>
      <c r="B326">
        <v>0.50487043310512369</v>
      </c>
      <c r="C326">
        <v>7</v>
      </c>
      <c r="D326">
        <v>39987</v>
      </c>
      <c r="E326">
        <v>0</v>
      </c>
      <c r="F326">
        <v>71.486928104575156</v>
      </c>
      <c r="G326">
        <v>285.94771241830063</v>
      </c>
      <c r="H326">
        <v>357.43464052287578</v>
      </c>
      <c r="I326">
        <v>71.486928104575156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851.92045760602218</v>
      </c>
      <c r="AO326">
        <v>54.818971093332742</v>
      </c>
      <c r="AP326">
        <v>92.465724997685243</v>
      </c>
      <c r="AQ326">
        <v>358.21545997816827</v>
      </c>
      <c r="AR326">
        <v>53.070020405484698</v>
      </c>
      <c r="AS326">
        <v>448.9151039566006</v>
      </c>
      <c r="AT326">
        <v>26.467432122219055</v>
      </c>
      <c r="AU326">
        <v>-25.576625230008624</v>
      </c>
      <c r="AV326"/>
      <c r="AW326"/>
      <c r="FY326" s="212">
        <v>321</v>
      </c>
      <c r="FZ326">
        <v>55.575165400232194</v>
      </c>
      <c r="GA326">
        <v>91.86972208382511</v>
      </c>
      <c r="GB326">
        <v>46.188639541564342</v>
      </c>
      <c r="GC326">
        <v>19.668256446774325</v>
      </c>
      <c r="GD326">
        <v>12.048756174423621</v>
      </c>
      <c r="GE326">
        <v>11.02072474176568</v>
      </c>
      <c r="GF326">
        <v>25.769738899249944</v>
      </c>
      <c r="GG326">
        <v>25.95581321278987</v>
      </c>
      <c r="GH326">
        <v>16.773299994171637</v>
      </c>
      <c r="GI326">
        <v>34.008762039839823</v>
      </c>
      <c r="GJ326"/>
      <c r="GK326"/>
      <c r="GL326"/>
      <c r="GM326"/>
    </row>
    <row r="327" spans="1:195" s="7" customFormat="1">
      <c r="A327" s="1"/>
      <c r="B327">
        <v>0.93151596800169667</v>
      </c>
      <c r="C327">
        <v>6</v>
      </c>
      <c r="D327">
        <v>39987</v>
      </c>
      <c r="E327">
        <v>0</v>
      </c>
      <c r="F327">
        <v>0</v>
      </c>
      <c r="G327">
        <v>0</v>
      </c>
      <c r="H327">
        <v>72.916666666666671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853.47923451833071</v>
      </c>
      <c r="AO327">
        <v>56.549127640586661</v>
      </c>
      <c r="AP327">
        <v>97.516872799376145</v>
      </c>
      <c r="AQ327">
        <v>396.73678252141923</v>
      </c>
      <c r="AR327">
        <v>56.394768788424386</v>
      </c>
      <c r="AS327">
        <v>468.79839165553477</v>
      </c>
      <c r="AT327">
        <v>30.291173386916924</v>
      </c>
      <c r="AU327">
        <v>-27.044969481271721</v>
      </c>
      <c r="AV327"/>
      <c r="AW327"/>
      <c r="FY327" s="212">
        <v>322</v>
      </c>
      <c r="FZ327">
        <v>40.601612222050882</v>
      </c>
      <c r="GA327">
        <v>80.935667181781056</v>
      </c>
      <c r="GB327">
        <v>48.908031479216838</v>
      </c>
      <c r="GC327">
        <v>20.236107961975481</v>
      </c>
      <c r="GD327">
        <v>10.52648695187834</v>
      </c>
      <c r="GE327">
        <v>9.2079516893047568</v>
      </c>
      <c r="GF327">
        <v>28.898417824460758</v>
      </c>
      <c r="GG327">
        <v>30.972940206046356</v>
      </c>
      <c r="GH327">
        <v>17.631321553818811</v>
      </c>
      <c r="GI327">
        <v>32.43722722214229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878.66885350954669</v>
      </c>
      <c r="AO328">
        <v>56.879858486832156</v>
      </c>
      <c r="AP328">
        <v>103.06685182777446</v>
      </c>
      <c r="AQ328">
        <v>413.18461485821149</v>
      </c>
      <c r="AR328">
        <v>55.065710756090787</v>
      </c>
      <c r="AS328">
        <v>453.31366281917207</v>
      </c>
      <c r="AT328">
        <v>27.566066401133977</v>
      </c>
      <c r="AU328">
        <v>-60.727228305620585</v>
      </c>
      <c r="AV328"/>
      <c r="AW328"/>
      <c r="FY328" s="212">
        <v>323</v>
      </c>
      <c r="FZ328">
        <v>43.606144732606786</v>
      </c>
      <c r="GA328">
        <v>123.08689021640267</v>
      </c>
      <c r="GB328">
        <v>73.406489146793518</v>
      </c>
      <c r="GC328">
        <v>19.24072011580505</v>
      </c>
      <c r="GD328">
        <v>10.526715349224309</v>
      </c>
      <c r="GE328">
        <v>13.937070370372297</v>
      </c>
      <c r="GF328">
        <v>31.810289304426231</v>
      </c>
      <c r="GG328">
        <v>29.402564264392574</v>
      </c>
      <c r="GH328">
        <v>28.904863165500291</v>
      </c>
      <c r="GI328">
        <v>41.236064253969133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936.11660260660722</v>
      </c>
      <c r="AO329">
        <v>57.079858290182145</v>
      </c>
      <c r="AP329">
        <v>98.490003635607735</v>
      </c>
      <c r="AQ329">
        <v>402.95061553746166</v>
      </c>
      <c r="AR329">
        <v>57.142024726770323</v>
      </c>
      <c r="AS329">
        <v>441.62926533180496</v>
      </c>
      <c r="AT329">
        <v>29.08820419432767</v>
      </c>
      <c r="AU329">
        <v>-80.88650482202398</v>
      </c>
      <c r="AV329"/>
      <c r="AW329"/>
      <c r="FY329" s="212">
        <v>324</v>
      </c>
      <c r="FZ329">
        <v>53.703290981733794</v>
      </c>
      <c r="GA329">
        <v>132.56915950910462</v>
      </c>
      <c r="GB329">
        <v>68.115476338169159</v>
      </c>
      <c r="GC329">
        <v>19.02906093938423</v>
      </c>
      <c r="GD329">
        <v>12.962161330025097</v>
      </c>
      <c r="GE329">
        <v>14.920433728193029</v>
      </c>
      <c r="GF329">
        <v>31.995327749294809</v>
      </c>
      <c r="GG329">
        <v>32.182327353797355</v>
      </c>
      <c r="GH329">
        <v>18.540979117180903</v>
      </c>
      <c r="GI329">
        <v>41.221868777161205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827.3495934183702</v>
      </c>
      <c r="AO330">
        <v>55.764137656649879</v>
      </c>
      <c r="AP330">
        <v>55.907899850777476</v>
      </c>
      <c r="AQ330">
        <v>407.27148673547572</v>
      </c>
      <c r="AR330">
        <v>55.133009750108265</v>
      </c>
      <c r="AS330">
        <v>454.59357810381425</v>
      </c>
      <c r="AT330">
        <v>28.095051442608476</v>
      </c>
      <c r="AU330">
        <v>-67.425434727803946</v>
      </c>
      <c r="AV330"/>
      <c r="AW330"/>
      <c r="FY330" s="212">
        <v>325</v>
      </c>
      <c r="FZ330">
        <v>37.913693802103325</v>
      </c>
      <c r="GA330">
        <v>83.924382383958772</v>
      </c>
      <c r="GB330">
        <v>47.878115646717497</v>
      </c>
      <c r="GC330">
        <v>23.274438765346176</v>
      </c>
      <c r="GD330">
        <v>15.550509111398343</v>
      </c>
      <c r="GE330">
        <v>18.429801859886144</v>
      </c>
      <c r="GF330">
        <v>24.112593455774512</v>
      </c>
      <c r="GG330">
        <v>20.871840424400808</v>
      </c>
      <c r="GH330">
        <v>20.90202570243915</v>
      </c>
      <c r="GI330">
        <v>34.233258221171454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754.61257671367389</v>
      </c>
      <c r="AO331">
        <v>49.080589399573874</v>
      </c>
      <c r="AP331">
        <v>89.329266192261315</v>
      </c>
      <c r="AQ331">
        <v>339.12085892892833</v>
      </c>
      <c r="AR331">
        <v>48.570722618700877</v>
      </c>
      <c r="AS331">
        <v>428.00072415982356</v>
      </c>
      <c r="AT331">
        <v>26.562424981020751</v>
      </c>
      <c r="AU331">
        <v>2.3110428086386179</v>
      </c>
      <c r="AV331"/>
      <c r="AW331"/>
      <c r="FY331" s="212">
        <v>326</v>
      </c>
      <c r="FZ331">
        <v>39.645673620669236</v>
      </c>
      <c r="GA331">
        <v>128.99946057770887</v>
      </c>
      <c r="GB331">
        <v>68.684222267477182</v>
      </c>
      <c r="GC331">
        <v>16.797937433140703</v>
      </c>
      <c r="GD331">
        <v>10.305790716571318</v>
      </c>
      <c r="GE331">
        <v>16.601158125038992</v>
      </c>
      <c r="GF331">
        <v>19.621491152885341</v>
      </c>
      <c r="GG331">
        <v>18.938451670955693</v>
      </c>
      <c r="GH331">
        <v>23.878548461868451</v>
      </c>
      <c r="GI331">
        <v>36.40097883236799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802.86360064144708</v>
      </c>
      <c r="AO332">
        <v>59.241650679268915</v>
      </c>
      <c r="AP332">
        <v>86.740514638404747</v>
      </c>
      <c r="AQ332">
        <v>422.50351193466452</v>
      </c>
      <c r="AR332">
        <v>57.843661334970392</v>
      </c>
      <c r="AS332">
        <v>453.263315694982</v>
      </c>
      <c r="AT332">
        <v>29.205048725322456</v>
      </c>
      <c r="AU332">
        <v>-51.406675900945764</v>
      </c>
      <c r="AV332"/>
      <c r="AW332"/>
      <c r="FY332" s="212">
        <v>327</v>
      </c>
      <c r="FZ332">
        <v>56.295538669792634</v>
      </c>
      <c r="GA332">
        <v>84.349461331851742</v>
      </c>
      <c r="GB332">
        <v>56.370655576522012</v>
      </c>
      <c r="GC332">
        <v>23.004790518100648</v>
      </c>
      <c r="GD332">
        <v>13.584378222225288</v>
      </c>
      <c r="GE332">
        <v>20.96687908521157</v>
      </c>
      <c r="GF332">
        <v>38.201910710252243</v>
      </c>
      <c r="GG332">
        <v>28.708422695368402</v>
      </c>
      <c r="GH332">
        <v>15.681002473668702</v>
      </c>
      <c r="GI332">
        <v>39.714890070473452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787.28036011618826</v>
      </c>
      <c r="AO333">
        <v>59.507010425219036</v>
      </c>
      <c r="AP333">
        <v>53.480207957943882</v>
      </c>
      <c r="AQ333">
        <v>451.14576632695372</v>
      </c>
      <c r="AR333">
        <v>59.389264705135183</v>
      </c>
      <c r="AS333">
        <v>451.66435933886657</v>
      </c>
      <c r="AT333">
        <v>29.933560868014869</v>
      </c>
      <c r="AU333">
        <v>-112.35016452115356</v>
      </c>
      <c r="AV333"/>
      <c r="AW333"/>
      <c r="FY333" s="212">
        <v>328</v>
      </c>
      <c r="FZ333">
        <v>41.160094123358284</v>
      </c>
      <c r="GA333">
        <v>106.76746530348242</v>
      </c>
      <c r="GB333">
        <v>62.420337255345892</v>
      </c>
      <c r="GC333">
        <v>17.742013967250166</v>
      </c>
      <c r="GD333">
        <v>12.13830568170509</v>
      </c>
      <c r="GE333">
        <v>12.066290832928276</v>
      </c>
      <c r="GF333">
        <v>25.999657513434581</v>
      </c>
      <c r="GG333">
        <v>25.110911550301775</v>
      </c>
      <c r="GH333">
        <v>19.023034426124617</v>
      </c>
      <c r="GI333">
        <v>36.476658102159227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707.1260883647135</v>
      </c>
      <c r="AO334">
        <v>49.986747316840962</v>
      </c>
      <c r="AP334">
        <v>47.177814673626521</v>
      </c>
      <c r="AQ334">
        <v>361.11411422519456</v>
      </c>
      <c r="AR334">
        <v>49.201651742167961</v>
      </c>
      <c r="AS334">
        <v>385.08220998652064</v>
      </c>
      <c r="AT334">
        <v>24.61464312274796</v>
      </c>
      <c r="AU334">
        <v>-97.039548341982112</v>
      </c>
      <c r="AV334"/>
      <c r="AW334"/>
      <c r="FY334" s="212">
        <v>329</v>
      </c>
      <c r="FZ334">
        <v>47.424968798715533</v>
      </c>
      <c r="GA334">
        <v>95.065031866016795</v>
      </c>
      <c r="GB334">
        <v>50.21790441724167</v>
      </c>
      <c r="GC334">
        <v>14.467865753635305</v>
      </c>
      <c r="GD334">
        <v>8.9740105924653459</v>
      </c>
      <c r="GE334">
        <v>12.601501340716883</v>
      </c>
      <c r="GF334">
        <v>36.094304111013528</v>
      </c>
      <c r="GG334">
        <v>26.900538127237297</v>
      </c>
      <c r="GH334">
        <v>8.5342365956780046</v>
      </c>
      <c r="GI334">
        <v>32.731519880877315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632.64115296350406</v>
      </c>
      <c r="AO335">
        <v>43.877334645306249</v>
      </c>
      <c r="AP335">
        <v>65.552752004855478</v>
      </c>
      <c r="AQ335">
        <v>305.55245789419047</v>
      </c>
      <c r="AR335">
        <v>43.124967454270561</v>
      </c>
      <c r="AS335">
        <v>340.82687813085113</v>
      </c>
      <c r="AT335">
        <v>22.390590832159603</v>
      </c>
      <c r="AU335">
        <v>-18.883606984322416</v>
      </c>
      <c r="AV335"/>
      <c r="AW335"/>
      <c r="FY335" s="212">
        <v>330</v>
      </c>
      <c r="FZ335">
        <v>48.442518628412458</v>
      </c>
      <c r="GA335">
        <v>62.849130725950005</v>
      </c>
      <c r="GB335">
        <v>43.776734805165489</v>
      </c>
      <c r="GC335">
        <v>19.526681951280263</v>
      </c>
      <c r="GD335">
        <v>9.0224999946363713</v>
      </c>
      <c r="GE335">
        <v>11.513293721076625</v>
      </c>
      <c r="GF335">
        <v>27.450954338970796</v>
      </c>
      <c r="GG335">
        <v>22.743328199849788</v>
      </c>
      <c r="GH335">
        <v>18.318594955562272</v>
      </c>
      <c r="GI335">
        <v>31.160041792381712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869.69152817937152</v>
      </c>
      <c r="AO336">
        <v>53.10662724510054</v>
      </c>
      <c r="AP336">
        <v>78.387581426132513</v>
      </c>
      <c r="AQ336">
        <v>369.25975263292531</v>
      </c>
      <c r="AR336">
        <v>51.170607642713669</v>
      </c>
      <c r="AS336">
        <v>428.16718773698136</v>
      </c>
      <c r="AT336">
        <v>26.770206756553915</v>
      </c>
      <c r="AU336">
        <v>-49.804518237021696</v>
      </c>
      <c r="AV336"/>
      <c r="AW336"/>
      <c r="FY336" s="212">
        <v>331</v>
      </c>
      <c r="FZ336">
        <v>41.965082345027156</v>
      </c>
      <c r="GA336">
        <v>111.51976028100225</v>
      </c>
      <c r="GB336">
        <v>56.76523573557035</v>
      </c>
      <c r="GC336">
        <v>17.981959787085952</v>
      </c>
      <c r="GD336">
        <v>11.318216417997943</v>
      </c>
      <c r="GE336">
        <v>13.000315927060514</v>
      </c>
      <c r="GF336">
        <v>38.695181114499576</v>
      </c>
      <c r="GG336">
        <v>29.977675780070044</v>
      </c>
      <c r="GH336">
        <v>16.428665913621888</v>
      </c>
      <c r="GI336">
        <v>36.529886432244666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755.41028828072615</v>
      </c>
      <c r="AO337">
        <v>47.667656979466578</v>
      </c>
      <c r="AP337">
        <v>77.270022196982666</v>
      </c>
      <c r="AQ337">
        <v>338.87887853463656</v>
      </c>
      <c r="AR337">
        <v>46.625079091310049</v>
      </c>
      <c r="AS337">
        <v>382.81602770658418</v>
      </c>
      <c r="AT337">
        <v>24.994468469773395</v>
      </c>
      <c r="AU337">
        <v>-46.730188828340943</v>
      </c>
      <c r="AV337"/>
      <c r="AW337"/>
      <c r="FY337" s="212">
        <v>332</v>
      </c>
      <c r="FZ337">
        <v>38.442488893965731</v>
      </c>
      <c r="GA337">
        <v>70.274158738016908</v>
      </c>
      <c r="GB337">
        <v>48.316925610641348</v>
      </c>
      <c r="GC337">
        <v>17.437997240983933</v>
      </c>
      <c r="GD337">
        <v>10.326597419129264</v>
      </c>
      <c r="GE337">
        <v>18.328956008896931</v>
      </c>
      <c r="GF337">
        <v>20.619980820883175</v>
      </c>
      <c r="GG337">
        <v>20.823417585159049</v>
      </c>
      <c r="GH337">
        <v>18.589631650317628</v>
      </c>
      <c r="GI337">
        <v>30.422835202029528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573.03777109377677</v>
      </c>
      <c r="AO338">
        <v>46.310288566784003</v>
      </c>
      <c r="AP338">
        <v>60.093825206742586</v>
      </c>
      <c r="AQ338">
        <v>320.35576429267553</v>
      </c>
      <c r="AR338">
        <v>44.759812990556405</v>
      </c>
      <c r="AS338">
        <v>340.98011932781196</v>
      </c>
      <c r="AT338">
        <v>23.273274245462005</v>
      </c>
      <c r="AU338">
        <v>-36.726404888892056</v>
      </c>
      <c r="AV338"/>
      <c r="AW338"/>
      <c r="FY338" s="212">
        <v>333</v>
      </c>
      <c r="FZ338">
        <v>22.429111701474746</v>
      </c>
      <c r="GA338">
        <v>87.773177680285244</v>
      </c>
      <c r="GB338">
        <v>54.169557138206784</v>
      </c>
      <c r="GC338">
        <v>20.199447926370706</v>
      </c>
      <c r="GD338">
        <v>14.557781734172542</v>
      </c>
      <c r="GE338">
        <v>17.7074446901029</v>
      </c>
      <c r="GF338">
        <v>12.522978744106441</v>
      </c>
      <c r="GG338">
        <v>13.538820833929497</v>
      </c>
      <c r="GH338">
        <v>25.433226320943866</v>
      </c>
      <c r="GI338">
        <v>31.524625259459018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842.13335174356325</v>
      </c>
      <c r="AO339">
        <v>57.521745149237404</v>
      </c>
      <c r="AP339">
        <v>86.542978752274863</v>
      </c>
      <c r="AQ339">
        <v>415.15781091949287</v>
      </c>
      <c r="AR339">
        <v>56.805214364641166</v>
      </c>
      <c r="AS339">
        <v>461.01274306271063</v>
      </c>
      <c r="AT339">
        <v>28.065313090814289</v>
      </c>
      <c r="AU339">
        <v>-50.903006349314175</v>
      </c>
      <c r="AV339"/>
      <c r="AW339"/>
      <c r="FY339" s="212">
        <v>334</v>
      </c>
      <c r="FZ339">
        <v>35.970308072043061</v>
      </c>
      <c r="GA339">
        <v>105.38670254618012</v>
      </c>
      <c r="GB339">
        <v>52.263789340593299</v>
      </c>
      <c r="GC339">
        <v>17.371491064944212</v>
      </c>
      <c r="GD339">
        <v>13.222851587663442</v>
      </c>
      <c r="GE339">
        <v>15.404223890119958</v>
      </c>
      <c r="GF339">
        <v>28.190396368497876</v>
      </c>
      <c r="GG339">
        <v>33.697941071491513</v>
      </c>
      <c r="GH339">
        <v>32.245656176006207</v>
      </c>
      <c r="GI339">
        <v>36.289342926607475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792.40728469220539</v>
      </c>
      <c r="AO340">
        <v>58.847954961264804</v>
      </c>
      <c r="AP340">
        <v>77.364544596203416</v>
      </c>
      <c r="AQ340">
        <v>425.24008582404417</v>
      </c>
      <c r="AR340">
        <v>56.734434418213986</v>
      </c>
      <c r="AS340">
        <v>449.21669252422407</v>
      </c>
      <c r="AT340">
        <v>28.270897314006362</v>
      </c>
      <c r="AU340">
        <v>-59.846274575030797</v>
      </c>
      <c r="AV340"/>
      <c r="AW340"/>
      <c r="FY340" s="212">
        <v>335</v>
      </c>
      <c r="FZ340">
        <v>46.801032050441151</v>
      </c>
      <c r="GA340">
        <v>123.78748601079518</v>
      </c>
      <c r="GB340">
        <v>66.805114173383203</v>
      </c>
      <c r="GC340">
        <v>17.78707361734881</v>
      </c>
      <c r="GD340">
        <v>9.1649332676268429</v>
      </c>
      <c r="GE340">
        <v>8.9160116256211577</v>
      </c>
      <c r="GF340">
        <v>20.73866805429137</v>
      </c>
      <c r="GG340">
        <v>27.872851338096304</v>
      </c>
      <c r="GH340">
        <v>29.023917456212857</v>
      </c>
      <c r="GI340">
        <v>37.286948363705754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763.57841473529697</v>
      </c>
      <c r="AO341">
        <v>49.10217260663363</v>
      </c>
      <c r="AP341">
        <v>52.166745553820618</v>
      </c>
      <c r="AQ341">
        <v>327.09065937319627</v>
      </c>
      <c r="AR341">
        <v>47.022424566995419</v>
      </c>
      <c r="AS341">
        <v>405.02279409945419</v>
      </c>
      <c r="AT341">
        <v>24.938618012892828</v>
      </c>
      <c r="AU341">
        <v>-28.611959529561393</v>
      </c>
      <c r="AV341"/>
      <c r="AW341"/>
      <c r="FY341" s="212">
        <v>336</v>
      </c>
      <c r="FZ341">
        <v>36.32929021185199</v>
      </c>
      <c r="GA341">
        <v>87.877237281537433</v>
      </c>
      <c r="GB341">
        <v>57.071703321596019</v>
      </c>
      <c r="GC341">
        <v>20.145875525731139</v>
      </c>
      <c r="GD341">
        <v>10.636983904091005</v>
      </c>
      <c r="GE341">
        <v>10.825887126982691</v>
      </c>
      <c r="GF341">
        <v>21.181577332921101</v>
      </c>
      <c r="GG341">
        <v>19.674271135320854</v>
      </c>
      <c r="GH341">
        <v>16.325274596845173</v>
      </c>
      <c r="GI341">
        <v>32.266194939775218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714.437240314733</v>
      </c>
      <c r="AO342">
        <v>52.462589003361892</v>
      </c>
      <c r="AP342">
        <v>40.469092442878463</v>
      </c>
      <c r="AQ342">
        <v>379.87371285868375</v>
      </c>
      <c r="AR342">
        <v>50.244369571580783</v>
      </c>
      <c r="AS342">
        <v>393.15257596161774</v>
      </c>
      <c r="AT342">
        <v>24.464850717618472</v>
      </c>
      <c r="AU342">
        <v>-94.813536155774514</v>
      </c>
      <c r="AV342"/>
      <c r="AW342"/>
      <c r="FY342" s="212">
        <v>337</v>
      </c>
      <c r="FZ342">
        <v>46.605309005253872</v>
      </c>
      <c r="GA342">
        <v>112.23403593102601</v>
      </c>
      <c r="GB342">
        <v>64.174833506460359</v>
      </c>
      <c r="GC342">
        <v>22.264798819782907</v>
      </c>
      <c r="GD342">
        <v>13.750917006188132</v>
      </c>
      <c r="GE342">
        <v>13.284157842918937</v>
      </c>
      <c r="GF342">
        <v>24.838163398407101</v>
      </c>
      <c r="GG342">
        <v>33.376526572142851</v>
      </c>
      <c r="GH342">
        <v>26.251084254891747</v>
      </c>
      <c r="GI342">
        <v>39.441455202928481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873.71555557371062</v>
      </c>
      <c r="AO343">
        <v>55.296765243854985</v>
      </c>
      <c r="AP343">
        <v>67.836452990588043</v>
      </c>
      <c r="AQ343">
        <v>376.87792935346675</v>
      </c>
      <c r="AR343">
        <v>54.675356512689241</v>
      </c>
      <c r="AS343">
        <v>432.98423870012681</v>
      </c>
      <c r="AT343">
        <v>28.128371788539742</v>
      </c>
      <c r="AU343">
        <v>-36.676841837628025</v>
      </c>
      <c r="AV343"/>
      <c r="AW343"/>
      <c r="FY343" s="212">
        <v>338</v>
      </c>
      <c r="FZ343">
        <v>62.680160988622738</v>
      </c>
      <c r="GA343">
        <v>115.4268447716024</v>
      </c>
      <c r="GB343">
        <v>55.942394570642868</v>
      </c>
      <c r="GC343">
        <v>12.556527634621034</v>
      </c>
      <c r="GD343">
        <v>8.3435414664911693</v>
      </c>
      <c r="GE343">
        <v>10.344556867591239</v>
      </c>
      <c r="GF343">
        <v>22.561517214017275</v>
      </c>
      <c r="GG343">
        <v>24.858106728685044</v>
      </c>
      <c r="GH343">
        <v>21.581734664396084</v>
      </c>
      <c r="GI343">
        <v>35.641324776035368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750.09139903297523</v>
      </c>
      <c r="AO344">
        <v>50.829575412739779</v>
      </c>
      <c r="AP344">
        <v>60.829765263802116</v>
      </c>
      <c r="AQ344">
        <v>358.90476875609028</v>
      </c>
      <c r="AR344">
        <v>50.317636356000698</v>
      </c>
      <c r="AS344">
        <v>399.90727185846652</v>
      </c>
      <c r="AT344">
        <v>24.430720850004196</v>
      </c>
      <c r="AU344">
        <v>-24.534400754501377</v>
      </c>
      <c r="AV344"/>
      <c r="AW344"/>
      <c r="FY344" s="212">
        <v>339</v>
      </c>
      <c r="FZ344">
        <v>39.112717083620232</v>
      </c>
      <c r="GA344">
        <v>98.275884489680408</v>
      </c>
      <c r="GB344">
        <v>51.220080402346774</v>
      </c>
      <c r="GC344">
        <v>15.297275472252617</v>
      </c>
      <c r="GD344">
        <v>9.7417999323758941</v>
      </c>
      <c r="GE344">
        <v>14.471899331911413</v>
      </c>
      <c r="GF344">
        <v>26.847284228826776</v>
      </c>
      <c r="GG344">
        <v>31.948553536387919</v>
      </c>
      <c r="GH344">
        <v>40.947125094204516</v>
      </c>
      <c r="GI344">
        <v>35.591285087307163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692.85780064263986</v>
      </c>
      <c r="AO345">
        <v>46.055077654757952</v>
      </c>
      <c r="AP345">
        <v>93.252141501311669</v>
      </c>
      <c r="AQ345">
        <v>333.01188148359768</v>
      </c>
      <c r="AR345">
        <v>45.132826008176515</v>
      </c>
      <c r="AS345">
        <v>370.87501330001925</v>
      </c>
      <c r="AT345">
        <v>22.662699171226592</v>
      </c>
      <c r="AU345">
        <v>5.2898048572501324</v>
      </c>
      <c r="AV345"/>
      <c r="AW345"/>
      <c r="FY345" s="212">
        <v>340</v>
      </c>
      <c r="FZ345">
        <v>41.441497697020125</v>
      </c>
      <c r="GA345">
        <v>141.61096218447912</v>
      </c>
      <c r="GB345">
        <v>86.609529766218429</v>
      </c>
      <c r="GC345">
        <v>22.151253366826978</v>
      </c>
      <c r="GD345">
        <v>10.512786764363494</v>
      </c>
      <c r="GE345">
        <v>11.366802526773336</v>
      </c>
      <c r="GF345">
        <v>9.2858666133315619</v>
      </c>
      <c r="GG345">
        <v>17.863618101148628</v>
      </c>
      <c r="GH345">
        <v>21.694492358936934</v>
      </c>
      <c r="GI345">
        <v>38.77831860637621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671.98376408203899</v>
      </c>
      <c r="AO346">
        <v>42.549029866570052</v>
      </c>
      <c r="AP346">
        <v>59.903759100971811</v>
      </c>
      <c r="AQ346">
        <v>294.80377911328583</v>
      </c>
      <c r="AR346">
        <v>42.860633139861591</v>
      </c>
      <c r="AS346">
        <v>372.17530617761918</v>
      </c>
      <c r="AT346">
        <v>22.52283183273504</v>
      </c>
      <c r="AU346">
        <v>-24.315382720781386</v>
      </c>
      <c r="AV346"/>
      <c r="AW346"/>
      <c r="FY346" s="212">
        <v>341</v>
      </c>
      <c r="FZ346">
        <v>50.225456318417294</v>
      </c>
      <c r="GA346">
        <v>76.380754587877831</v>
      </c>
      <c r="GB346">
        <v>37.641529873050111</v>
      </c>
      <c r="GC346">
        <v>14.526605559474904</v>
      </c>
      <c r="GD346">
        <v>14.526636394756135</v>
      </c>
      <c r="GE346">
        <v>17.533138046449775</v>
      </c>
      <c r="GF346">
        <v>33.78886552580871</v>
      </c>
      <c r="GG346">
        <v>35.539301466321746</v>
      </c>
      <c r="GH346">
        <v>19.191246227600068</v>
      </c>
      <c r="GI346">
        <v>34.50488798899022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750.20105662740912</v>
      </c>
      <c r="AO347">
        <v>51.948132992743737</v>
      </c>
      <c r="AP347">
        <v>98.439675381032103</v>
      </c>
      <c r="AQ347">
        <v>374.18197973418035</v>
      </c>
      <c r="AR347">
        <v>50.123952385830968</v>
      </c>
      <c r="AS347">
        <v>429.69638396516649</v>
      </c>
      <c r="AT347">
        <v>25.210747180926109</v>
      </c>
      <c r="AU347">
        <v>-37.498687565640346</v>
      </c>
      <c r="AV347"/>
      <c r="AW347"/>
      <c r="FY347" s="212">
        <v>342</v>
      </c>
      <c r="FZ347">
        <v>32.456172770711923</v>
      </c>
      <c r="GA347">
        <v>106.49823001260074</v>
      </c>
      <c r="GB347">
        <v>60.195084036706781</v>
      </c>
      <c r="GC347">
        <v>19.330723838042726</v>
      </c>
      <c r="GD347">
        <v>13.58127177677259</v>
      </c>
      <c r="GE347">
        <v>16.636532902797054</v>
      </c>
      <c r="GF347">
        <v>21.86528542266727</v>
      </c>
      <c r="GG347">
        <v>22.591507263982642</v>
      </c>
      <c r="GH347">
        <v>26.929863618416046</v>
      </c>
      <c r="GI347">
        <v>35.907477909008591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689.52431148838537</v>
      </c>
      <c r="AO348">
        <v>43.054528379193613</v>
      </c>
      <c r="AP348">
        <v>53.527781004700373</v>
      </c>
      <c r="AQ348">
        <v>293.58298917002355</v>
      </c>
      <c r="AR348">
        <v>41.853797442082218</v>
      </c>
      <c r="AS348">
        <v>338.25865101906788</v>
      </c>
      <c r="AT348">
        <v>21.374488732055497</v>
      </c>
      <c r="AU348">
        <v>-47.846465115971334</v>
      </c>
      <c r="AV348"/>
      <c r="AW348"/>
      <c r="FY348" s="212">
        <v>343</v>
      </c>
      <c r="FZ348">
        <v>39.646792637541523</v>
      </c>
      <c r="GA348">
        <v>100.60600036227652</v>
      </c>
      <c r="GB348">
        <v>49.550628683075708</v>
      </c>
      <c r="GC348">
        <v>19.255473262456459</v>
      </c>
      <c r="GD348">
        <v>11.383856654104227</v>
      </c>
      <c r="GE348">
        <v>9.6210567838095233</v>
      </c>
      <c r="GF348">
        <v>28.311988705006453</v>
      </c>
      <c r="GG348">
        <v>32.042385157753245</v>
      </c>
      <c r="GH348">
        <v>30.784224907001736</v>
      </c>
      <c r="GI348">
        <v>34.839522330238601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775.51975396088415</v>
      </c>
      <c r="AO349">
        <v>45.115584279342045</v>
      </c>
      <c r="AP349">
        <v>51.642138095757019</v>
      </c>
      <c r="AQ349">
        <v>299.85617202905172</v>
      </c>
      <c r="AR349">
        <v>43.369905035434194</v>
      </c>
      <c r="AS349">
        <v>380.26796243680081</v>
      </c>
      <c r="AT349">
        <v>21.218520586600413</v>
      </c>
      <c r="AU349">
        <v>-59.051103463742251</v>
      </c>
      <c r="AV349"/>
      <c r="AW349"/>
      <c r="FY349" s="212">
        <v>344</v>
      </c>
      <c r="FZ349">
        <v>30.966107963317043</v>
      </c>
      <c r="GA349">
        <v>136.03325747516314</v>
      </c>
      <c r="GB349">
        <v>69.890770598636536</v>
      </c>
      <c r="GC349">
        <v>15.979634108895457</v>
      </c>
      <c r="GD349">
        <v>13.254821104535662</v>
      </c>
      <c r="GE349">
        <v>16.118193734823741</v>
      </c>
      <c r="GF349">
        <v>35.68035556797517</v>
      </c>
      <c r="GG349">
        <v>36.697071158114078</v>
      </c>
      <c r="GH349">
        <v>33.974525461617183</v>
      </c>
      <c r="GI349">
        <v>41.622992797909596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751.77711000203362</v>
      </c>
      <c r="AO350">
        <v>52.213859240908377</v>
      </c>
      <c r="AP350">
        <v>65.047508487413836</v>
      </c>
      <c r="AQ350">
        <v>370.04270304414717</v>
      </c>
      <c r="AR350">
        <v>49.958837218126398</v>
      </c>
      <c r="AS350">
        <v>424.70341782665605</v>
      </c>
      <c r="AT350">
        <v>24.902245452209083</v>
      </c>
      <c r="AU350">
        <v>-43.193618874731534</v>
      </c>
      <c r="AV350"/>
      <c r="AW350"/>
      <c r="FY350" s="212">
        <v>345</v>
      </c>
      <c r="FZ350">
        <v>31.795732700398499</v>
      </c>
      <c r="GA350">
        <v>99.656890979652985</v>
      </c>
      <c r="GB350">
        <v>61.101647338207442</v>
      </c>
      <c r="GC350">
        <v>19.690416368054365</v>
      </c>
      <c r="GD350">
        <v>12.189351851241517</v>
      </c>
      <c r="GE350">
        <v>14.000869547011547</v>
      </c>
      <c r="GF350">
        <v>31.42524462971614</v>
      </c>
      <c r="GG350">
        <v>30.201361376712363</v>
      </c>
      <c r="GH350">
        <v>25.713384090373189</v>
      </c>
      <c r="GI350">
        <v>36.73076729746932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735.0375666927107</v>
      </c>
      <c r="AO351">
        <v>52.679737025979804</v>
      </c>
      <c r="AP351">
        <v>62.209956717311492</v>
      </c>
      <c r="AQ351">
        <v>388.18403595752267</v>
      </c>
      <c r="AR351">
        <v>51.321207150177258</v>
      </c>
      <c r="AS351">
        <v>423.16303209840117</v>
      </c>
      <c r="AT351">
        <v>25.72344384190184</v>
      </c>
      <c r="AU351">
        <v>-76.222395778059536</v>
      </c>
      <c r="AV351"/>
      <c r="AW351"/>
      <c r="FY351" s="212">
        <v>346</v>
      </c>
      <c r="FZ351">
        <v>50.428379437914302</v>
      </c>
      <c r="GA351">
        <v>118.82695608717367</v>
      </c>
      <c r="GB351">
        <v>67.516365556808069</v>
      </c>
      <c r="GC351">
        <v>17.992052855917411</v>
      </c>
      <c r="GD351">
        <v>11.639830011648677</v>
      </c>
      <c r="GE351">
        <v>15.273196032178564</v>
      </c>
      <c r="GF351">
        <v>27.601015052312864</v>
      </c>
      <c r="GG351">
        <v>26.059686775488757</v>
      </c>
      <c r="GH351">
        <v>21.250521301617944</v>
      </c>
      <c r="GI351">
        <v>39.416292257893936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666.99246416346091</v>
      </c>
      <c r="AO352">
        <v>45.470540477633065</v>
      </c>
      <c r="AP352">
        <v>45.698860475198167</v>
      </c>
      <c r="AQ352">
        <v>312.33429537665262</v>
      </c>
      <c r="AR352">
        <v>44.545947747102346</v>
      </c>
      <c r="AS352">
        <v>362.51467986558043</v>
      </c>
      <c r="AT352">
        <v>21.973405873429368</v>
      </c>
      <c r="AU352">
        <v>-8.3885518367851617</v>
      </c>
      <c r="AV352"/>
      <c r="AW352"/>
      <c r="FY352" s="212">
        <v>347</v>
      </c>
      <c r="FZ352">
        <v>62.002242574953513</v>
      </c>
      <c r="GA352">
        <v>68.148217186681194</v>
      </c>
      <c r="GB352">
        <v>36.635678651992677</v>
      </c>
      <c r="GC352">
        <v>17.408752204728508</v>
      </c>
      <c r="GD352">
        <v>12.954291160561725</v>
      </c>
      <c r="GE352">
        <v>16.649096054880221</v>
      </c>
      <c r="GF352">
        <v>21.961380073263484</v>
      </c>
      <c r="GG352">
        <v>21.159916399412552</v>
      </c>
      <c r="GH352">
        <v>29.479520352496294</v>
      </c>
      <c r="GI352">
        <v>34.503299449908852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872.78017659132752</v>
      </c>
      <c r="AO353">
        <v>56.182218782559836</v>
      </c>
      <c r="AP353">
        <v>68.357769685470274</v>
      </c>
      <c r="AQ353">
        <v>396.22128154000035</v>
      </c>
      <c r="AR353">
        <v>54.095204237452492</v>
      </c>
      <c r="AS353">
        <v>491.41144096302725</v>
      </c>
      <c r="AT353">
        <v>27.665347573249846</v>
      </c>
      <c r="AU353">
        <v>-64.12797658305891</v>
      </c>
      <c r="AV353"/>
      <c r="AW353"/>
      <c r="FY353" s="212">
        <v>348</v>
      </c>
      <c r="FZ353">
        <v>49.921627360216014</v>
      </c>
      <c r="GA353">
        <v>90.927436717264229</v>
      </c>
      <c r="GB353">
        <v>52.010672373732383</v>
      </c>
      <c r="GC353">
        <v>21.740849211798093</v>
      </c>
      <c r="GD353">
        <v>14.154188173697397</v>
      </c>
      <c r="GE353">
        <v>15.09408217150256</v>
      </c>
      <c r="GF353">
        <v>28.702345903098049</v>
      </c>
      <c r="GG353">
        <v>35.044437511806784</v>
      </c>
      <c r="GH353">
        <v>34.269955946639492</v>
      </c>
      <c r="GI353">
        <v>39.075161877158912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626.70952337682081</v>
      </c>
      <c r="AO354">
        <v>48.929672349522548</v>
      </c>
      <c r="AP354">
        <v>44.732751571304973</v>
      </c>
      <c r="AQ354">
        <v>369.93670968270521</v>
      </c>
      <c r="AR354">
        <v>49.151838206937242</v>
      </c>
      <c r="AS354">
        <v>364.34997669353356</v>
      </c>
      <c r="AT354">
        <v>25.760062130986572</v>
      </c>
      <c r="AU354">
        <v>-83.681766241497883</v>
      </c>
      <c r="AV354"/>
      <c r="AW354"/>
      <c r="FY354" s="212">
        <v>349</v>
      </c>
      <c r="FZ354">
        <v>33.850222754376595</v>
      </c>
      <c r="GA354">
        <v>91.387102120255932</v>
      </c>
      <c r="GB354">
        <v>53.196191592697254</v>
      </c>
      <c r="GC354">
        <v>17.053149714337042</v>
      </c>
      <c r="GD354">
        <v>10.133559543341802</v>
      </c>
      <c r="GE354">
        <v>13.064282540060789</v>
      </c>
      <c r="GF354">
        <v>23.768828860041754</v>
      </c>
      <c r="GG354">
        <v>29.544326073668373</v>
      </c>
      <c r="GH354">
        <v>38.334452795326655</v>
      </c>
      <c r="GI354">
        <v>34.710156289760789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733.30641865121663</v>
      </c>
      <c r="AO355">
        <v>49.974648012617187</v>
      </c>
      <c r="AP355">
        <v>86.722018784030269</v>
      </c>
      <c r="AQ355">
        <v>363.4539046589137</v>
      </c>
      <c r="AR355">
        <v>49.037613621259119</v>
      </c>
      <c r="AS355">
        <v>401.89903136171432</v>
      </c>
      <c r="AT355">
        <v>24.974387594721559</v>
      </c>
      <c r="AU355">
        <v>-29.748498683547229</v>
      </c>
      <c r="AV355"/>
      <c r="AW355"/>
      <c r="FY355" s="212">
        <v>350</v>
      </c>
      <c r="FZ355">
        <v>35.226595750852503</v>
      </c>
      <c r="GA355">
        <v>96.824096762094754</v>
      </c>
      <c r="GB355">
        <v>47.386326040292495</v>
      </c>
      <c r="GC355">
        <v>13.028008926906626</v>
      </c>
      <c r="GD355">
        <v>11.766301469916064</v>
      </c>
      <c r="GE355">
        <v>15.765059681988561</v>
      </c>
      <c r="GF355">
        <v>46.380154008366709</v>
      </c>
      <c r="GG355">
        <v>47.515393278371114</v>
      </c>
      <c r="GH355">
        <v>41.83715821625762</v>
      </c>
      <c r="GI355">
        <v>39.011094633214171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898.55543774582452</v>
      </c>
      <c r="AO356">
        <v>55.586602901029458</v>
      </c>
      <c r="AP356">
        <v>41.209573922893746</v>
      </c>
      <c r="AQ356">
        <v>401.31512798547487</v>
      </c>
      <c r="AR356">
        <v>53.185260212889126</v>
      </c>
      <c r="AS356">
        <v>444.72746026066653</v>
      </c>
      <c r="AT356">
        <v>26.685449201230156</v>
      </c>
      <c r="AU356">
        <v>-116.75252167985842</v>
      </c>
      <c r="AV356"/>
      <c r="AW356"/>
      <c r="FY356" s="212">
        <v>351</v>
      </c>
      <c r="FZ356">
        <v>36.048146046657898</v>
      </c>
      <c r="GA356">
        <v>85.530270102215653</v>
      </c>
      <c r="GB356">
        <v>52.770242947653827</v>
      </c>
      <c r="GC356">
        <v>20.307639017111288</v>
      </c>
      <c r="GD356">
        <v>9.9240070596208643</v>
      </c>
      <c r="GE356">
        <v>12.978245688846698</v>
      </c>
      <c r="GF356">
        <v>28.638800518055302</v>
      </c>
      <c r="GG356">
        <v>27.86870549927248</v>
      </c>
      <c r="GH356">
        <v>25.801388077859979</v>
      </c>
      <c r="GI356">
        <v>33.5454406773421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658.29643124109089</v>
      </c>
      <c r="AO357">
        <v>48.151762041001845</v>
      </c>
      <c r="AP357">
        <v>153.90698753149965</v>
      </c>
      <c r="AQ357">
        <v>333.85842198874684</v>
      </c>
      <c r="AR357">
        <v>47.613809716805967</v>
      </c>
      <c r="AS357">
        <v>375.04472077066276</v>
      </c>
      <c r="AT357">
        <v>24.587465415702216</v>
      </c>
      <c r="AU357">
        <v>62.007590084219451</v>
      </c>
      <c r="AV357"/>
      <c r="AW357"/>
      <c r="FY357" s="212">
        <v>352</v>
      </c>
      <c r="FZ357">
        <v>60.958234185072222</v>
      </c>
      <c r="GA357">
        <v>116.77282452422538</v>
      </c>
      <c r="GB357">
        <v>70.819364975318422</v>
      </c>
      <c r="GC357">
        <v>20.691105460759747</v>
      </c>
      <c r="GD357">
        <v>12.362489390822168</v>
      </c>
      <c r="GE357">
        <v>20.558457593604889</v>
      </c>
      <c r="GF357">
        <v>34.63131151582111</v>
      </c>
      <c r="GG357">
        <v>24.294423232229551</v>
      </c>
      <c r="GH357">
        <v>16.766729963725254</v>
      </c>
      <c r="GI357">
        <v>42.761116873093975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799.61079188672011</v>
      </c>
      <c r="AO358">
        <v>51.133330160366178</v>
      </c>
      <c r="AP358">
        <v>66.80318771723482</v>
      </c>
      <c r="AQ358">
        <v>355.9921495517064</v>
      </c>
      <c r="AR358">
        <v>49.3593768963039</v>
      </c>
      <c r="AS358">
        <v>419.44755634802362</v>
      </c>
      <c r="AT358">
        <v>24.670535483930809</v>
      </c>
      <c r="AU358">
        <v>-65.919333877504158</v>
      </c>
      <c r="AV358"/>
      <c r="AW358"/>
      <c r="FY358" s="212">
        <v>353</v>
      </c>
      <c r="FZ358">
        <v>42.757515044112317</v>
      </c>
      <c r="GA358">
        <v>111.6488034760779</v>
      </c>
      <c r="GB358">
        <v>70.195088305218022</v>
      </c>
      <c r="GC358">
        <v>24.406547045428887</v>
      </c>
      <c r="GD358">
        <v>13.519125876244825</v>
      </c>
      <c r="GE358">
        <v>13.980243044947272</v>
      </c>
      <c r="GF358">
        <v>26.03158767518514</v>
      </c>
      <c r="GG358">
        <v>25.441707133976237</v>
      </c>
      <c r="GH358">
        <v>20.713105798713734</v>
      </c>
      <c r="GI358">
        <v>39.767169891655449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759.6766708228979</v>
      </c>
      <c r="AO359">
        <v>49.711192158031594</v>
      </c>
      <c r="AP359">
        <v>84.288379936376415</v>
      </c>
      <c r="AQ359">
        <v>356.04192948326397</v>
      </c>
      <c r="AR359">
        <v>47.87331887152056</v>
      </c>
      <c r="AS359">
        <v>414.21555673496073</v>
      </c>
      <c r="AT359">
        <v>24.510155848360018</v>
      </c>
      <c r="AU359">
        <v>-31.990933363085748</v>
      </c>
      <c r="AV359"/>
      <c r="AW359"/>
      <c r="FY359" s="212">
        <v>354</v>
      </c>
      <c r="FZ359">
        <v>50.292899035922261</v>
      </c>
      <c r="GA359">
        <v>96.960668128292355</v>
      </c>
      <c r="GB359">
        <v>54.880362347911039</v>
      </c>
      <c r="GC359">
        <v>25.938534587228247</v>
      </c>
      <c r="GD359">
        <v>15.577173312160959</v>
      </c>
      <c r="GE359">
        <v>11.799361613625575</v>
      </c>
      <c r="GF359">
        <v>22.193640387908829</v>
      </c>
      <c r="GG359">
        <v>21.282642131167496</v>
      </c>
      <c r="GH359">
        <v>18.476742884717844</v>
      </c>
      <c r="GI359">
        <v>37.057914437325302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863.44503605969965</v>
      </c>
      <c r="AO360">
        <v>59.509151729899749</v>
      </c>
      <c r="AP360">
        <v>91.535048710792054</v>
      </c>
      <c r="AQ360">
        <v>430.21772997098765</v>
      </c>
      <c r="AR360">
        <v>57.393180831680112</v>
      </c>
      <c r="AS360">
        <v>472.35102648329371</v>
      </c>
      <c r="AT360">
        <v>27.52155412331788</v>
      </c>
      <c r="AU360">
        <v>-90.774975659272712</v>
      </c>
      <c r="AV360"/>
      <c r="AW360"/>
      <c r="FY360" s="212">
        <v>355</v>
      </c>
      <c r="FZ360">
        <v>42.017899924364436</v>
      </c>
      <c r="GA360">
        <v>95.781839150533884</v>
      </c>
      <c r="GB360">
        <v>53.35522214165411</v>
      </c>
      <c r="GC360">
        <v>19.613862603171565</v>
      </c>
      <c r="GD360">
        <v>11.124969476455171</v>
      </c>
      <c r="GE360">
        <v>12.117426979331372</v>
      </c>
      <c r="GF360">
        <v>24.407534928051966</v>
      </c>
      <c r="GG360">
        <v>28.321058941356419</v>
      </c>
      <c r="GH360">
        <v>33.404378370135838</v>
      </c>
      <c r="GI360">
        <v>35.600468432895504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889.44497045140474</v>
      </c>
      <c r="AO361">
        <v>51.860844599929202</v>
      </c>
      <c r="AP361">
        <v>98.805240787121619</v>
      </c>
      <c r="AQ361">
        <v>362.50566617883743</v>
      </c>
      <c r="AR361">
        <v>50.436547124453341</v>
      </c>
      <c r="AS361">
        <v>423.53439178491402</v>
      </c>
      <c r="AT361">
        <v>25.326129942030704</v>
      </c>
      <c r="AU361">
        <v>-60.16640769664977</v>
      </c>
      <c r="AV361"/>
      <c r="AW361"/>
      <c r="FY361" s="212">
        <v>356</v>
      </c>
      <c r="FZ361">
        <v>47.455275971713043</v>
      </c>
      <c r="GA361">
        <v>69.605340403127343</v>
      </c>
      <c r="GB361">
        <v>42.4905410338622</v>
      </c>
      <c r="GC361">
        <v>22.23595528466096</v>
      </c>
      <c r="GD361">
        <v>11.898005497859616</v>
      </c>
      <c r="GE361">
        <v>15.047668205616908</v>
      </c>
      <c r="GF361">
        <v>15.028463396286028</v>
      </c>
      <c r="GG361">
        <v>16.201930556266966</v>
      </c>
      <c r="GH361">
        <v>29.94208974543692</v>
      </c>
      <c r="GI361">
        <v>31.916904285861975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838.85307610489986</v>
      </c>
      <c r="AO362">
        <v>55.071515839326821</v>
      </c>
      <c r="AP362">
        <v>87.950532006005176</v>
      </c>
      <c r="AQ362">
        <v>396.00429536895422</v>
      </c>
      <c r="AR362">
        <v>54.327863667314681</v>
      </c>
      <c r="AS362">
        <v>444.46204037830972</v>
      </c>
      <c r="AT362">
        <v>27.203099730400869</v>
      </c>
      <c r="AU362">
        <v>-97.398523614563075</v>
      </c>
      <c r="AV362"/>
      <c r="AW362"/>
      <c r="FY362" s="212">
        <v>357</v>
      </c>
      <c r="FZ362">
        <v>37.68731090490418</v>
      </c>
      <c r="GA362">
        <v>84.635589358298049</v>
      </c>
      <c r="GB362">
        <v>53.09510721414658</v>
      </c>
      <c r="GC362">
        <v>22.020685563460283</v>
      </c>
      <c r="GD362">
        <v>11.236296901017987</v>
      </c>
      <c r="GE362">
        <v>13.521859918680281</v>
      </c>
      <c r="GF362">
        <v>48.303058956874743</v>
      </c>
      <c r="GG362">
        <v>41.427605835256479</v>
      </c>
      <c r="GH362">
        <v>18.175434834382777</v>
      </c>
      <c r="GI362">
        <v>37.114952349252562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645.13070833615348</v>
      </c>
      <c r="AO363">
        <v>46.02725425681723</v>
      </c>
      <c r="AP363">
        <v>63.169617695592869</v>
      </c>
      <c r="AQ363">
        <v>320.90239410887904</v>
      </c>
      <c r="AR363">
        <v>47.583956883169613</v>
      </c>
      <c r="AS363">
        <v>374.44444335220044</v>
      </c>
      <c r="AT363">
        <v>25.598757208694774</v>
      </c>
      <c r="AU363">
        <v>-6.9537092708949899</v>
      </c>
      <c r="AV363"/>
      <c r="AW363"/>
      <c r="FY363" s="212">
        <v>358</v>
      </c>
      <c r="FZ363">
        <v>37.301391167042112</v>
      </c>
      <c r="GA363">
        <v>98.34009327687798</v>
      </c>
      <c r="GB363">
        <v>72.335347714748593</v>
      </c>
      <c r="GC363">
        <v>23.382116813905586</v>
      </c>
      <c r="GD363">
        <v>10.695749316444903</v>
      </c>
      <c r="GE363">
        <v>15.088621955042388</v>
      </c>
      <c r="GF363">
        <v>21.397139837192011</v>
      </c>
      <c r="GG363">
        <v>27.658469304347999</v>
      </c>
      <c r="GH363">
        <v>27.184163817962304</v>
      </c>
      <c r="GI363">
        <v>37.83455524465613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833.90348102223402</v>
      </c>
      <c r="AO364">
        <v>54.39945737484279</v>
      </c>
      <c r="AP364">
        <v>72.443793519420012</v>
      </c>
      <c r="AQ364">
        <v>380.9407572469139</v>
      </c>
      <c r="AR364">
        <v>53.507653750003158</v>
      </c>
      <c r="AS364">
        <v>449.27869417864082</v>
      </c>
      <c r="AT364">
        <v>28.58162011136741</v>
      </c>
      <c r="AU364">
        <v>-61.746857149880512</v>
      </c>
      <c r="AV364"/>
      <c r="AW364"/>
      <c r="FY364" s="212">
        <v>359</v>
      </c>
      <c r="FZ364">
        <v>45.693729852211931</v>
      </c>
      <c r="GA364">
        <v>105.65922236666995</v>
      </c>
      <c r="GB364">
        <v>60.929006115735675</v>
      </c>
      <c r="GC364">
        <v>20.68607040622512</v>
      </c>
      <c r="GD364">
        <v>12.337146385922502</v>
      </c>
      <c r="GE364">
        <v>14.421335133671487</v>
      </c>
      <c r="GF364">
        <v>24.515280612417069</v>
      </c>
      <c r="GG364">
        <v>23.865827049206196</v>
      </c>
      <c r="GH364">
        <v>24.537803939853699</v>
      </c>
      <c r="GI364">
        <v>37.413828879904656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672.21689774984407</v>
      </c>
      <c r="AO365">
        <v>48.826469683349771</v>
      </c>
      <c r="AP365">
        <v>77.221351827824364</v>
      </c>
      <c r="AQ365">
        <v>345.04227228386696</v>
      </c>
      <c r="AR365">
        <v>47.952706964551197</v>
      </c>
      <c r="AS365">
        <v>367.76463917010688</v>
      </c>
      <c r="AT365">
        <v>22.964027372660428</v>
      </c>
      <c r="AU365">
        <v>-46.980089797490379</v>
      </c>
      <c r="AV365"/>
      <c r="AW365"/>
      <c r="FY365" s="212">
        <v>360</v>
      </c>
      <c r="FZ365">
        <v>54.67238933506448</v>
      </c>
      <c r="GA365">
        <v>127.83089197931484</v>
      </c>
      <c r="GB365">
        <v>69.38997737968532</v>
      </c>
      <c r="GC365">
        <v>22.552454206253358</v>
      </c>
      <c r="GD365">
        <v>15.857283551444384</v>
      </c>
      <c r="GE365">
        <v>21.901857942750688</v>
      </c>
      <c r="GF365">
        <v>30.262030982756073</v>
      </c>
      <c r="GG365">
        <v>25.495402791240288</v>
      </c>
      <c r="GH365">
        <v>26.181892082725174</v>
      </c>
      <c r="GI365">
        <v>44.262319887502869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785.94733294460343</v>
      </c>
      <c r="AO366">
        <v>54.486644637364066</v>
      </c>
      <c r="AP366">
        <v>105.12259909303188</v>
      </c>
      <c r="AQ366">
        <v>394.74018876826062</v>
      </c>
      <c r="AR366">
        <v>53.739461265372725</v>
      </c>
      <c r="AS366">
        <v>430.51146026839513</v>
      </c>
      <c r="AT366">
        <v>26.691111012454268</v>
      </c>
      <c r="AU366">
        <v>-35.164903982881469</v>
      </c>
      <c r="AV366"/>
      <c r="AW366"/>
      <c r="FY366" s="212">
        <v>361</v>
      </c>
      <c r="FZ366">
        <v>44.013089053682108</v>
      </c>
      <c r="GA366">
        <v>74.284266638939499</v>
      </c>
      <c r="GB366">
        <v>45.148163780084758</v>
      </c>
      <c r="GC366">
        <v>17.812789758567931</v>
      </c>
      <c r="GD366">
        <v>7.9012046683599122</v>
      </c>
      <c r="GE366">
        <v>8.119317482558797</v>
      </c>
      <c r="GF366">
        <v>20.473595292703131</v>
      </c>
      <c r="GG366">
        <v>21.816635076246179</v>
      </c>
      <c r="GH366">
        <v>23.300174138334693</v>
      </c>
      <c r="GI366">
        <v>29.697181262798729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709.23258634530316</v>
      </c>
      <c r="AO367">
        <v>47.811057279604164</v>
      </c>
      <c r="AP367">
        <v>51.096067595859822</v>
      </c>
      <c r="AQ367">
        <v>333.41288563463604</v>
      </c>
      <c r="AR367">
        <v>46.13633077685158</v>
      </c>
      <c r="AS367">
        <v>368.10265433497074</v>
      </c>
      <c r="AT367">
        <v>23.880675382087531</v>
      </c>
      <c r="AU367">
        <v>-67.168611257418561</v>
      </c>
      <c r="AV367"/>
      <c r="AW367"/>
      <c r="FY367" s="212">
        <v>362</v>
      </c>
      <c r="FZ367">
        <v>30.557184126026556</v>
      </c>
      <c r="GA367">
        <v>73.340832583296958</v>
      </c>
      <c r="GB367">
        <v>40.506502211797915</v>
      </c>
      <c r="GC367">
        <v>14.403303583632182</v>
      </c>
      <c r="GD367">
        <v>12.451529092385227</v>
      </c>
      <c r="GE367">
        <v>20.622648948966287</v>
      </c>
      <c r="GF367">
        <v>23.616528261608568</v>
      </c>
      <c r="GG367">
        <v>16.556899524887079</v>
      </c>
      <c r="GH367">
        <v>18.877562813749165</v>
      </c>
      <c r="GI367">
        <v>29.030829176155116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929.95714013027248</v>
      </c>
      <c r="AO368">
        <v>59.211231240874341</v>
      </c>
      <c r="AP368">
        <v>67.816981491686633</v>
      </c>
      <c r="AQ368">
        <v>420.61605771467271</v>
      </c>
      <c r="AR368">
        <v>58.891523917111954</v>
      </c>
      <c r="AS368">
        <v>489.18253337060469</v>
      </c>
      <c r="AT368">
        <v>29.710597549938338</v>
      </c>
      <c r="AU368">
        <v>-73.56237951486041</v>
      </c>
      <c r="AV368"/>
      <c r="AW368"/>
      <c r="FY368" s="212">
        <v>363</v>
      </c>
      <c r="FZ368">
        <v>31.705081153619062</v>
      </c>
      <c r="GA368">
        <v>83.786653184109369</v>
      </c>
      <c r="GB368">
        <v>61.947553632626537</v>
      </c>
      <c r="GC368">
        <v>20.454105693723484</v>
      </c>
      <c r="GD368">
        <v>8.2308704936087622</v>
      </c>
      <c r="GE368">
        <v>17.271056666057824</v>
      </c>
      <c r="GF368">
        <v>37.760205907997275</v>
      </c>
      <c r="GG368">
        <v>35.181389855859003</v>
      </c>
      <c r="GH368">
        <v>38.924103014622482</v>
      </c>
      <c r="GI368">
        <v>37.999312151306022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842.01165975420315</v>
      </c>
      <c r="AO369">
        <v>56.510418042254081</v>
      </c>
      <c r="AP369">
        <v>67.007497633139224</v>
      </c>
      <c r="AQ369">
        <v>388.46089329155978</v>
      </c>
      <c r="AR369">
        <v>54.933871351966047</v>
      </c>
      <c r="AS369">
        <v>449.12211993202112</v>
      </c>
      <c r="AT369">
        <v>27.059030692162747</v>
      </c>
      <c r="AU369">
        <v>-63.894985543958057</v>
      </c>
      <c r="AV369"/>
      <c r="AW369"/>
      <c r="FY369" s="212">
        <v>364</v>
      </c>
      <c r="FZ369">
        <v>32.228568849652405</v>
      </c>
      <c r="GA369">
        <v>116.71052229296767</v>
      </c>
      <c r="GB369">
        <v>63.359536206715333</v>
      </c>
      <c r="GC369">
        <v>15.986589117805991</v>
      </c>
      <c r="GD369">
        <v>10.744688719353096</v>
      </c>
      <c r="GE369">
        <v>12.604154213938354</v>
      </c>
      <c r="GF369">
        <v>6.9905207642828362</v>
      </c>
      <c r="GG369">
        <v>12.299045353715599</v>
      </c>
      <c r="GH369">
        <v>35.441737185609064</v>
      </c>
      <c r="GI369">
        <v>33.644190942572045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769.55585595683465</v>
      </c>
      <c r="AO370">
        <v>52.033243523596184</v>
      </c>
      <c r="AP370">
        <v>79.947468490983994</v>
      </c>
      <c r="AQ370">
        <v>354.4599388662599</v>
      </c>
      <c r="AR370">
        <v>50.835570563930276</v>
      </c>
      <c r="AS370">
        <v>441.45930959057409</v>
      </c>
      <c r="AT370">
        <v>27.226422015192238</v>
      </c>
      <c r="AU370">
        <v>-37.070307036821198</v>
      </c>
      <c r="AV370"/>
      <c r="AW370"/>
      <c r="FY370" s="212">
        <v>365</v>
      </c>
      <c r="FZ370">
        <v>47.153830059533</v>
      </c>
      <c r="GA370">
        <v>91.630278918538863</v>
      </c>
      <c r="GB370">
        <v>50.376314337685756</v>
      </c>
      <c r="GC370">
        <v>20.31100278697604</v>
      </c>
      <c r="GD370">
        <v>16.423793394733035</v>
      </c>
      <c r="GE370">
        <v>16.085762647583849</v>
      </c>
      <c r="GF370">
        <v>47.247366190683799</v>
      </c>
      <c r="GG370">
        <v>42.288780765765573</v>
      </c>
      <c r="GH370">
        <v>19.496910563480444</v>
      </c>
      <c r="GI370">
        <v>40.660010182097189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743.5569885397</v>
      </c>
      <c r="AO371">
        <v>49.814523923946361</v>
      </c>
      <c r="AP371">
        <v>57.884135507416673</v>
      </c>
      <c r="AQ371">
        <v>355.74466094795025</v>
      </c>
      <c r="AR371">
        <v>48.778623826639084</v>
      </c>
      <c r="AS371">
        <v>422.26934903703614</v>
      </c>
      <c r="AT371">
        <v>26.161277875709661</v>
      </c>
      <c r="AU371">
        <v>-79.938838886075757</v>
      </c>
      <c r="AV371"/>
      <c r="AW371"/>
      <c r="FY371" s="212">
        <v>366</v>
      </c>
      <c r="FZ371">
        <v>54.796317831161055</v>
      </c>
      <c r="GA371">
        <v>100.20242597423344</v>
      </c>
      <c r="GB371">
        <v>61.613503688697108</v>
      </c>
      <c r="GC371">
        <v>19.351828521735897</v>
      </c>
      <c r="GD371">
        <v>9.0941370161643604</v>
      </c>
      <c r="GE371">
        <v>13.728065493690481</v>
      </c>
      <c r="GF371">
        <v>35.114331518022468</v>
      </c>
      <c r="GG371">
        <v>24.052451570247477</v>
      </c>
      <c r="GH371">
        <v>16.889293566058701</v>
      </c>
      <c r="GI371">
        <v>37.78465611451881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1.1192378560128725E-3</v>
      </c>
      <c r="H372" s="59">
        <f t="shared" ref="H372:AK372" si="360">+H36</f>
        <v>7.2275999999999998E-3</v>
      </c>
      <c r="I372" s="59">
        <f t="shared" si="360"/>
        <v>4.6673011888725101E-2</v>
      </c>
      <c r="J372" s="59">
        <f t="shared" si="360"/>
        <v>0.13897203136197886</v>
      </c>
      <c r="K372" s="59">
        <f t="shared" si="360"/>
        <v>0.30139604277562043</v>
      </c>
      <c r="L372" s="59">
        <f t="shared" si="360"/>
        <v>0.54944267880487196</v>
      </c>
      <c r="M372" s="59">
        <f t="shared" si="360"/>
        <v>0.89742698433199364</v>
      </c>
      <c r="N372" s="59">
        <f t="shared" si="360"/>
        <v>1.3587918549382612</v>
      </c>
      <c r="O372" s="59">
        <f t="shared" si="360"/>
        <v>1.9462976766397186</v>
      </c>
      <c r="P372" s="59">
        <f t="shared" si="360"/>
        <v>2.6721491921073159</v>
      </c>
      <c r="Q372" s="59">
        <f t="shared" si="360"/>
        <v>3.5480857656805531</v>
      </c>
      <c r="R372" s="59">
        <f t="shared" si="360"/>
        <v>4.5854485507812486</v>
      </c>
      <c r="S372" s="59">
        <f t="shared" si="360"/>
        <v>5.7952322083388497</v>
      </c>
      <c r="T372" s="59">
        <f t="shared" si="360"/>
        <v>7.1881258189983859</v>
      </c>
      <c r="U372" s="59">
        <f t="shared" si="360"/>
        <v>8.7745459626758926</v>
      </c>
      <c r="V372" s="59">
        <f t="shared" si="360"/>
        <v>10.564663953522661</v>
      </c>
      <c r="W372" s="59">
        <f t="shared" si="360"/>
        <v>12.568428607117669</v>
      </c>
      <c r="X372" s="59">
        <f t="shared" si="360"/>
        <v>14.795585521883805</v>
      </c>
      <c r="Y372" s="59">
        <f t="shared" si="360"/>
        <v>17.255693592848509</v>
      </c>
      <c r="Z372" s="59">
        <f t="shared" si="360"/>
        <v>19.958139294316886</v>
      </c>
      <c r="AA372" s="59">
        <f t="shared" si="360"/>
        <v>22.912149139939221</v>
      </c>
      <c r="AB372" s="59">
        <f t="shared" si="360"/>
        <v>26.126800636294448</v>
      </c>
      <c r="AC372" s="59">
        <f t="shared" si="360"/>
        <v>29.611031978215532</v>
      </c>
      <c r="AD372" s="59">
        <f t="shared" si="360"/>
        <v>33.373650683313194</v>
      </c>
      <c r="AE372" s="59">
        <f t="shared" si="360"/>
        <v>37.423341324605943</v>
      </c>
      <c r="AF372" s="59">
        <f t="shared" si="360"/>
        <v>41.768672490491134</v>
      </c>
      <c r="AG372" s="59">
        <f t="shared" si="360"/>
        <v>46.418103078167533</v>
      </c>
      <c r="AH372" s="59">
        <f t="shared" si="360"/>
        <v>51.37998800838789</v>
      </c>
      <c r="AI372" s="59">
        <f t="shared" si="360"/>
        <v>56.662583434907432</v>
      </c>
      <c r="AJ372" s="59">
        <f t="shared" si="360"/>
        <v>62.274051510321357</v>
      </c>
      <c r="AK372" s="59">
        <f t="shared" si="360"/>
        <v>68.222464760522016</v>
      </c>
      <c r="AL372" s="78"/>
      <c r="AM372" s="43">
        <v>356</v>
      </c>
      <c r="AN372">
        <v>726.44532361489098</v>
      </c>
      <c r="AO372">
        <v>44.20738165632342</v>
      </c>
      <c r="AP372">
        <v>54.229961399536322</v>
      </c>
      <c r="AQ372">
        <v>301.82217438069199</v>
      </c>
      <c r="AR372">
        <v>43.74020147326312</v>
      </c>
      <c r="AS372">
        <v>374.99059167934831</v>
      </c>
      <c r="AT372">
        <v>23.750641298650777</v>
      </c>
      <c r="AU372">
        <v>-40.258340822774429</v>
      </c>
      <c r="AV372"/>
      <c r="AW372"/>
      <c r="FY372" s="212">
        <v>367</v>
      </c>
      <c r="FZ372">
        <v>34.655136412665954</v>
      </c>
      <c r="GA372">
        <v>87.849481174501776</v>
      </c>
      <c r="GB372">
        <v>57.541346063799111</v>
      </c>
      <c r="GC372">
        <v>22.606552401445413</v>
      </c>
      <c r="GD372">
        <v>12.150669221531892</v>
      </c>
      <c r="GE372">
        <v>14.864545986119019</v>
      </c>
      <c r="GF372">
        <v>23.873720933696156</v>
      </c>
      <c r="GG372">
        <v>21.012345458423908</v>
      </c>
      <c r="GH372">
        <v>15.227422965115327</v>
      </c>
      <c r="GI372">
        <v>33.326391664968106</v>
      </c>
      <c r="GJ372"/>
      <c r="GK372"/>
      <c r="GL372"/>
      <c r="GM372"/>
    </row>
    <row r="373" spans="1:195" s="7" customFormat="1">
      <c r="A373" s="95"/>
      <c r="B373" s="71">
        <f t="shared" ref="B373:B378" si="361">+C4</f>
        <v>39646</v>
      </c>
      <c r="C373" s="18">
        <f t="shared" ref="C373:C382" si="362">+D70</f>
        <v>157.29166666666663</v>
      </c>
      <c r="D373" s="18">
        <f t="shared" ref="D373:D382" si="363">SUM(G373:AK373)</f>
        <v>38.415993844247602</v>
      </c>
      <c r="E373" s="19">
        <f t="shared" ref="E373:E382" si="364">IF(C373&lt;1, 0.000001, D373/C373)</f>
        <v>0.24423413304952124</v>
      </c>
      <c r="F373" s="19"/>
      <c r="G373" s="18">
        <f>AVERAGE(E228:E237)*G$372</f>
        <v>0</v>
      </c>
      <c r="H373" s="18">
        <f t="shared" ref="H373:AK373" si="365">AVERAGE(F228:F237)*H$372</f>
        <v>6.7758749999999993E-2</v>
      </c>
      <c r="I373" s="18">
        <f t="shared" si="365"/>
        <v>2.5767391980233647</v>
      </c>
      <c r="J373" s="18">
        <f t="shared" si="365"/>
        <v>4.1981134473931112</v>
      </c>
      <c r="K373" s="18">
        <f t="shared" si="365"/>
        <v>8.7907179142889298</v>
      </c>
      <c r="L373" s="18">
        <f t="shared" si="365"/>
        <v>12.019058598856574</v>
      </c>
      <c r="M373" s="18">
        <f t="shared" si="365"/>
        <v>9.3481977534582672</v>
      </c>
      <c r="N373" s="18">
        <f t="shared" si="365"/>
        <v>1.4154081822273552</v>
      </c>
      <c r="O373" s="18">
        <f t="shared" si="365"/>
        <v>0</v>
      </c>
      <c r="P373" s="18">
        <f t="shared" si="365"/>
        <v>0</v>
      </c>
      <c r="Q373" s="18">
        <f t="shared" si="365"/>
        <v>0</v>
      </c>
      <c r="R373" s="18">
        <f t="shared" si="365"/>
        <v>0</v>
      </c>
      <c r="S373" s="18">
        <f t="shared" si="365"/>
        <v>0</v>
      </c>
      <c r="T373" s="18">
        <f t="shared" si="365"/>
        <v>0</v>
      </c>
      <c r="U373" s="18">
        <f t="shared" si="365"/>
        <v>0</v>
      </c>
      <c r="V373" s="18">
        <f t="shared" si="365"/>
        <v>0</v>
      </c>
      <c r="W373" s="18">
        <f t="shared" si="365"/>
        <v>0</v>
      </c>
      <c r="X373" s="18">
        <f t="shared" si="365"/>
        <v>0</v>
      </c>
      <c r="Y373" s="18">
        <f t="shared" si="365"/>
        <v>0</v>
      </c>
      <c r="Z373" s="18">
        <f t="shared" si="365"/>
        <v>0</v>
      </c>
      <c r="AA373" s="18">
        <f t="shared" si="365"/>
        <v>0</v>
      </c>
      <c r="AB373" s="18">
        <f t="shared" si="365"/>
        <v>0</v>
      </c>
      <c r="AC373" s="18">
        <f t="shared" si="365"/>
        <v>0</v>
      </c>
      <c r="AD373" s="18">
        <f t="shared" si="365"/>
        <v>0</v>
      </c>
      <c r="AE373" s="18">
        <f t="shared" si="365"/>
        <v>0</v>
      </c>
      <c r="AF373" s="18">
        <f t="shared" si="365"/>
        <v>0</v>
      </c>
      <c r="AG373" s="18">
        <f t="shared" si="365"/>
        <v>0</v>
      </c>
      <c r="AH373" s="18">
        <f t="shared" si="365"/>
        <v>0</v>
      </c>
      <c r="AI373" s="18">
        <f t="shared" si="365"/>
        <v>0</v>
      </c>
      <c r="AJ373" s="18">
        <f t="shared" si="365"/>
        <v>0</v>
      </c>
      <c r="AK373" s="18">
        <f t="shared" si="365"/>
        <v>0</v>
      </c>
      <c r="AL373" s="78"/>
      <c r="AM373" s="43">
        <v>357</v>
      </c>
      <c r="AN373">
        <v>770.66473498440496</v>
      </c>
      <c r="AO373">
        <v>53.29097803858825</v>
      </c>
      <c r="AP373">
        <v>132.26798050233106</v>
      </c>
      <c r="AQ373">
        <v>367.21790183627394</v>
      </c>
      <c r="AR373">
        <v>51.107054630746568</v>
      </c>
      <c r="AS373">
        <v>425.09167936597186</v>
      </c>
      <c r="AT373">
        <v>25.728552790978437</v>
      </c>
      <c r="AU373">
        <v>20.501407951244278</v>
      </c>
      <c r="AV373"/>
      <c r="AW373"/>
      <c r="FY373" s="212">
        <v>368</v>
      </c>
      <c r="FZ373">
        <v>48.344222346438023</v>
      </c>
      <c r="GA373">
        <v>79.444744698254823</v>
      </c>
      <c r="GB373">
        <v>52.190140390966313</v>
      </c>
      <c r="GC373">
        <v>24.722443866826797</v>
      </c>
      <c r="GD373">
        <v>13.829233828967793</v>
      </c>
      <c r="GE373">
        <v>15.189306609212995</v>
      </c>
      <c r="GF373">
        <v>9.0415956473970382</v>
      </c>
      <c r="GG373">
        <v>8.7978053051529432</v>
      </c>
      <c r="GH373">
        <v>28.207479284588512</v>
      </c>
      <c r="GI373">
        <v>34.264447170053984</v>
      </c>
      <c r="GJ373"/>
      <c r="GK373"/>
      <c r="GL373"/>
      <c r="GM373"/>
    </row>
    <row r="374" spans="1:195" s="7" customFormat="1">
      <c r="A374" s="95"/>
      <c r="B374" s="71">
        <f t="shared" si="361"/>
        <v>39673</v>
      </c>
      <c r="C374" s="18">
        <f t="shared" si="362"/>
        <v>382.87080447303924</v>
      </c>
      <c r="D374" s="18">
        <f t="shared" si="363"/>
        <v>53.736922436848914</v>
      </c>
      <c r="E374" s="19">
        <f t="shared" si="364"/>
        <v>0.14035262498222928</v>
      </c>
      <c r="F374" s="19">
        <f>IF(F388&lt;0,0,F388)</f>
        <v>0</v>
      </c>
      <c r="G374" s="18">
        <f>AVERAGE(E238:E247)*G$372</f>
        <v>0</v>
      </c>
      <c r="H374" s="18">
        <f t="shared" ref="H374:AK374" si="366">AVERAGE(F238:F247)*H$372</f>
        <v>0.14201289215686272</v>
      </c>
      <c r="I374" s="18">
        <f t="shared" si="366"/>
        <v>6.7947031212750053</v>
      </c>
      <c r="J374" s="18">
        <f t="shared" si="366"/>
        <v>17.497586295700515</v>
      </c>
      <c r="K374" s="18">
        <f t="shared" si="366"/>
        <v>26.078455857350395</v>
      </c>
      <c r="L374" s="18">
        <f t="shared" si="366"/>
        <v>2.2893444950202997</v>
      </c>
      <c r="M374" s="18">
        <f t="shared" si="366"/>
        <v>0.93481977534582661</v>
      </c>
      <c r="N374" s="18">
        <f t="shared" si="366"/>
        <v>0</v>
      </c>
      <c r="O374" s="18">
        <f t="shared" si="366"/>
        <v>0</v>
      </c>
      <c r="P374" s="18">
        <f t="shared" si="366"/>
        <v>0</v>
      </c>
      <c r="Q374" s="18">
        <f t="shared" si="366"/>
        <v>0</v>
      </c>
      <c r="R374" s="18">
        <f t="shared" si="366"/>
        <v>0</v>
      </c>
      <c r="S374" s="18">
        <f t="shared" si="366"/>
        <v>0</v>
      </c>
      <c r="T374" s="18">
        <f t="shared" si="366"/>
        <v>0</v>
      </c>
      <c r="U374" s="18">
        <f t="shared" si="366"/>
        <v>0</v>
      </c>
      <c r="V374" s="18">
        <f t="shared" si="366"/>
        <v>0</v>
      </c>
      <c r="W374" s="18">
        <f t="shared" si="366"/>
        <v>0</v>
      </c>
      <c r="X374" s="18">
        <f t="shared" si="366"/>
        <v>0</v>
      </c>
      <c r="Y374" s="18">
        <f t="shared" si="366"/>
        <v>0</v>
      </c>
      <c r="Z374" s="18">
        <f t="shared" si="366"/>
        <v>0</v>
      </c>
      <c r="AA374" s="18">
        <f t="shared" si="366"/>
        <v>0</v>
      </c>
      <c r="AB374" s="18">
        <f t="shared" si="366"/>
        <v>0</v>
      </c>
      <c r="AC374" s="18">
        <f t="shared" si="366"/>
        <v>0</v>
      </c>
      <c r="AD374" s="18">
        <f t="shared" si="366"/>
        <v>0</v>
      </c>
      <c r="AE374" s="18">
        <f t="shared" si="366"/>
        <v>0</v>
      </c>
      <c r="AF374" s="18">
        <f t="shared" si="366"/>
        <v>0</v>
      </c>
      <c r="AG374" s="18">
        <f t="shared" si="366"/>
        <v>0</v>
      </c>
      <c r="AH374" s="18">
        <f t="shared" si="366"/>
        <v>0</v>
      </c>
      <c r="AI374" s="18">
        <f t="shared" si="366"/>
        <v>0</v>
      </c>
      <c r="AJ374" s="18">
        <f t="shared" si="366"/>
        <v>0</v>
      </c>
      <c r="AK374" s="18">
        <f t="shared" si="366"/>
        <v>0</v>
      </c>
      <c r="AL374" s="78"/>
      <c r="AM374" s="43">
        <v>358</v>
      </c>
      <c r="AN374">
        <v>789.32206622395972</v>
      </c>
      <c r="AO374">
        <v>53.568615952644393</v>
      </c>
      <c r="AP374">
        <v>55.94330598147949</v>
      </c>
      <c r="AQ374">
        <v>371.21764844822002</v>
      </c>
      <c r="AR374">
        <v>51.910586139810974</v>
      </c>
      <c r="AS374">
        <v>430.50512140322616</v>
      </c>
      <c r="AT374">
        <v>26.899294353301915</v>
      </c>
      <c r="AU374">
        <v>-76.55881727121951</v>
      </c>
      <c r="AV374"/>
      <c r="AW374"/>
      <c r="FY374" s="212">
        <v>369</v>
      </c>
      <c r="FZ374">
        <v>62.788542049555581</v>
      </c>
      <c r="GA374">
        <v>115.37389821596931</v>
      </c>
      <c r="GB374">
        <v>62.813711275033185</v>
      </c>
      <c r="GC374">
        <v>22.008821526936842</v>
      </c>
      <c r="GD374">
        <v>14.400741147349642</v>
      </c>
      <c r="GE374">
        <v>17.544712089194952</v>
      </c>
      <c r="GF374">
        <v>23.967528240103285</v>
      </c>
      <c r="GG374">
        <v>27.437813350858207</v>
      </c>
      <c r="GH374">
        <v>29.374996571212037</v>
      </c>
      <c r="GI374">
        <v>42.306139795749985</v>
      </c>
      <c r="GJ374"/>
      <c r="GK374"/>
      <c r="GL374"/>
      <c r="GM374"/>
    </row>
    <row r="375" spans="1:195" s="7" customFormat="1">
      <c r="A375" s="95"/>
      <c r="B375" s="71">
        <f t="shared" si="361"/>
        <v>39714</v>
      </c>
      <c r="C375" s="18">
        <f t="shared" si="362"/>
        <v>1031.9568452380954</v>
      </c>
      <c r="D375" s="18">
        <f t="shared" si="363"/>
        <v>107.74665607861195</v>
      </c>
      <c r="E375" s="19">
        <f t="shared" si="364"/>
        <v>0.10441004057078801</v>
      </c>
      <c r="F375" s="19">
        <f>IF(F389&lt;0,0,F389)</f>
        <v>0</v>
      </c>
      <c r="G375" s="18">
        <f>AVERAGE(E248:E257)*G$372</f>
        <v>3.6433523958752365E-2</v>
      </c>
      <c r="H375" s="18">
        <f t="shared" ref="H375:AK375" si="367">AVERAGE(F248:F257)*H$372</f>
        <v>2.5062670982142854</v>
      </c>
      <c r="I375" s="18">
        <f t="shared" si="367"/>
        <v>18.952229343952176</v>
      </c>
      <c r="J375" s="18">
        <f t="shared" si="367"/>
        <v>25.581607558745208</v>
      </c>
      <c r="K375" s="18">
        <f t="shared" si="367"/>
        <v>2.197679478572232</v>
      </c>
      <c r="L375" s="18">
        <f t="shared" si="367"/>
        <v>11.446722475101501</v>
      </c>
      <c r="M375" s="18">
        <f t="shared" si="367"/>
        <v>11.217837304149919</v>
      </c>
      <c r="N375" s="18">
        <f t="shared" si="367"/>
        <v>22.646530915637683</v>
      </c>
      <c r="O375" s="18">
        <f t="shared" si="367"/>
        <v>2.0273934131663731</v>
      </c>
      <c r="P375" s="18">
        <f t="shared" si="367"/>
        <v>11.133954967113814</v>
      </c>
      <c r="Q375" s="18">
        <f t="shared" si="367"/>
        <v>0</v>
      </c>
      <c r="R375" s="18">
        <f t="shared" si="367"/>
        <v>0</v>
      </c>
      <c r="S375" s="18">
        <f t="shared" si="367"/>
        <v>0</v>
      </c>
      <c r="T375" s="18">
        <f t="shared" si="367"/>
        <v>0</v>
      </c>
      <c r="U375" s="18">
        <f t="shared" si="367"/>
        <v>0</v>
      </c>
      <c r="V375" s="18">
        <f t="shared" si="367"/>
        <v>0</v>
      </c>
      <c r="W375" s="18">
        <f t="shared" si="367"/>
        <v>0</v>
      </c>
      <c r="X375" s="18">
        <f t="shared" si="367"/>
        <v>0</v>
      </c>
      <c r="Y375" s="18">
        <f t="shared" si="367"/>
        <v>0</v>
      </c>
      <c r="Z375" s="18">
        <f t="shared" si="367"/>
        <v>0</v>
      </c>
      <c r="AA375" s="18">
        <f t="shared" si="367"/>
        <v>0</v>
      </c>
      <c r="AB375" s="18">
        <f t="shared" si="367"/>
        <v>0</v>
      </c>
      <c r="AC375" s="18">
        <f t="shared" si="367"/>
        <v>0</v>
      </c>
      <c r="AD375" s="18">
        <f t="shared" si="367"/>
        <v>0</v>
      </c>
      <c r="AE375" s="18">
        <f t="shared" si="367"/>
        <v>0</v>
      </c>
      <c r="AF375" s="18">
        <f t="shared" si="367"/>
        <v>0</v>
      </c>
      <c r="AG375" s="18">
        <f t="shared" si="367"/>
        <v>0</v>
      </c>
      <c r="AH375" s="18">
        <f t="shared" si="367"/>
        <v>0</v>
      </c>
      <c r="AI375" s="18">
        <f t="shared" si="367"/>
        <v>0</v>
      </c>
      <c r="AJ375" s="18">
        <f t="shared" si="367"/>
        <v>0</v>
      </c>
      <c r="AK375" s="18">
        <f t="shared" si="367"/>
        <v>0</v>
      </c>
      <c r="AL375" s="78"/>
      <c r="AM375" s="43">
        <v>359</v>
      </c>
      <c r="AN375">
        <v>773.54712152423747</v>
      </c>
      <c r="AO375">
        <v>52.459735283798466</v>
      </c>
      <c r="AP375">
        <v>66.354311581760811</v>
      </c>
      <c r="AQ375">
        <v>370.05925074181829</v>
      </c>
      <c r="AR375">
        <v>51.425142491152663</v>
      </c>
      <c r="AS375">
        <v>442.39925978048865</v>
      </c>
      <c r="AT375">
        <v>25.903027567594325</v>
      </c>
      <c r="AU375">
        <v>-53.600094946771122</v>
      </c>
      <c r="AV375"/>
      <c r="AW375"/>
      <c r="FY375" s="212">
        <v>370</v>
      </c>
      <c r="FZ375">
        <v>47.521389438122831</v>
      </c>
      <c r="GA375">
        <v>133.29854704448601</v>
      </c>
      <c r="GB375">
        <v>64.125670075249772</v>
      </c>
      <c r="GC375">
        <v>17.009101472574741</v>
      </c>
      <c r="GD375">
        <v>13.053272517557346</v>
      </c>
      <c r="GE375">
        <v>21.893276356716001</v>
      </c>
      <c r="GF375">
        <v>21.76114572968028</v>
      </c>
      <c r="GG375">
        <v>14.237615315115534</v>
      </c>
      <c r="GH375">
        <v>17.319236691927017</v>
      </c>
      <c r="GI375">
        <v>37.363229671880767</v>
      </c>
      <c r="GJ375"/>
      <c r="GK375"/>
      <c r="GL375"/>
      <c r="GM375"/>
    </row>
    <row r="376" spans="1:195" s="7" customFormat="1">
      <c r="A376" s="95"/>
      <c r="B376" s="71">
        <f t="shared" si="361"/>
        <v>39747</v>
      </c>
      <c r="C376" s="18">
        <f t="shared" si="362"/>
        <v>1556.4326687440912</v>
      </c>
      <c r="D376" s="18">
        <f t="shared" si="363"/>
        <v>70.742880414958591</v>
      </c>
      <c r="E376" s="19">
        <f t="shared" si="364"/>
        <v>4.5451937520716579E-2</v>
      </c>
      <c r="F376" s="19">
        <f>IF(F390&lt;0,0,F390)</f>
        <v>0</v>
      </c>
      <c r="G376" s="18">
        <f>AVERAGE(E258:E267)*G$372</f>
        <v>7.4948963572290583E-2</v>
      </c>
      <c r="H376" s="18">
        <f t="shared" ref="H376:AK376" si="368">AVERAGE(F258:F267)*H$372</f>
        <v>3.7230456858066501</v>
      </c>
      <c r="I376" s="18">
        <f t="shared" si="368"/>
        <v>36.028255740308687</v>
      </c>
      <c r="J376" s="18">
        <f t="shared" si="368"/>
        <v>27.19692857794519</v>
      </c>
      <c r="K376" s="18">
        <f t="shared" si="368"/>
        <v>1.1701929691098898</v>
      </c>
      <c r="L376" s="18">
        <f t="shared" si="368"/>
        <v>0</v>
      </c>
      <c r="M376" s="18">
        <f t="shared" si="368"/>
        <v>2.5495084782158908</v>
      </c>
      <c r="N376" s="18">
        <f t="shared" si="368"/>
        <v>0</v>
      </c>
      <c r="O376" s="18">
        <f t="shared" si="368"/>
        <v>0</v>
      </c>
      <c r="P376" s="18">
        <f t="shared" si="368"/>
        <v>0</v>
      </c>
      <c r="Q376" s="18">
        <f t="shared" si="368"/>
        <v>0</v>
      </c>
      <c r="R376" s="18">
        <f t="shared" si="368"/>
        <v>0</v>
      </c>
      <c r="S376" s="18">
        <f t="shared" si="368"/>
        <v>0</v>
      </c>
      <c r="T376" s="18">
        <f t="shared" si="368"/>
        <v>0</v>
      </c>
      <c r="U376" s="18">
        <f t="shared" si="368"/>
        <v>0</v>
      </c>
      <c r="V376" s="18">
        <f t="shared" si="368"/>
        <v>0</v>
      </c>
      <c r="W376" s="18">
        <f t="shared" si="368"/>
        <v>0</v>
      </c>
      <c r="X376" s="18">
        <f t="shared" si="368"/>
        <v>0</v>
      </c>
      <c r="Y376" s="18">
        <f t="shared" si="368"/>
        <v>0</v>
      </c>
      <c r="Z376" s="18">
        <f t="shared" si="368"/>
        <v>0</v>
      </c>
      <c r="AA376" s="18">
        <f t="shared" si="368"/>
        <v>0</v>
      </c>
      <c r="AB376" s="18">
        <f t="shared" si="368"/>
        <v>0</v>
      </c>
      <c r="AC376" s="18">
        <f t="shared" si="368"/>
        <v>0</v>
      </c>
      <c r="AD376" s="18">
        <f t="shared" si="368"/>
        <v>0</v>
      </c>
      <c r="AE376" s="18">
        <f t="shared" si="368"/>
        <v>0</v>
      </c>
      <c r="AF376" s="18">
        <f t="shared" si="368"/>
        <v>0</v>
      </c>
      <c r="AG376" s="18">
        <f t="shared" si="368"/>
        <v>0</v>
      </c>
      <c r="AH376" s="18">
        <f t="shared" si="368"/>
        <v>0</v>
      </c>
      <c r="AI376" s="18">
        <f t="shared" si="368"/>
        <v>0</v>
      </c>
      <c r="AJ376" s="18">
        <f t="shared" si="368"/>
        <v>0</v>
      </c>
      <c r="AK376" s="18">
        <f t="shared" si="368"/>
        <v>0</v>
      </c>
      <c r="AL376" s="78"/>
      <c r="AM376" s="43">
        <v>360</v>
      </c>
      <c r="AN376">
        <v>961.16636916731591</v>
      </c>
      <c r="AO376">
        <v>62.424906439510529</v>
      </c>
      <c r="AP376">
        <v>66.290820202303237</v>
      </c>
      <c r="AQ376">
        <v>438.40650013873744</v>
      </c>
      <c r="AR376">
        <v>60.950800990682772</v>
      </c>
      <c r="AS376">
        <v>476.61628742355134</v>
      </c>
      <c r="AT376">
        <v>30.646562406794207</v>
      </c>
      <c r="AU376">
        <v>-75.23743282324287</v>
      </c>
      <c r="AV376"/>
      <c r="AW376"/>
      <c r="FY376" s="212">
        <v>371</v>
      </c>
      <c r="FZ376">
        <v>53.87608353510123</v>
      </c>
      <c r="GA376">
        <v>59.116821582539217</v>
      </c>
      <c r="GB376">
        <v>47.169086988063206</v>
      </c>
      <c r="GC376">
        <v>26.297032973871321</v>
      </c>
      <c r="GD376">
        <v>12.5555348260303</v>
      </c>
      <c r="GE376">
        <v>10.198958938683242</v>
      </c>
      <c r="GF376">
        <v>16.480719168856478</v>
      </c>
      <c r="GG376">
        <v>21.668528220645747</v>
      </c>
      <c r="GH376">
        <v>44.185394173687897</v>
      </c>
      <c r="GI376">
        <v>36.966218060715349</v>
      </c>
      <c r="GJ376"/>
      <c r="GK376"/>
      <c r="GL376"/>
      <c r="GM376"/>
    </row>
    <row r="377" spans="1:195" s="7" customFormat="1">
      <c r="A377" s="95"/>
      <c r="B377" s="71">
        <f t="shared" si="361"/>
        <v>39775</v>
      </c>
      <c r="C377" s="18">
        <f t="shared" si="362"/>
        <v>855.34474614759665</v>
      </c>
      <c r="D377" s="18">
        <f t="shared" si="363"/>
        <v>40.595200387013662</v>
      </c>
      <c r="E377" s="19">
        <f t="shared" si="364"/>
        <v>4.7460629845277186E-2</v>
      </c>
      <c r="F377" s="19">
        <f>IF(F391&lt;0,0,F391)</f>
        <v>1.5444668772203313E-3</v>
      </c>
      <c r="G377" s="18">
        <f>AVERAGE(E268:E277)*G$372</f>
        <v>0</v>
      </c>
      <c r="H377" s="18">
        <f t="shared" ref="H377:AK377" si="369">AVERAGE(F268:F277)*H$372</f>
        <v>1.7616048454725826</v>
      </c>
      <c r="I377" s="18">
        <f t="shared" si="369"/>
        <v>23.892583353161456</v>
      </c>
      <c r="J377" s="18">
        <f t="shared" si="369"/>
        <v>13.368220561926835</v>
      </c>
      <c r="K377" s="18">
        <f t="shared" si="369"/>
        <v>0.42811937894264263</v>
      </c>
      <c r="L377" s="18">
        <f t="shared" si="369"/>
        <v>1.1446722475101498</v>
      </c>
      <c r="M377" s="18">
        <f t="shared" si="369"/>
        <v>0</v>
      </c>
      <c r="N377" s="18">
        <f t="shared" si="369"/>
        <v>0</v>
      </c>
      <c r="O377" s="18">
        <f t="shared" si="369"/>
        <v>0</v>
      </c>
      <c r="P377" s="18">
        <f t="shared" si="369"/>
        <v>0</v>
      </c>
      <c r="Q377" s="18">
        <f t="shared" si="369"/>
        <v>0</v>
      </c>
      <c r="R377" s="18">
        <f t="shared" si="369"/>
        <v>0</v>
      </c>
      <c r="S377" s="18">
        <f t="shared" si="369"/>
        <v>0</v>
      </c>
      <c r="T377" s="18">
        <f t="shared" si="369"/>
        <v>0</v>
      </c>
      <c r="U377" s="18">
        <f t="shared" si="369"/>
        <v>0</v>
      </c>
      <c r="V377" s="18">
        <f t="shared" si="369"/>
        <v>0</v>
      </c>
      <c r="W377" s="18">
        <f t="shared" si="369"/>
        <v>0</v>
      </c>
      <c r="X377" s="18">
        <f t="shared" si="369"/>
        <v>0</v>
      </c>
      <c r="Y377" s="18">
        <f t="shared" si="369"/>
        <v>0</v>
      </c>
      <c r="Z377" s="18">
        <f t="shared" si="369"/>
        <v>0</v>
      </c>
      <c r="AA377" s="18">
        <f t="shared" si="369"/>
        <v>0</v>
      </c>
      <c r="AB377" s="18">
        <f t="shared" si="369"/>
        <v>0</v>
      </c>
      <c r="AC377" s="18">
        <f t="shared" si="369"/>
        <v>0</v>
      </c>
      <c r="AD377" s="18">
        <f t="shared" si="369"/>
        <v>0</v>
      </c>
      <c r="AE377" s="18">
        <f t="shared" si="369"/>
        <v>0</v>
      </c>
      <c r="AF377" s="18">
        <f t="shared" si="369"/>
        <v>0</v>
      </c>
      <c r="AG377" s="18">
        <f t="shared" si="369"/>
        <v>0</v>
      </c>
      <c r="AH377" s="18">
        <f t="shared" si="369"/>
        <v>0</v>
      </c>
      <c r="AI377" s="18">
        <f t="shared" si="369"/>
        <v>0</v>
      </c>
      <c r="AJ377" s="18">
        <f t="shared" si="369"/>
        <v>0</v>
      </c>
      <c r="AK377" s="18">
        <f t="shared" si="369"/>
        <v>0</v>
      </c>
      <c r="AL377" s="78"/>
      <c r="AM377" s="43">
        <v>361</v>
      </c>
      <c r="AN377">
        <v>609.30542667612485</v>
      </c>
      <c r="AO377">
        <v>40.940130031362735</v>
      </c>
      <c r="AP377">
        <v>62.624102551005663</v>
      </c>
      <c r="AQ377">
        <v>292.56641715227573</v>
      </c>
      <c r="AR377">
        <v>40.706542793281947</v>
      </c>
      <c r="AS377">
        <v>340.38706396819202</v>
      </c>
      <c r="AT377">
        <v>21.727671047634754</v>
      </c>
      <c r="AU377">
        <v>-18.801514365988453</v>
      </c>
      <c r="AV377"/>
      <c r="AW377"/>
      <c r="FY377" s="212">
        <v>372</v>
      </c>
      <c r="FZ377">
        <v>53.073785210783299</v>
      </c>
      <c r="GA377">
        <v>80.509708174407763</v>
      </c>
      <c r="GB377">
        <v>43.496982613966473</v>
      </c>
      <c r="GC377">
        <v>17.827669899513275</v>
      </c>
      <c r="GD377">
        <v>11.540110652768533</v>
      </c>
      <c r="GE377">
        <v>11.917917876375313</v>
      </c>
      <c r="GF377">
        <v>15.006976663291033</v>
      </c>
      <c r="GG377">
        <v>19.238643605785306</v>
      </c>
      <c r="GH377">
        <v>20.830356558566532</v>
      </c>
      <c r="GI377">
        <v>31.285038413653847</v>
      </c>
      <c r="GJ377"/>
      <c r="GK377"/>
      <c r="GL377"/>
      <c r="GM377"/>
    </row>
    <row r="378" spans="1:195" s="7" customFormat="1">
      <c r="A378" s="95"/>
      <c r="B378" s="71">
        <f t="shared" si="361"/>
        <v>39799</v>
      </c>
      <c r="C378" s="18">
        <f t="shared" si="362"/>
        <v>698.78356866002196</v>
      </c>
      <c r="D378" s="18">
        <f t="shared" si="363"/>
        <v>34.901655559574316</v>
      </c>
      <c r="E378" s="19">
        <f t="shared" si="364"/>
        <v>4.9946302581930002E-2</v>
      </c>
      <c r="F378" s="19">
        <f t="shared" ref="F378:F382" si="370">IF(F392&lt;0,0,F392)</f>
        <v>2.1269982489672498E-3</v>
      </c>
      <c r="G378" s="18">
        <f>AVERAGE(E278:E287)*G$372</f>
        <v>6.6704577579338606E-2</v>
      </c>
      <c r="H378" s="18">
        <f t="shared" ref="H378:AK378" si="371">AVERAGE(F278:F287)*H$372</f>
        <v>2.5043849107142853</v>
      </c>
      <c r="I378" s="18">
        <f t="shared" si="371"/>
        <v>8.3078154986730883</v>
      </c>
      <c r="J378" s="18">
        <f t="shared" si="371"/>
        <v>12.028996962936512</v>
      </c>
      <c r="K378" s="18">
        <f t="shared" si="371"/>
        <v>5.9651300132674869</v>
      </c>
      <c r="L378" s="18">
        <f t="shared" si="371"/>
        <v>2.2893444950202997</v>
      </c>
      <c r="M378" s="18">
        <f t="shared" si="371"/>
        <v>3.7392791013833064</v>
      </c>
      <c r="N378" s="18">
        <f t="shared" si="371"/>
        <v>0</v>
      </c>
      <c r="O378" s="18">
        <f t="shared" si="371"/>
        <v>0</v>
      </c>
      <c r="P378" s="18">
        <f t="shared" si="371"/>
        <v>0</v>
      </c>
      <c r="Q378" s="18">
        <f t="shared" si="371"/>
        <v>0</v>
      </c>
      <c r="R378" s="18">
        <f t="shared" si="371"/>
        <v>0</v>
      </c>
      <c r="S378" s="18">
        <f t="shared" si="371"/>
        <v>0</v>
      </c>
      <c r="T378" s="18">
        <f t="shared" si="371"/>
        <v>0</v>
      </c>
      <c r="U378" s="18">
        <f t="shared" si="371"/>
        <v>0</v>
      </c>
      <c r="V378" s="18">
        <f t="shared" si="371"/>
        <v>0</v>
      </c>
      <c r="W378" s="18">
        <f t="shared" si="371"/>
        <v>0</v>
      </c>
      <c r="X378" s="18">
        <f t="shared" si="371"/>
        <v>0</v>
      </c>
      <c r="Y378" s="18">
        <f t="shared" si="371"/>
        <v>0</v>
      </c>
      <c r="Z378" s="18">
        <f t="shared" si="371"/>
        <v>0</v>
      </c>
      <c r="AA378" s="18">
        <f t="shared" si="371"/>
        <v>0</v>
      </c>
      <c r="AB378" s="18">
        <f t="shared" si="371"/>
        <v>0</v>
      </c>
      <c r="AC378" s="18">
        <f t="shared" si="371"/>
        <v>0</v>
      </c>
      <c r="AD378" s="18">
        <f t="shared" si="371"/>
        <v>0</v>
      </c>
      <c r="AE378" s="18">
        <f t="shared" si="371"/>
        <v>0</v>
      </c>
      <c r="AF378" s="18">
        <f t="shared" si="371"/>
        <v>0</v>
      </c>
      <c r="AG378" s="18">
        <f t="shared" si="371"/>
        <v>0</v>
      </c>
      <c r="AH378" s="18">
        <f t="shared" si="371"/>
        <v>0</v>
      </c>
      <c r="AI378" s="18">
        <f t="shared" si="371"/>
        <v>0</v>
      </c>
      <c r="AJ378" s="18">
        <f t="shared" si="371"/>
        <v>0</v>
      </c>
      <c r="AK378" s="18">
        <f t="shared" si="371"/>
        <v>0</v>
      </c>
      <c r="AL378" s="78"/>
      <c r="AM378" s="43">
        <v>362</v>
      </c>
      <c r="AN378">
        <v>741.38936177376218</v>
      </c>
      <c r="AO378">
        <v>40.835097064973837</v>
      </c>
      <c r="AP378">
        <v>55.211483440461265</v>
      </c>
      <c r="AQ378">
        <v>279.96382032250506</v>
      </c>
      <c r="AR378">
        <v>39.736988924078119</v>
      </c>
      <c r="AS378">
        <v>344.96208409770099</v>
      </c>
      <c r="AT378">
        <v>20.453797117081525</v>
      </c>
      <c r="AU378">
        <v>-61.089669070372686</v>
      </c>
      <c r="AV378"/>
      <c r="AW378"/>
      <c r="FY378" s="212">
        <v>373</v>
      </c>
      <c r="FZ378">
        <v>50.153004030836307</v>
      </c>
      <c r="GA378">
        <v>88.594725642923891</v>
      </c>
      <c r="GB378">
        <v>60.901757438735586</v>
      </c>
      <c r="GC378">
        <v>25.014334323886196</v>
      </c>
      <c r="GD378">
        <v>9.9153211075492642</v>
      </c>
      <c r="GE378">
        <v>9.7847067310074287</v>
      </c>
      <c r="GF378">
        <v>18.132036446288083</v>
      </c>
      <c r="GG378">
        <v>24.855307316592715</v>
      </c>
      <c r="GH378">
        <v>27.743699623083092</v>
      </c>
      <c r="GI378">
        <v>36.037380581072973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72">+C10</f>
        <v>39847</v>
      </c>
      <c r="C379" s="18">
        <f t="shared" si="362"/>
        <v>303.64583333333331</v>
      </c>
      <c r="D379" s="18">
        <f t="shared" si="363"/>
        <v>17.025483929529113</v>
      </c>
      <c r="E379" s="19">
        <f t="shared" si="364"/>
        <v>5.6070204364830012E-2</v>
      </c>
      <c r="F379" s="19">
        <f t="shared" si="370"/>
        <v>2.4095015619561761E-3</v>
      </c>
      <c r="G379" s="18">
        <f>AVERAGE(E288:E297)*G$372</f>
        <v>4.4802824890991473E-2</v>
      </c>
      <c r="H379" s="18">
        <f t="shared" ref="H379:AK379" si="373">AVERAGE(F288:F297)*H$372</f>
        <v>1.0965086607142855</v>
      </c>
      <c r="I379" s="18">
        <f t="shared" si="373"/>
        <v>3.0976433485671717</v>
      </c>
      <c r="J379" s="18">
        <f t="shared" si="373"/>
        <v>3.7224651257672914</v>
      </c>
      <c r="K379" s="18">
        <f t="shared" si="373"/>
        <v>2.8255879010214415</v>
      </c>
      <c r="L379" s="18">
        <f t="shared" si="373"/>
        <v>3.4340167425304498</v>
      </c>
      <c r="M379" s="18">
        <f t="shared" si="373"/>
        <v>2.8044593260374802</v>
      </c>
      <c r="N379" s="18">
        <f t="shared" si="373"/>
        <v>0</v>
      </c>
      <c r="O379" s="18">
        <f t="shared" si="373"/>
        <v>0</v>
      </c>
      <c r="P379" s="18">
        <f t="shared" si="373"/>
        <v>0</v>
      </c>
      <c r="Q379" s="18">
        <f t="shared" si="373"/>
        <v>0</v>
      </c>
      <c r="R379" s="18">
        <f t="shared" si="373"/>
        <v>0</v>
      </c>
      <c r="S379" s="18">
        <f t="shared" si="373"/>
        <v>0</v>
      </c>
      <c r="T379" s="18">
        <f t="shared" si="373"/>
        <v>0</v>
      </c>
      <c r="U379" s="18">
        <f t="shared" si="373"/>
        <v>0</v>
      </c>
      <c r="V379" s="18">
        <f t="shared" si="373"/>
        <v>0</v>
      </c>
      <c r="W379" s="18">
        <f t="shared" si="373"/>
        <v>0</v>
      </c>
      <c r="X379" s="18">
        <f t="shared" si="373"/>
        <v>0</v>
      </c>
      <c r="Y379" s="18">
        <f t="shared" si="373"/>
        <v>0</v>
      </c>
      <c r="Z379" s="18">
        <f t="shared" si="373"/>
        <v>0</v>
      </c>
      <c r="AA379" s="18">
        <f t="shared" si="373"/>
        <v>0</v>
      </c>
      <c r="AB379" s="18">
        <f t="shared" si="373"/>
        <v>0</v>
      </c>
      <c r="AC379" s="18">
        <f t="shared" si="373"/>
        <v>0</v>
      </c>
      <c r="AD379" s="18">
        <f t="shared" si="373"/>
        <v>0</v>
      </c>
      <c r="AE379" s="18">
        <f t="shared" si="373"/>
        <v>0</v>
      </c>
      <c r="AF379" s="18">
        <f t="shared" si="373"/>
        <v>0</v>
      </c>
      <c r="AG379" s="18">
        <f t="shared" si="373"/>
        <v>0</v>
      </c>
      <c r="AH379" s="18">
        <f t="shared" si="373"/>
        <v>0</v>
      </c>
      <c r="AI379" s="18">
        <f t="shared" si="373"/>
        <v>0</v>
      </c>
      <c r="AJ379" s="18">
        <f t="shared" si="373"/>
        <v>0</v>
      </c>
      <c r="AK379" s="18">
        <f t="shared" si="373"/>
        <v>0</v>
      </c>
      <c r="AL379" s="78"/>
      <c r="AM379" s="43">
        <v>363</v>
      </c>
      <c r="AN379">
        <v>822.70572066993225</v>
      </c>
      <c r="AO379">
        <v>53.339265850067179</v>
      </c>
      <c r="AP379">
        <v>81.466517623017268</v>
      </c>
      <c r="AQ379">
        <v>373.26033175352978</v>
      </c>
      <c r="AR379">
        <v>52.338956819930907</v>
      </c>
      <c r="AS379">
        <v>432.45730349132253</v>
      </c>
      <c r="AT379">
        <v>25.486453387831286</v>
      </c>
      <c r="AU379">
        <v>-30.651798974185489</v>
      </c>
      <c r="AV379"/>
      <c r="AW379"/>
      <c r="FY379" s="212">
        <v>374</v>
      </c>
      <c r="FZ379">
        <v>37.694401942715899</v>
      </c>
      <c r="GA379">
        <v>79.333073033807295</v>
      </c>
      <c r="GB379">
        <v>51.855376204191082</v>
      </c>
      <c r="GC379">
        <v>20.740780496000585</v>
      </c>
      <c r="GD379">
        <v>12.972205077822444</v>
      </c>
      <c r="GE379">
        <v>15.670250471078713</v>
      </c>
      <c r="GF379">
        <v>28.15872092156231</v>
      </c>
      <c r="GG379">
        <v>24.186162741783129</v>
      </c>
      <c r="GH379">
        <v>17.18779649357603</v>
      </c>
      <c r="GI379">
        <v>33.786636732197138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72"/>
        <v>39910</v>
      </c>
      <c r="C380" s="18">
        <f t="shared" si="362"/>
        <v>1202.9545454545453</v>
      </c>
      <c r="D380" s="18">
        <f t="shared" si="363"/>
        <v>78.73207839667451</v>
      </c>
      <c r="E380" s="19">
        <f t="shared" si="364"/>
        <v>6.5448922151023603E-2</v>
      </c>
      <c r="F380" s="19">
        <f t="shared" si="370"/>
        <v>2.4550074443595552E-3</v>
      </c>
      <c r="G380" s="18">
        <f>AVERAGE(E298:E307)*G$372</f>
        <v>0.12435976177920806</v>
      </c>
      <c r="H380" s="18">
        <f t="shared" ref="H380:AK380" si="374">AVERAGE(F298:F307)*H$372</f>
        <v>2.6723260101010093</v>
      </c>
      <c r="I380" s="18">
        <f t="shared" si="374"/>
        <v>22.553220443915198</v>
      </c>
      <c r="J380" s="18">
        <f t="shared" si="374"/>
        <v>24.207512407381735</v>
      </c>
      <c r="K380" s="18">
        <f t="shared" si="374"/>
        <v>13.557113666517019</v>
      </c>
      <c r="L380" s="18">
        <f t="shared" si="374"/>
        <v>3.2779250724154294</v>
      </c>
      <c r="M380" s="18">
        <f t="shared" si="374"/>
        <v>12.339621034564912</v>
      </c>
      <c r="N380" s="18">
        <f t="shared" si="374"/>
        <v>0</v>
      </c>
      <c r="O380" s="18">
        <f t="shared" si="374"/>
        <v>0</v>
      </c>
      <c r="P380" s="18">
        <f t="shared" si="374"/>
        <v>0</v>
      </c>
      <c r="Q380" s="18">
        <f t="shared" si="374"/>
        <v>0</v>
      </c>
      <c r="R380" s="18">
        <f t="shared" si="374"/>
        <v>0</v>
      </c>
      <c r="S380" s="18">
        <f t="shared" si="374"/>
        <v>0</v>
      </c>
      <c r="T380" s="18">
        <f t="shared" si="374"/>
        <v>0</v>
      </c>
      <c r="U380" s="18">
        <f t="shared" si="374"/>
        <v>0</v>
      </c>
      <c r="V380" s="18">
        <f t="shared" si="374"/>
        <v>0</v>
      </c>
      <c r="W380" s="18">
        <f t="shared" si="374"/>
        <v>0</v>
      </c>
      <c r="X380" s="18">
        <f t="shared" si="374"/>
        <v>0</v>
      </c>
      <c r="Y380" s="18">
        <f t="shared" si="374"/>
        <v>0</v>
      </c>
      <c r="Z380" s="18">
        <f t="shared" si="374"/>
        <v>0</v>
      </c>
      <c r="AA380" s="18">
        <f t="shared" si="374"/>
        <v>0</v>
      </c>
      <c r="AB380" s="18">
        <f t="shared" si="374"/>
        <v>0</v>
      </c>
      <c r="AC380" s="18">
        <f t="shared" si="374"/>
        <v>0</v>
      </c>
      <c r="AD380" s="18">
        <f t="shared" si="374"/>
        <v>0</v>
      </c>
      <c r="AE380" s="18">
        <f t="shared" si="374"/>
        <v>0</v>
      </c>
      <c r="AF380" s="18">
        <f t="shared" si="374"/>
        <v>0</v>
      </c>
      <c r="AG380" s="18">
        <f t="shared" si="374"/>
        <v>0</v>
      </c>
      <c r="AH380" s="18">
        <f t="shared" si="374"/>
        <v>0</v>
      </c>
      <c r="AI380" s="18">
        <f t="shared" si="374"/>
        <v>0</v>
      </c>
      <c r="AJ380" s="18">
        <f t="shared" si="374"/>
        <v>0</v>
      </c>
      <c r="AK380" s="18">
        <f t="shared" si="374"/>
        <v>0</v>
      </c>
      <c r="AL380" s="78"/>
      <c r="AM380" s="43">
        <v>364</v>
      </c>
      <c r="AN380">
        <v>664.23511910386674</v>
      </c>
      <c r="AO380">
        <v>46.955779441354785</v>
      </c>
      <c r="AP380">
        <v>35.079585201541853</v>
      </c>
      <c r="AQ380">
        <v>340.00955364661235</v>
      </c>
      <c r="AR380">
        <v>46.294814207774138</v>
      </c>
      <c r="AS380">
        <v>386.61764562663274</v>
      </c>
      <c r="AT380">
        <v>23.540093407796267</v>
      </c>
      <c r="AU380">
        <v>-91.612566014031827</v>
      </c>
      <c r="AV380"/>
      <c r="AW380"/>
      <c r="FY380" s="212">
        <v>375</v>
      </c>
      <c r="FZ380">
        <v>38.329941317452672</v>
      </c>
      <c r="GA380">
        <v>114.58417802308347</v>
      </c>
      <c r="GB380">
        <v>62.920555352469997</v>
      </c>
      <c r="GC380">
        <v>18.374250064072534</v>
      </c>
      <c r="GD380">
        <v>11.065377684000611</v>
      </c>
      <c r="GE380">
        <v>16.101522315318224</v>
      </c>
      <c r="GF380">
        <v>22.00000253733646</v>
      </c>
      <c r="GG380">
        <v>18.019915669816982</v>
      </c>
      <c r="GH380">
        <v>16.539230549339958</v>
      </c>
      <c r="GI380">
        <v>34.493757361409116</v>
      </c>
      <c r="GJ380"/>
      <c r="GK380"/>
      <c r="GL380"/>
      <c r="GM380"/>
    </row>
    <row r="381" spans="1:195" s="7" customFormat="1">
      <c r="A381" s="1"/>
      <c r="B381" s="71">
        <f t="shared" si="372"/>
        <v>39949</v>
      </c>
      <c r="C381" s="18">
        <f t="shared" si="362"/>
        <v>247.64955876621482</v>
      </c>
      <c r="D381" s="18">
        <f t="shared" si="363"/>
        <v>23.03251898900022</v>
      </c>
      <c r="E381" s="19">
        <f t="shared" si="364"/>
        <v>9.3004482235897259E-2</v>
      </c>
      <c r="F381" s="19">
        <f t="shared" si="370"/>
        <v>9.0096836958267548E-3</v>
      </c>
      <c r="G381" s="18">
        <f>AVERAGE(E308:E317)*G$372</f>
        <v>0</v>
      </c>
      <c r="H381" s="18">
        <f t="shared" ref="H381:AK381" si="375">AVERAGE(F308:F317)*H$372</f>
        <v>0.24175652777777779</v>
      </c>
      <c r="I381" s="18">
        <f t="shared" si="375"/>
        <v>7.5478478398579485</v>
      </c>
      <c r="J381" s="18">
        <f t="shared" si="375"/>
        <v>4.2536388023893359</v>
      </c>
      <c r="K381" s="18">
        <f t="shared" si="375"/>
        <v>3.4534963234706506</v>
      </c>
      <c r="L381" s="18">
        <f t="shared" si="375"/>
        <v>2.8616806187753747</v>
      </c>
      <c r="M381" s="18">
        <f t="shared" si="375"/>
        <v>4.6740988767291336</v>
      </c>
      <c r="N381" s="18">
        <f t="shared" si="375"/>
        <v>0</v>
      </c>
      <c r="O381" s="18">
        <f t="shared" si="375"/>
        <v>0</v>
      </c>
      <c r="P381" s="18">
        <f t="shared" si="375"/>
        <v>0</v>
      </c>
      <c r="Q381" s="18">
        <f t="shared" si="375"/>
        <v>0</v>
      </c>
      <c r="R381" s="18">
        <f t="shared" si="375"/>
        <v>0</v>
      </c>
      <c r="S381" s="18">
        <f t="shared" si="375"/>
        <v>0</v>
      </c>
      <c r="T381" s="18">
        <f t="shared" si="375"/>
        <v>0</v>
      </c>
      <c r="U381" s="18">
        <f t="shared" si="375"/>
        <v>0</v>
      </c>
      <c r="V381" s="18">
        <f t="shared" si="375"/>
        <v>0</v>
      </c>
      <c r="W381" s="18">
        <f t="shared" si="375"/>
        <v>0</v>
      </c>
      <c r="X381" s="18">
        <f t="shared" si="375"/>
        <v>0</v>
      </c>
      <c r="Y381" s="18">
        <f t="shared" si="375"/>
        <v>0</v>
      </c>
      <c r="Z381" s="18">
        <f t="shared" si="375"/>
        <v>0</v>
      </c>
      <c r="AA381" s="18">
        <f t="shared" si="375"/>
        <v>0</v>
      </c>
      <c r="AB381" s="18">
        <f t="shared" si="375"/>
        <v>0</v>
      </c>
      <c r="AC381" s="18">
        <f t="shared" si="375"/>
        <v>0</v>
      </c>
      <c r="AD381" s="18">
        <f t="shared" si="375"/>
        <v>0</v>
      </c>
      <c r="AE381" s="18">
        <f t="shared" si="375"/>
        <v>0</v>
      </c>
      <c r="AF381" s="18">
        <f t="shared" si="375"/>
        <v>0</v>
      </c>
      <c r="AG381" s="18">
        <f t="shared" si="375"/>
        <v>0</v>
      </c>
      <c r="AH381" s="18">
        <f t="shared" si="375"/>
        <v>0</v>
      </c>
      <c r="AI381" s="18">
        <f t="shared" si="375"/>
        <v>0</v>
      </c>
      <c r="AJ381" s="18">
        <f t="shared" si="375"/>
        <v>0</v>
      </c>
      <c r="AK381" s="18">
        <f t="shared" si="375"/>
        <v>0</v>
      </c>
      <c r="AL381" s="78"/>
      <c r="AM381" s="43">
        <v>365</v>
      </c>
      <c r="AN381">
        <v>895.01098988921763</v>
      </c>
      <c r="AO381">
        <v>56.565209224397222</v>
      </c>
      <c r="AP381">
        <v>117.56416811187151</v>
      </c>
      <c r="AQ381">
        <v>391.67404984707758</v>
      </c>
      <c r="AR381">
        <v>55.683661690247909</v>
      </c>
      <c r="AS381">
        <v>463.44775351646871</v>
      </c>
      <c r="AT381">
        <v>28.895958587768977</v>
      </c>
      <c r="AU381">
        <v>-35.640063454150791</v>
      </c>
      <c r="AV381"/>
      <c r="AW381"/>
      <c r="FY381" s="212">
        <v>376</v>
      </c>
      <c r="FZ381">
        <v>25.605680842194992</v>
      </c>
      <c r="GA381">
        <v>110.47480776320572</v>
      </c>
      <c r="GB381">
        <v>66.383808999616875</v>
      </c>
      <c r="GC381">
        <v>20.036403462202063</v>
      </c>
      <c r="GD381">
        <v>12.223059817015855</v>
      </c>
      <c r="GE381">
        <v>12.796149732637476</v>
      </c>
      <c r="GF381">
        <v>26.335821070706281</v>
      </c>
      <c r="GG381">
        <v>26.235658884596624</v>
      </c>
      <c r="GH381">
        <v>21.697860046375446</v>
      </c>
      <c r="GI381">
        <v>35.736066489619894</v>
      </c>
      <c r="GJ381"/>
      <c r="GK381"/>
      <c r="GL381"/>
      <c r="GM381"/>
    </row>
    <row r="382" spans="1:195" s="7" customFormat="1">
      <c r="A382" s="1"/>
      <c r="B382" s="71">
        <f t="shared" si="372"/>
        <v>39987</v>
      </c>
      <c r="C382" s="18">
        <f t="shared" si="362"/>
        <v>219.60134573844925</v>
      </c>
      <c r="D382" s="18">
        <f t="shared" si="363"/>
        <v>37.68885358876927</v>
      </c>
      <c r="E382" s="19">
        <f t="shared" si="364"/>
        <v>0.17162396460747398</v>
      </c>
      <c r="F382" s="19">
        <f t="shared" si="370"/>
        <v>1.6122582713581447E-2</v>
      </c>
      <c r="G382" s="18">
        <f>AVERAGE(E318:E327)*G$372</f>
        <v>0</v>
      </c>
      <c r="H382" s="18">
        <f t="shared" ref="H382:AK382" si="376">AVERAGE(F318:F327)*H$372</f>
        <v>0.10046534586056644</v>
      </c>
      <c r="I382" s="18">
        <f t="shared" si="376"/>
        <v>3.9157963173326542</v>
      </c>
      <c r="J382" s="18">
        <f t="shared" si="376"/>
        <v>11.04256029035318</v>
      </c>
      <c r="K382" s="18">
        <f t="shared" si="376"/>
        <v>7.7723641419604759</v>
      </c>
      <c r="L382" s="18">
        <f t="shared" si="376"/>
        <v>0</v>
      </c>
      <c r="M382" s="18">
        <f t="shared" si="376"/>
        <v>14.857667493262396</v>
      </c>
      <c r="N382" s="18">
        <f t="shared" si="376"/>
        <v>0</v>
      </c>
      <c r="O382" s="18">
        <f t="shared" si="376"/>
        <v>0</v>
      </c>
      <c r="P382" s="18">
        <f t="shared" si="376"/>
        <v>0</v>
      </c>
      <c r="Q382" s="18">
        <f t="shared" si="376"/>
        <v>0</v>
      </c>
      <c r="R382" s="18">
        <f t="shared" si="376"/>
        <v>0</v>
      </c>
      <c r="S382" s="18">
        <f t="shared" si="376"/>
        <v>0</v>
      </c>
      <c r="T382" s="18">
        <f t="shared" si="376"/>
        <v>0</v>
      </c>
      <c r="U382" s="18">
        <f t="shared" si="376"/>
        <v>0</v>
      </c>
      <c r="V382" s="18">
        <f t="shared" si="376"/>
        <v>0</v>
      </c>
      <c r="W382" s="18">
        <f t="shared" si="376"/>
        <v>0</v>
      </c>
      <c r="X382" s="18">
        <f t="shared" si="376"/>
        <v>0</v>
      </c>
      <c r="Y382" s="18">
        <f t="shared" si="376"/>
        <v>0</v>
      </c>
      <c r="Z382" s="18">
        <f t="shared" si="376"/>
        <v>0</v>
      </c>
      <c r="AA382" s="18">
        <f t="shared" si="376"/>
        <v>0</v>
      </c>
      <c r="AB382" s="18">
        <f t="shared" si="376"/>
        <v>0</v>
      </c>
      <c r="AC382" s="18">
        <f t="shared" si="376"/>
        <v>0</v>
      </c>
      <c r="AD382" s="18">
        <f t="shared" si="376"/>
        <v>0</v>
      </c>
      <c r="AE382" s="18">
        <f t="shared" si="376"/>
        <v>0</v>
      </c>
      <c r="AF382" s="18">
        <f t="shared" si="376"/>
        <v>0</v>
      </c>
      <c r="AG382" s="18">
        <f t="shared" si="376"/>
        <v>0</v>
      </c>
      <c r="AH382" s="18">
        <f t="shared" si="376"/>
        <v>0</v>
      </c>
      <c r="AI382" s="18">
        <f t="shared" si="376"/>
        <v>0</v>
      </c>
      <c r="AJ382" s="18">
        <f t="shared" si="376"/>
        <v>0</v>
      </c>
      <c r="AK382" s="18">
        <f t="shared" si="376"/>
        <v>0</v>
      </c>
      <c r="AL382" s="78"/>
      <c r="AM382" s="43">
        <v>366</v>
      </c>
      <c r="AN382">
        <v>738.46270376358552</v>
      </c>
      <c r="AO382">
        <v>51.833440344520668</v>
      </c>
      <c r="AP382">
        <v>54.738660528328509</v>
      </c>
      <c r="AQ382">
        <v>372.62701129452978</v>
      </c>
      <c r="AR382">
        <v>51.977270394703289</v>
      </c>
      <c r="AS382">
        <v>450.01534455367079</v>
      </c>
      <c r="AT382">
        <v>28.186219254352398</v>
      </c>
      <c r="AU382">
        <v>-27.80552518267141</v>
      </c>
      <c r="AV382"/>
      <c r="AW382"/>
      <c r="FY382" s="212">
        <v>377</v>
      </c>
      <c r="FZ382">
        <v>46.713715825663883</v>
      </c>
      <c r="GA382">
        <v>79.974105553310679</v>
      </c>
      <c r="GB382">
        <v>44.031521287272483</v>
      </c>
      <c r="GC382">
        <v>16.26229868296334</v>
      </c>
      <c r="GD382">
        <v>9.2332623872419646</v>
      </c>
      <c r="GE382">
        <v>12.348296350243279</v>
      </c>
      <c r="GF382">
        <v>30.962462359943956</v>
      </c>
      <c r="GG382">
        <v>28.244704842960033</v>
      </c>
      <c r="GH382">
        <v>21.393364920082821</v>
      </c>
      <c r="GI382">
        <v>32.243571521434376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728.35964444202227</v>
      </c>
      <c r="AO383">
        <v>48.022441859198601</v>
      </c>
      <c r="AP383">
        <v>53.886471271893924</v>
      </c>
      <c r="AQ383">
        <v>323.1076122822667</v>
      </c>
      <c r="AR383">
        <v>45.985123213546451</v>
      </c>
      <c r="AS383">
        <v>374.31983874283253</v>
      </c>
      <c r="AT383">
        <v>23.217196994125175</v>
      </c>
      <c r="AU383">
        <v>-58.129551343411755</v>
      </c>
      <c r="AV383"/>
      <c r="AW383"/>
      <c r="FY383" s="212">
        <v>378</v>
      </c>
      <c r="FZ383">
        <v>39.766498896080634</v>
      </c>
      <c r="GA383">
        <v>59.446768595649893</v>
      </c>
      <c r="GB383">
        <v>37.845972620123916</v>
      </c>
      <c r="GC383">
        <v>17.762591827074729</v>
      </c>
      <c r="GD383">
        <v>8.9976624891690253</v>
      </c>
      <c r="GE383">
        <v>10.390427740293148</v>
      </c>
      <c r="GF383">
        <v>20.728036137636234</v>
      </c>
      <c r="GG383">
        <v>20.72516970081114</v>
      </c>
      <c r="GH383">
        <v>27.541087608769434</v>
      </c>
      <c r="GI383">
        <v>28.664067673427244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687.10395921673648</v>
      </c>
      <c r="AO384">
        <v>46.899111476470537</v>
      </c>
      <c r="AP384">
        <v>70.264204328822373</v>
      </c>
      <c r="AQ384">
        <v>314.0314191478592</v>
      </c>
      <c r="AR384">
        <v>47.177989146911848</v>
      </c>
      <c r="AS384">
        <v>372.27203928607219</v>
      </c>
      <c r="AT384">
        <v>24.648887190816652</v>
      </c>
      <c r="AU384">
        <v>-57.171588137732861</v>
      </c>
      <c r="AV384"/>
      <c r="AW384"/>
      <c r="FY384" s="212">
        <v>379</v>
      </c>
      <c r="FZ384">
        <v>32.037220574200305</v>
      </c>
      <c r="GA384">
        <v>122.8053725440286</v>
      </c>
      <c r="GB384">
        <v>75.138146670467862</v>
      </c>
      <c r="GC384">
        <v>22.285195496885837</v>
      </c>
      <c r="GD384">
        <v>10.141710240554907</v>
      </c>
      <c r="GE384">
        <v>8.0083951184415891</v>
      </c>
      <c r="GF384">
        <v>4.8999930661643729</v>
      </c>
      <c r="GG384">
        <v>12.34382344720218</v>
      </c>
      <c r="GH384">
        <v>33.267183266759282</v>
      </c>
      <c r="GI384">
        <v>35.5155195070407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828.5070262490874</v>
      </c>
      <c r="AO385">
        <v>58.949488952070773</v>
      </c>
      <c r="AP385">
        <v>50.663616476567988</v>
      </c>
      <c r="AQ385">
        <v>418.01690426196302</v>
      </c>
      <c r="AR385">
        <v>58.215962857197212</v>
      </c>
      <c r="AS385">
        <v>452.17319704050828</v>
      </c>
      <c r="AT385">
        <v>30.183107197519849</v>
      </c>
      <c r="AU385">
        <v>-62.522786363838755</v>
      </c>
      <c r="AV385"/>
      <c r="AW385"/>
      <c r="FY385" s="212">
        <v>380</v>
      </c>
      <c r="FZ385">
        <v>49.58715532388365</v>
      </c>
      <c r="GA385">
        <v>60.511349500334553</v>
      </c>
      <c r="GB385">
        <v>33.702332160991013</v>
      </c>
      <c r="GC385">
        <v>17.738043356091321</v>
      </c>
      <c r="GD385">
        <v>12.1771678973621</v>
      </c>
      <c r="GE385">
        <v>13.625800319052491</v>
      </c>
      <c r="GF385">
        <v>34.888933243101775</v>
      </c>
      <c r="GG385">
        <v>36.106384844202189</v>
      </c>
      <c r="GH385">
        <v>30.22579145609091</v>
      </c>
      <c r="GI385">
        <v>33.970579949941381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778.73854283559035</v>
      </c>
      <c r="AO386">
        <v>53.904165553354382</v>
      </c>
      <c r="AP386">
        <v>49.23799016163629</v>
      </c>
      <c r="AQ386">
        <v>387.58248431331032</v>
      </c>
      <c r="AR386">
        <v>51.434380528566479</v>
      </c>
      <c r="AS386">
        <v>406.01071105132763</v>
      </c>
      <c r="AT386">
        <v>25.778348069745036</v>
      </c>
      <c r="AU386">
        <v>-90.084494671914186</v>
      </c>
      <c r="AV386"/>
      <c r="AW386"/>
      <c r="FY386" s="212">
        <v>381</v>
      </c>
      <c r="FZ386">
        <v>26.703044955090391</v>
      </c>
      <c r="GA386">
        <v>117.2971473927483</v>
      </c>
      <c r="GB386">
        <v>59.620519622026038</v>
      </c>
      <c r="GC386">
        <v>19.036353832194468</v>
      </c>
      <c r="GD386">
        <v>15.167971639580902</v>
      </c>
      <c r="GE386">
        <v>14.600814539413502</v>
      </c>
      <c r="GF386">
        <v>29.780882582074781</v>
      </c>
      <c r="GG386">
        <v>37.270647876765977</v>
      </c>
      <c r="GH386">
        <v>29.770366753013569</v>
      </c>
      <c r="GI386">
        <v>37.885065636150415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630.50647270809429</v>
      </c>
      <c r="AO387">
        <v>48.695397646427161</v>
      </c>
      <c r="AP387">
        <v>101.69451271038778</v>
      </c>
      <c r="AQ387">
        <v>328.51437846819397</v>
      </c>
      <c r="AR387">
        <v>50.885637678378124</v>
      </c>
      <c r="AS387">
        <v>363.54831878193602</v>
      </c>
      <c r="AT387">
        <v>28.647846472571555</v>
      </c>
      <c r="AU387">
        <v>-143.94796295416148</v>
      </c>
      <c r="AV387"/>
      <c r="AW387"/>
      <c r="FY387" s="212">
        <v>382</v>
      </c>
      <c r="FZ387">
        <v>54.141345331411976</v>
      </c>
      <c r="GA387">
        <v>85.258660675413651</v>
      </c>
      <c r="GB387">
        <v>43.980931140103976</v>
      </c>
      <c r="GC387">
        <v>15.108884873119189</v>
      </c>
      <c r="GD387">
        <v>9.5788101167397119</v>
      </c>
      <c r="GE387">
        <v>9.8013718558670071</v>
      </c>
      <c r="GF387">
        <v>7.8183825843528476</v>
      </c>
      <c r="GG387">
        <v>17.370095683697556</v>
      </c>
      <c r="GH387">
        <v>24.250474072827323</v>
      </c>
      <c r="GI387">
        <v>29.832601248499511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7">IF(C374&lt;1,0,LN(E374/E373)/E21)</f>
        <v>-2.0517382264381049E-2</v>
      </c>
      <c r="G388" s="13"/>
      <c r="H388" s="19">
        <f>IF(G406&lt;0,0,G406)</f>
        <v>3.8343675829064616E-2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715.26667363430772</v>
      </c>
      <c r="AO388">
        <v>43.045892204527831</v>
      </c>
      <c r="AP388">
        <v>64.921626623292312</v>
      </c>
      <c r="AQ388">
        <v>304.7271896691114</v>
      </c>
      <c r="AR388">
        <v>42.842696579845274</v>
      </c>
      <c r="AS388">
        <v>385.63199737486002</v>
      </c>
      <c r="AT388">
        <v>23.464406036454054</v>
      </c>
      <c r="AU388">
        <v>-32.012955956911362</v>
      </c>
      <c r="AV388"/>
      <c r="AW388"/>
      <c r="FY388" s="212">
        <v>383</v>
      </c>
      <c r="FZ388">
        <v>36.797803493063242</v>
      </c>
      <c r="GA388">
        <v>98.88339250099088</v>
      </c>
      <c r="GB388">
        <v>52.996967490377976</v>
      </c>
      <c r="GC388">
        <v>13.999311623568188</v>
      </c>
      <c r="GD388">
        <v>9.3300831112017786</v>
      </c>
      <c r="GE388">
        <v>9.0040472626745789</v>
      </c>
      <c r="GF388">
        <v>25.081496071161691</v>
      </c>
      <c r="GG388">
        <v>29.428056032106962</v>
      </c>
      <c r="GH388">
        <v>23.141301336850212</v>
      </c>
      <c r="GI388">
        <v>32.370090980714508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7"/>
        <v>-7.2154185579137546E-3</v>
      </c>
      <c r="G389" s="13"/>
      <c r="H389" s="19">
        <f t="shared" ref="H389:H398" si="378">IF(G407&lt;0,0,G407)</f>
        <v>2.6924571221815272E-2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721.14345467341059</v>
      </c>
      <c r="AO389">
        <v>50.507261337322007</v>
      </c>
      <c r="AP389">
        <v>54.056178342166994</v>
      </c>
      <c r="AQ389">
        <v>351.1322732419755</v>
      </c>
      <c r="AR389">
        <v>49.609043896564025</v>
      </c>
      <c r="AS389">
        <v>402.2364486709298</v>
      </c>
      <c r="AT389">
        <v>25.999759166986099</v>
      </c>
      <c r="AU389">
        <v>-34.511511938683412</v>
      </c>
      <c r="AV389"/>
      <c r="AW389"/>
      <c r="FY389" s="212">
        <v>384</v>
      </c>
      <c r="FZ389">
        <v>38.617127234009274</v>
      </c>
      <c r="GA389">
        <v>89.215564355873042</v>
      </c>
      <c r="GB389">
        <v>56.958854849711173</v>
      </c>
      <c r="GC389">
        <v>19.212198402614227</v>
      </c>
      <c r="GD389">
        <v>12.148913510121925</v>
      </c>
      <c r="GE389">
        <v>19.056228821490791</v>
      </c>
      <c r="GF389">
        <v>29.221305424165937</v>
      </c>
      <c r="GG389">
        <v>26.626400712489989</v>
      </c>
      <c r="GH389">
        <v>25.491622075766717</v>
      </c>
      <c r="GI389">
        <v>36.38905855564461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7"/>
        <v>-2.5202133195157597E-2</v>
      </c>
      <c r="G390" s="13"/>
      <c r="H390" s="19">
        <f t="shared" si="378"/>
        <v>1.7916941801946796E-2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754.84509207030828</v>
      </c>
      <c r="AO390">
        <v>47.378243583172022</v>
      </c>
      <c r="AP390">
        <v>87.083090298173573</v>
      </c>
      <c r="AQ390">
        <v>321.58540411473462</v>
      </c>
      <c r="AR390">
        <v>46.302355353563918</v>
      </c>
      <c r="AS390">
        <v>387.75028615950725</v>
      </c>
      <c r="AT390">
        <v>24.214326172191249</v>
      </c>
      <c r="AU390">
        <v>-12.868872364158108</v>
      </c>
      <c r="AV390"/>
      <c r="AW390"/>
      <c r="FY390" s="212">
        <v>385</v>
      </c>
      <c r="FZ390">
        <v>44.05709228582419</v>
      </c>
      <c r="GA390">
        <v>65.526367850624879</v>
      </c>
      <c r="GB390">
        <v>33.305585717863345</v>
      </c>
      <c r="GC390">
        <v>16.018193399014972</v>
      </c>
      <c r="GD390">
        <v>13.441990334748372</v>
      </c>
      <c r="GE390">
        <v>17.829943464065103</v>
      </c>
      <c r="GF390">
        <v>31.091894384827096</v>
      </c>
      <c r="GG390">
        <v>28.934001032108949</v>
      </c>
      <c r="GH390">
        <v>31.2195728182928</v>
      </c>
      <c r="GI390">
        <v>33.226730823532684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7"/>
        <v>1.5444668772203313E-3</v>
      </c>
      <c r="G391" s="13"/>
      <c r="H391" s="19">
        <f t="shared" si="378"/>
        <v>1.0444819516458093E-2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746.62432973037312</v>
      </c>
      <c r="AO391">
        <v>49.875215258374325</v>
      </c>
      <c r="AP391">
        <v>59.715410128717664</v>
      </c>
      <c r="AQ391">
        <v>352.42873087429996</v>
      </c>
      <c r="AR391">
        <v>47.618883593809464</v>
      </c>
      <c r="AS391">
        <v>385.53465743787325</v>
      </c>
      <c r="AT391">
        <v>23.087050211691135</v>
      </c>
      <c r="AU391">
        <v>-61.766126842657599</v>
      </c>
      <c r="AV391"/>
      <c r="AW391"/>
      <c r="FY391" s="212">
        <v>386</v>
      </c>
      <c r="FZ391">
        <v>39.003333130541421</v>
      </c>
      <c r="GA391">
        <v>139.02476761903438</v>
      </c>
      <c r="GB391">
        <v>78.932667571413305</v>
      </c>
      <c r="GC391">
        <v>19.719887760995885</v>
      </c>
      <c r="GD391">
        <v>12.867714668319188</v>
      </c>
      <c r="GE391">
        <v>21.042525050516417</v>
      </c>
      <c r="GF391">
        <v>36.849660726142538</v>
      </c>
      <c r="GG391">
        <v>27.647220732845913</v>
      </c>
      <c r="GH391">
        <v>24.009074554273422</v>
      </c>
      <c r="GI391">
        <v>43.427338253737112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7"/>
        <v>2.1269982489672498E-3</v>
      </c>
      <c r="G392" s="13"/>
      <c r="H392" s="19">
        <f t="shared" si="378"/>
        <v>2.0365464884680957E-2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702.15258869200647</v>
      </c>
      <c r="AO392">
        <v>51.580809008233174</v>
      </c>
      <c r="AP392">
        <v>64.072032973989224</v>
      </c>
      <c r="AQ392">
        <v>357.52531710817118</v>
      </c>
      <c r="AR392">
        <v>49.291855299961</v>
      </c>
      <c r="AS392">
        <v>416.62780286175814</v>
      </c>
      <c r="AT392">
        <v>23.757453954758557</v>
      </c>
      <c r="AU392">
        <v>-85.32061554617097</v>
      </c>
      <c r="AV392"/>
      <c r="AW392"/>
      <c r="FY392" s="212">
        <v>387</v>
      </c>
      <c r="FZ392">
        <v>52.025353680456256</v>
      </c>
      <c r="GA392">
        <v>75.41262391505569</v>
      </c>
      <c r="GB392">
        <v>40.91855915292463</v>
      </c>
      <c r="GC392">
        <v>15.483146340431976</v>
      </c>
      <c r="GD392">
        <v>9.696006086747353</v>
      </c>
      <c r="GE392">
        <v>11.462669058053468</v>
      </c>
      <c r="GF392">
        <v>22.357835963016743</v>
      </c>
      <c r="GG392">
        <v>23.694312173898862</v>
      </c>
      <c r="GH392">
        <v>20.14642369291122</v>
      </c>
      <c r="GI392">
        <v>30.823314170641915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7"/>
        <v>2.4095015619561761E-3</v>
      </c>
      <c r="G393" s="13"/>
      <c r="H393" s="19">
        <f t="shared" si="378"/>
        <v>2.8637753255646402E-2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731.07639088774908</v>
      </c>
      <c r="AO393">
        <v>44.819042889371168</v>
      </c>
      <c r="AP393">
        <v>73.263349141453702</v>
      </c>
      <c r="AQ393">
        <v>321.40730373111688</v>
      </c>
      <c r="AR393">
        <v>44.253060036284737</v>
      </c>
      <c r="AS393">
        <v>371.68502626641327</v>
      </c>
      <c r="AT393">
        <v>23.635626499719653</v>
      </c>
      <c r="AU393">
        <v>-32.418444611968098</v>
      </c>
      <c r="AV393"/>
      <c r="AW393"/>
      <c r="FY393" s="212">
        <v>388</v>
      </c>
      <c r="FZ393">
        <v>45.724246486476247</v>
      </c>
      <c r="GA393">
        <v>109.01850621067825</v>
      </c>
      <c r="GB393">
        <v>56.738881992160877</v>
      </c>
      <c r="GC393">
        <v>18.564427741296221</v>
      </c>
      <c r="GD393">
        <v>11.310400824697453</v>
      </c>
      <c r="GE393">
        <v>12.887304178404593</v>
      </c>
      <c r="GF393">
        <v>25.611518835594765</v>
      </c>
      <c r="GG393">
        <v>27.38161020192895</v>
      </c>
      <c r="GH393">
        <v>34.180563248219464</v>
      </c>
      <c r="GI393">
        <v>37.564948420189445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7"/>
        <v>2.4550074443595552E-3</v>
      </c>
      <c r="G394" s="13"/>
      <c r="H394" s="19">
        <f t="shared" si="378"/>
        <v>3.3747736681008653E-2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544.37668777740112</v>
      </c>
      <c r="AO394">
        <v>39.104834270417363</v>
      </c>
      <c r="AP394">
        <v>37.276633364303507</v>
      </c>
      <c r="AQ394">
        <v>271.86828328903539</v>
      </c>
      <c r="AR394">
        <v>39.342042219337415</v>
      </c>
      <c r="AS394">
        <v>338.11921078147913</v>
      </c>
      <c r="AT394">
        <v>21.690055082438011</v>
      </c>
      <c r="AU394">
        <v>-37.930101756582658</v>
      </c>
      <c r="AV394"/>
      <c r="AW394"/>
      <c r="FY394" s="212">
        <v>389</v>
      </c>
      <c r="FZ394">
        <v>34.663696239242753</v>
      </c>
      <c r="GA394">
        <v>51.132230530841561</v>
      </c>
      <c r="GB394">
        <v>41.506424601233533</v>
      </c>
      <c r="GC394">
        <v>20.301762536148008</v>
      </c>
      <c r="GD394">
        <v>9.4358247816943237</v>
      </c>
      <c r="GE394">
        <v>9.8523111700092034</v>
      </c>
      <c r="GF394">
        <v>6.7638950451902717</v>
      </c>
      <c r="GG394">
        <v>14.896256132014146</v>
      </c>
      <c r="GH394">
        <v>25.833601460822361</v>
      </c>
      <c r="GI394">
        <v>26.268555158055708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7"/>
        <v>9.0096836958267548E-3</v>
      </c>
      <c r="G395" s="13"/>
      <c r="H395" s="19">
        <f t="shared" si="378"/>
        <v>4.0496316326313689E-2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723.73291290748875</v>
      </c>
      <c r="AO395">
        <v>50.154171984421346</v>
      </c>
      <c r="AP395">
        <v>54.09121807774968</v>
      </c>
      <c r="AQ395">
        <v>356.44255993174562</v>
      </c>
      <c r="AR395">
        <v>48.972105071263329</v>
      </c>
      <c r="AS395">
        <v>420.54591637776264</v>
      </c>
      <c r="AT395">
        <v>23.947865879728479</v>
      </c>
      <c r="AU395">
        <v>-99.639409472480295</v>
      </c>
      <c r="AV395"/>
      <c r="AW395"/>
      <c r="FY395" s="212">
        <v>390</v>
      </c>
      <c r="FZ395">
        <v>48.707736719709274</v>
      </c>
      <c r="GA395">
        <v>95.926254418315111</v>
      </c>
      <c r="GB395">
        <v>50.120059064714503</v>
      </c>
      <c r="GC395">
        <v>16.804236762835778</v>
      </c>
      <c r="GD395">
        <v>9.6493411338207267</v>
      </c>
      <c r="GE395">
        <v>16.108891743070725</v>
      </c>
      <c r="GF395">
        <v>24.803046757237546</v>
      </c>
      <c r="GG395">
        <v>21.394989417588391</v>
      </c>
      <c r="GH395">
        <v>24.854513770905072</v>
      </c>
      <c r="GI395">
        <v>33.731229618930449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7"/>
        <v>1.6122582713581447E-2</v>
      </c>
      <c r="G396" s="13"/>
      <c r="H396" s="19">
        <f t="shared" si="378"/>
        <v>4.3202167682235025E-2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607.564218446072</v>
      </c>
      <c r="AO396">
        <v>46.498699799187605</v>
      </c>
      <c r="AP396">
        <v>129.35355671705878</v>
      </c>
      <c r="AQ396">
        <v>322.53353805105138</v>
      </c>
      <c r="AR396">
        <v>46.715182803660632</v>
      </c>
      <c r="AS396">
        <v>367.85228711300152</v>
      </c>
      <c r="AT396">
        <v>26.889366304039331</v>
      </c>
      <c r="AU396">
        <v>-81.517230404854075</v>
      </c>
      <c r="AV396"/>
      <c r="AW396"/>
      <c r="FY396" s="212">
        <v>391</v>
      </c>
      <c r="FZ396">
        <v>42.846992446104124</v>
      </c>
      <c r="GA396">
        <v>126.32764767987213</v>
      </c>
      <c r="GB396">
        <v>69.923149966640409</v>
      </c>
      <c r="GC396">
        <v>22.534419800781674</v>
      </c>
      <c r="GD396">
        <v>13.862338253103438</v>
      </c>
      <c r="GE396">
        <v>16.409788617390515</v>
      </c>
      <c r="GF396">
        <v>22.759372771406785</v>
      </c>
      <c r="GG396">
        <v>23.102561419422159</v>
      </c>
      <c r="GH396">
        <v>28.201711362781719</v>
      </c>
      <c r="GI396">
        <v>40.406661733269253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7"/>
        <v>0</v>
      </c>
      <c r="G397" s="13"/>
      <c r="H397" s="19">
        <f t="shared" si="378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745.84897609805353</v>
      </c>
      <c r="AO397">
        <v>55.631535983821095</v>
      </c>
      <c r="AP397">
        <v>74.660087392299374</v>
      </c>
      <c r="AQ397">
        <v>387.13281482905836</v>
      </c>
      <c r="AR397">
        <v>52.322175820266082</v>
      </c>
      <c r="AS397">
        <v>404.83798519162229</v>
      </c>
      <c r="AT397">
        <v>25.393520700332715</v>
      </c>
      <c r="AU397">
        <v>-66.771106739319578</v>
      </c>
      <c r="AV397"/>
      <c r="AW397"/>
      <c r="FY397" s="212">
        <v>392</v>
      </c>
      <c r="FZ397">
        <v>38.193783012935071</v>
      </c>
      <c r="GA397">
        <v>120.06287809640533</v>
      </c>
      <c r="GB397">
        <v>60.577383399661933</v>
      </c>
      <c r="GC397">
        <v>12.475028725896141</v>
      </c>
      <c r="GD397">
        <v>9.3078828908180338</v>
      </c>
      <c r="GE397">
        <v>9.868263973668558</v>
      </c>
      <c r="GF397">
        <v>16.163010672599523</v>
      </c>
      <c r="GG397">
        <v>19.417702827285758</v>
      </c>
      <c r="GH397">
        <v>24.60966504551488</v>
      </c>
      <c r="GI397">
        <v>33.048125678980611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7"/>
        <v>0</v>
      </c>
      <c r="G398" s="13"/>
      <c r="H398" s="19">
        <f t="shared" si="378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511.76102835500086</v>
      </c>
      <c r="AO398">
        <v>41.190579928550065</v>
      </c>
      <c r="AP398">
        <v>33.691616709606386</v>
      </c>
      <c r="AQ398">
        <v>297.14155758203276</v>
      </c>
      <c r="AR398">
        <v>41.190633204142372</v>
      </c>
      <c r="AS398">
        <v>311.40705885872671</v>
      </c>
      <c r="AT398">
        <v>20.996689639559499</v>
      </c>
      <c r="AU398">
        <v>-41.989281630139835</v>
      </c>
      <c r="AV398"/>
      <c r="AW398"/>
      <c r="FY398" s="212">
        <v>393</v>
      </c>
      <c r="FZ398">
        <v>50.549234096722863</v>
      </c>
      <c r="GA398">
        <v>134.10141916997719</v>
      </c>
      <c r="GB398">
        <v>64.711793629473789</v>
      </c>
      <c r="GC398">
        <v>17.631638911678884</v>
      </c>
      <c r="GD398">
        <v>14.613399491421294</v>
      </c>
      <c r="GE398">
        <v>15.044642691106633</v>
      </c>
      <c r="GF398">
        <v>23.465608533924854</v>
      </c>
      <c r="GG398">
        <v>18.060514883597651</v>
      </c>
      <c r="GH398">
        <v>19.118338513872562</v>
      </c>
      <c r="GI398">
        <v>39.373197125252126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570.87623995482704</v>
      </c>
      <c r="AO399">
        <v>45.658846507822638</v>
      </c>
      <c r="AP399">
        <v>61.670608225964841</v>
      </c>
      <c r="AQ399">
        <v>331.03254990271006</v>
      </c>
      <c r="AR399">
        <v>44.665529750587169</v>
      </c>
      <c r="AS399">
        <v>331.23231567459192</v>
      </c>
      <c r="AT399">
        <v>21.946771336713393</v>
      </c>
      <c r="AU399">
        <v>-87.982832233891671</v>
      </c>
      <c r="AV399"/>
      <c r="AW399"/>
      <c r="FY399" s="212">
        <v>394</v>
      </c>
      <c r="FZ399">
        <v>55.814104481180614</v>
      </c>
      <c r="GA399">
        <v>127.23164731306511</v>
      </c>
      <c r="GB399">
        <v>68.157265475366188</v>
      </c>
      <c r="GC399">
        <v>17.053787394680405</v>
      </c>
      <c r="GD399">
        <v>9.536092664263677</v>
      </c>
      <c r="GE399">
        <v>13.35152392783338</v>
      </c>
      <c r="GF399">
        <v>21.218904932072412</v>
      </c>
      <c r="GG399">
        <v>14.089033284987467</v>
      </c>
      <c r="GH399">
        <v>13.939974826297272</v>
      </c>
      <c r="GI399">
        <v>36.869540174576983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741.92557695372295</v>
      </c>
      <c r="AO400">
        <v>51.349816426974712</v>
      </c>
      <c r="AP400">
        <v>61.349846197832449</v>
      </c>
      <c r="AQ400">
        <v>352.93727394188778</v>
      </c>
      <c r="AR400">
        <v>50.231821344905782</v>
      </c>
      <c r="AS400">
        <v>395.91671322766342</v>
      </c>
      <c r="AT400">
        <v>25.207584078792355</v>
      </c>
      <c r="AU400">
        <v>-50.269561133500524</v>
      </c>
      <c r="AV400"/>
      <c r="AW400"/>
      <c r="FY400" s="212">
        <v>395</v>
      </c>
      <c r="FZ400">
        <v>40.830306368437732</v>
      </c>
      <c r="GA400">
        <v>108.06056211016698</v>
      </c>
      <c r="GB400">
        <v>66.138069153100076</v>
      </c>
      <c r="GC400">
        <v>22.673152892988792</v>
      </c>
      <c r="GD400">
        <v>15.131831350631566</v>
      </c>
      <c r="GE400">
        <v>19.709137086410802</v>
      </c>
      <c r="GF400">
        <v>32.966587408077835</v>
      </c>
      <c r="GG400">
        <v>32.294607861411805</v>
      </c>
      <c r="GH400">
        <v>23.775879734546418</v>
      </c>
      <c r="GI400">
        <v>41.051504570472503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742.15714102120353</v>
      </c>
      <c r="AO401">
        <v>45.445939840853718</v>
      </c>
      <c r="AP401">
        <v>77.678456541823238</v>
      </c>
      <c r="AQ401">
        <v>314.6513721109024</v>
      </c>
      <c r="AR401">
        <v>45.572869606087302</v>
      </c>
      <c r="AS401">
        <v>380.22574041397974</v>
      </c>
      <c r="AT401">
        <v>23.755235684318464</v>
      </c>
      <c r="AU401">
        <v>-34.877573847699686</v>
      </c>
      <c r="AV401"/>
      <c r="AW401"/>
      <c r="FY401" s="212">
        <v>396</v>
      </c>
      <c r="FZ401">
        <v>38.201288052169318</v>
      </c>
      <c r="GA401">
        <v>68.765729832480361</v>
      </c>
      <c r="GB401">
        <v>40.664294963198877</v>
      </c>
      <c r="GC401">
        <v>18.888774341316761</v>
      </c>
      <c r="GD401">
        <v>13.967355305744503</v>
      </c>
      <c r="GE401">
        <v>22.341621846085719</v>
      </c>
      <c r="GF401">
        <v>39.05652743218662</v>
      </c>
      <c r="GG401">
        <v>31.984813655260233</v>
      </c>
      <c r="GH401">
        <v>23.835711016241913</v>
      </c>
      <c r="GI401">
        <v>34.800300164940914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957.25736044208975</v>
      </c>
      <c r="AO402">
        <v>61.924387963002246</v>
      </c>
      <c r="AP402">
        <v>69.463951242017984</v>
      </c>
      <c r="AQ402">
        <v>442.52419006781963</v>
      </c>
      <c r="AR402">
        <v>59.7704146946298</v>
      </c>
      <c r="AS402">
        <v>498.37986179680803</v>
      </c>
      <c r="AT402">
        <v>29.645961784590707</v>
      </c>
      <c r="AU402">
        <v>-102.70555920675947</v>
      </c>
      <c r="AV402"/>
      <c r="AW402"/>
      <c r="FY402" s="212">
        <v>397</v>
      </c>
      <c r="FZ402">
        <v>42.973107808138977</v>
      </c>
      <c r="GA402">
        <v>123.26702872714932</v>
      </c>
      <c r="GB402">
        <v>77.687790013383633</v>
      </c>
      <c r="GC402">
        <v>20.92038909682454</v>
      </c>
      <c r="GD402">
        <v>11.155723285558663</v>
      </c>
      <c r="GE402">
        <v>14.119620090390306</v>
      </c>
      <c r="GF402">
        <v>30.704581057381947</v>
      </c>
      <c r="GG402">
        <v>33.593296081476517</v>
      </c>
      <c r="GH402">
        <v>19.750334864718813</v>
      </c>
      <c r="GI402">
        <v>40.958391678120883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594.05191839072836</v>
      </c>
      <c r="AO403">
        <v>42.356108629199859</v>
      </c>
      <c r="AP403">
        <v>53.440411466417999</v>
      </c>
      <c r="AQ403">
        <v>302.02024423413815</v>
      </c>
      <c r="AR403">
        <v>42.456688841399696</v>
      </c>
      <c r="AS403">
        <v>317.54614725558184</v>
      </c>
      <c r="AT403">
        <v>22.077744397281833</v>
      </c>
      <c r="AU403">
        <v>-33.057641740701939</v>
      </c>
      <c r="AV403"/>
      <c r="AW403"/>
      <c r="FY403" s="212">
        <v>398</v>
      </c>
      <c r="FZ403">
        <v>42.889089808590136</v>
      </c>
      <c r="GA403">
        <v>107.67044034378952</v>
      </c>
      <c r="GB403">
        <v>65.224366191936369</v>
      </c>
      <c r="GC403">
        <v>19.972874510741516</v>
      </c>
      <c r="GD403">
        <v>11.479043411159234</v>
      </c>
      <c r="GE403">
        <v>14.919421405626167</v>
      </c>
      <c r="GF403">
        <v>30.580028257171907</v>
      </c>
      <c r="GG403">
        <v>33.294561740650998</v>
      </c>
      <c r="GH403">
        <v>22.142731157388379</v>
      </c>
      <c r="GI403">
        <v>38.236023548336547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763.77554019815886</v>
      </c>
      <c r="AO404">
        <v>52.547884364848542</v>
      </c>
      <c r="AP404">
        <v>76.336703844141027</v>
      </c>
      <c r="AQ404">
        <v>378.98240813964628</v>
      </c>
      <c r="AR404">
        <v>51.738224737918294</v>
      </c>
      <c r="AS404">
        <v>408.07297195494101</v>
      </c>
      <c r="AT404">
        <v>26.753855067044544</v>
      </c>
      <c r="AU404">
        <v>-46.911767260069354</v>
      </c>
      <c r="AV404"/>
      <c r="AW404"/>
      <c r="FY404" s="212">
        <v>399</v>
      </c>
      <c r="FZ404">
        <v>36.107142587167807</v>
      </c>
      <c r="GA404">
        <v>85.762241152653715</v>
      </c>
      <c r="GB404">
        <v>42.540990557440246</v>
      </c>
      <c r="GC404">
        <v>19.460776770891133</v>
      </c>
      <c r="GD404">
        <v>15.26236815317778</v>
      </c>
      <c r="GE404">
        <v>15.568199894207396</v>
      </c>
      <c r="GF404">
        <v>38.388183751892008</v>
      </c>
      <c r="GG404">
        <v>37.413863594830183</v>
      </c>
      <c r="GH404">
        <v>20.870834752735089</v>
      </c>
      <c r="GI404">
        <v>35.194956112576918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9">+C4</f>
        <v>39646</v>
      </c>
      <c r="C405" s="61">
        <v>0</v>
      </c>
      <c r="D405" s="61">
        <f t="shared" ref="D405:D414" si="380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3.2185430463576168</v>
      </c>
      <c r="E405" s="108">
        <f t="shared" ref="E405:E414" si="381">IF(D405=0,0.00000001,(1-$A$43/100)*($A$39*(D405^($A$41))))</f>
        <v>0.16792112865967393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527.0156653706623</v>
      </c>
      <c r="AO405">
        <v>36.405405732638606</v>
      </c>
      <c r="AP405">
        <v>49.051101013924516</v>
      </c>
      <c r="AQ405">
        <v>240.65455765525189</v>
      </c>
      <c r="AR405">
        <v>36.169030246258068</v>
      </c>
      <c r="AS405">
        <v>316.54424844444122</v>
      </c>
      <c r="AT405">
        <v>18.349495811637286</v>
      </c>
      <c r="AU405">
        <v>-22.504720996288061</v>
      </c>
      <c r="AV405"/>
      <c r="AW405"/>
      <c r="FY405" s="212">
        <v>400</v>
      </c>
      <c r="FZ405">
        <v>47.100488925847642</v>
      </c>
      <c r="GA405">
        <v>114.15136172882937</v>
      </c>
      <c r="GB405">
        <v>68.472006504791352</v>
      </c>
      <c r="GC405">
        <v>18.335005920093643</v>
      </c>
      <c r="GD405">
        <v>10.36852275647095</v>
      </c>
      <c r="GE405">
        <v>15.013889695679993</v>
      </c>
      <c r="GF405">
        <v>26.642837765972093</v>
      </c>
      <c r="GG405">
        <v>23.838080790151604</v>
      </c>
      <c r="GH405">
        <v>27.216238922085882</v>
      </c>
      <c r="GI405">
        <v>39.201413656494914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9"/>
        <v>39673</v>
      </c>
      <c r="C406" s="61">
        <f>B406-B405</f>
        <v>27</v>
      </c>
      <c r="D406" s="61">
        <f t="shared" si="380"/>
        <v>2.7730448593407555</v>
      </c>
      <c r="E406" s="108">
        <f t="shared" si="381"/>
        <v>0.11245819643292555</v>
      </c>
      <c r="F406" s="19">
        <f t="shared" ref="F406:F414" si="382">IF(C374&lt;1,0,LN(E406/E405)/E21)</f>
        <v>-1.4848623391735928E-2</v>
      </c>
      <c r="G406" s="19">
        <f t="shared" ref="G406:G414" si="383">IF(D406=0, 0, 0.051-(0.068*LN(D406))+(0.006*A406))</f>
        <v>3.8343675829064616E-2</v>
      </c>
      <c r="H406" s="19">
        <f t="shared" ref="H406:H414" si="384">+IF((G406&gt;0),G406,0)</f>
        <v>3.8343675829064616E-2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710.97465037147742</v>
      </c>
      <c r="AO406">
        <v>47.423515905090696</v>
      </c>
      <c r="AP406">
        <v>84.316305170757431</v>
      </c>
      <c r="AQ406">
        <v>342.10029940712764</v>
      </c>
      <c r="AR406">
        <v>46.386496275698875</v>
      </c>
      <c r="AS406">
        <v>370.54351511768061</v>
      </c>
      <c r="AT406">
        <v>23.597958306505078</v>
      </c>
      <c r="AU406">
        <v>-27.362613015452144</v>
      </c>
      <c r="AV406"/>
      <c r="AW406"/>
      <c r="FY406" s="212">
        <v>401</v>
      </c>
      <c r="FZ406">
        <v>46.109386023778853</v>
      </c>
      <c r="GA406">
        <v>104.97834090460827</v>
      </c>
      <c r="GB406">
        <v>62.760252262486418</v>
      </c>
      <c r="GC406">
        <v>21.975908429515865</v>
      </c>
      <c r="GD406">
        <v>11.816428702619701</v>
      </c>
      <c r="GE406">
        <v>18.211275841758503</v>
      </c>
      <c r="GF406">
        <v>32.324330478600046</v>
      </c>
      <c r="GG406">
        <v>33.988481853858367</v>
      </c>
      <c r="GH406">
        <v>37.937850009179968</v>
      </c>
      <c r="GI406">
        <v>41.229398750371693</v>
      </c>
      <c r="GJ406"/>
      <c r="GK406"/>
      <c r="GL406"/>
      <c r="GM406"/>
    </row>
    <row r="407" spans="1:195" s="7" customFormat="1">
      <c r="A407" s="189">
        <v>4.03</v>
      </c>
      <c r="B407" s="71">
        <f t="shared" si="379"/>
        <v>39714</v>
      </c>
      <c r="C407" s="61">
        <f>B407-$B$405</f>
        <v>68</v>
      </c>
      <c r="D407" s="61">
        <f t="shared" si="380"/>
        <v>2.0332564259706549</v>
      </c>
      <c r="E407" s="108">
        <f t="shared" si="381"/>
        <v>4.8790941024664011E-2</v>
      </c>
      <c r="F407" s="19">
        <f t="shared" si="382"/>
        <v>-2.0366753766819214E-2</v>
      </c>
      <c r="G407" s="19">
        <f t="shared" si="383"/>
        <v>2.6924571221815272E-2</v>
      </c>
      <c r="H407" s="19">
        <f t="shared" si="384"/>
        <v>2.6924571221815272E-2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891.22636632530453</v>
      </c>
      <c r="AO407">
        <v>57.61044947431585</v>
      </c>
      <c r="AP407">
        <v>84.548984345137441</v>
      </c>
      <c r="AQ407">
        <v>406.37464405077219</v>
      </c>
      <c r="AR407">
        <v>55.566149947754162</v>
      </c>
      <c r="AS407">
        <v>460.59473860081459</v>
      </c>
      <c r="AT407">
        <v>27.913430484553015</v>
      </c>
      <c r="AU407">
        <v>-84.945758829645058</v>
      </c>
      <c r="AV407"/>
      <c r="AW407"/>
      <c r="FY407" s="212">
        <v>402</v>
      </c>
      <c r="FZ407">
        <v>52.663606508884449</v>
      </c>
      <c r="GA407">
        <v>84.046491309760285</v>
      </c>
      <c r="GB407">
        <v>54.278851241725661</v>
      </c>
      <c r="GC407">
        <v>20.821510165653752</v>
      </c>
      <c r="GD407">
        <v>11.088056092487033</v>
      </c>
      <c r="GE407">
        <v>12.80337686707994</v>
      </c>
      <c r="GF407">
        <v>44.107124390804287</v>
      </c>
      <c r="GG407">
        <v>42.715689903243764</v>
      </c>
      <c r="GH407">
        <v>23.373354288138579</v>
      </c>
      <c r="GI407">
        <v>39.405418169855508</v>
      </c>
      <c r="GJ407"/>
      <c r="GK407"/>
      <c r="GL407"/>
      <c r="GM407"/>
    </row>
    <row r="408" spans="1:195" s="7" customFormat="1">
      <c r="A408" s="189">
        <v>0.78</v>
      </c>
      <c r="B408" s="71">
        <f t="shared" si="379"/>
        <v>39747</v>
      </c>
      <c r="C408" s="61">
        <f t="shared" ref="C408:C414" si="385">B408-$B$405</f>
        <v>101</v>
      </c>
      <c r="D408" s="61">
        <f t="shared" si="380"/>
        <v>1.7425317617000262</v>
      </c>
      <c r="E408" s="108">
        <f t="shared" si="381"/>
        <v>3.2211532001728944E-2</v>
      </c>
      <c r="F408" s="19">
        <f t="shared" si="382"/>
        <v>-1.2582428356120298E-2</v>
      </c>
      <c r="G408" s="19">
        <f t="shared" si="383"/>
        <v>1.7916941801946796E-2</v>
      </c>
      <c r="H408" s="19">
        <f t="shared" si="384"/>
        <v>1.7916941801946796E-2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561.82495170202117</v>
      </c>
      <c r="AO408">
        <v>46.30612053649817</v>
      </c>
      <c r="AP408">
        <v>46.395026986781097</v>
      </c>
      <c r="AQ408">
        <v>343.72372432376585</v>
      </c>
      <c r="AR408">
        <v>45.590356549362944</v>
      </c>
      <c r="AS408">
        <v>348.32754384189377</v>
      </c>
      <c r="AT408">
        <v>22.676324849015042</v>
      </c>
      <c r="AU408">
        <v>-79.35985738529277</v>
      </c>
      <c r="AV408"/>
      <c r="AW408"/>
      <c r="FY408" s="212">
        <v>403</v>
      </c>
      <c r="FZ408">
        <v>37.40318471710367</v>
      </c>
      <c r="GA408">
        <v>106.75613358858706</v>
      </c>
      <c r="GB408">
        <v>67.696578412379395</v>
      </c>
      <c r="GC408">
        <v>21.907071405819043</v>
      </c>
      <c r="GD408">
        <v>14.058159934099233</v>
      </c>
      <c r="GE408">
        <v>19.64843694159887</v>
      </c>
      <c r="GF408">
        <v>33.49571774400053</v>
      </c>
      <c r="GG408">
        <v>36.774813543155744</v>
      </c>
      <c r="GH408">
        <v>35.497144554128511</v>
      </c>
      <c r="GI408">
        <v>42.277810720240169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9"/>
        <v>39775</v>
      </c>
      <c r="C409" s="61">
        <f t="shared" si="385"/>
        <v>129</v>
      </c>
      <c r="D409" s="61">
        <f t="shared" si="380"/>
        <v>1.8381371754928626</v>
      </c>
      <c r="E409" s="108">
        <f t="shared" si="381"/>
        <v>3.7190762971435844E-2</v>
      </c>
      <c r="F409" s="19">
        <f t="shared" si="382"/>
        <v>5.1334249318540498E-3</v>
      </c>
      <c r="G409" s="19">
        <f t="shared" si="383"/>
        <v>1.0444819516458093E-2</v>
      </c>
      <c r="H409" s="19">
        <f t="shared" si="384"/>
        <v>1.0444819516458093E-2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811.97820847377523</v>
      </c>
      <c r="AO409">
        <v>54.985195858019964</v>
      </c>
      <c r="AP409">
        <v>60.499024834098471</v>
      </c>
      <c r="AQ409">
        <v>396.66978704702791</v>
      </c>
      <c r="AR409">
        <v>54.204009784328377</v>
      </c>
      <c r="AS409">
        <v>425.47285562196822</v>
      </c>
      <c r="AT409">
        <v>27.022604040501381</v>
      </c>
      <c r="AU409">
        <v>-91.966225172015314</v>
      </c>
      <c r="AV409"/>
      <c r="AW409"/>
      <c r="FY409" s="212">
        <v>404</v>
      </c>
      <c r="FZ409">
        <v>42.245166788624807</v>
      </c>
      <c r="GA409">
        <v>76.5781672415835</v>
      </c>
      <c r="GB409">
        <v>51.061550485152225</v>
      </c>
      <c r="GC409">
        <v>21.715520672246715</v>
      </c>
      <c r="GD409">
        <v>12.716050024160738</v>
      </c>
      <c r="GE409">
        <v>13.962342003812532</v>
      </c>
      <c r="GF409">
        <v>33.29432603141813</v>
      </c>
      <c r="GG409">
        <v>35.064219869135705</v>
      </c>
      <c r="GH409">
        <v>25.189944672218971</v>
      </c>
      <c r="GI409">
        <v>36.313629550100138</v>
      </c>
      <c r="GJ409"/>
      <c r="GK409"/>
      <c r="GL409"/>
      <c r="GM409"/>
    </row>
    <row r="410" spans="1:195" s="7" customFormat="1">
      <c r="A410" s="189">
        <v>0.21</v>
      </c>
      <c r="B410" s="71">
        <f t="shared" si="379"/>
        <v>39799</v>
      </c>
      <c r="C410" s="61">
        <f t="shared" si="385"/>
        <v>153</v>
      </c>
      <c r="D410" s="61">
        <f t="shared" si="380"/>
        <v>1.5984545898014322</v>
      </c>
      <c r="E410" s="108">
        <f t="shared" si="381"/>
        <v>2.5535926789638605E-2</v>
      </c>
      <c r="F410" s="19">
        <f t="shared" si="382"/>
        <v>-1.5665586204588074E-2</v>
      </c>
      <c r="G410" s="19">
        <f t="shared" si="383"/>
        <v>2.0365464884680957E-2</v>
      </c>
      <c r="H410" s="19">
        <f t="shared" si="384"/>
        <v>2.0365464884680957E-2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729.7480582810407</v>
      </c>
      <c r="AO410">
        <v>51.297702698724869</v>
      </c>
      <c r="AP410">
        <v>36.881451626084562</v>
      </c>
      <c r="AQ410">
        <v>377.26187447432346</v>
      </c>
      <c r="AR410">
        <v>50.769561198109351</v>
      </c>
      <c r="AS410">
        <v>412.33593627595019</v>
      </c>
      <c r="AT410">
        <v>25.360983650494617</v>
      </c>
      <c r="AU410">
        <v>-70.574261106467901</v>
      </c>
      <c r="AV410"/>
      <c r="AW410"/>
      <c r="FY410" s="212">
        <v>405</v>
      </c>
      <c r="FZ410">
        <v>56.89501631716309</v>
      </c>
      <c r="GA410">
        <v>92.204517300359697</v>
      </c>
      <c r="GB410">
        <v>52.042101769571531</v>
      </c>
      <c r="GC410">
        <v>22.673182131086865</v>
      </c>
      <c r="GD410">
        <v>14.310800294783631</v>
      </c>
      <c r="GE410">
        <v>18.49030209446639</v>
      </c>
      <c r="GF410">
        <v>14.647549271445744</v>
      </c>
      <c r="GG410">
        <v>12.506614041393663</v>
      </c>
      <c r="GH410">
        <v>29.841636296124438</v>
      </c>
      <c r="GI410">
        <v>37.14898399666599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5"/>
        <v>201</v>
      </c>
      <c r="D411" s="61">
        <f t="shared" si="380"/>
        <v>1.555501102670914</v>
      </c>
      <c r="E411" s="108">
        <f t="shared" si="381"/>
        <v>2.3731060648891734E-2</v>
      </c>
      <c r="F411" s="19">
        <f t="shared" si="382"/>
        <v>-1.5271164234889822E-3</v>
      </c>
      <c r="G411" s="19">
        <f t="shared" si="383"/>
        <v>2.8637753255646402E-2</v>
      </c>
      <c r="H411" s="19">
        <f t="shared" si="384"/>
        <v>2.8637753255646402E-2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894.67724449240507</v>
      </c>
      <c r="AO411">
        <v>58.61350608641569</v>
      </c>
      <c r="AP411">
        <v>92.903416041569599</v>
      </c>
      <c r="AQ411">
        <v>402.63163853624451</v>
      </c>
      <c r="AR411">
        <v>56.47386670728509</v>
      </c>
      <c r="AS411">
        <v>476.62598660121154</v>
      </c>
      <c r="AT411">
        <v>28.523117433844231</v>
      </c>
      <c r="AU411">
        <v>-12.471140945615659</v>
      </c>
      <c r="AV411"/>
      <c r="AW411"/>
      <c r="FY411" s="212">
        <v>406</v>
      </c>
      <c r="FZ411">
        <v>60.219144882079057</v>
      </c>
      <c r="GA411">
        <v>87.570252117226488</v>
      </c>
      <c r="GB411">
        <v>56.86951504298451</v>
      </c>
      <c r="GC411">
        <v>22.082015449406345</v>
      </c>
      <c r="GD411">
        <v>14.244749803743936</v>
      </c>
      <c r="GE411">
        <v>19.28396866215752</v>
      </c>
      <c r="GF411">
        <v>46.668093220985995</v>
      </c>
      <c r="GG411">
        <v>49.567785506392092</v>
      </c>
      <c r="GH411">
        <v>38.844111509828942</v>
      </c>
      <c r="GI411">
        <v>45.913776255417211</v>
      </c>
      <c r="GJ411"/>
      <c r="GK411"/>
      <c r="GL411"/>
      <c r="GM411"/>
    </row>
    <row r="412" spans="1:195" s="7" customFormat="1">
      <c r="A412" s="189">
        <v>4</v>
      </c>
      <c r="B412" s="71">
        <f t="shared" si="379"/>
        <v>39910</v>
      </c>
      <c r="C412" s="61">
        <f t="shared" si="385"/>
        <v>264</v>
      </c>
      <c r="D412" s="61">
        <f t="shared" si="380"/>
        <v>1.834277977202595</v>
      </c>
      <c r="E412" s="108">
        <f t="shared" si="381"/>
        <v>3.6981015508873616E-2</v>
      </c>
      <c r="F412" s="19">
        <f t="shared" si="382"/>
        <v>7.0415860416316988E-3</v>
      </c>
      <c r="G412" s="19">
        <f t="shared" si="383"/>
        <v>3.3747736681008653E-2</v>
      </c>
      <c r="H412" s="19">
        <f t="shared" si="384"/>
        <v>3.3747736681008653E-2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852.70025503429042</v>
      </c>
      <c r="AO412">
        <v>49.293340913158062</v>
      </c>
      <c r="AP412">
        <v>68.137521427439694</v>
      </c>
      <c r="AQ412">
        <v>332.50641660962521</v>
      </c>
      <c r="AR412">
        <v>47.797683276024152</v>
      </c>
      <c r="AS412">
        <v>407.74527652033987</v>
      </c>
      <c r="AT412">
        <v>24.933222120534538</v>
      </c>
      <c r="AU412">
        <v>-43.557242551841512</v>
      </c>
      <c r="AV412"/>
      <c r="AW412"/>
      <c r="FY412" s="212">
        <v>407</v>
      </c>
      <c r="FZ412">
        <v>32.554085865679127</v>
      </c>
      <c r="GA412">
        <v>115.56774886217809</v>
      </c>
      <c r="GB412">
        <v>63.670905224272985</v>
      </c>
      <c r="GC412">
        <v>16.595521663743177</v>
      </c>
      <c r="GD412">
        <v>9.1489645510257187</v>
      </c>
      <c r="GE412">
        <v>11.470125823205922</v>
      </c>
      <c r="GF412">
        <v>7.3843393285389496</v>
      </c>
      <c r="GG412">
        <v>9.1215129022815677</v>
      </c>
      <c r="GH412">
        <v>28.45567003913866</v>
      </c>
      <c r="GI412">
        <v>31.837008182826338</v>
      </c>
      <c r="GJ412"/>
      <c r="GK412"/>
      <c r="GL412"/>
      <c r="GM412"/>
    </row>
    <row r="413" spans="1:195" s="7" customFormat="1">
      <c r="A413" s="190">
        <v>7.33</v>
      </c>
      <c r="B413" s="71">
        <f t="shared" si="379"/>
        <v>39949</v>
      </c>
      <c r="C413" s="61">
        <f t="shared" si="385"/>
        <v>303</v>
      </c>
      <c r="D413" s="61">
        <f t="shared" si="380"/>
        <v>2.228281459171197</v>
      </c>
      <c r="E413" s="108">
        <f t="shared" si="381"/>
        <v>6.2428299436441605E-2</v>
      </c>
      <c r="F413" s="19">
        <f t="shared" si="382"/>
        <v>1.3426000065793406E-2</v>
      </c>
      <c r="G413" s="19">
        <f t="shared" si="383"/>
        <v>4.0496316326313689E-2</v>
      </c>
      <c r="H413" s="19">
        <f t="shared" si="384"/>
        <v>4.0496316326313689E-2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888.99032426152849</v>
      </c>
      <c r="AO413">
        <v>58.495723749859941</v>
      </c>
      <c r="AP413">
        <v>83.858497481593332</v>
      </c>
      <c r="AQ413">
        <v>415.13026270314361</v>
      </c>
      <c r="AR413">
        <v>56.425134519257178</v>
      </c>
      <c r="AS413">
        <v>456.32030366299739</v>
      </c>
      <c r="AT413">
        <v>28.176258920765434</v>
      </c>
      <c r="AU413">
        <v>-92.443421762727795</v>
      </c>
      <c r="AV413"/>
      <c r="AW413"/>
      <c r="FY413" s="212">
        <v>408</v>
      </c>
      <c r="FZ413">
        <v>56.580009529066679</v>
      </c>
      <c r="GA413">
        <v>78.230003905056051</v>
      </c>
      <c r="GB413">
        <v>46.30879596741574</v>
      </c>
      <c r="GC413">
        <v>17.868851014515432</v>
      </c>
      <c r="GD413">
        <v>7.1885184794296659</v>
      </c>
      <c r="GE413">
        <v>11.808021654890611</v>
      </c>
      <c r="GF413">
        <v>31.263131077580006</v>
      </c>
      <c r="GG413">
        <v>34.966748331531981</v>
      </c>
      <c r="GH413">
        <v>39.195433973584372</v>
      </c>
      <c r="GI413">
        <v>36.042554960327884</v>
      </c>
      <c r="GJ413"/>
      <c r="GK413"/>
      <c r="GL413"/>
      <c r="GM413"/>
    </row>
    <row r="414" spans="1:195" s="7" customFormat="1">
      <c r="A414" s="189">
        <v>10.51</v>
      </c>
      <c r="B414" s="71">
        <f t="shared" si="379"/>
        <v>39987</v>
      </c>
      <c r="C414" s="61">
        <f t="shared" si="385"/>
        <v>341</v>
      </c>
      <c r="D414" s="61">
        <f t="shared" si="380"/>
        <v>2.8349574998973637</v>
      </c>
      <c r="E414" s="108">
        <f t="shared" si="381"/>
        <v>0.11934298115551441</v>
      </c>
      <c r="F414" s="19">
        <f t="shared" si="382"/>
        <v>1.7052180341027751E-2</v>
      </c>
      <c r="G414" s="19">
        <f t="shared" si="383"/>
        <v>4.3202167682235025E-2</v>
      </c>
      <c r="H414" s="19">
        <f t="shared" si="384"/>
        <v>4.3202167682235025E-2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838.47764059970393</v>
      </c>
      <c r="AO414">
        <v>54.453913726376939</v>
      </c>
      <c r="AP414">
        <v>88.732463426295098</v>
      </c>
      <c r="AQ414">
        <v>386.40858037539078</v>
      </c>
      <c r="AR414">
        <v>52.436648290099491</v>
      </c>
      <c r="AS414">
        <v>469.2822641226939</v>
      </c>
      <c r="AT414">
        <v>27.236625653549737</v>
      </c>
      <c r="AU414">
        <v>-94.122408203152375</v>
      </c>
      <c r="AV414"/>
      <c r="AW414"/>
      <c r="FY414" s="212">
        <v>409</v>
      </c>
      <c r="FZ414">
        <v>39.206007571446996</v>
      </c>
      <c r="GA414">
        <v>85.865395610889678</v>
      </c>
      <c r="GB414">
        <v>46.51969917184757</v>
      </c>
      <c r="GC414">
        <v>15.493761688012563</v>
      </c>
      <c r="GD414">
        <v>10.665234463223303</v>
      </c>
      <c r="GE414">
        <v>10.605751025894115</v>
      </c>
      <c r="GF414">
        <v>9.3124246320765867</v>
      </c>
      <c r="GG414">
        <v>17.177003628055097</v>
      </c>
      <c r="GH414">
        <v>28.799757484501452</v>
      </c>
      <c r="GI414">
        <v>29.836986515751132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825.28895870266501</v>
      </c>
      <c r="AO415">
        <v>50.933408683985071</v>
      </c>
      <c r="AP415">
        <v>103.82772979959788</v>
      </c>
      <c r="AQ415">
        <v>346.56955732757228</v>
      </c>
      <c r="AR415">
        <v>48.519641912737946</v>
      </c>
      <c r="AS415">
        <v>388.85344410422243</v>
      </c>
      <c r="AT415">
        <v>23.812048710695809</v>
      </c>
      <c r="AU415">
        <v>-20.768490087021224</v>
      </c>
      <c r="AV415"/>
      <c r="AW415"/>
      <c r="FY415" s="212">
        <v>410</v>
      </c>
      <c r="FZ415">
        <v>54.607414651782619</v>
      </c>
      <c r="GA415">
        <v>66.042552526814745</v>
      </c>
      <c r="GB415">
        <v>41.192084298711166</v>
      </c>
      <c r="GC415">
        <v>19.472125936399479</v>
      </c>
      <c r="GD415">
        <v>8.8623015150608779</v>
      </c>
      <c r="GE415">
        <v>15.800502505339235</v>
      </c>
      <c r="GF415">
        <v>33.004416507750868</v>
      </c>
      <c r="GG415">
        <v>27.224380212856317</v>
      </c>
      <c r="GH415">
        <v>20.332519465972243</v>
      </c>
      <c r="GI415">
        <v>32.701961260358928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797.07412967818686</v>
      </c>
      <c r="AO416">
        <v>54.174443377635406</v>
      </c>
      <c r="AP416">
        <v>76.438624013237785</v>
      </c>
      <c r="AQ416">
        <v>390.33984666641749</v>
      </c>
      <c r="AR416">
        <v>53.965790232696037</v>
      </c>
      <c r="AS416">
        <v>435.81140311924264</v>
      </c>
      <c r="AT416">
        <v>27.269737697810211</v>
      </c>
      <c r="AU416">
        <v>-24.051987351478928</v>
      </c>
      <c r="AV416"/>
      <c r="AW416"/>
      <c r="FY416" s="212">
        <v>411</v>
      </c>
      <c r="FZ416">
        <v>51.756867488131128</v>
      </c>
      <c r="GA416">
        <v>98.613385233210195</v>
      </c>
      <c r="GB416">
        <v>56.202159250899562</v>
      </c>
      <c r="GC416">
        <v>14.864042875792713</v>
      </c>
      <c r="GD416">
        <v>7.2211956379041533</v>
      </c>
      <c r="GE416">
        <v>17.895582557996963</v>
      </c>
      <c r="GF416">
        <v>36.614465969453093</v>
      </c>
      <c r="GG416">
        <v>28.299091513029715</v>
      </c>
      <c r="GH416">
        <v>36.090520094051996</v>
      </c>
      <c r="GI416">
        <v>38.211406494909191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917.50050189894068</v>
      </c>
      <c r="AO417">
        <v>58.175219593658731</v>
      </c>
      <c r="AP417">
        <v>90.037814943506902</v>
      </c>
      <c r="AQ417">
        <v>411.33165325677771</v>
      </c>
      <c r="AR417">
        <v>56.689533091190619</v>
      </c>
      <c r="AS417">
        <v>459.78830082535194</v>
      </c>
      <c r="AT417">
        <v>28.954167104567066</v>
      </c>
      <c r="AU417">
        <v>-56.058453672596634</v>
      </c>
      <c r="AV417"/>
      <c r="AW417"/>
      <c r="FY417" s="212">
        <v>412</v>
      </c>
      <c r="FZ417">
        <v>50.748019937008443</v>
      </c>
      <c r="GA417">
        <v>74.350522670159023</v>
      </c>
      <c r="GB417">
        <v>41.898310951994546</v>
      </c>
      <c r="GC417">
        <v>18.760853588274642</v>
      </c>
      <c r="GD417">
        <v>14.427002015812894</v>
      </c>
      <c r="GE417">
        <v>14.753313921855762</v>
      </c>
      <c r="GF417">
        <v>21.695453996869897</v>
      </c>
      <c r="GG417">
        <v>21.804185417400561</v>
      </c>
      <c r="GH417">
        <v>30.655846682516209</v>
      </c>
      <c r="GI417">
        <v>35.027129275440409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848.7452103477724</v>
      </c>
      <c r="AO418">
        <v>54.526701328377044</v>
      </c>
      <c r="AP418">
        <v>90.361543572265262</v>
      </c>
      <c r="AQ418">
        <v>385.3034789376332</v>
      </c>
      <c r="AR418">
        <v>54.052418172888807</v>
      </c>
      <c r="AS418">
        <v>447.80395357794117</v>
      </c>
      <c r="AT418">
        <v>28.055104994050293</v>
      </c>
      <c r="AU418">
        <v>0.23992549651824646</v>
      </c>
      <c r="AV418"/>
      <c r="AW418"/>
      <c r="FY418" s="212">
        <v>413</v>
      </c>
      <c r="FZ418">
        <v>61.885956312270885</v>
      </c>
      <c r="GA418">
        <v>131.41792154079602</v>
      </c>
      <c r="GB418">
        <v>64.556125243345434</v>
      </c>
      <c r="GC418">
        <v>18.642868261863597</v>
      </c>
      <c r="GD418">
        <v>12.798597271138069</v>
      </c>
      <c r="GE418">
        <v>13.569006090082944</v>
      </c>
      <c r="GF418">
        <v>34.728400394415331</v>
      </c>
      <c r="GG418">
        <v>34.14271920758496</v>
      </c>
      <c r="GH418">
        <v>27.542942141005177</v>
      </c>
      <c r="GI418">
        <v>43.376595778201299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901.12981003594336</v>
      </c>
      <c r="AO419">
        <v>59.888629660975766</v>
      </c>
      <c r="AP419">
        <v>77.996502751071276</v>
      </c>
      <c r="AQ419">
        <v>415.51505156111216</v>
      </c>
      <c r="AR419">
        <v>58.169870004668383</v>
      </c>
      <c r="AS419">
        <v>483.49876053624547</v>
      </c>
      <c r="AT419">
        <v>29.345540519982013</v>
      </c>
      <c r="AU419">
        <v>-57.568417110700459</v>
      </c>
      <c r="AV419"/>
      <c r="AW419"/>
      <c r="FY419" s="212">
        <v>414</v>
      </c>
      <c r="FZ419">
        <v>36.770511188897508</v>
      </c>
      <c r="GA419">
        <v>97.884825309883283</v>
      </c>
      <c r="GB419">
        <v>53.029354454546862</v>
      </c>
      <c r="GC419">
        <v>16.836544887299336</v>
      </c>
      <c r="GD419">
        <v>10.850578802848123</v>
      </c>
      <c r="GE419">
        <v>10.965926311635853</v>
      </c>
      <c r="GF419">
        <v>24.391774829556812</v>
      </c>
      <c r="GG419">
        <v>28.696804127734119</v>
      </c>
      <c r="GH419">
        <v>36.188074148158982</v>
      </c>
      <c r="GI419">
        <v>35.116186640721935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831.90624947940728</v>
      </c>
      <c r="AO420">
        <v>50.719123145958022</v>
      </c>
      <c r="AP420">
        <v>93.448430204010478</v>
      </c>
      <c r="AQ420">
        <v>348.14091733845351</v>
      </c>
      <c r="AR420">
        <v>49.758778504060103</v>
      </c>
      <c r="AS420">
        <v>405.8312026591193</v>
      </c>
      <c r="AT420">
        <v>25.831489603468786</v>
      </c>
      <c r="AU420">
        <v>-7.7735746002385895</v>
      </c>
      <c r="AV420"/>
      <c r="AW420"/>
      <c r="FY420" s="212">
        <v>415</v>
      </c>
      <c r="FZ420">
        <v>45.099580456838638</v>
      </c>
      <c r="GA420">
        <v>75.474451042164105</v>
      </c>
      <c r="GB420">
        <v>43.732429739754039</v>
      </c>
      <c r="GC420">
        <v>17.886281003620088</v>
      </c>
      <c r="GD420">
        <v>10.373090301314095</v>
      </c>
      <c r="GE420">
        <v>15.761168982294031</v>
      </c>
      <c r="GF420">
        <v>33.780349158396305</v>
      </c>
      <c r="GG420">
        <v>33.595026713233729</v>
      </c>
      <c r="GH420">
        <v>41.072008551651983</v>
      </c>
      <c r="GI420">
        <v>36.223833015660077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687.85589403995118</v>
      </c>
      <c r="AO421">
        <v>51.122420133774206</v>
      </c>
      <c r="AP421">
        <v>43.168282290562047</v>
      </c>
      <c r="AQ421">
        <v>350.76070351306106</v>
      </c>
      <c r="AR421">
        <v>51.276541172325707</v>
      </c>
      <c r="AS421">
        <v>429.11597414034998</v>
      </c>
      <c r="AT421">
        <v>26.342320683263349</v>
      </c>
      <c r="AU421">
        <v>-38.925036221331759</v>
      </c>
      <c r="AV421"/>
      <c r="AW421"/>
      <c r="FY421" s="212">
        <v>416</v>
      </c>
      <c r="FZ421">
        <v>34.46165393143</v>
      </c>
      <c r="GA421">
        <v>112.18442641478345</v>
      </c>
      <c r="GB421">
        <v>64.030950212988159</v>
      </c>
      <c r="GC421">
        <v>18.131858246533607</v>
      </c>
      <c r="GD421">
        <v>9.4700078987754175</v>
      </c>
      <c r="GE421">
        <v>8.1581789063276542</v>
      </c>
      <c r="GF421">
        <v>16.737419231014194</v>
      </c>
      <c r="GG421">
        <v>25.730268010850303</v>
      </c>
      <c r="GH421">
        <v>32.888528550320217</v>
      </c>
      <c r="GI421">
        <v>34.952863605801106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1.1192378560128725E-3</v>
      </c>
      <c r="H422" s="44">
        <f t="shared" ref="H422:AK422" si="386">H372</f>
        <v>7.2275999999999998E-3</v>
      </c>
      <c r="I422" s="44">
        <f t="shared" si="386"/>
        <v>4.6673011888725101E-2</v>
      </c>
      <c r="J422" s="44">
        <f t="shared" si="386"/>
        <v>0.13897203136197886</v>
      </c>
      <c r="K422" s="44">
        <f t="shared" si="386"/>
        <v>0.30139604277562043</v>
      </c>
      <c r="L422" s="44">
        <f t="shared" si="386"/>
        <v>0.54944267880487196</v>
      </c>
      <c r="M422" s="44">
        <f t="shared" si="386"/>
        <v>0.89742698433199364</v>
      </c>
      <c r="N422" s="44">
        <f t="shared" si="386"/>
        <v>1.3587918549382612</v>
      </c>
      <c r="O422" s="44">
        <f t="shared" si="386"/>
        <v>1.9462976766397186</v>
      </c>
      <c r="P422" s="44">
        <f t="shared" si="386"/>
        <v>2.6721491921073159</v>
      </c>
      <c r="Q422" s="44">
        <f t="shared" si="386"/>
        <v>3.5480857656805531</v>
      </c>
      <c r="R422" s="44">
        <f t="shared" si="386"/>
        <v>4.5854485507812486</v>
      </c>
      <c r="S422" s="44">
        <f t="shared" si="386"/>
        <v>5.7952322083388497</v>
      </c>
      <c r="T422" s="44">
        <f t="shared" si="386"/>
        <v>7.1881258189983859</v>
      </c>
      <c r="U422" s="44">
        <f t="shared" si="386"/>
        <v>8.7745459626758926</v>
      </c>
      <c r="V422" s="44">
        <f t="shared" si="386"/>
        <v>10.564663953522661</v>
      </c>
      <c r="W422" s="44">
        <f t="shared" si="386"/>
        <v>12.568428607117669</v>
      </c>
      <c r="X422" s="44">
        <f t="shared" si="386"/>
        <v>14.795585521883805</v>
      </c>
      <c r="Y422" s="44">
        <f t="shared" si="386"/>
        <v>17.255693592848509</v>
      </c>
      <c r="Z422" s="44">
        <f t="shared" si="386"/>
        <v>19.958139294316886</v>
      </c>
      <c r="AA422" s="44">
        <f t="shared" si="386"/>
        <v>22.912149139939221</v>
      </c>
      <c r="AB422" s="44">
        <f t="shared" si="386"/>
        <v>26.126800636294448</v>
      </c>
      <c r="AC422" s="44">
        <f t="shared" si="386"/>
        <v>29.611031978215532</v>
      </c>
      <c r="AD422" s="44">
        <f t="shared" si="386"/>
        <v>33.373650683313194</v>
      </c>
      <c r="AE422" s="44">
        <f t="shared" si="386"/>
        <v>37.423341324605943</v>
      </c>
      <c r="AF422" s="44">
        <f t="shared" si="386"/>
        <v>41.768672490491134</v>
      </c>
      <c r="AG422" s="44">
        <f t="shared" si="386"/>
        <v>46.418103078167533</v>
      </c>
      <c r="AH422" s="44">
        <f t="shared" si="386"/>
        <v>51.37998800838789</v>
      </c>
      <c r="AI422" s="44">
        <f t="shared" si="386"/>
        <v>56.662583434907432</v>
      </c>
      <c r="AJ422" s="44">
        <f t="shared" si="386"/>
        <v>62.274051510321357</v>
      </c>
      <c r="AK422" s="44">
        <f t="shared" si="386"/>
        <v>68.222464760522016</v>
      </c>
      <c r="AL422" s="4"/>
      <c r="AM422" s="43">
        <v>406</v>
      </c>
      <c r="AN422">
        <v>982.41400098964698</v>
      </c>
      <c r="AO422">
        <v>62.871664803297811</v>
      </c>
      <c r="AP422">
        <v>113.81572584739642</v>
      </c>
      <c r="AQ422">
        <v>441.26341245022212</v>
      </c>
      <c r="AR422">
        <v>63.000325871861918</v>
      </c>
      <c r="AS422">
        <v>516.18220431441659</v>
      </c>
      <c r="AT422">
        <v>32.322302396515759</v>
      </c>
      <c r="AU422">
        <v>-36.397158961506008</v>
      </c>
      <c r="AV422"/>
      <c r="AW422"/>
      <c r="FY422" s="212">
        <v>417</v>
      </c>
      <c r="FZ422">
        <v>39.530119755720506</v>
      </c>
      <c r="GA422">
        <v>110.54635221657179</v>
      </c>
      <c r="GB422">
        <v>60.58786003582982</v>
      </c>
      <c r="GC422">
        <v>17.6516413728279</v>
      </c>
      <c r="GD422">
        <v>14.348625065510857</v>
      </c>
      <c r="GE422">
        <v>15.77468025329329</v>
      </c>
      <c r="GF422">
        <v>26.625619042263356</v>
      </c>
      <c r="GG422">
        <v>25.382063470619908</v>
      </c>
      <c r="GH422">
        <v>13.450784804010917</v>
      </c>
      <c r="GI422">
        <v>36.211824875697232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7">SUM(G423:AK423)</f>
        <v>45.46012231528379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8">(($A$453+$A$455*(H$422)+($A$457*$D423))*($E21*H37))</f>
        <v>0.10535875934009459</v>
      </c>
      <c r="I423" s="107">
        <f t="shared" si="388"/>
        <v>4.6974210460989276</v>
      </c>
      <c r="J423" s="107">
        <f t="shared" si="388"/>
        <v>10.823861465835177</v>
      </c>
      <c r="K423" s="107">
        <f t="shared" si="388"/>
        <v>17.251579885943279</v>
      </c>
      <c r="L423" s="107">
        <f t="shared" si="388"/>
        <v>6.988582421908732</v>
      </c>
      <c r="M423" s="107">
        <f t="shared" si="388"/>
        <v>4.931216055098564</v>
      </c>
      <c r="N423" s="107">
        <f t="shared" si="388"/>
        <v>0.66210268105901204</v>
      </c>
      <c r="O423" s="107">
        <f t="shared" si="388"/>
        <v>0</v>
      </c>
      <c r="P423" s="107">
        <f t="shared" si="388"/>
        <v>0</v>
      </c>
      <c r="Q423" s="107">
        <f t="shared" si="388"/>
        <v>0</v>
      </c>
      <c r="R423" s="107">
        <f t="shared" si="388"/>
        <v>0</v>
      </c>
      <c r="S423" s="107">
        <f t="shared" si="388"/>
        <v>0</v>
      </c>
      <c r="T423" s="107">
        <f t="shared" si="388"/>
        <v>0</v>
      </c>
      <c r="U423" s="107">
        <f t="shared" si="388"/>
        <v>0</v>
      </c>
      <c r="V423" s="107">
        <f t="shared" si="388"/>
        <v>0</v>
      </c>
      <c r="W423" s="107">
        <f t="shared" si="388"/>
        <v>0</v>
      </c>
      <c r="X423" s="107">
        <f t="shared" si="388"/>
        <v>0</v>
      </c>
      <c r="Y423" s="107">
        <f t="shared" si="388"/>
        <v>0</v>
      </c>
      <c r="Z423" s="107">
        <f t="shared" si="388"/>
        <v>0</v>
      </c>
      <c r="AA423" s="107">
        <f t="shared" si="388"/>
        <v>0</v>
      </c>
      <c r="AB423" s="107">
        <f t="shared" si="388"/>
        <v>0</v>
      </c>
      <c r="AC423" s="107">
        <f t="shared" si="388"/>
        <v>0</v>
      </c>
      <c r="AD423" s="107">
        <f t="shared" si="388"/>
        <v>0</v>
      </c>
      <c r="AE423" s="107">
        <f t="shared" si="388"/>
        <v>0</v>
      </c>
      <c r="AF423" s="107">
        <f t="shared" si="388"/>
        <v>0</v>
      </c>
      <c r="AG423" s="107">
        <f t="shared" si="388"/>
        <v>0</v>
      </c>
      <c r="AH423" s="107">
        <f t="shared" si="388"/>
        <v>0</v>
      </c>
      <c r="AI423" s="107">
        <f t="shared" si="388"/>
        <v>0</v>
      </c>
      <c r="AJ423" s="107">
        <f t="shared" si="388"/>
        <v>0</v>
      </c>
      <c r="AK423" s="107">
        <f t="shared" si="388"/>
        <v>0</v>
      </c>
      <c r="AL423" s="4"/>
      <c r="AM423" s="43">
        <v>407</v>
      </c>
      <c r="AN423">
        <v>638.17508602197574</v>
      </c>
      <c r="AO423">
        <v>44.931652462983337</v>
      </c>
      <c r="AP423">
        <v>28.819764020516658</v>
      </c>
      <c r="AQ423">
        <v>325.80588244289061</v>
      </c>
      <c r="AR423">
        <v>43.872925702139653</v>
      </c>
      <c r="AS423">
        <v>363.9875374558622</v>
      </c>
      <c r="AT423">
        <v>21.474552523925151</v>
      </c>
      <c r="AU423">
        <v>-75.535698635448412</v>
      </c>
      <c r="AV423"/>
      <c r="AW423"/>
      <c r="FY423" s="212">
        <v>418</v>
      </c>
      <c r="FZ423">
        <v>36.963206092260251</v>
      </c>
      <c r="GA423">
        <v>73.028343379073405</v>
      </c>
      <c r="GB423">
        <v>43.098874540653526</v>
      </c>
      <c r="GC423">
        <v>16.997815470956461</v>
      </c>
      <c r="GD423">
        <v>12.44518349852623</v>
      </c>
      <c r="GE423">
        <v>14.143780664501215</v>
      </c>
      <c r="GF423">
        <v>34.329372191839035</v>
      </c>
      <c r="GG423">
        <v>33.722067846106697</v>
      </c>
      <c r="GH423">
        <v>31.481083041757145</v>
      </c>
      <c r="GI423">
        <v>34.707898676378761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7"/>
        <v>92.218097629605609</v>
      </c>
      <c r="D424" s="191">
        <f>$A$406</f>
        <v>9.4499999999999993</v>
      </c>
      <c r="E424" s="8"/>
      <c r="F424" s="124"/>
      <c r="G424" s="107">
        <f t="shared" ref="G424:V432" si="389">(($A$453+$A$455*(G$422)+($A$457*$D424))*($E22*G38))</f>
        <v>2.1666497108502557E-2</v>
      </c>
      <c r="H424" s="107">
        <f t="shared" si="389"/>
        <v>1.5742678100378871</v>
      </c>
      <c r="I424" s="107">
        <f t="shared" si="389"/>
        <v>15.265907536814309</v>
      </c>
      <c r="J424" s="107">
        <f t="shared" si="389"/>
        <v>25.388576876603381</v>
      </c>
      <c r="K424" s="107">
        <f t="shared" si="389"/>
        <v>16.486565355470375</v>
      </c>
      <c r="L424" s="107">
        <f t="shared" si="389"/>
        <v>7.8769313324382519</v>
      </c>
      <c r="M424" s="107">
        <f t="shared" si="389"/>
        <v>6.8051374462714334</v>
      </c>
      <c r="N424" s="107">
        <f t="shared" si="389"/>
        <v>12.276734135341044</v>
      </c>
      <c r="O424" s="107">
        <f t="shared" si="389"/>
        <v>1.0529221332704179</v>
      </c>
      <c r="P424" s="107">
        <f t="shared" si="389"/>
        <v>5.4693885062500156</v>
      </c>
      <c r="Q424" s="107">
        <f t="shared" si="389"/>
        <v>0</v>
      </c>
      <c r="R424" s="107">
        <f t="shared" si="389"/>
        <v>0</v>
      </c>
      <c r="S424" s="107">
        <f t="shared" si="389"/>
        <v>0</v>
      </c>
      <c r="T424" s="107">
        <f t="shared" si="389"/>
        <v>0</v>
      </c>
      <c r="U424" s="107">
        <f t="shared" si="389"/>
        <v>0</v>
      </c>
      <c r="V424" s="107">
        <f t="shared" si="389"/>
        <v>0</v>
      </c>
      <c r="W424" s="107">
        <f t="shared" si="388"/>
        <v>0</v>
      </c>
      <c r="X424" s="107">
        <f t="shared" si="388"/>
        <v>0</v>
      </c>
      <c r="Y424" s="107">
        <f t="shared" si="388"/>
        <v>0</v>
      </c>
      <c r="Z424" s="107">
        <f t="shared" si="388"/>
        <v>0</v>
      </c>
      <c r="AA424" s="107">
        <f t="shared" si="388"/>
        <v>0</v>
      </c>
      <c r="AB424" s="107">
        <f t="shared" si="388"/>
        <v>0</v>
      </c>
      <c r="AC424" s="107">
        <f t="shared" si="388"/>
        <v>0</v>
      </c>
      <c r="AD424" s="107">
        <f t="shared" si="388"/>
        <v>0</v>
      </c>
      <c r="AE424" s="107">
        <f t="shared" si="388"/>
        <v>0</v>
      </c>
      <c r="AF424" s="107">
        <f t="shared" si="388"/>
        <v>0</v>
      </c>
      <c r="AG424" s="107">
        <f t="shared" si="388"/>
        <v>0</v>
      </c>
      <c r="AH424" s="107">
        <f t="shared" si="388"/>
        <v>0</v>
      </c>
      <c r="AI424" s="107">
        <f t="shared" si="388"/>
        <v>0</v>
      </c>
      <c r="AJ424" s="107">
        <f t="shared" si="388"/>
        <v>0</v>
      </c>
      <c r="AK424" s="107">
        <f t="shared" si="388"/>
        <v>0</v>
      </c>
      <c r="AL424" s="4"/>
      <c r="AM424" s="43">
        <v>408</v>
      </c>
      <c r="AN424">
        <v>696.78592693537144</v>
      </c>
      <c r="AO424">
        <v>49.249464656946728</v>
      </c>
      <c r="AP424">
        <v>103.19829676352447</v>
      </c>
      <c r="AQ424">
        <v>359.4520688933984</v>
      </c>
      <c r="AR424">
        <v>49.548693576533914</v>
      </c>
      <c r="AS424">
        <v>407.04357712045845</v>
      </c>
      <c r="AT424">
        <v>25.976388385647102</v>
      </c>
      <c r="AU424">
        <v>-30.032644490935368</v>
      </c>
      <c r="AV424"/>
      <c r="AW424"/>
      <c r="FY424" s="212">
        <v>419</v>
      </c>
      <c r="FZ424">
        <v>56.968229663269554</v>
      </c>
      <c r="GA424">
        <v>88.756076649789236</v>
      </c>
      <c r="GB424">
        <v>50.954228319205527</v>
      </c>
      <c r="GC424">
        <v>19.929522544199191</v>
      </c>
      <c r="GD424">
        <v>12.763687667262346</v>
      </c>
      <c r="GE424">
        <v>16.120828080932974</v>
      </c>
      <c r="GF424">
        <v>24.590535980473046</v>
      </c>
      <c r="GG424">
        <v>29.965576195046989</v>
      </c>
      <c r="GH424">
        <v>28.66361041535222</v>
      </c>
      <c r="GI424">
        <v>37.556360916872791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7"/>
        <v>51.612443755704355</v>
      </c>
      <c r="D425" s="191">
        <f>A$407</f>
        <v>4.03</v>
      </c>
      <c r="E425" s="8"/>
      <c r="F425" s="124"/>
      <c r="G425" s="107">
        <f t="shared" si="389"/>
        <v>3.4033780273908701E-2</v>
      </c>
      <c r="H425" s="107">
        <f t="shared" si="388"/>
        <v>1.9022285083922543</v>
      </c>
      <c r="I425" s="107">
        <f t="shared" si="388"/>
        <v>16.721636282484404</v>
      </c>
      <c r="J425" s="107">
        <f t="shared" si="388"/>
        <v>15.900082107247414</v>
      </c>
      <c r="K425" s="107">
        <f t="shared" si="388"/>
        <v>0.99755394450359669</v>
      </c>
      <c r="L425" s="107">
        <f t="shared" si="388"/>
        <v>3.301974204345171</v>
      </c>
      <c r="M425" s="107">
        <f t="shared" si="388"/>
        <v>3.8220454793674681</v>
      </c>
      <c r="N425" s="107">
        <f t="shared" si="388"/>
        <v>5.9613458089353157</v>
      </c>
      <c r="O425" s="107">
        <f t="shared" si="388"/>
        <v>0.49654880791014117</v>
      </c>
      <c r="P425" s="107">
        <f t="shared" si="388"/>
        <v>2.4749948322446924</v>
      </c>
      <c r="Q425" s="107">
        <f t="shared" si="388"/>
        <v>0</v>
      </c>
      <c r="R425" s="107">
        <f t="shared" si="388"/>
        <v>0</v>
      </c>
      <c r="S425" s="107">
        <f t="shared" si="388"/>
        <v>0</v>
      </c>
      <c r="T425" s="107">
        <f t="shared" si="388"/>
        <v>0</v>
      </c>
      <c r="U425" s="107">
        <f t="shared" si="388"/>
        <v>0</v>
      </c>
      <c r="V425" s="107">
        <f t="shared" si="388"/>
        <v>0</v>
      </c>
      <c r="W425" s="107">
        <f t="shared" si="388"/>
        <v>0</v>
      </c>
      <c r="X425" s="107">
        <f t="shared" si="388"/>
        <v>0</v>
      </c>
      <c r="Y425" s="107">
        <f t="shared" si="388"/>
        <v>0</v>
      </c>
      <c r="Z425" s="107">
        <f t="shared" si="388"/>
        <v>0</v>
      </c>
      <c r="AA425" s="107">
        <f t="shared" si="388"/>
        <v>0</v>
      </c>
      <c r="AB425" s="107">
        <f t="shared" si="388"/>
        <v>0</v>
      </c>
      <c r="AC425" s="107">
        <f t="shared" si="388"/>
        <v>0</v>
      </c>
      <c r="AD425" s="107">
        <f t="shared" si="388"/>
        <v>0</v>
      </c>
      <c r="AE425" s="107">
        <f t="shared" si="388"/>
        <v>0</v>
      </c>
      <c r="AF425" s="107">
        <f t="shared" si="388"/>
        <v>0</v>
      </c>
      <c r="AG425" s="107">
        <f t="shared" si="388"/>
        <v>0</v>
      </c>
      <c r="AH425" s="107">
        <f t="shared" si="388"/>
        <v>0</v>
      </c>
      <c r="AI425" s="107">
        <f t="shared" si="388"/>
        <v>0</v>
      </c>
      <c r="AJ425" s="107">
        <f t="shared" si="388"/>
        <v>0</v>
      </c>
      <c r="AK425" s="107">
        <f t="shared" si="388"/>
        <v>0</v>
      </c>
      <c r="AL425" s="4"/>
      <c r="AM425" s="43">
        <v>409</v>
      </c>
      <c r="AN425">
        <v>542.00168518194073</v>
      </c>
      <c r="AO425">
        <v>41.366728711211877</v>
      </c>
      <c r="AP425">
        <v>44.023894445109377</v>
      </c>
      <c r="AQ425">
        <v>293.48202179169846</v>
      </c>
      <c r="AR425">
        <v>41.106458853290071</v>
      </c>
      <c r="AS425">
        <v>343.62795419419615</v>
      </c>
      <c r="AT425">
        <v>21.1491148731332</v>
      </c>
      <c r="AU425">
        <v>-52.342162964396209</v>
      </c>
      <c r="AV425"/>
      <c r="AW425"/>
      <c r="FY425" s="212">
        <v>420</v>
      </c>
      <c r="FZ425">
        <v>51.243473169155912</v>
      </c>
      <c r="GA425">
        <v>101.23346842340594</v>
      </c>
      <c r="GB425">
        <v>57.761437897613078</v>
      </c>
      <c r="GC425">
        <v>21.451499875897682</v>
      </c>
      <c r="GD425">
        <v>12.166593568004252</v>
      </c>
      <c r="GE425">
        <v>16.228929370301376</v>
      </c>
      <c r="GF425">
        <v>31.771548536568957</v>
      </c>
      <c r="GG425">
        <v>26.326952032403973</v>
      </c>
      <c r="GH425">
        <v>24.008571147870349</v>
      </c>
      <c r="GI425">
        <v>38.68231787109891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7"/>
        <v>18.749884459265829</v>
      </c>
      <c r="D426" s="191">
        <f>A$408</f>
        <v>0.78</v>
      </c>
      <c r="E426" s="8"/>
      <c r="F426" s="124"/>
      <c r="G426" s="107">
        <f t="shared" si="389"/>
        <v>1.2830951970188992E-2</v>
      </c>
      <c r="H426" s="107">
        <f t="shared" si="388"/>
        <v>0.9380633014776012</v>
      </c>
      <c r="I426" s="107">
        <f t="shared" si="388"/>
        <v>10.186000332392082</v>
      </c>
      <c r="J426" s="107">
        <f t="shared" si="388"/>
        <v>6.7966754037884343</v>
      </c>
      <c r="K426" s="107">
        <f t="shared" si="388"/>
        <v>0.26093004397901798</v>
      </c>
      <c r="L426" s="107">
        <f t="shared" si="388"/>
        <v>0.17936166060242573</v>
      </c>
      <c r="M426" s="107">
        <f t="shared" si="388"/>
        <v>0.3760227650560769</v>
      </c>
      <c r="N426" s="107">
        <f t="shared" si="388"/>
        <v>0</v>
      </c>
      <c r="O426" s="107">
        <f t="shared" si="388"/>
        <v>0</v>
      </c>
      <c r="P426" s="107">
        <f t="shared" si="388"/>
        <v>0</v>
      </c>
      <c r="Q426" s="107">
        <f t="shared" si="388"/>
        <v>0</v>
      </c>
      <c r="R426" s="107">
        <f t="shared" si="388"/>
        <v>0</v>
      </c>
      <c r="S426" s="107">
        <f t="shared" si="388"/>
        <v>0</v>
      </c>
      <c r="T426" s="107">
        <f t="shared" si="388"/>
        <v>0</v>
      </c>
      <c r="U426" s="107">
        <f t="shared" si="388"/>
        <v>0</v>
      </c>
      <c r="V426" s="107">
        <f t="shared" si="388"/>
        <v>0</v>
      </c>
      <c r="W426" s="107">
        <f t="shared" si="388"/>
        <v>0</v>
      </c>
      <c r="X426" s="107">
        <f t="shared" si="388"/>
        <v>0</v>
      </c>
      <c r="Y426" s="107">
        <f t="shared" si="388"/>
        <v>0</v>
      </c>
      <c r="Z426" s="107">
        <f t="shared" si="388"/>
        <v>0</v>
      </c>
      <c r="AA426" s="107">
        <f t="shared" si="388"/>
        <v>0</v>
      </c>
      <c r="AB426" s="107">
        <f t="shared" si="388"/>
        <v>0</v>
      </c>
      <c r="AC426" s="107">
        <f t="shared" si="388"/>
        <v>0</v>
      </c>
      <c r="AD426" s="107">
        <f t="shared" si="388"/>
        <v>0</v>
      </c>
      <c r="AE426" s="107">
        <f t="shared" si="388"/>
        <v>0</v>
      </c>
      <c r="AF426" s="107">
        <f t="shared" si="388"/>
        <v>0</v>
      </c>
      <c r="AG426" s="107">
        <f t="shared" si="388"/>
        <v>0</v>
      </c>
      <c r="AH426" s="107">
        <f t="shared" si="388"/>
        <v>0</v>
      </c>
      <c r="AI426" s="107">
        <f t="shared" si="388"/>
        <v>0</v>
      </c>
      <c r="AJ426" s="107">
        <f t="shared" si="388"/>
        <v>0</v>
      </c>
      <c r="AK426" s="107">
        <f t="shared" si="388"/>
        <v>0</v>
      </c>
      <c r="AL426" s="4"/>
      <c r="AM426" s="43">
        <v>410</v>
      </c>
      <c r="AN426">
        <v>658.32342958473225</v>
      </c>
      <c r="AO426">
        <v>45.445439273319337</v>
      </c>
      <c r="AP426">
        <v>65.878070618256999</v>
      </c>
      <c r="AQ426">
        <v>319.24025888104654</v>
      </c>
      <c r="AR426">
        <v>44.824038024405851</v>
      </c>
      <c r="AS426">
        <v>381.66695385732572</v>
      </c>
      <c r="AT426">
        <v>24.267191944463708</v>
      </c>
      <c r="AU426">
        <v>-31.320453154252753</v>
      </c>
      <c r="AV426"/>
      <c r="AW426"/>
      <c r="FY426" s="212">
        <v>421</v>
      </c>
      <c r="FZ426">
        <v>46.364466396238527</v>
      </c>
      <c r="GA426">
        <v>106.35055939011254</v>
      </c>
      <c r="GB426">
        <v>63.581134539686538</v>
      </c>
      <c r="GC426">
        <v>18.951225022265202</v>
      </c>
      <c r="GD426">
        <v>12.19637565521697</v>
      </c>
      <c r="GE426">
        <v>19.481377445403318</v>
      </c>
      <c r="GF426">
        <v>26.512281030419029</v>
      </c>
      <c r="GG426">
        <v>20.036016061720492</v>
      </c>
      <c r="GH426">
        <v>21.59922970826074</v>
      </c>
      <c r="GI426">
        <v>37.851700514501808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7"/>
        <v>9.6807028614258943</v>
      </c>
      <c r="D427" s="191">
        <f>A$409</f>
        <v>0.14000000000000001</v>
      </c>
      <c r="E427" s="8"/>
      <c r="F427" s="124"/>
      <c r="G427" s="107">
        <f t="shared" si="389"/>
        <v>8.7966438280466623E-3</v>
      </c>
      <c r="H427" s="107">
        <f t="shared" si="388"/>
        <v>0.56198518904042361</v>
      </c>
      <c r="I427" s="107">
        <f t="shared" si="388"/>
        <v>4.2131609847530882</v>
      </c>
      <c r="J427" s="107">
        <f t="shared" si="388"/>
        <v>3.2698745292353792</v>
      </c>
      <c r="K427" s="107">
        <f t="shared" si="388"/>
        <v>0.79958394299692503</v>
      </c>
      <c r="L427" s="107">
        <f t="shared" si="388"/>
        <v>0.41017027606026407</v>
      </c>
      <c r="M427" s="107">
        <f t="shared" si="388"/>
        <v>0.41713129551176747</v>
      </c>
      <c r="N427" s="107">
        <f t="shared" si="388"/>
        <v>0</v>
      </c>
      <c r="O427" s="107">
        <f t="shared" si="388"/>
        <v>0</v>
      </c>
      <c r="P427" s="107">
        <f t="shared" si="388"/>
        <v>0</v>
      </c>
      <c r="Q427" s="107">
        <f t="shared" si="388"/>
        <v>0</v>
      </c>
      <c r="R427" s="107">
        <f t="shared" si="388"/>
        <v>0</v>
      </c>
      <c r="S427" s="107">
        <f t="shared" si="388"/>
        <v>0</v>
      </c>
      <c r="T427" s="107">
        <f t="shared" si="388"/>
        <v>0</v>
      </c>
      <c r="U427" s="107">
        <f t="shared" si="388"/>
        <v>0</v>
      </c>
      <c r="V427" s="107">
        <f t="shared" si="388"/>
        <v>0</v>
      </c>
      <c r="W427" s="107">
        <f t="shared" si="388"/>
        <v>0</v>
      </c>
      <c r="X427" s="107">
        <f t="shared" si="388"/>
        <v>0</v>
      </c>
      <c r="Y427" s="107">
        <f t="shared" si="388"/>
        <v>0</v>
      </c>
      <c r="Z427" s="107">
        <f t="shared" si="388"/>
        <v>0</v>
      </c>
      <c r="AA427" s="107">
        <f t="shared" si="388"/>
        <v>0</v>
      </c>
      <c r="AB427" s="107">
        <f t="shared" si="388"/>
        <v>0</v>
      </c>
      <c r="AC427" s="107">
        <f t="shared" si="388"/>
        <v>0</v>
      </c>
      <c r="AD427" s="107">
        <f t="shared" si="388"/>
        <v>0</v>
      </c>
      <c r="AE427" s="107">
        <f t="shared" si="388"/>
        <v>0</v>
      </c>
      <c r="AF427" s="107">
        <f t="shared" si="388"/>
        <v>0</v>
      </c>
      <c r="AG427" s="107">
        <f t="shared" si="388"/>
        <v>0</v>
      </c>
      <c r="AH427" s="107">
        <f t="shared" si="388"/>
        <v>0</v>
      </c>
      <c r="AI427" s="107">
        <f t="shared" si="388"/>
        <v>0</v>
      </c>
      <c r="AJ427" s="107">
        <f t="shared" si="388"/>
        <v>0</v>
      </c>
      <c r="AK427" s="107">
        <f t="shared" si="388"/>
        <v>0</v>
      </c>
      <c r="AL427" s="4"/>
      <c r="AM427" s="43">
        <v>411</v>
      </c>
      <c r="AN427">
        <v>850.84336448277395</v>
      </c>
      <c r="AO427">
        <v>52.055758940578038</v>
      </c>
      <c r="AP427">
        <v>76.493254412624793</v>
      </c>
      <c r="AQ427">
        <v>385.76871711537871</v>
      </c>
      <c r="AR427">
        <v>52.527278574167873</v>
      </c>
      <c r="AS427">
        <v>431.09328566557645</v>
      </c>
      <c r="AT427">
        <v>27.07624500176459</v>
      </c>
      <c r="AU427">
        <v>-22.318376603783868</v>
      </c>
      <c r="AV427"/>
      <c r="AW427"/>
      <c r="FY427" s="212">
        <v>422</v>
      </c>
      <c r="FZ427">
        <v>36.654578649783218</v>
      </c>
      <c r="GA427">
        <v>93.305814739627621</v>
      </c>
      <c r="GB427">
        <v>55.368062432095741</v>
      </c>
      <c r="GC427">
        <v>21.959341457536556</v>
      </c>
      <c r="GD427">
        <v>12.331037714322603</v>
      </c>
      <c r="GE427">
        <v>11.08789067486566</v>
      </c>
      <c r="GF427">
        <v>23.233622479340607</v>
      </c>
      <c r="GG427">
        <v>26.995222558897325</v>
      </c>
      <c r="GH427">
        <v>20.768829458580619</v>
      </c>
      <c r="GI427">
        <v>33.984681512163725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7"/>
        <v>13.213647576599961</v>
      </c>
      <c r="D428" s="191">
        <f>A$410</f>
        <v>0.21</v>
      </c>
      <c r="E428" s="8"/>
      <c r="F428" s="124"/>
      <c r="G428" s="107">
        <f t="shared" si="389"/>
        <v>2.9772584641166087E-2</v>
      </c>
      <c r="H428" s="107">
        <f t="shared" si="388"/>
        <v>0.96044472789911706</v>
      </c>
      <c r="I428" s="107">
        <f t="shared" si="388"/>
        <v>3.0217099876415765</v>
      </c>
      <c r="J428" s="107">
        <f t="shared" si="388"/>
        <v>4.1071982033977283</v>
      </c>
      <c r="K428" s="107">
        <f t="shared" si="388"/>
        <v>2.2274400932403622</v>
      </c>
      <c r="L428" s="107">
        <f t="shared" si="388"/>
        <v>1.3858445638686832</v>
      </c>
      <c r="M428" s="107">
        <f t="shared" si="388"/>
        <v>1.4812374159113249</v>
      </c>
      <c r="N428" s="107">
        <f t="shared" si="388"/>
        <v>0</v>
      </c>
      <c r="O428" s="107">
        <f t="shared" si="388"/>
        <v>0</v>
      </c>
      <c r="P428" s="107">
        <f t="shared" si="388"/>
        <v>0</v>
      </c>
      <c r="Q428" s="107">
        <f t="shared" si="388"/>
        <v>0</v>
      </c>
      <c r="R428" s="107">
        <f t="shared" si="388"/>
        <v>0</v>
      </c>
      <c r="S428" s="107">
        <f t="shared" si="388"/>
        <v>0</v>
      </c>
      <c r="T428" s="107">
        <f t="shared" si="388"/>
        <v>0</v>
      </c>
      <c r="U428" s="107">
        <f t="shared" si="388"/>
        <v>0</v>
      </c>
      <c r="V428" s="107">
        <f t="shared" si="388"/>
        <v>0</v>
      </c>
      <c r="W428" s="107">
        <f t="shared" si="388"/>
        <v>0</v>
      </c>
      <c r="X428" s="107">
        <f t="shared" si="388"/>
        <v>0</v>
      </c>
      <c r="Y428" s="107">
        <f t="shared" si="388"/>
        <v>0</v>
      </c>
      <c r="Z428" s="107">
        <f t="shared" si="388"/>
        <v>0</v>
      </c>
      <c r="AA428" s="107">
        <f t="shared" si="388"/>
        <v>0</v>
      </c>
      <c r="AB428" s="107">
        <f t="shared" si="388"/>
        <v>0</v>
      </c>
      <c r="AC428" s="107">
        <f t="shared" si="388"/>
        <v>0</v>
      </c>
      <c r="AD428" s="107">
        <f t="shared" si="388"/>
        <v>0</v>
      </c>
      <c r="AE428" s="107">
        <f t="shared" si="388"/>
        <v>0</v>
      </c>
      <c r="AF428" s="107">
        <f t="shared" si="388"/>
        <v>0</v>
      </c>
      <c r="AG428" s="107">
        <f t="shared" si="388"/>
        <v>0</v>
      </c>
      <c r="AH428" s="107">
        <f t="shared" si="388"/>
        <v>0</v>
      </c>
      <c r="AI428" s="107">
        <f t="shared" si="388"/>
        <v>0</v>
      </c>
      <c r="AJ428" s="107">
        <f t="shared" si="388"/>
        <v>0</v>
      </c>
      <c r="AK428" s="107">
        <f t="shared" si="388"/>
        <v>0</v>
      </c>
      <c r="AL428" s="4"/>
      <c r="AM428" s="43">
        <v>412</v>
      </c>
      <c r="AN428">
        <v>707.49989135070246</v>
      </c>
      <c r="AO428">
        <v>46.911828081373095</v>
      </c>
      <c r="AP428">
        <v>84.497816531633617</v>
      </c>
      <c r="AQ428">
        <v>324.12063845733235</v>
      </c>
      <c r="AR428">
        <v>48.090031935655404</v>
      </c>
      <c r="AS428">
        <v>385.89469032999585</v>
      </c>
      <c r="AT428">
        <v>25.507665662811117</v>
      </c>
      <c r="AU428">
        <v>-2.1352099057034195</v>
      </c>
      <c r="AV428"/>
      <c r="AW428"/>
      <c r="FY428" s="212">
        <v>423</v>
      </c>
      <c r="FZ428">
        <v>45.118043021124052</v>
      </c>
      <c r="GA428">
        <v>77.642600504004449</v>
      </c>
      <c r="GB428">
        <v>52.441919023442225</v>
      </c>
      <c r="GC428">
        <v>26.05686940548178</v>
      </c>
      <c r="GD428">
        <v>12.431559318987523</v>
      </c>
      <c r="GE428">
        <v>11.59730570548224</v>
      </c>
      <c r="GF428">
        <v>9.7685196241471974</v>
      </c>
      <c r="GG428">
        <v>11.418450689989143</v>
      </c>
      <c r="GH428">
        <v>25.63113875044538</v>
      </c>
      <c r="GI428">
        <v>32.821718506395989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7"/>
        <v>38.184351352136858</v>
      </c>
      <c r="D429" s="191">
        <f>A$411</f>
        <v>1.28</v>
      </c>
      <c r="E429" s="8"/>
      <c r="F429" s="124"/>
      <c r="G429" s="107">
        <f t="shared" si="389"/>
        <v>7.0316624525987456E-2</v>
      </c>
      <c r="H429" s="107">
        <f t="shared" si="388"/>
        <v>1.5652395293951613</v>
      </c>
      <c r="I429" s="107">
        <f t="shared" si="388"/>
        <v>10.592877194315617</v>
      </c>
      <c r="J429" s="107">
        <f t="shared" si="388"/>
        <v>11.380649575695974</v>
      </c>
      <c r="K429" s="107">
        <f t="shared" si="388"/>
        <v>6.5171114616886419</v>
      </c>
      <c r="L429" s="107">
        <f t="shared" si="388"/>
        <v>2.5709586728183584</v>
      </c>
      <c r="M429" s="107">
        <f t="shared" si="388"/>
        <v>5.4871982936971175</v>
      </c>
      <c r="N429" s="107">
        <f t="shared" si="388"/>
        <v>0</v>
      </c>
      <c r="O429" s="107">
        <f t="shared" si="388"/>
        <v>0</v>
      </c>
      <c r="P429" s="107">
        <f t="shared" si="388"/>
        <v>0</v>
      </c>
      <c r="Q429" s="107">
        <f t="shared" si="388"/>
        <v>0</v>
      </c>
      <c r="R429" s="107">
        <f t="shared" si="388"/>
        <v>0</v>
      </c>
      <c r="S429" s="107">
        <f t="shared" si="388"/>
        <v>0</v>
      </c>
      <c r="T429" s="107">
        <f t="shared" si="388"/>
        <v>0</v>
      </c>
      <c r="U429" s="107">
        <f t="shared" si="388"/>
        <v>0</v>
      </c>
      <c r="V429" s="107">
        <f t="shared" si="388"/>
        <v>0</v>
      </c>
      <c r="W429" s="107">
        <f t="shared" si="388"/>
        <v>0</v>
      </c>
      <c r="X429" s="107">
        <f t="shared" si="388"/>
        <v>0</v>
      </c>
      <c r="Y429" s="107">
        <f t="shared" si="388"/>
        <v>0</v>
      </c>
      <c r="Z429" s="107">
        <f t="shared" si="388"/>
        <v>0</v>
      </c>
      <c r="AA429" s="107">
        <f t="shared" si="388"/>
        <v>0</v>
      </c>
      <c r="AB429" s="107">
        <f t="shared" si="388"/>
        <v>0</v>
      </c>
      <c r="AC429" s="107">
        <f t="shared" si="388"/>
        <v>0</v>
      </c>
      <c r="AD429" s="107">
        <f t="shared" si="388"/>
        <v>0</v>
      </c>
      <c r="AE429" s="107">
        <f t="shared" si="388"/>
        <v>0</v>
      </c>
      <c r="AF429" s="107">
        <f t="shared" si="388"/>
        <v>0</v>
      </c>
      <c r="AG429" s="107">
        <f t="shared" si="388"/>
        <v>0</v>
      </c>
      <c r="AH429" s="107">
        <f t="shared" si="388"/>
        <v>0</v>
      </c>
      <c r="AI429" s="107">
        <f t="shared" si="388"/>
        <v>0</v>
      </c>
      <c r="AJ429" s="107">
        <f t="shared" si="388"/>
        <v>0</v>
      </c>
      <c r="AK429" s="107">
        <f t="shared" si="388"/>
        <v>0</v>
      </c>
      <c r="AL429" s="4"/>
      <c r="AM429" s="43">
        <v>413</v>
      </c>
      <c r="AN429">
        <v>806.2865284816354</v>
      </c>
      <c r="AO429">
        <v>60.330431979575813</v>
      </c>
      <c r="AP429">
        <v>72.85686960334192</v>
      </c>
      <c r="AQ429">
        <v>442.66113224070375</v>
      </c>
      <c r="AR429">
        <v>59.63982035638724</v>
      </c>
      <c r="AS429">
        <v>478.78911808157801</v>
      </c>
      <c r="AT429">
        <v>30.909271324917139</v>
      </c>
      <c r="AU429">
        <v>-64.454883410450236</v>
      </c>
      <c r="AV429"/>
      <c r="AW429"/>
      <c r="FY429" s="212">
        <v>424</v>
      </c>
      <c r="FZ429">
        <v>39.220308017906994</v>
      </c>
      <c r="GA429">
        <v>97.874239967596935</v>
      </c>
      <c r="GB429">
        <v>67.733848116904312</v>
      </c>
      <c r="GC429">
        <v>22.053388398528906</v>
      </c>
      <c r="GD429">
        <v>9.0830994733193542</v>
      </c>
      <c r="GE429">
        <v>14.9430593869077</v>
      </c>
      <c r="GF429">
        <v>51.728689567175408</v>
      </c>
      <c r="GG429">
        <v>43.538183069488696</v>
      </c>
      <c r="GH429">
        <v>36.539142967829598</v>
      </c>
      <c r="GI429">
        <v>43.202774148661682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7"/>
        <v>35.563624513124068</v>
      </c>
      <c r="D430" s="191">
        <f>A$412</f>
        <v>4</v>
      </c>
      <c r="E430" s="8"/>
      <c r="F430" s="124"/>
      <c r="G430" s="107">
        <f t="shared" si="389"/>
        <v>4.4767203109653216E-2</v>
      </c>
      <c r="H430" s="107">
        <f t="shared" si="388"/>
        <v>1.0483597716148789</v>
      </c>
      <c r="I430" s="107">
        <f t="shared" si="388"/>
        <v>10.785307681771412</v>
      </c>
      <c r="J430" s="107">
        <f t="shared" si="388"/>
        <v>10.100940341626524</v>
      </c>
      <c r="K430" s="107">
        <f t="shared" si="388"/>
        <v>5.935321844402675</v>
      </c>
      <c r="L430" s="107">
        <f t="shared" si="388"/>
        <v>2.0861179229657316</v>
      </c>
      <c r="M430" s="107">
        <f t="shared" si="388"/>
        <v>5.5628097476331959</v>
      </c>
      <c r="N430" s="107">
        <f t="shared" si="388"/>
        <v>0</v>
      </c>
      <c r="O430" s="107">
        <f t="shared" si="388"/>
        <v>0</v>
      </c>
      <c r="P430" s="107">
        <f t="shared" si="388"/>
        <v>0</v>
      </c>
      <c r="Q430" s="107">
        <f t="shared" si="388"/>
        <v>0</v>
      </c>
      <c r="R430" s="107">
        <f t="shared" si="388"/>
        <v>0</v>
      </c>
      <c r="S430" s="107">
        <f t="shared" si="388"/>
        <v>0</v>
      </c>
      <c r="T430" s="107">
        <f t="shared" si="388"/>
        <v>0</v>
      </c>
      <c r="U430" s="107">
        <f t="shared" si="388"/>
        <v>0</v>
      </c>
      <c r="V430" s="107">
        <f t="shared" si="388"/>
        <v>0</v>
      </c>
      <c r="W430" s="107">
        <f t="shared" si="388"/>
        <v>0</v>
      </c>
      <c r="X430" s="107">
        <f t="shared" si="388"/>
        <v>0</v>
      </c>
      <c r="Y430" s="107">
        <f t="shared" si="388"/>
        <v>0</v>
      </c>
      <c r="Z430" s="107">
        <f t="shared" si="388"/>
        <v>0</v>
      </c>
      <c r="AA430" s="107">
        <f t="shared" si="388"/>
        <v>0</v>
      </c>
      <c r="AB430" s="107">
        <f t="shared" si="388"/>
        <v>0</v>
      </c>
      <c r="AC430" s="107">
        <f t="shared" si="388"/>
        <v>0</v>
      </c>
      <c r="AD430" s="107">
        <f t="shared" si="388"/>
        <v>0</v>
      </c>
      <c r="AE430" s="107">
        <f t="shared" si="388"/>
        <v>0</v>
      </c>
      <c r="AF430" s="107">
        <f t="shared" si="388"/>
        <v>0</v>
      </c>
      <c r="AG430" s="107">
        <f t="shared" si="388"/>
        <v>0</v>
      </c>
      <c r="AH430" s="107">
        <f t="shared" si="388"/>
        <v>0</v>
      </c>
      <c r="AI430" s="107">
        <f t="shared" si="388"/>
        <v>0</v>
      </c>
      <c r="AJ430" s="107">
        <f t="shared" si="388"/>
        <v>0</v>
      </c>
      <c r="AK430" s="107">
        <f t="shared" si="388"/>
        <v>0</v>
      </c>
      <c r="AL430" s="4"/>
      <c r="AM430" s="43">
        <v>414</v>
      </c>
      <c r="AN430">
        <v>699.62014706097455</v>
      </c>
      <c r="AO430">
        <v>48.741986791612767</v>
      </c>
      <c r="AP430">
        <v>77.928989617154059</v>
      </c>
      <c r="AQ430">
        <v>350.73058070128286</v>
      </c>
      <c r="AR430">
        <v>48.241371278094526</v>
      </c>
      <c r="AS430">
        <v>378.48720577257313</v>
      </c>
      <c r="AT430">
        <v>23.957028605076051</v>
      </c>
      <c r="AU430">
        <v>-41.54457080105329</v>
      </c>
      <c r="AV430"/>
      <c r="AW430"/>
      <c r="FY430" s="212">
        <v>425</v>
      </c>
      <c r="FZ430">
        <v>43.674409882825884</v>
      </c>
      <c r="GA430">
        <v>107.92603575804783</v>
      </c>
      <c r="GB430">
        <v>60.13085086347612</v>
      </c>
      <c r="GC430">
        <v>16.182040596380947</v>
      </c>
      <c r="GD430">
        <v>8.8539799284378855</v>
      </c>
      <c r="GE430">
        <v>12.894566469828257</v>
      </c>
      <c r="GF430">
        <v>31.711779804217205</v>
      </c>
      <c r="GG430">
        <v>27.178621141146166</v>
      </c>
      <c r="GH430">
        <v>24.329227891387688</v>
      </c>
      <c r="GI430">
        <v>36.283160114233397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7"/>
        <v>27.833705939274193</v>
      </c>
      <c r="D431" s="191">
        <f>A$413</f>
        <v>7.33</v>
      </c>
      <c r="E431" s="8"/>
      <c r="F431" s="124"/>
      <c r="G431" s="107">
        <f t="shared" si="389"/>
        <v>0</v>
      </c>
      <c r="H431" s="107">
        <f t="shared" si="388"/>
        <v>0.16186784502010973</v>
      </c>
      <c r="I431" s="107">
        <f t="shared" si="388"/>
        <v>5.4059677400133763</v>
      </c>
      <c r="J431" s="107">
        <f t="shared" si="388"/>
        <v>7.1626249200565031</v>
      </c>
      <c r="K431" s="107">
        <f t="shared" si="388"/>
        <v>5.1911888183752426</v>
      </c>
      <c r="L431" s="107">
        <f t="shared" si="388"/>
        <v>1.2978500154739241</v>
      </c>
      <c r="M431" s="107">
        <f t="shared" si="388"/>
        <v>8.6142066003350379</v>
      </c>
      <c r="N431" s="107">
        <f t="shared" si="388"/>
        <v>0</v>
      </c>
      <c r="O431" s="107">
        <f t="shared" si="388"/>
        <v>0</v>
      </c>
      <c r="P431" s="107">
        <f t="shared" si="388"/>
        <v>0</v>
      </c>
      <c r="Q431" s="107">
        <f t="shared" si="388"/>
        <v>0</v>
      </c>
      <c r="R431" s="107">
        <f t="shared" si="388"/>
        <v>0</v>
      </c>
      <c r="S431" s="107">
        <f t="shared" si="388"/>
        <v>0</v>
      </c>
      <c r="T431" s="107">
        <f t="shared" si="388"/>
        <v>0</v>
      </c>
      <c r="U431" s="107">
        <f t="shared" si="388"/>
        <v>0</v>
      </c>
      <c r="V431" s="107">
        <f t="shared" si="388"/>
        <v>0</v>
      </c>
      <c r="W431" s="107">
        <f t="shared" si="388"/>
        <v>0</v>
      </c>
      <c r="X431" s="107">
        <f t="shared" si="388"/>
        <v>0</v>
      </c>
      <c r="Y431" s="107">
        <f t="shared" si="388"/>
        <v>0</v>
      </c>
      <c r="Z431" s="107">
        <f t="shared" si="388"/>
        <v>0</v>
      </c>
      <c r="AA431" s="107">
        <f t="shared" si="388"/>
        <v>0</v>
      </c>
      <c r="AB431" s="107">
        <f t="shared" si="388"/>
        <v>0</v>
      </c>
      <c r="AC431" s="107">
        <f t="shared" si="388"/>
        <v>0</v>
      </c>
      <c r="AD431" s="107">
        <f t="shared" si="388"/>
        <v>0</v>
      </c>
      <c r="AE431" s="107">
        <f t="shared" si="388"/>
        <v>0</v>
      </c>
      <c r="AF431" s="107">
        <f t="shared" si="388"/>
        <v>0</v>
      </c>
      <c r="AG431" s="107">
        <f t="shared" si="388"/>
        <v>0</v>
      </c>
      <c r="AH431" s="107">
        <f t="shared" si="388"/>
        <v>0</v>
      </c>
      <c r="AI431" s="107">
        <f t="shared" si="388"/>
        <v>0</v>
      </c>
      <c r="AJ431" s="107">
        <f t="shared" si="388"/>
        <v>0</v>
      </c>
      <c r="AK431" s="107">
        <f t="shared" si="388"/>
        <v>0</v>
      </c>
      <c r="AL431" s="4"/>
      <c r="AM431" s="43">
        <v>415</v>
      </c>
      <c r="AN431">
        <v>708.29344123520605</v>
      </c>
      <c r="AO431">
        <v>49.693317934708929</v>
      </c>
      <c r="AP431">
        <v>90.139661447329416</v>
      </c>
      <c r="AQ431">
        <v>352.99821896492716</v>
      </c>
      <c r="AR431">
        <v>49.817063809912995</v>
      </c>
      <c r="AS431">
        <v>405.61198073734738</v>
      </c>
      <c r="AT431">
        <v>26.019419166621887</v>
      </c>
      <c r="AU431">
        <v>-8.8602002118086602</v>
      </c>
      <c r="AV431"/>
      <c r="AW431"/>
      <c r="FY431" s="212">
        <v>426</v>
      </c>
      <c r="FZ431">
        <v>47.156736209464675</v>
      </c>
      <c r="GA431">
        <v>88.842500236056523</v>
      </c>
      <c r="GB431">
        <v>51.968256185975477</v>
      </c>
      <c r="GC431">
        <v>15.974456815876099</v>
      </c>
      <c r="GD431">
        <v>10.455369275067609</v>
      </c>
      <c r="GE431">
        <v>15.33635439829642</v>
      </c>
      <c r="GF431">
        <v>21.918941924082933</v>
      </c>
      <c r="GG431">
        <v>24.814231261596419</v>
      </c>
      <c r="GH431">
        <v>26.415087178699945</v>
      </c>
      <c r="GI431">
        <v>34.199395484789967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7"/>
        <v>36.601084066840329</v>
      </c>
      <c r="D432" s="191">
        <f>A$414</f>
        <v>10.51</v>
      </c>
      <c r="E432" s="8"/>
      <c r="F432" s="124"/>
      <c r="G432" s="107">
        <f t="shared" si="389"/>
        <v>2.588595344104842E-2</v>
      </c>
      <c r="H432" s="107">
        <f t="shared" ref="H432:AK432" si="390">(($A$453+$A$455*(H$422)+($A$457*$D432))*($E30*H46))</f>
        <v>1.1040678331335314</v>
      </c>
      <c r="I432" s="107">
        <f t="shared" si="390"/>
        <v>9.9366723723614232</v>
      </c>
      <c r="J432" s="107">
        <f t="shared" si="390"/>
        <v>10.577861001738897</v>
      </c>
      <c r="K432" s="107">
        <f t="shared" si="390"/>
        <v>5.2867362076122388</v>
      </c>
      <c r="L432" s="107">
        <f t="shared" si="390"/>
        <v>2.7932209137312167</v>
      </c>
      <c r="M432" s="107">
        <f t="shared" si="390"/>
        <v>4.4026620524426052</v>
      </c>
      <c r="N432" s="107">
        <f t="shared" si="390"/>
        <v>1.6455848240877184</v>
      </c>
      <c r="O432" s="107">
        <f t="shared" si="390"/>
        <v>0.13325163943137203</v>
      </c>
      <c r="P432" s="107">
        <f t="shared" si="390"/>
        <v>0.69514126886027716</v>
      </c>
      <c r="Q432" s="107">
        <f t="shared" si="390"/>
        <v>0</v>
      </c>
      <c r="R432" s="107">
        <f t="shared" si="390"/>
        <v>0</v>
      </c>
      <c r="S432" s="107">
        <f t="shared" si="390"/>
        <v>0</v>
      </c>
      <c r="T432" s="107">
        <f t="shared" si="390"/>
        <v>0</v>
      </c>
      <c r="U432" s="107">
        <f t="shared" si="390"/>
        <v>0</v>
      </c>
      <c r="V432" s="107">
        <f t="shared" si="390"/>
        <v>0</v>
      </c>
      <c r="W432" s="107">
        <f t="shared" si="390"/>
        <v>0</v>
      </c>
      <c r="X432" s="107">
        <f t="shared" si="390"/>
        <v>0</v>
      </c>
      <c r="Y432" s="107">
        <f t="shared" si="390"/>
        <v>0</v>
      </c>
      <c r="Z432" s="107">
        <f t="shared" si="390"/>
        <v>0</v>
      </c>
      <c r="AA432" s="107">
        <f t="shared" si="390"/>
        <v>0</v>
      </c>
      <c r="AB432" s="107">
        <f t="shared" si="390"/>
        <v>0</v>
      </c>
      <c r="AC432" s="107">
        <f t="shared" si="390"/>
        <v>0</v>
      </c>
      <c r="AD432" s="107">
        <f t="shared" si="390"/>
        <v>0</v>
      </c>
      <c r="AE432" s="107">
        <f t="shared" si="390"/>
        <v>0</v>
      </c>
      <c r="AF432" s="107">
        <f t="shared" si="390"/>
        <v>0</v>
      </c>
      <c r="AG432" s="107">
        <f t="shared" si="390"/>
        <v>0</v>
      </c>
      <c r="AH432" s="107">
        <f t="shared" si="390"/>
        <v>0</v>
      </c>
      <c r="AI432" s="107">
        <f t="shared" si="390"/>
        <v>0</v>
      </c>
      <c r="AJ432" s="107">
        <f t="shared" si="390"/>
        <v>0</v>
      </c>
      <c r="AK432" s="107">
        <f t="shared" si="390"/>
        <v>0</v>
      </c>
      <c r="AL432" s="4"/>
      <c r="AM432" s="43">
        <v>416</v>
      </c>
      <c r="AN432">
        <v>658.01477886762041</v>
      </c>
      <c r="AO432">
        <v>49.679256008830954</v>
      </c>
      <c r="AP432">
        <v>47.580853018045616</v>
      </c>
      <c r="AQ432">
        <v>356.74615500882408</v>
      </c>
      <c r="AR432">
        <v>48.357005786310189</v>
      </c>
      <c r="AS432">
        <v>406.33319872509759</v>
      </c>
      <c r="AT432">
        <v>22.996338354159292</v>
      </c>
      <c r="AU432">
        <v>-52.12600465262242</v>
      </c>
      <c r="AV432"/>
      <c r="AW432"/>
      <c r="FY432" s="212">
        <v>427</v>
      </c>
      <c r="FZ432">
        <v>39.880491063787943</v>
      </c>
      <c r="GA432">
        <v>93.405988400556453</v>
      </c>
      <c r="GB432">
        <v>49.78795766780096</v>
      </c>
      <c r="GC432">
        <v>15.546598558825135</v>
      </c>
      <c r="GD432">
        <v>11.360904310069943</v>
      </c>
      <c r="GE432">
        <v>16.828823124930395</v>
      </c>
      <c r="GF432">
        <v>45.27554817337225</v>
      </c>
      <c r="GG432">
        <v>36.866503184919296</v>
      </c>
      <c r="GH432">
        <v>29.586307171789244</v>
      </c>
      <c r="GI432">
        <v>37.838012133463103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749.58866987621298</v>
      </c>
      <c r="AO433">
        <v>51.490769437631833</v>
      </c>
      <c r="AP433">
        <v>61.266182719342567</v>
      </c>
      <c r="AQ433">
        <v>360.10957089234557</v>
      </c>
      <c r="AR433">
        <v>49.806561325947484</v>
      </c>
      <c r="AS433">
        <v>407.63006796063598</v>
      </c>
      <c r="AT433">
        <v>24.801072597903687</v>
      </c>
      <c r="AU433">
        <v>-62.549538084435135</v>
      </c>
      <c r="AV433"/>
      <c r="AW433"/>
      <c r="FY433" s="212">
        <v>428</v>
      </c>
      <c r="FZ433">
        <v>53.314600256704246</v>
      </c>
      <c r="GA433">
        <v>82.763232256805651</v>
      </c>
      <c r="GB433">
        <v>45.25544183532206</v>
      </c>
      <c r="GC433">
        <v>17.317116554414774</v>
      </c>
      <c r="GD433">
        <v>12.554207619406593</v>
      </c>
      <c r="GE433">
        <v>15.77220550588549</v>
      </c>
      <c r="GF433">
        <v>23.366428352108716</v>
      </c>
      <c r="GG433">
        <v>25.354551507603603</v>
      </c>
      <c r="GH433">
        <v>22.79189316240895</v>
      </c>
      <c r="GI433">
        <v>34.280657838128334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779.14046750612533</v>
      </c>
      <c r="AO434">
        <v>47.7940996821483</v>
      </c>
      <c r="AP434">
        <v>76.200402449147191</v>
      </c>
      <c r="AQ434">
        <v>330.91762540205269</v>
      </c>
      <c r="AR434">
        <v>47.824264205701219</v>
      </c>
      <c r="AS434">
        <v>387.89055759730041</v>
      </c>
      <c r="AT434">
        <v>23.804223586043658</v>
      </c>
      <c r="AU434">
        <v>-27.204370491394833</v>
      </c>
      <c r="AV434"/>
      <c r="AW434"/>
      <c r="FY434" s="212">
        <v>429</v>
      </c>
      <c r="FZ434">
        <v>35.183421909175806</v>
      </c>
      <c r="GA434">
        <v>87.798704142674254</v>
      </c>
      <c r="GB434">
        <v>55.518741535398256</v>
      </c>
      <c r="GC434">
        <v>24.359661863199541</v>
      </c>
      <c r="GD434">
        <v>12.868440218939421</v>
      </c>
      <c r="GE434">
        <v>13.974388160369482</v>
      </c>
      <c r="GF434">
        <v>10.4989509149444</v>
      </c>
      <c r="GG434">
        <v>15.454124387898711</v>
      </c>
      <c r="GH434">
        <v>34.027733465517521</v>
      </c>
      <c r="GI434">
        <v>33.806110230805245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369.11766446926089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723.60379799532006</v>
      </c>
      <c r="AO435">
        <v>52.174026873698224</v>
      </c>
      <c r="AP435">
        <v>51.019257064590789</v>
      </c>
      <c r="AQ435">
        <v>366.26865643240382</v>
      </c>
      <c r="AR435">
        <v>51.672217569490059</v>
      </c>
      <c r="AS435">
        <v>438.5729561279532</v>
      </c>
      <c r="AT435">
        <v>27.639595924223443</v>
      </c>
      <c r="AU435">
        <v>-31.601184253167304</v>
      </c>
      <c r="AV435"/>
      <c r="AW435"/>
      <c r="FY435" s="212">
        <v>430</v>
      </c>
      <c r="FZ435">
        <v>42.128991781574811</v>
      </c>
      <c r="GA435">
        <v>95.44992115662518</v>
      </c>
      <c r="GB435">
        <v>50.203412056175061</v>
      </c>
      <c r="GC435">
        <v>18.301144427302237</v>
      </c>
      <c r="GD435">
        <v>13.294315801057124</v>
      </c>
      <c r="GE435">
        <v>15.374369707839152</v>
      </c>
      <c r="GF435">
        <v>17.192034003242487</v>
      </c>
      <c r="GG435">
        <v>24.735854130431591</v>
      </c>
      <c r="GH435">
        <v>36.946978816042915</v>
      </c>
      <c r="GI435">
        <v>35.485220919609247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806.49455948878028</v>
      </c>
      <c r="AO436">
        <v>54.265981106734102</v>
      </c>
      <c r="AP436">
        <v>64.4586541976322</v>
      </c>
      <c r="AQ436">
        <v>380.87479189232045</v>
      </c>
      <c r="AR436">
        <v>53.307874086586153</v>
      </c>
      <c r="AS436">
        <v>450.94694316665402</v>
      </c>
      <c r="AT436">
        <v>26.649849009032376</v>
      </c>
      <c r="AU436">
        <v>-44.82403067088061</v>
      </c>
      <c r="AV436"/>
      <c r="AW436"/>
      <c r="FY436" s="212">
        <v>431</v>
      </c>
      <c r="FZ436">
        <v>38.106757905549685</v>
      </c>
      <c r="GA436">
        <v>93.658908246713267</v>
      </c>
      <c r="GB436">
        <v>54.198492869876986</v>
      </c>
      <c r="GC436">
        <v>18.640017035090938</v>
      </c>
      <c r="GD436">
        <v>12.006305797464901</v>
      </c>
      <c r="GE436">
        <v>15.458958283630656</v>
      </c>
      <c r="GF436">
        <v>13.363793181228134</v>
      </c>
      <c r="GG436">
        <v>10.610778078316374</v>
      </c>
      <c r="GH436">
        <v>24.915681393546723</v>
      </c>
      <c r="GI436">
        <v>32.445282857794645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882.64683695149392</v>
      </c>
      <c r="AO437">
        <v>52.509002822950627</v>
      </c>
      <c r="AP437">
        <v>68.996578701296229</v>
      </c>
      <c r="AQ437">
        <v>372.92436576382516</v>
      </c>
      <c r="AR437">
        <v>51.799973103933745</v>
      </c>
      <c r="AS437">
        <v>443.98657788580141</v>
      </c>
      <c r="AT437">
        <v>27.721215687924129</v>
      </c>
      <c r="AU437">
        <v>-103.55452170242593</v>
      </c>
      <c r="AV437"/>
      <c r="AW437"/>
      <c r="FY437" s="212">
        <v>432</v>
      </c>
      <c r="FZ437">
        <v>51.057121591917721</v>
      </c>
      <c r="GA437">
        <v>92.649991826069282</v>
      </c>
      <c r="GB437">
        <v>48.296075121835372</v>
      </c>
      <c r="GC437">
        <v>16.808399169950288</v>
      </c>
      <c r="GD437">
        <v>10.854436242481418</v>
      </c>
      <c r="GE437">
        <v>13.731573403985752</v>
      </c>
      <c r="GF437">
        <v>33.874554256298978</v>
      </c>
      <c r="GG437">
        <v>30.237068520268725</v>
      </c>
      <c r="GH437">
        <v>32.57060980510807</v>
      </c>
      <c r="GI437">
        <v>37.165374617201131</v>
      </c>
      <c r="GJ437"/>
      <c r="GK437"/>
      <c r="GL437"/>
      <c r="GM437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728.70187198929489</v>
      </c>
      <c r="AO438">
        <v>48.952514506015888</v>
      </c>
      <c r="AP438">
        <v>90.37590350462807</v>
      </c>
      <c r="AQ438">
        <v>335.68908167721366</v>
      </c>
      <c r="AR438">
        <v>46.823537894102842</v>
      </c>
      <c r="AS438">
        <v>376.34608093862454</v>
      </c>
      <c r="AT438">
        <v>23.022640233249138</v>
      </c>
      <c r="AU438">
        <v>-25.220756705920383</v>
      </c>
      <c r="AV438"/>
      <c r="AW438"/>
      <c r="FY438" s="212">
        <v>433</v>
      </c>
      <c r="FZ438">
        <v>53.770532520203851</v>
      </c>
      <c r="GA438">
        <v>107.82671629768166</v>
      </c>
      <c r="GB438">
        <v>53.399054183018357</v>
      </c>
      <c r="GC438">
        <v>11.750853598027806</v>
      </c>
      <c r="GD438">
        <v>8.1652169714014295</v>
      </c>
      <c r="GE438">
        <v>11.983511448951079</v>
      </c>
      <c r="GF438">
        <v>30.886654291261937</v>
      </c>
      <c r="GG438">
        <v>31.970285915211413</v>
      </c>
      <c r="GH438">
        <v>21.514757507495542</v>
      </c>
      <c r="GI438">
        <v>35.076755573521602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609.25307506083686</v>
      </c>
      <c r="AO439">
        <v>45.774071666835873</v>
      </c>
      <c r="AP439">
        <v>48.318932766639008</v>
      </c>
      <c r="AQ439">
        <v>304.92812454949996</v>
      </c>
      <c r="AR439">
        <v>45.269216201556915</v>
      </c>
      <c r="AS439">
        <v>352.25328612289911</v>
      </c>
      <c r="AT439">
        <v>23.97286010843737</v>
      </c>
      <c r="AU439">
        <v>-54.910767890164834</v>
      </c>
      <c r="AV439"/>
      <c r="AW439"/>
      <c r="FY439" s="212">
        <v>434</v>
      </c>
      <c r="FZ439">
        <v>49.90711340659383</v>
      </c>
      <c r="GA439">
        <v>99.123225540366988</v>
      </c>
      <c r="GB439">
        <v>51.288239216852261</v>
      </c>
      <c r="GC439">
        <v>20.403621211877237</v>
      </c>
      <c r="GD439">
        <v>16.414512128480016</v>
      </c>
      <c r="GE439">
        <v>20.535016194777892</v>
      </c>
      <c r="GF439">
        <v>27.879095734206686</v>
      </c>
      <c r="GG439">
        <v>27.561876677292133</v>
      </c>
      <c r="GH439">
        <v>26.828537413770739</v>
      </c>
      <c r="GI439">
        <v>38.96799366345877</v>
      </c>
      <c r="GJ439"/>
      <c r="GK439"/>
      <c r="GL439"/>
      <c r="GM439"/>
    </row>
    <row r="440" spans="1:195" s="7" customFormat="1">
      <c r="A440" s="1">
        <v>9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925.96227249304718</v>
      </c>
      <c r="AO440">
        <v>59.962722715657357</v>
      </c>
      <c r="AP440">
        <v>116.16724093119794</v>
      </c>
      <c r="AQ440">
        <v>425.91673311431958</v>
      </c>
      <c r="AR440">
        <v>59.416680502110445</v>
      </c>
      <c r="AS440">
        <v>479.77818238801325</v>
      </c>
      <c r="AT440">
        <v>29.326868999977545</v>
      </c>
      <c r="AU440">
        <v>-28.805839978034392</v>
      </c>
      <c r="AV440"/>
      <c r="AW440"/>
      <c r="FY440" s="212">
        <v>435</v>
      </c>
      <c r="FZ440">
        <v>45.138533671747993</v>
      </c>
      <c r="GA440">
        <v>99.896175465250508</v>
      </c>
      <c r="GB440">
        <v>64.007839206767599</v>
      </c>
      <c r="GC440">
        <v>23.345690757909672</v>
      </c>
      <c r="GD440">
        <v>12.144624451456908</v>
      </c>
      <c r="GE440">
        <v>11.003104138011183</v>
      </c>
      <c r="GF440">
        <v>27.228705122344117</v>
      </c>
      <c r="GG440">
        <v>31.833649312238446</v>
      </c>
      <c r="GH440">
        <v>23.153594680195692</v>
      </c>
      <c r="GI440">
        <v>38.334024782928203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91">SUM(G441:AK441)</f>
        <v>45.46012231528379</v>
      </c>
      <c r="D441" s="191">
        <f>$A$405</f>
        <v>13.69</v>
      </c>
      <c r="E441" s="8"/>
      <c r="F441" s="124"/>
      <c r="G441" s="107" t="str">
        <f t="shared" ref="G441:G450" si="392">IF(G423&lt;=0, "0.000", G423)</f>
        <v>0.000</v>
      </c>
      <c r="H441" s="107">
        <f t="shared" ref="H441:AK441" si="393">IF(H423&lt;=0, "0.000", H423)</f>
        <v>0.10535875934009459</v>
      </c>
      <c r="I441" s="107">
        <f t="shared" si="393"/>
        <v>4.6974210460989276</v>
      </c>
      <c r="J441" s="107">
        <f t="shared" si="393"/>
        <v>10.823861465835177</v>
      </c>
      <c r="K441" s="107">
        <f t="shared" si="393"/>
        <v>17.251579885943279</v>
      </c>
      <c r="L441" s="107">
        <f t="shared" si="393"/>
        <v>6.988582421908732</v>
      </c>
      <c r="M441" s="107">
        <f t="shared" si="393"/>
        <v>4.931216055098564</v>
      </c>
      <c r="N441" s="107">
        <f t="shared" si="393"/>
        <v>0.66210268105901204</v>
      </c>
      <c r="O441" s="107" t="str">
        <f t="shared" si="393"/>
        <v>0.000</v>
      </c>
      <c r="P441" s="107" t="str">
        <f t="shared" si="393"/>
        <v>0.000</v>
      </c>
      <c r="Q441" s="107" t="str">
        <f t="shared" si="393"/>
        <v>0.000</v>
      </c>
      <c r="R441" s="107" t="str">
        <f t="shared" si="393"/>
        <v>0.000</v>
      </c>
      <c r="S441" s="107" t="str">
        <f t="shared" si="393"/>
        <v>0.000</v>
      </c>
      <c r="T441" s="107" t="str">
        <f t="shared" si="393"/>
        <v>0.000</v>
      </c>
      <c r="U441" s="107" t="str">
        <f t="shared" si="393"/>
        <v>0.000</v>
      </c>
      <c r="V441" s="107" t="str">
        <f t="shared" si="393"/>
        <v>0.000</v>
      </c>
      <c r="W441" s="107" t="str">
        <f t="shared" si="393"/>
        <v>0.000</v>
      </c>
      <c r="X441" s="107" t="str">
        <f t="shared" si="393"/>
        <v>0.000</v>
      </c>
      <c r="Y441" s="107" t="str">
        <f t="shared" si="393"/>
        <v>0.000</v>
      </c>
      <c r="Z441" s="107" t="str">
        <f t="shared" si="393"/>
        <v>0.000</v>
      </c>
      <c r="AA441" s="107" t="str">
        <f t="shared" si="393"/>
        <v>0.000</v>
      </c>
      <c r="AB441" s="107" t="str">
        <f t="shared" si="393"/>
        <v>0.000</v>
      </c>
      <c r="AC441" s="107" t="str">
        <f t="shared" si="393"/>
        <v>0.000</v>
      </c>
      <c r="AD441" s="107" t="str">
        <f t="shared" si="393"/>
        <v>0.000</v>
      </c>
      <c r="AE441" s="107" t="str">
        <f t="shared" si="393"/>
        <v>0.000</v>
      </c>
      <c r="AF441" s="107" t="str">
        <f t="shared" si="393"/>
        <v>0.000</v>
      </c>
      <c r="AG441" s="107" t="str">
        <f t="shared" si="393"/>
        <v>0.000</v>
      </c>
      <c r="AH441" s="107" t="str">
        <f t="shared" si="393"/>
        <v>0.000</v>
      </c>
      <c r="AI441" s="107" t="str">
        <f t="shared" si="393"/>
        <v>0.000</v>
      </c>
      <c r="AJ441" s="107" t="str">
        <f t="shared" si="393"/>
        <v>0.000</v>
      </c>
      <c r="AK441" s="107" t="str">
        <f t="shared" si="393"/>
        <v>0.000</v>
      </c>
      <c r="AL441" s="4"/>
      <c r="AM441" s="43">
        <v>425</v>
      </c>
      <c r="AN441">
        <v>674.05261907181375</v>
      </c>
      <c r="AO441">
        <v>50.775485647358472</v>
      </c>
      <c r="AP441">
        <v>109.15172655822288</v>
      </c>
      <c r="AQ441">
        <v>369.16467244998137</v>
      </c>
      <c r="AR441">
        <v>50.063527944207117</v>
      </c>
      <c r="AS441">
        <v>376.06937197711744</v>
      </c>
      <c r="AT441">
        <v>24.591062387142188</v>
      </c>
      <c r="AU441">
        <v>-18.657889178594495</v>
      </c>
      <c r="AV441"/>
      <c r="AW441"/>
      <c r="FY441" s="212">
        <v>436</v>
      </c>
      <c r="FZ441">
        <v>39.800545385713477</v>
      </c>
      <c r="GA441">
        <v>131.25719432003396</v>
      </c>
      <c r="GB441">
        <v>71.777472049898876</v>
      </c>
      <c r="GC441">
        <v>17.79724473146981</v>
      </c>
      <c r="GD441">
        <v>9.131895758329323</v>
      </c>
      <c r="GE441">
        <v>7.2910761535011996</v>
      </c>
      <c r="GF441">
        <v>17.325835791118269</v>
      </c>
      <c r="GG441">
        <v>17.836600541623458</v>
      </c>
      <c r="GH441">
        <v>16.826118447053997</v>
      </c>
      <c r="GI441">
        <v>34.865493944683216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391"/>
        <v>92.218097629605609</v>
      </c>
      <c r="D442" s="191">
        <f>$A$406</f>
        <v>9.4499999999999993</v>
      </c>
      <c r="E442" s="8"/>
      <c r="F442" s="124"/>
      <c r="G442" s="173">
        <f t="shared" si="392"/>
        <v>2.1666497108502557E-2</v>
      </c>
      <c r="H442" s="173">
        <f t="shared" ref="H442:V442" si="394">IF(H424&lt;=0, "0.000", H424)</f>
        <v>1.5742678100378871</v>
      </c>
      <c r="I442" s="173">
        <f t="shared" si="394"/>
        <v>15.265907536814309</v>
      </c>
      <c r="J442" s="173">
        <f t="shared" si="394"/>
        <v>25.388576876603381</v>
      </c>
      <c r="K442" s="173">
        <f t="shared" si="394"/>
        <v>16.486565355470375</v>
      </c>
      <c r="L442" s="173">
        <f t="shared" si="394"/>
        <v>7.8769313324382519</v>
      </c>
      <c r="M442" s="173">
        <f t="shared" si="394"/>
        <v>6.8051374462714334</v>
      </c>
      <c r="N442" s="173">
        <f t="shared" si="394"/>
        <v>12.276734135341044</v>
      </c>
      <c r="O442" s="173">
        <f t="shared" si="394"/>
        <v>1.0529221332704179</v>
      </c>
      <c r="P442" s="173">
        <f t="shared" si="394"/>
        <v>5.4693885062500156</v>
      </c>
      <c r="Q442" s="173" t="str">
        <f t="shared" si="394"/>
        <v>0.000</v>
      </c>
      <c r="R442" s="173" t="str">
        <f t="shared" si="394"/>
        <v>0.000</v>
      </c>
      <c r="S442" s="173" t="str">
        <f t="shared" si="394"/>
        <v>0.000</v>
      </c>
      <c r="T442" s="173" t="str">
        <f t="shared" si="394"/>
        <v>0.000</v>
      </c>
      <c r="U442" s="173" t="str">
        <f t="shared" si="394"/>
        <v>0.000</v>
      </c>
      <c r="V442" s="173" t="str">
        <f t="shared" si="394"/>
        <v>0.000</v>
      </c>
      <c r="W442" s="173" t="str">
        <f t="shared" ref="W442:AK442" si="395">IF(W424&lt;=0, "0.000", W424)</f>
        <v>0.000</v>
      </c>
      <c r="X442" s="173" t="str">
        <f t="shared" si="395"/>
        <v>0.000</v>
      </c>
      <c r="Y442" s="173" t="str">
        <f t="shared" si="395"/>
        <v>0.000</v>
      </c>
      <c r="Z442" s="173" t="str">
        <f t="shared" si="395"/>
        <v>0.000</v>
      </c>
      <c r="AA442" s="173" t="str">
        <f t="shared" si="395"/>
        <v>0.000</v>
      </c>
      <c r="AB442" s="173" t="str">
        <f t="shared" si="395"/>
        <v>0.000</v>
      </c>
      <c r="AC442" s="173" t="str">
        <f t="shared" si="395"/>
        <v>0.000</v>
      </c>
      <c r="AD442" s="173" t="str">
        <f t="shared" si="395"/>
        <v>0.000</v>
      </c>
      <c r="AE442" s="173" t="str">
        <f t="shared" si="395"/>
        <v>0.000</v>
      </c>
      <c r="AF442" s="173" t="str">
        <f t="shared" si="395"/>
        <v>0.000</v>
      </c>
      <c r="AG442" s="173" t="str">
        <f t="shared" si="395"/>
        <v>0.000</v>
      </c>
      <c r="AH442" s="173" t="str">
        <f t="shared" si="395"/>
        <v>0.000</v>
      </c>
      <c r="AI442" s="173" t="str">
        <f t="shared" si="395"/>
        <v>0.000</v>
      </c>
      <c r="AJ442" s="173" t="str">
        <f t="shared" si="395"/>
        <v>0.000</v>
      </c>
      <c r="AK442" s="173" t="str">
        <f t="shared" si="395"/>
        <v>0.000</v>
      </c>
      <c r="AL442" s="4"/>
      <c r="AM442" s="43">
        <v>426</v>
      </c>
      <c r="AN442">
        <v>652.31713012234752</v>
      </c>
      <c r="AO442">
        <v>47.460193323658132</v>
      </c>
      <c r="AP442">
        <v>56.936102702223138</v>
      </c>
      <c r="AQ442">
        <v>337.08132896990605</v>
      </c>
      <c r="AR442">
        <v>47.16172013237896</v>
      </c>
      <c r="AS442">
        <v>368.47269400725139</v>
      </c>
      <c r="AT442">
        <v>23.864673183175725</v>
      </c>
      <c r="AU442">
        <v>-35.503507239923387</v>
      </c>
      <c r="AV442"/>
      <c r="AW442"/>
      <c r="FY442" s="212">
        <v>437</v>
      </c>
      <c r="FZ442">
        <v>45.665124273835033</v>
      </c>
      <c r="GA442">
        <v>129.47362447413087</v>
      </c>
      <c r="GB442">
        <v>76.92674197984141</v>
      </c>
      <c r="GC442">
        <v>22.287589056327455</v>
      </c>
      <c r="GD442">
        <v>12.862473436090013</v>
      </c>
      <c r="GE442">
        <v>16.502009937503658</v>
      </c>
      <c r="GF442">
        <v>24.529992586129438</v>
      </c>
      <c r="GG442">
        <v>22.08984834951049</v>
      </c>
      <c r="GH442">
        <v>16.290924985056659</v>
      </c>
      <c r="GI442">
        <v>40.379175750888351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91"/>
        <v>51.612443755704355</v>
      </c>
      <c r="D443" s="191">
        <f>A$407</f>
        <v>4.03</v>
      </c>
      <c r="E443" s="8"/>
      <c r="F443" s="124"/>
      <c r="G443" s="173">
        <f t="shared" si="392"/>
        <v>3.4033780273908701E-2</v>
      </c>
      <c r="H443" s="173">
        <f t="shared" ref="H443:V443" si="396">IF(H425&lt;=0, "0.000", H425)</f>
        <v>1.9022285083922543</v>
      </c>
      <c r="I443" s="173">
        <f t="shared" si="396"/>
        <v>16.721636282484404</v>
      </c>
      <c r="J443" s="173">
        <f t="shared" si="396"/>
        <v>15.900082107247414</v>
      </c>
      <c r="K443" s="173">
        <f t="shared" si="396"/>
        <v>0.99755394450359669</v>
      </c>
      <c r="L443" s="173">
        <f t="shared" si="396"/>
        <v>3.301974204345171</v>
      </c>
      <c r="M443" s="173">
        <f t="shared" si="396"/>
        <v>3.8220454793674681</v>
      </c>
      <c r="N443" s="173">
        <f t="shared" si="396"/>
        <v>5.9613458089353157</v>
      </c>
      <c r="O443" s="173">
        <f t="shared" si="396"/>
        <v>0.49654880791014117</v>
      </c>
      <c r="P443" s="173">
        <f t="shared" si="396"/>
        <v>2.4749948322446924</v>
      </c>
      <c r="Q443" s="173" t="str">
        <f t="shared" si="396"/>
        <v>0.000</v>
      </c>
      <c r="R443" s="173" t="str">
        <f t="shared" si="396"/>
        <v>0.000</v>
      </c>
      <c r="S443" s="173" t="str">
        <f t="shared" si="396"/>
        <v>0.000</v>
      </c>
      <c r="T443" s="173" t="str">
        <f t="shared" si="396"/>
        <v>0.000</v>
      </c>
      <c r="U443" s="173" t="str">
        <f t="shared" si="396"/>
        <v>0.000</v>
      </c>
      <c r="V443" s="173" t="str">
        <f t="shared" si="396"/>
        <v>0.000</v>
      </c>
      <c r="W443" s="173" t="str">
        <f t="shared" ref="W443:AK443" si="397">IF(W425&lt;=0, "0.000", W425)</f>
        <v>0.000</v>
      </c>
      <c r="X443" s="173" t="str">
        <f t="shared" si="397"/>
        <v>0.000</v>
      </c>
      <c r="Y443" s="173" t="str">
        <f t="shared" si="397"/>
        <v>0.000</v>
      </c>
      <c r="Z443" s="173" t="str">
        <f t="shared" si="397"/>
        <v>0.000</v>
      </c>
      <c r="AA443" s="173" t="str">
        <f t="shared" si="397"/>
        <v>0.000</v>
      </c>
      <c r="AB443" s="173" t="str">
        <f t="shared" si="397"/>
        <v>0.000</v>
      </c>
      <c r="AC443" s="173" t="str">
        <f t="shared" si="397"/>
        <v>0.000</v>
      </c>
      <c r="AD443" s="173" t="str">
        <f t="shared" si="397"/>
        <v>0.000</v>
      </c>
      <c r="AE443" s="173" t="str">
        <f t="shared" si="397"/>
        <v>0.000</v>
      </c>
      <c r="AF443" s="173" t="str">
        <f t="shared" si="397"/>
        <v>0.000</v>
      </c>
      <c r="AG443" s="173" t="str">
        <f t="shared" si="397"/>
        <v>0.000</v>
      </c>
      <c r="AH443" s="173" t="str">
        <f t="shared" si="397"/>
        <v>0.000</v>
      </c>
      <c r="AI443" s="173" t="str">
        <f t="shared" si="397"/>
        <v>0.000</v>
      </c>
      <c r="AJ443" s="173" t="str">
        <f t="shared" si="397"/>
        <v>0.000</v>
      </c>
      <c r="AK443" s="173" t="str">
        <f t="shared" si="397"/>
        <v>0.000</v>
      </c>
      <c r="AL443" s="4"/>
      <c r="AM443" s="43">
        <v>427</v>
      </c>
      <c r="AN443">
        <v>794.6276301111742</v>
      </c>
      <c r="AO443">
        <v>52.516848080799889</v>
      </c>
      <c r="AP443">
        <v>84.422377040543466</v>
      </c>
      <c r="AQ443">
        <v>376.37713378951474</v>
      </c>
      <c r="AR443">
        <v>51.987010039164112</v>
      </c>
      <c r="AS443">
        <v>428.24202783840752</v>
      </c>
      <c r="AT443">
        <v>26.175038278197913</v>
      </c>
      <c r="AU443">
        <v>-44.872437406049869</v>
      </c>
      <c r="AV443"/>
      <c r="AW443"/>
      <c r="FY443" s="212">
        <v>438</v>
      </c>
      <c r="FZ443">
        <v>36.799844207713896</v>
      </c>
      <c r="GA443">
        <v>110.94274662102852</v>
      </c>
      <c r="GB443">
        <v>63.926873136384756</v>
      </c>
      <c r="GC443">
        <v>20.846875031002391</v>
      </c>
      <c r="GD443">
        <v>13.135208064881637</v>
      </c>
      <c r="GE443">
        <v>18.777243901267926</v>
      </c>
      <c r="GF443">
        <v>22.871810379679456</v>
      </c>
      <c r="GG443">
        <v>21.360511555856611</v>
      </c>
      <c r="GH443">
        <v>24.057045396597442</v>
      </c>
      <c r="GI443">
        <v>36.887258378989699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391"/>
        <v>18.749884459265829</v>
      </c>
      <c r="D444" s="191">
        <f>A$408</f>
        <v>0.78</v>
      </c>
      <c r="E444" s="8"/>
      <c r="F444" s="124"/>
      <c r="G444" s="173">
        <f t="shared" si="392"/>
        <v>1.2830951970188992E-2</v>
      </c>
      <c r="H444" s="173">
        <f t="shared" ref="H444:V444" si="398">IF(H426&lt;=0, "0.000", H426)</f>
        <v>0.9380633014776012</v>
      </c>
      <c r="I444" s="173">
        <f t="shared" si="398"/>
        <v>10.186000332392082</v>
      </c>
      <c r="J444" s="173">
        <f t="shared" si="398"/>
        <v>6.7966754037884343</v>
      </c>
      <c r="K444" s="173">
        <f t="shared" si="398"/>
        <v>0.26093004397901798</v>
      </c>
      <c r="L444" s="173">
        <f t="shared" si="398"/>
        <v>0.17936166060242573</v>
      </c>
      <c r="M444" s="173">
        <f t="shared" si="398"/>
        <v>0.3760227650560769</v>
      </c>
      <c r="N444" s="173" t="str">
        <f t="shared" si="398"/>
        <v>0.000</v>
      </c>
      <c r="O444" s="173" t="str">
        <f t="shared" si="398"/>
        <v>0.000</v>
      </c>
      <c r="P444" s="173" t="str">
        <f t="shared" si="398"/>
        <v>0.000</v>
      </c>
      <c r="Q444" s="173" t="str">
        <f t="shared" si="398"/>
        <v>0.000</v>
      </c>
      <c r="R444" s="173" t="str">
        <f t="shared" si="398"/>
        <v>0.000</v>
      </c>
      <c r="S444" s="173" t="str">
        <f t="shared" si="398"/>
        <v>0.000</v>
      </c>
      <c r="T444" s="173" t="str">
        <f t="shared" si="398"/>
        <v>0.000</v>
      </c>
      <c r="U444" s="173" t="str">
        <f t="shared" si="398"/>
        <v>0.000</v>
      </c>
      <c r="V444" s="173" t="str">
        <f t="shared" si="398"/>
        <v>0.000</v>
      </c>
      <c r="W444" s="173" t="str">
        <f t="shared" ref="W444:AK444" si="399">IF(W426&lt;=0, "0.000", W426)</f>
        <v>0.000</v>
      </c>
      <c r="X444" s="173" t="str">
        <f t="shared" si="399"/>
        <v>0.000</v>
      </c>
      <c r="Y444" s="173" t="str">
        <f t="shared" si="399"/>
        <v>0.000</v>
      </c>
      <c r="Z444" s="173" t="str">
        <f t="shared" si="399"/>
        <v>0.000</v>
      </c>
      <c r="AA444" s="173" t="str">
        <f t="shared" si="399"/>
        <v>0.000</v>
      </c>
      <c r="AB444" s="173" t="str">
        <f t="shared" si="399"/>
        <v>0.000</v>
      </c>
      <c r="AC444" s="173" t="str">
        <f t="shared" si="399"/>
        <v>0.000</v>
      </c>
      <c r="AD444" s="173" t="str">
        <f t="shared" si="399"/>
        <v>0.000</v>
      </c>
      <c r="AE444" s="173" t="str">
        <f t="shared" si="399"/>
        <v>0.000</v>
      </c>
      <c r="AF444" s="173" t="str">
        <f t="shared" si="399"/>
        <v>0.000</v>
      </c>
      <c r="AG444" s="173" t="str">
        <f t="shared" si="399"/>
        <v>0.000</v>
      </c>
      <c r="AH444" s="173" t="str">
        <f t="shared" si="399"/>
        <v>0.000</v>
      </c>
      <c r="AI444" s="173" t="str">
        <f t="shared" si="399"/>
        <v>0.000</v>
      </c>
      <c r="AJ444" s="173" t="str">
        <f t="shared" si="399"/>
        <v>0.000</v>
      </c>
      <c r="AK444" s="173" t="str">
        <f t="shared" si="399"/>
        <v>0.000</v>
      </c>
      <c r="AL444" s="4"/>
      <c r="AM444" s="43">
        <v>428</v>
      </c>
      <c r="AN444">
        <v>756.95389187616058</v>
      </c>
      <c r="AO444">
        <v>47.404266993389356</v>
      </c>
      <c r="AP444">
        <v>53.242318121228848</v>
      </c>
      <c r="AQ444">
        <v>332.7703348887884</v>
      </c>
      <c r="AR444">
        <v>47.163560908732592</v>
      </c>
      <c r="AS444">
        <v>395.18395923264751</v>
      </c>
      <c r="AT444">
        <v>24.796846436347224</v>
      </c>
      <c r="AU444">
        <v>-42.094082290639307</v>
      </c>
      <c r="AV444"/>
      <c r="AW444"/>
      <c r="FY444" s="212">
        <v>439</v>
      </c>
      <c r="FZ444">
        <v>54.592480656224076</v>
      </c>
      <c r="GA444">
        <v>119.41127748323359</v>
      </c>
      <c r="GB444">
        <v>67.46621608703262</v>
      </c>
      <c r="GC444">
        <v>20.709969319557942</v>
      </c>
      <c r="GD444">
        <v>8.5785768828075604</v>
      </c>
      <c r="GE444">
        <v>8.9434709169037152</v>
      </c>
      <c r="GF444">
        <v>22.860642739493187</v>
      </c>
      <c r="GG444">
        <v>24.987135966886058</v>
      </c>
      <c r="GH444">
        <v>19.551050846480834</v>
      </c>
      <c r="GI444">
        <v>37.114994807768838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91"/>
        <v>9.6807028614258943</v>
      </c>
      <c r="D445" s="191">
        <f>A$409</f>
        <v>0.14000000000000001</v>
      </c>
      <c r="E445" s="8"/>
      <c r="F445" s="124"/>
      <c r="G445" s="173">
        <f t="shared" si="392"/>
        <v>8.7966438280466623E-3</v>
      </c>
      <c r="H445" s="173">
        <f t="shared" ref="H445:V445" si="400">IF(H427&lt;=0, "0.000", H427)</f>
        <v>0.56198518904042361</v>
      </c>
      <c r="I445" s="173">
        <f t="shared" si="400"/>
        <v>4.2131609847530882</v>
      </c>
      <c r="J445" s="173">
        <f t="shared" si="400"/>
        <v>3.2698745292353792</v>
      </c>
      <c r="K445" s="173">
        <f t="shared" si="400"/>
        <v>0.79958394299692503</v>
      </c>
      <c r="L445" s="173">
        <f t="shared" si="400"/>
        <v>0.41017027606026407</v>
      </c>
      <c r="M445" s="173">
        <f t="shared" si="400"/>
        <v>0.41713129551176747</v>
      </c>
      <c r="N445" s="173" t="str">
        <f t="shared" si="400"/>
        <v>0.000</v>
      </c>
      <c r="O445" s="173" t="str">
        <f t="shared" si="400"/>
        <v>0.000</v>
      </c>
      <c r="P445" s="173" t="str">
        <f t="shared" si="400"/>
        <v>0.000</v>
      </c>
      <c r="Q445" s="173" t="str">
        <f t="shared" si="400"/>
        <v>0.000</v>
      </c>
      <c r="R445" s="173" t="str">
        <f t="shared" si="400"/>
        <v>0.000</v>
      </c>
      <c r="S445" s="173" t="str">
        <f t="shared" si="400"/>
        <v>0.000</v>
      </c>
      <c r="T445" s="173" t="str">
        <f t="shared" si="400"/>
        <v>0.000</v>
      </c>
      <c r="U445" s="173" t="str">
        <f t="shared" si="400"/>
        <v>0.000</v>
      </c>
      <c r="V445" s="173" t="str">
        <f t="shared" si="400"/>
        <v>0.000</v>
      </c>
      <c r="W445" s="173" t="str">
        <f t="shared" ref="W445:AK445" si="401">IF(W427&lt;=0, "0.000", W427)</f>
        <v>0.000</v>
      </c>
      <c r="X445" s="173" t="str">
        <f t="shared" si="401"/>
        <v>0.000</v>
      </c>
      <c r="Y445" s="173" t="str">
        <f t="shared" si="401"/>
        <v>0.000</v>
      </c>
      <c r="Z445" s="173" t="str">
        <f t="shared" si="401"/>
        <v>0.000</v>
      </c>
      <c r="AA445" s="173" t="str">
        <f t="shared" si="401"/>
        <v>0.000</v>
      </c>
      <c r="AB445" s="173" t="str">
        <f t="shared" si="401"/>
        <v>0.000</v>
      </c>
      <c r="AC445" s="173" t="str">
        <f t="shared" si="401"/>
        <v>0.000</v>
      </c>
      <c r="AD445" s="173" t="str">
        <f t="shared" si="401"/>
        <v>0.000</v>
      </c>
      <c r="AE445" s="173" t="str">
        <f t="shared" si="401"/>
        <v>0.000</v>
      </c>
      <c r="AF445" s="173" t="str">
        <f t="shared" si="401"/>
        <v>0.000</v>
      </c>
      <c r="AG445" s="173" t="str">
        <f t="shared" si="401"/>
        <v>0.000</v>
      </c>
      <c r="AH445" s="173" t="str">
        <f t="shared" si="401"/>
        <v>0.000</v>
      </c>
      <c r="AI445" s="173" t="str">
        <f t="shared" si="401"/>
        <v>0.000</v>
      </c>
      <c r="AJ445" s="173" t="str">
        <f t="shared" si="401"/>
        <v>0.000</v>
      </c>
      <c r="AK445" s="173" t="str">
        <f t="shared" si="401"/>
        <v>0.000</v>
      </c>
      <c r="AL445" s="4"/>
      <c r="AM445" s="43">
        <v>429</v>
      </c>
      <c r="AN445">
        <v>680.06824708844465</v>
      </c>
      <c r="AO445">
        <v>47.894799025747737</v>
      </c>
      <c r="AP445">
        <v>49.086952125585043</v>
      </c>
      <c r="AQ445">
        <v>323.49027682892262</v>
      </c>
      <c r="AR445">
        <v>46.540842371134744</v>
      </c>
      <c r="AS445">
        <v>388.8676356567629</v>
      </c>
      <c r="AT445">
        <v>24.156730922547453</v>
      </c>
      <c r="AU445">
        <v>-66.176214378310078</v>
      </c>
      <c r="AV445"/>
      <c r="AW445"/>
      <c r="FY445" s="212">
        <v>440</v>
      </c>
      <c r="FZ445">
        <v>48.702893233194935</v>
      </c>
      <c r="GA445">
        <v>98.351666796891948</v>
      </c>
      <c r="GB445">
        <v>47.307011322682833</v>
      </c>
      <c r="GC445">
        <v>15.959022698189585</v>
      </c>
      <c r="GD445">
        <v>14.231917238118426</v>
      </c>
      <c r="GE445">
        <v>15.848024590843773</v>
      </c>
      <c r="GF445">
        <v>21.642620457784833</v>
      </c>
      <c r="GG445">
        <v>19.620903244969284</v>
      </c>
      <c r="GH445">
        <v>15.711169400980484</v>
      </c>
      <c r="GI445">
        <v>33.715325605126409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91"/>
        <v>13.213647576599961</v>
      </c>
      <c r="D446" s="191">
        <f>A$410</f>
        <v>0.21</v>
      </c>
      <c r="E446" s="8"/>
      <c r="F446" s="124"/>
      <c r="G446" s="173">
        <f t="shared" si="392"/>
        <v>2.9772584641166087E-2</v>
      </c>
      <c r="H446" s="173">
        <f t="shared" ref="H446:V446" si="402">IF(H428&lt;=0, "0.000", H428)</f>
        <v>0.96044472789911706</v>
      </c>
      <c r="I446" s="173">
        <f t="shared" si="402"/>
        <v>3.0217099876415765</v>
      </c>
      <c r="J446" s="173">
        <f t="shared" si="402"/>
        <v>4.1071982033977283</v>
      </c>
      <c r="K446" s="173">
        <f t="shared" si="402"/>
        <v>2.2274400932403622</v>
      </c>
      <c r="L446" s="173">
        <f t="shared" si="402"/>
        <v>1.3858445638686832</v>
      </c>
      <c r="M446" s="173">
        <f t="shared" si="402"/>
        <v>1.4812374159113249</v>
      </c>
      <c r="N446" s="173" t="str">
        <f t="shared" si="402"/>
        <v>0.000</v>
      </c>
      <c r="O446" s="173" t="str">
        <f t="shared" si="402"/>
        <v>0.000</v>
      </c>
      <c r="P446" s="173" t="str">
        <f t="shared" si="402"/>
        <v>0.000</v>
      </c>
      <c r="Q446" s="173" t="str">
        <f t="shared" si="402"/>
        <v>0.000</v>
      </c>
      <c r="R446" s="173" t="str">
        <f t="shared" si="402"/>
        <v>0.000</v>
      </c>
      <c r="S446" s="173" t="str">
        <f t="shared" si="402"/>
        <v>0.000</v>
      </c>
      <c r="T446" s="173" t="str">
        <f t="shared" si="402"/>
        <v>0.000</v>
      </c>
      <c r="U446" s="173" t="str">
        <f t="shared" si="402"/>
        <v>0.000</v>
      </c>
      <c r="V446" s="173" t="str">
        <f t="shared" si="402"/>
        <v>0.000</v>
      </c>
      <c r="W446" s="173" t="str">
        <f t="shared" ref="W446:AK446" si="403">IF(W428&lt;=0, "0.000", W428)</f>
        <v>0.000</v>
      </c>
      <c r="X446" s="173" t="str">
        <f t="shared" si="403"/>
        <v>0.000</v>
      </c>
      <c r="Y446" s="173" t="str">
        <f t="shared" si="403"/>
        <v>0.000</v>
      </c>
      <c r="Z446" s="173" t="str">
        <f t="shared" si="403"/>
        <v>0.000</v>
      </c>
      <c r="AA446" s="173" t="str">
        <f t="shared" si="403"/>
        <v>0.000</v>
      </c>
      <c r="AB446" s="173" t="str">
        <f t="shared" si="403"/>
        <v>0.000</v>
      </c>
      <c r="AC446" s="173" t="str">
        <f t="shared" si="403"/>
        <v>0.000</v>
      </c>
      <c r="AD446" s="173" t="str">
        <f t="shared" si="403"/>
        <v>0.000</v>
      </c>
      <c r="AE446" s="173" t="str">
        <f t="shared" si="403"/>
        <v>0.000</v>
      </c>
      <c r="AF446" s="173" t="str">
        <f t="shared" si="403"/>
        <v>0.000</v>
      </c>
      <c r="AG446" s="173" t="str">
        <f t="shared" si="403"/>
        <v>0.000</v>
      </c>
      <c r="AH446" s="173" t="str">
        <f t="shared" si="403"/>
        <v>0.000</v>
      </c>
      <c r="AI446" s="173" t="str">
        <f t="shared" si="403"/>
        <v>0.000</v>
      </c>
      <c r="AJ446" s="173" t="str">
        <f t="shared" si="403"/>
        <v>0.000</v>
      </c>
      <c r="AK446" s="173" t="str">
        <f t="shared" si="403"/>
        <v>0.000</v>
      </c>
      <c r="AL446" s="4"/>
      <c r="AM446" s="43">
        <v>430</v>
      </c>
      <c r="AN446">
        <v>720.19070202256103</v>
      </c>
      <c r="AO446">
        <v>49.801570076724623</v>
      </c>
      <c r="AP446">
        <v>102.19714865519467</v>
      </c>
      <c r="AQ446">
        <v>349.11224279989983</v>
      </c>
      <c r="AR446">
        <v>48.962391793090418</v>
      </c>
      <c r="AS446">
        <v>380.36457575470052</v>
      </c>
      <c r="AT446">
        <v>23.980273737165174</v>
      </c>
      <c r="AU446">
        <v>-38.458813504772166</v>
      </c>
      <c r="AV446"/>
      <c r="AW446"/>
      <c r="FY446" s="212">
        <v>441</v>
      </c>
      <c r="FZ446">
        <v>34.623135295812816</v>
      </c>
      <c r="GA446">
        <v>75.643468334438381</v>
      </c>
      <c r="GB446">
        <v>40.747891344763737</v>
      </c>
      <c r="GC446">
        <v>16.19333660042664</v>
      </c>
      <c r="GD446">
        <v>11.638095450899966</v>
      </c>
      <c r="GE446">
        <v>13.041253676964363</v>
      </c>
      <c r="GF446">
        <v>42.181448367195458</v>
      </c>
      <c r="GG446">
        <v>46.293003825459152</v>
      </c>
      <c r="GH446">
        <v>40.291298827025393</v>
      </c>
      <c r="GI446">
        <v>36.127632322865956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91"/>
        <v>38.184351352136858</v>
      </c>
      <c r="D447" s="191">
        <f>A$411</f>
        <v>1.28</v>
      </c>
      <c r="E447" s="8"/>
      <c r="F447" s="124"/>
      <c r="G447" s="173">
        <f t="shared" si="392"/>
        <v>7.0316624525987456E-2</v>
      </c>
      <c r="H447" s="173">
        <f t="shared" ref="H447:V447" si="404">IF(H429&lt;=0, "0.000", H429)</f>
        <v>1.5652395293951613</v>
      </c>
      <c r="I447" s="173">
        <f t="shared" si="404"/>
        <v>10.592877194315617</v>
      </c>
      <c r="J447" s="173">
        <f t="shared" si="404"/>
        <v>11.380649575695974</v>
      </c>
      <c r="K447" s="173">
        <f t="shared" si="404"/>
        <v>6.5171114616886419</v>
      </c>
      <c r="L447" s="173">
        <f t="shared" si="404"/>
        <v>2.5709586728183584</v>
      </c>
      <c r="M447" s="173">
        <f t="shared" si="404"/>
        <v>5.4871982936971175</v>
      </c>
      <c r="N447" s="173" t="str">
        <f t="shared" si="404"/>
        <v>0.000</v>
      </c>
      <c r="O447" s="173" t="str">
        <f t="shared" si="404"/>
        <v>0.000</v>
      </c>
      <c r="P447" s="173" t="str">
        <f t="shared" si="404"/>
        <v>0.000</v>
      </c>
      <c r="Q447" s="173" t="str">
        <f t="shared" si="404"/>
        <v>0.000</v>
      </c>
      <c r="R447" s="173" t="str">
        <f t="shared" si="404"/>
        <v>0.000</v>
      </c>
      <c r="S447" s="173" t="str">
        <f t="shared" si="404"/>
        <v>0.000</v>
      </c>
      <c r="T447" s="173" t="str">
        <f t="shared" si="404"/>
        <v>0.000</v>
      </c>
      <c r="U447" s="173" t="str">
        <f t="shared" si="404"/>
        <v>0.000</v>
      </c>
      <c r="V447" s="173" t="str">
        <f t="shared" si="404"/>
        <v>0.000</v>
      </c>
      <c r="W447" s="173" t="str">
        <f t="shared" ref="W447:AK447" si="405">IF(W429&lt;=0, "0.000", W429)</f>
        <v>0.000</v>
      </c>
      <c r="X447" s="173" t="str">
        <f t="shared" si="405"/>
        <v>0.000</v>
      </c>
      <c r="Y447" s="173" t="str">
        <f t="shared" si="405"/>
        <v>0.000</v>
      </c>
      <c r="Z447" s="173" t="str">
        <f t="shared" si="405"/>
        <v>0.000</v>
      </c>
      <c r="AA447" s="173" t="str">
        <f t="shared" si="405"/>
        <v>0.000</v>
      </c>
      <c r="AB447" s="173" t="str">
        <f t="shared" si="405"/>
        <v>0.000</v>
      </c>
      <c r="AC447" s="173" t="str">
        <f t="shared" si="405"/>
        <v>0.000</v>
      </c>
      <c r="AD447" s="173" t="str">
        <f t="shared" si="405"/>
        <v>0.000</v>
      </c>
      <c r="AE447" s="173" t="str">
        <f t="shared" si="405"/>
        <v>0.000</v>
      </c>
      <c r="AF447" s="173" t="str">
        <f t="shared" si="405"/>
        <v>0.000</v>
      </c>
      <c r="AG447" s="173" t="str">
        <f t="shared" si="405"/>
        <v>0.000</v>
      </c>
      <c r="AH447" s="173" t="str">
        <f t="shared" si="405"/>
        <v>0.000</v>
      </c>
      <c r="AI447" s="173" t="str">
        <f t="shared" si="405"/>
        <v>0.000</v>
      </c>
      <c r="AJ447" s="173" t="str">
        <f t="shared" si="405"/>
        <v>0.000</v>
      </c>
      <c r="AK447" s="173" t="str">
        <f t="shared" si="405"/>
        <v>0.000</v>
      </c>
      <c r="AL447" s="4"/>
      <c r="AM447" s="43">
        <v>431</v>
      </c>
      <c r="AN447">
        <v>713.16346550507035</v>
      </c>
      <c r="AO447">
        <v>45.036882306250391</v>
      </c>
      <c r="AP447">
        <v>57.526767455459606</v>
      </c>
      <c r="AQ447">
        <v>313.40497564921236</v>
      </c>
      <c r="AR447">
        <v>44.604509400262003</v>
      </c>
      <c r="AS447">
        <v>375.15249999329279</v>
      </c>
      <c r="AT447">
        <v>22.637030859212015</v>
      </c>
      <c r="AU447">
        <v>-53.770914545290118</v>
      </c>
      <c r="AV447"/>
      <c r="AW447"/>
      <c r="FY447" s="212">
        <v>442</v>
      </c>
      <c r="FZ447">
        <v>49.34663546609675</v>
      </c>
      <c r="GA447">
        <v>98.73195941920693</v>
      </c>
      <c r="GB447">
        <v>57.578302333302744</v>
      </c>
      <c r="GC447">
        <v>19.908057121190577</v>
      </c>
      <c r="GD447">
        <v>12.683414630953605</v>
      </c>
      <c r="GE447">
        <v>17.557666561316015</v>
      </c>
      <c r="GF447">
        <v>30.388988625854957</v>
      </c>
      <c r="GG447">
        <v>26.075331549003806</v>
      </c>
      <c r="GH447">
        <v>22.574556384111151</v>
      </c>
      <c r="GI447">
        <v>38.131840719737632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91"/>
        <v>35.563624513124068</v>
      </c>
      <c r="D448" s="191">
        <f>A$412</f>
        <v>4</v>
      </c>
      <c r="E448" s="8"/>
      <c r="F448" s="124"/>
      <c r="G448" s="173">
        <f t="shared" si="392"/>
        <v>4.4767203109653216E-2</v>
      </c>
      <c r="H448" s="173">
        <f t="shared" ref="H448:V448" si="406">IF(H430&lt;=0, "0.000", H430)</f>
        <v>1.0483597716148789</v>
      </c>
      <c r="I448" s="173">
        <f t="shared" si="406"/>
        <v>10.785307681771412</v>
      </c>
      <c r="J448" s="173">
        <f t="shared" si="406"/>
        <v>10.100940341626524</v>
      </c>
      <c r="K448" s="173">
        <f t="shared" si="406"/>
        <v>5.935321844402675</v>
      </c>
      <c r="L448" s="173">
        <f t="shared" si="406"/>
        <v>2.0861179229657316</v>
      </c>
      <c r="M448" s="173">
        <f t="shared" si="406"/>
        <v>5.5628097476331959</v>
      </c>
      <c r="N448" s="173" t="str">
        <f t="shared" si="406"/>
        <v>0.000</v>
      </c>
      <c r="O448" s="173" t="str">
        <f t="shared" si="406"/>
        <v>0.000</v>
      </c>
      <c r="P448" s="173" t="str">
        <f t="shared" si="406"/>
        <v>0.000</v>
      </c>
      <c r="Q448" s="173" t="str">
        <f t="shared" si="406"/>
        <v>0.000</v>
      </c>
      <c r="R448" s="173" t="str">
        <f t="shared" si="406"/>
        <v>0.000</v>
      </c>
      <c r="S448" s="173" t="str">
        <f t="shared" si="406"/>
        <v>0.000</v>
      </c>
      <c r="T448" s="173" t="str">
        <f t="shared" si="406"/>
        <v>0.000</v>
      </c>
      <c r="U448" s="173" t="str">
        <f t="shared" si="406"/>
        <v>0.000</v>
      </c>
      <c r="V448" s="173" t="str">
        <f t="shared" si="406"/>
        <v>0.000</v>
      </c>
      <c r="W448" s="173" t="str">
        <f t="shared" ref="W448:AK448" si="407">IF(W430&lt;=0, "0.000", W430)</f>
        <v>0.000</v>
      </c>
      <c r="X448" s="173" t="str">
        <f t="shared" si="407"/>
        <v>0.000</v>
      </c>
      <c r="Y448" s="173" t="str">
        <f t="shared" si="407"/>
        <v>0.000</v>
      </c>
      <c r="Z448" s="173" t="str">
        <f t="shared" si="407"/>
        <v>0.000</v>
      </c>
      <c r="AA448" s="173" t="str">
        <f t="shared" si="407"/>
        <v>0.000</v>
      </c>
      <c r="AB448" s="173" t="str">
        <f t="shared" si="407"/>
        <v>0.000</v>
      </c>
      <c r="AC448" s="173" t="str">
        <f t="shared" si="407"/>
        <v>0.000</v>
      </c>
      <c r="AD448" s="173" t="str">
        <f t="shared" si="407"/>
        <v>0.000</v>
      </c>
      <c r="AE448" s="173" t="str">
        <f t="shared" si="407"/>
        <v>0.000</v>
      </c>
      <c r="AF448" s="173" t="str">
        <f t="shared" si="407"/>
        <v>0.000</v>
      </c>
      <c r="AG448" s="173" t="str">
        <f t="shared" si="407"/>
        <v>0.000</v>
      </c>
      <c r="AH448" s="173" t="str">
        <f t="shared" si="407"/>
        <v>0.000</v>
      </c>
      <c r="AI448" s="173" t="str">
        <f t="shared" si="407"/>
        <v>0.000</v>
      </c>
      <c r="AJ448" s="173" t="str">
        <f t="shared" si="407"/>
        <v>0.000</v>
      </c>
      <c r="AK448" s="173" t="str">
        <f t="shared" si="407"/>
        <v>0.000</v>
      </c>
      <c r="AL448" s="4"/>
      <c r="AM448" s="43">
        <v>432</v>
      </c>
      <c r="AN448">
        <v>733.55842284546691</v>
      </c>
      <c r="AO448">
        <v>50.677325894038816</v>
      </c>
      <c r="AP448">
        <v>84.964227098776689</v>
      </c>
      <c r="AQ448">
        <v>367.24520455511669</v>
      </c>
      <c r="AR448">
        <v>51.058997350133723</v>
      </c>
      <c r="AS448">
        <v>408.54787036403042</v>
      </c>
      <c r="AT448">
        <v>27.301818802434454</v>
      </c>
      <c r="AU448">
        <v>-49.670657653330821</v>
      </c>
      <c r="AV448"/>
      <c r="AW448"/>
      <c r="FY448" s="212">
        <v>443</v>
      </c>
      <c r="FZ448">
        <v>44.685972950576357</v>
      </c>
      <c r="GA448">
        <v>144.39416914391944</v>
      </c>
      <c r="GB448">
        <v>75.024332579202635</v>
      </c>
      <c r="GC448">
        <v>19.187131518999028</v>
      </c>
      <c r="GD448">
        <v>16.07954972291045</v>
      </c>
      <c r="GE448">
        <v>20.728602495534712</v>
      </c>
      <c r="GF448">
        <v>32.053680556623121</v>
      </c>
      <c r="GG448">
        <v>31.029565697627774</v>
      </c>
      <c r="GH448">
        <v>17.143325407635896</v>
      </c>
      <c r="GI448">
        <v>43.105303992715449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91"/>
        <v>27.833705939274193</v>
      </c>
      <c r="D449" s="191">
        <f>A$413</f>
        <v>7.33</v>
      </c>
      <c r="E449" s="8"/>
      <c r="F449" s="124"/>
      <c r="G449" s="173" t="str">
        <f t="shared" si="392"/>
        <v>0.000</v>
      </c>
      <c r="H449" s="173">
        <f t="shared" ref="H449:V449" si="408">IF(H431&lt;=0, "0.000", H431)</f>
        <v>0.16186784502010973</v>
      </c>
      <c r="I449" s="173">
        <f t="shared" si="408"/>
        <v>5.4059677400133763</v>
      </c>
      <c r="J449" s="173">
        <f t="shared" si="408"/>
        <v>7.1626249200565031</v>
      </c>
      <c r="K449" s="173">
        <f t="shared" si="408"/>
        <v>5.1911888183752426</v>
      </c>
      <c r="L449" s="173">
        <f t="shared" si="408"/>
        <v>1.2978500154739241</v>
      </c>
      <c r="M449" s="173">
        <f t="shared" si="408"/>
        <v>8.6142066003350379</v>
      </c>
      <c r="N449" s="173" t="str">
        <f t="shared" si="408"/>
        <v>0.000</v>
      </c>
      <c r="O449" s="173" t="str">
        <f t="shared" si="408"/>
        <v>0.000</v>
      </c>
      <c r="P449" s="173" t="str">
        <f t="shared" si="408"/>
        <v>0.000</v>
      </c>
      <c r="Q449" s="173" t="str">
        <f t="shared" si="408"/>
        <v>0.000</v>
      </c>
      <c r="R449" s="173" t="str">
        <f t="shared" si="408"/>
        <v>0.000</v>
      </c>
      <c r="S449" s="173" t="str">
        <f t="shared" si="408"/>
        <v>0.000</v>
      </c>
      <c r="T449" s="173" t="str">
        <f t="shared" si="408"/>
        <v>0.000</v>
      </c>
      <c r="U449" s="173" t="str">
        <f t="shared" si="408"/>
        <v>0.000</v>
      </c>
      <c r="V449" s="173" t="str">
        <f t="shared" si="408"/>
        <v>0.000</v>
      </c>
      <c r="W449" s="173" t="str">
        <f t="shared" ref="W449:AK449" si="409">IF(W431&lt;=0, "0.000", W431)</f>
        <v>0.000</v>
      </c>
      <c r="X449" s="173" t="str">
        <f t="shared" si="409"/>
        <v>0.000</v>
      </c>
      <c r="Y449" s="173" t="str">
        <f t="shared" si="409"/>
        <v>0.000</v>
      </c>
      <c r="Z449" s="173" t="str">
        <f t="shared" si="409"/>
        <v>0.000</v>
      </c>
      <c r="AA449" s="173" t="str">
        <f t="shared" si="409"/>
        <v>0.000</v>
      </c>
      <c r="AB449" s="173" t="str">
        <f t="shared" si="409"/>
        <v>0.000</v>
      </c>
      <c r="AC449" s="173" t="str">
        <f t="shared" si="409"/>
        <v>0.000</v>
      </c>
      <c r="AD449" s="173" t="str">
        <f t="shared" si="409"/>
        <v>0.000</v>
      </c>
      <c r="AE449" s="173" t="str">
        <f t="shared" si="409"/>
        <v>0.000</v>
      </c>
      <c r="AF449" s="173" t="str">
        <f t="shared" si="409"/>
        <v>0.000</v>
      </c>
      <c r="AG449" s="173" t="str">
        <f t="shared" si="409"/>
        <v>0.000</v>
      </c>
      <c r="AH449" s="173" t="str">
        <f t="shared" si="409"/>
        <v>0.000</v>
      </c>
      <c r="AI449" s="173" t="str">
        <f t="shared" si="409"/>
        <v>0.000</v>
      </c>
      <c r="AJ449" s="173" t="str">
        <f t="shared" si="409"/>
        <v>0.000</v>
      </c>
      <c r="AK449" s="173" t="str">
        <f t="shared" si="409"/>
        <v>0.000</v>
      </c>
      <c r="AL449" s="4"/>
      <c r="AM449" s="43">
        <v>433</v>
      </c>
      <c r="AN449">
        <v>691.2786055055999</v>
      </c>
      <c r="AO449">
        <v>48.943912992835052</v>
      </c>
      <c r="AP449">
        <v>68.141392441306806</v>
      </c>
      <c r="AQ449">
        <v>366.34433830677472</v>
      </c>
      <c r="AR449">
        <v>48.373914724917896</v>
      </c>
      <c r="AS449">
        <v>385.7887022226613</v>
      </c>
      <c r="AT449">
        <v>24.57516706365071</v>
      </c>
      <c r="AU449">
        <v>-77.50722217822215</v>
      </c>
      <c r="AV449"/>
      <c r="AW449"/>
      <c r="FY449" s="212">
        <v>444</v>
      </c>
      <c r="FZ449">
        <v>52.280238177398729</v>
      </c>
      <c r="GA449">
        <v>72.782499411149104</v>
      </c>
      <c r="GB449">
        <v>44.587774687920998</v>
      </c>
      <c r="GC449">
        <v>21.546348548821427</v>
      </c>
      <c r="GD449">
        <v>11.165595802806067</v>
      </c>
      <c r="GE449">
        <v>12.974692357692613</v>
      </c>
      <c r="GF449">
        <v>17.334137034956463</v>
      </c>
      <c r="GG449">
        <v>20.924135220598227</v>
      </c>
      <c r="GH449">
        <v>31.294023074219812</v>
      </c>
      <c r="GI449">
        <v>33.415569859075603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91"/>
        <v>36.601084066840329</v>
      </c>
      <c r="D450" s="191">
        <f>A$414</f>
        <v>10.51</v>
      </c>
      <c r="E450" s="8"/>
      <c r="F450" s="124"/>
      <c r="G450" s="173">
        <f t="shared" si="392"/>
        <v>2.588595344104842E-2</v>
      </c>
      <c r="H450" s="173">
        <f t="shared" ref="H450:V450" si="410">IF(H432&lt;=0, "0.000", H432)</f>
        <v>1.1040678331335314</v>
      </c>
      <c r="I450" s="173">
        <f t="shared" si="410"/>
        <v>9.9366723723614232</v>
      </c>
      <c r="J450" s="173">
        <f t="shared" si="410"/>
        <v>10.577861001738897</v>
      </c>
      <c r="K450" s="173">
        <f t="shared" si="410"/>
        <v>5.2867362076122388</v>
      </c>
      <c r="L450" s="173">
        <f t="shared" si="410"/>
        <v>2.7932209137312167</v>
      </c>
      <c r="M450" s="173">
        <f t="shared" si="410"/>
        <v>4.4026620524426052</v>
      </c>
      <c r="N450" s="173">
        <f t="shared" si="410"/>
        <v>1.6455848240877184</v>
      </c>
      <c r="O450" s="173">
        <f t="shared" si="410"/>
        <v>0.13325163943137203</v>
      </c>
      <c r="P450" s="173">
        <f t="shared" si="410"/>
        <v>0.69514126886027716</v>
      </c>
      <c r="Q450" s="173" t="str">
        <f t="shared" si="410"/>
        <v>0.000</v>
      </c>
      <c r="R450" s="173" t="str">
        <f t="shared" si="410"/>
        <v>0.000</v>
      </c>
      <c r="S450" s="173" t="str">
        <f t="shared" si="410"/>
        <v>0.000</v>
      </c>
      <c r="T450" s="173" t="str">
        <f t="shared" si="410"/>
        <v>0.000</v>
      </c>
      <c r="U450" s="173" t="str">
        <f t="shared" si="410"/>
        <v>0.000</v>
      </c>
      <c r="V450" s="173" t="str">
        <f t="shared" si="410"/>
        <v>0.000</v>
      </c>
      <c r="W450" s="173" t="str">
        <f t="shared" ref="W450:AK450" si="411">IF(W432&lt;=0, "0.000", W432)</f>
        <v>0.000</v>
      </c>
      <c r="X450" s="173" t="str">
        <f t="shared" si="411"/>
        <v>0.000</v>
      </c>
      <c r="Y450" s="173" t="str">
        <f t="shared" si="411"/>
        <v>0.000</v>
      </c>
      <c r="Z450" s="173" t="str">
        <f t="shared" si="411"/>
        <v>0.000</v>
      </c>
      <c r="AA450" s="173" t="str">
        <f t="shared" si="411"/>
        <v>0.000</v>
      </c>
      <c r="AB450" s="173" t="str">
        <f t="shared" si="411"/>
        <v>0.000</v>
      </c>
      <c r="AC450" s="173" t="str">
        <f t="shared" si="411"/>
        <v>0.000</v>
      </c>
      <c r="AD450" s="173" t="str">
        <f t="shared" si="411"/>
        <v>0.000</v>
      </c>
      <c r="AE450" s="173" t="str">
        <f t="shared" si="411"/>
        <v>0.000</v>
      </c>
      <c r="AF450" s="173" t="str">
        <f t="shared" si="411"/>
        <v>0.000</v>
      </c>
      <c r="AG450" s="173" t="str">
        <f t="shared" si="411"/>
        <v>0.000</v>
      </c>
      <c r="AH450" s="173" t="str">
        <f t="shared" si="411"/>
        <v>0.000</v>
      </c>
      <c r="AI450" s="173" t="str">
        <f t="shared" si="411"/>
        <v>0.000</v>
      </c>
      <c r="AJ450" s="173" t="str">
        <f t="shared" si="411"/>
        <v>0.000</v>
      </c>
      <c r="AK450" s="173" t="str">
        <f t="shared" si="411"/>
        <v>0.000</v>
      </c>
      <c r="AL450" s="4"/>
      <c r="AM450" s="43">
        <v>434</v>
      </c>
      <c r="AN450">
        <v>843.67546350295038</v>
      </c>
      <c r="AO450">
        <v>54.809222912015358</v>
      </c>
      <c r="AP450">
        <v>81.231836806898755</v>
      </c>
      <c r="AQ450">
        <v>378.9092311876766</v>
      </c>
      <c r="AR450">
        <v>53.552707486768412</v>
      </c>
      <c r="AS450">
        <v>449.84671979326311</v>
      </c>
      <c r="AT450">
        <v>27.725347711437312</v>
      </c>
      <c r="AU450">
        <v>-54.887576090072983</v>
      </c>
      <c r="AV450"/>
      <c r="AW450"/>
      <c r="FY450" s="212">
        <v>445</v>
      </c>
      <c r="FZ450">
        <v>37.872714333334685</v>
      </c>
      <c r="GA450">
        <v>87.122773238251995</v>
      </c>
      <c r="GB450">
        <v>52.461792372250329</v>
      </c>
      <c r="GC450">
        <v>20.229044155832174</v>
      </c>
      <c r="GD450">
        <v>15.550432507700817</v>
      </c>
      <c r="GE450">
        <v>14.964481415576017</v>
      </c>
      <c r="GF450">
        <v>10.033540486153916</v>
      </c>
      <c r="GG450">
        <v>12.354115747812694</v>
      </c>
      <c r="GH450">
        <v>23.212970111027332</v>
      </c>
      <c r="GI450">
        <v>33.105890674203224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754.54577263376325</v>
      </c>
      <c r="AO451">
        <v>54.267059711113873</v>
      </c>
      <c r="AP451">
        <v>79.115683299363411</v>
      </c>
      <c r="AQ451">
        <v>376.08594158885035</v>
      </c>
      <c r="AR451">
        <v>52.936393693125126</v>
      </c>
      <c r="AS451">
        <v>403.41832301878327</v>
      </c>
      <c r="AT451">
        <v>26.434660426541399</v>
      </c>
      <c r="AU451">
        <v>-40.046836597406681</v>
      </c>
      <c r="AV451"/>
      <c r="AW451"/>
      <c r="FY451" s="212">
        <v>446</v>
      </c>
      <c r="FZ451">
        <v>53.024360629048743</v>
      </c>
      <c r="GA451">
        <v>123.09586617645498</v>
      </c>
      <c r="GB451">
        <v>68.856003886280732</v>
      </c>
      <c r="GC451">
        <v>19.688960329907012</v>
      </c>
      <c r="GD451">
        <v>11.050765745582286</v>
      </c>
      <c r="GE451">
        <v>10.902584677389465</v>
      </c>
      <c r="GF451">
        <v>30.342522634062043</v>
      </c>
      <c r="GG451">
        <v>28.807383407003009</v>
      </c>
      <c r="GH451">
        <v>22.652015897880847</v>
      </c>
      <c r="GI451">
        <v>40.637506821731684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674.7814732092736</v>
      </c>
      <c r="AO452">
        <v>49.531214473607463</v>
      </c>
      <c r="AP452">
        <v>55.292483824134003</v>
      </c>
      <c r="AQ452">
        <v>363.90947712342563</v>
      </c>
      <c r="AR452">
        <v>48.000145416859681</v>
      </c>
      <c r="AS452">
        <v>381.81386725965507</v>
      </c>
      <c r="AT452">
        <v>23.888652702051974</v>
      </c>
      <c r="AU452">
        <v>-113.05927197054555</v>
      </c>
      <c r="AV452"/>
      <c r="AW452"/>
      <c r="FY452" s="212">
        <v>447</v>
      </c>
      <c r="FZ452">
        <v>31.843055257658129</v>
      </c>
      <c r="GA452">
        <v>98.119172912193733</v>
      </c>
      <c r="GB452">
        <v>54.943167383931524</v>
      </c>
      <c r="GC452">
        <v>21.373530052846306</v>
      </c>
      <c r="GD452">
        <v>11.251677046320413</v>
      </c>
      <c r="GE452">
        <v>9.5491180202702992</v>
      </c>
      <c r="GF452">
        <v>12.803808726923281</v>
      </c>
      <c r="GG452">
        <v>10.820271879883169</v>
      </c>
      <c r="GH452">
        <v>15.889648706246327</v>
      </c>
      <c r="GI452">
        <v>29.805694910866677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369.11766446926089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839.64535439430142</v>
      </c>
      <c r="AO453">
        <v>57.580454387357499</v>
      </c>
      <c r="AP453">
        <v>41.980082533753894</v>
      </c>
      <c r="AQ453">
        <v>407.00750482931335</v>
      </c>
      <c r="AR453">
        <v>55.458761791102049</v>
      </c>
      <c r="AS453">
        <v>459.04944588261702</v>
      </c>
      <c r="AT453">
        <v>27.833647100549943</v>
      </c>
      <c r="AU453">
        <v>-86.937164775703764</v>
      </c>
      <c r="AV453"/>
      <c r="AW453"/>
      <c r="FY453" s="212">
        <v>448</v>
      </c>
      <c r="FZ453">
        <v>44.548545263012713</v>
      </c>
      <c r="GA453">
        <v>87.584815969399344</v>
      </c>
      <c r="GB453">
        <v>50.425729591069917</v>
      </c>
      <c r="GC453">
        <v>16.844068309818166</v>
      </c>
      <c r="GD453">
        <v>12.614625029092162</v>
      </c>
      <c r="GE453">
        <v>15.125943493049782</v>
      </c>
      <c r="GF453">
        <v>12.948524110646286</v>
      </c>
      <c r="GG453">
        <v>13.947872900671754</v>
      </c>
      <c r="GH453">
        <v>24.787305021135779</v>
      </c>
      <c r="GI453">
        <v>32.875219792577582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837.24207711691929</v>
      </c>
      <c r="AO454">
        <v>52.898995204514947</v>
      </c>
      <c r="AP454">
        <v>52.627023511145723</v>
      </c>
      <c r="AQ454">
        <v>369.60541667340232</v>
      </c>
      <c r="AR454">
        <v>50.579127125612118</v>
      </c>
      <c r="AS454">
        <v>435.78180282776674</v>
      </c>
      <c r="AT454">
        <v>25.94522012441735</v>
      </c>
      <c r="AU454">
        <v>-86.516622771252742</v>
      </c>
      <c r="AV454"/>
      <c r="AW454"/>
      <c r="FY454" s="212">
        <v>449</v>
      </c>
      <c r="FZ454">
        <v>56.177518639559658</v>
      </c>
      <c r="GA454">
        <v>156.48860671283458</v>
      </c>
      <c r="GB454">
        <v>86.150975320565095</v>
      </c>
      <c r="GC454">
        <v>24.405758637255197</v>
      </c>
      <c r="GD454">
        <v>17.766562827471272</v>
      </c>
      <c r="GE454">
        <v>21.182242007257486</v>
      </c>
      <c r="GF454">
        <v>51.475894679764771</v>
      </c>
      <c r="GG454">
        <v>39.275230130118061</v>
      </c>
      <c r="GH454">
        <v>14.671043138483832</v>
      </c>
      <c r="GI454">
        <v>51.739551077595216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6"/>
      <c r="P455" s="216"/>
      <c r="Q455" s="216"/>
      <c r="R455" s="216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687.99782119430279</v>
      </c>
      <c r="AO455">
        <v>52.608761803616993</v>
      </c>
      <c r="AP455">
        <v>32.565123485137292</v>
      </c>
      <c r="AQ455">
        <v>384.21581570638841</v>
      </c>
      <c r="AR455">
        <v>51.070038807930871</v>
      </c>
      <c r="AS455">
        <v>402.62155020083884</v>
      </c>
      <c r="AT455">
        <v>26.20867369712559</v>
      </c>
      <c r="AU455">
        <v>-56.331560221527091</v>
      </c>
      <c r="AV455"/>
      <c r="AW455"/>
      <c r="FY455" s="212">
        <v>450</v>
      </c>
      <c r="FZ455">
        <v>64.925271027778948</v>
      </c>
      <c r="GA455">
        <v>125.31423549977714</v>
      </c>
      <c r="GB455">
        <v>61.157082413113812</v>
      </c>
      <c r="GC455">
        <v>16.360696669019966</v>
      </c>
      <c r="GD455">
        <v>12.223844110271248</v>
      </c>
      <c r="GE455">
        <v>13.399348059675093</v>
      </c>
      <c r="GF455">
        <v>37.755029298326178</v>
      </c>
      <c r="GG455">
        <v>35.9367214643841</v>
      </c>
      <c r="GH455">
        <v>21.025311844087586</v>
      </c>
      <c r="GI455">
        <v>42.160694403101246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651.11797105437313</v>
      </c>
      <c r="AO456">
        <v>47.123733950293953</v>
      </c>
      <c r="AP456">
        <v>43.245586652517851</v>
      </c>
      <c r="AQ456">
        <v>331.09055458878254</v>
      </c>
      <c r="AR456">
        <v>46.443067301821173</v>
      </c>
      <c r="AS456">
        <v>374.59733551970868</v>
      </c>
      <c r="AT456">
        <v>24.078390639205779</v>
      </c>
      <c r="AU456">
        <v>-46.495643385860014</v>
      </c>
      <c r="AV456"/>
      <c r="AW456"/>
      <c r="FY456" s="212">
        <v>451</v>
      </c>
      <c r="FZ456">
        <v>39.783670645751798</v>
      </c>
      <c r="GA456">
        <v>56.587500726472378</v>
      </c>
      <c r="GB456">
        <v>37.545700432563365</v>
      </c>
      <c r="GC456">
        <v>19.103939392295612</v>
      </c>
      <c r="GD456">
        <v>12.566927084269295</v>
      </c>
      <c r="GE456">
        <v>23.930253901667378</v>
      </c>
      <c r="GF456">
        <v>56.275140564252396</v>
      </c>
      <c r="GG456">
        <v>36.723362864317728</v>
      </c>
      <c r="GH456">
        <v>10.687222539924328</v>
      </c>
      <c r="GI456">
        <v>34.476206101015343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31.025545634920636</v>
      </c>
      <c r="E457" s="97">
        <f>+G36</f>
        <v>1.1192378560128725E-3</v>
      </c>
      <c r="F457" s="102">
        <f>+D457-D459</f>
        <v>-173.96823828807325</v>
      </c>
      <c r="G457" s="101">
        <f>+D457*E457</f>
        <v>3.4724965178058106E-2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715.77232413234583</v>
      </c>
      <c r="AO457">
        <v>50.351411501207991</v>
      </c>
      <c r="AP457">
        <v>79.011363952821284</v>
      </c>
      <c r="AQ457">
        <v>356.78056404585186</v>
      </c>
      <c r="AR457">
        <v>49.590775033820371</v>
      </c>
      <c r="AS457">
        <v>393.6640126805741</v>
      </c>
      <c r="AT457">
        <v>26.142161865973652</v>
      </c>
      <c r="AU457">
        <v>-1.6586257515072944</v>
      </c>
      <c r="AV457"/>
      <c r="AW457"/>
      <c r="FY457" s="212">
        <v>452</v>
      </c>
      <c r="FZ457">
        <v>59.006200642935937</v>
      </c>
      <c r="GA457">
        <v>133.58707184727481</v>
      </c>
      <c r="GB457">
        <v>77.715690131947198</v>
      </c>
      <c r="GC457">
        <v>23.354206983457647</v>
      </c>
      <c r="GD457">
        <v>14.020172392348805</v>
      </c>
      <c r="GE457">
        <v>17.555240400694856</v>
      </c>
      <c r="GF457">
        <v>28.504538620867006</v>
      </c>
      <c r="GG457">
        <v>28.460056805596398</v>
      </c>
      <c r="GH457">
        <v>27.666005929272092</v>
      </c>
      <c r="GI457">
        <v>45.873124934444697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2.8441876745599324E-3</v>
      </c>
      <c r="I458" s="101">
        <f>+H458*F457</f>
        <v>-0.49479831910384325</v>
      </c>
      <c r="J458" s="101">
        <f>+I458*$A$440</f>
        <v>-4.4531848719345897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799.88756907336074</v>
      </c>
      <c r="AO458">
        <v>53.311921495668365</v>
      </c>
      <c r="AP458">
        <v>69.394434951757589</v>
      </c>
      <c r="AQ458">
        <v>372.97675281077414</v>
      </c>
      <c r="AR458">
        <v>52.534824473816741</v>
      </c>
      <c r="AS458">
        <v>441.37305167930771</v>
      </c>
      <c r="AT458">
        <v>26.415322217000128</v>
      </c>
      <c r="AU458">
        <v>-33.894693593833914</v>
      </c>
      <c r="AV458"/>
      <c r="AW458"/>
      <c r="FY458" s="212">
        <v>453</v>
      </c>
      <c r="FZ458">
        <v>44.915314397879861</v>
      </c>
      <c r="GA458">
        <v>81.359053452951386</v>
      </c>
      <c r="GB458">
        <v>49.630724872181673</v>
      </c>
      <c r="GC458">
        <v>20.580143710219762</v>
      </c>
      <c r="GD458">
        <v>9.6928511148796037</v>
      </c>
      <c r="GE458">
        <v>9.1183709607449899</v>
      </c>
      <c r="GF458">
        <v>38.545947602991717</v>
      </c>
      <c r="GG458">
        <v>39.159204225076579</v>
      </c>
      <c r="GH458">
        <v>24.6517815904119</v>
      </c>
      <c r="GI458">
        <v>35.638527006885226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204.99378392299388</v>
      </c>
      <c r="E459" s="97">
        <f>+H36</f>
        <v>7.2275999999999998E-3</v>
      </c>
      <c r="F459" s="102">
        <f>+D459-D461</f>
        <v>-81.396206343215908</v>
      </c>
      <c r="G459" s="101">
        <f>+D459*E459</f>
        <v>1.4816130726818306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988.99926482805256</v>
      </c>
      <c r="AO459">
        <v>62.214114243192398</v>
      </c>
      <c r="AP459">
        <v>87.389301688760924</v>
      </c>
      <c r="AQ459">
        <v>443.43163406574479</v>
      </c>
      <c r="AR459">
        <v>59.152986216759864</v>
      </c>
      <c r="AS459">
        <v>508.63446185317491</v>
      </c>
      <c r="AT459">
        <v>29.626359343649153</v>
      </c>
      <c r="AU459">
        <v>-81.924334380408453</v>
      </c>
      <c r="AV459"/>
      <c r="AW459"/>
      <c r="FY459" s="212">
        <v>454</v>
      </c>
      <c r="FZ459">
        <v>47.001442683051373</v>
      </c>
      <c r="GA459">
        <v>97.90865206601309</v>
      </c>
      <c r="GB459">
        <v>47.520366633776057</v>
      </c>
      <c r="GC459">
        <v>19.105701743051625</v>
      </c>
      <c r="GD459">
        <v>12.057887405796132</v>
      </c>
      <c r="GE459">
        <v>10.901332217775979</v>
      </c>
      <c r="GF459">
        <v>25.701809397127818</v>
      </c>
      <c r="GG459">
        <v>29.525561136477368</v>
      </c>
      <c r="GH459">
        <v>35.297977813730867</v>
      </c>
      <c r="GI459">
        <v>36.116961868666685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1.8366650775983887E-2</v>
      </c>
      <c r="I460" s="101">
        <f>+H460*F459</f>
        <v>-1.494975696395771</v>
      </c>
      <c r="J460" s="101">
        <f>+I460*$A$440</f>
        <v>-13.454781267561939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664.94109080269118</v>
      </c>
      <c r="AO460">
        <v>45.895535470563651</v>
      </c>
      <c r="AP460">
        <v>140.75613034139769</v>
      </c>
      <c r="AQ460">
        <v>318.30501417463904</v>
      </c>
      <c r="AR460">
        <v>45.918790216102849</v>
      </c>
      <c r="AS460">
        <v>381.2489475289496</v>
      </c>
      <c r="AT460">
        <v>26.455376131330567</v>
      </c>
      <c r="AU460">
        <v>-266.44196102645373</v>
      </c>
      <c r="AV460"/>
      <c r="AW460"/>
      <c r="FY460" s="212">
        <v>455</v>
      </c>
      <c r="FZ460">
        <v>39.634454707693259</v>
      </c>
      <c r="GA460">
        <v>95.533064689367095</v>
      </c>
      <c r="GB460">
        <v>54.693574611900672</v>
      </c>
      <c r="GC460">
        <v>17.624548736560222</v>
      </c>
      <c r="GD460">
        <v>12.009795874868125</v>
      </c>
      <c r="GE460">
        <v>16.643613494408175</v>
      </c>
      <c r="GF460">
        <v>28.58765305394029</v>
      </c>
      <c r="GG460">
        <v>33.699652159456008</v>
      </c>
      <c r="GH460">
        <v>33.081873714838501</v>
      </c>
      <c r="GI460">
        <v>36.927205155145728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286.38999026620979</v>
      </c>
      <c r="E461" s="97">
        <f>+I36</f>
        <v>4.6673011888725101E-2</v>
      </c>
      <c r="F461" s="102">
        <f>+D461-D463</f>
        <v>183.42133633769799</v>
      </c>
      <c r="G461" s="101">
        <f>+D461*E461</f>
        <v>13.366683420506675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781.65471651567077</v>
      </c>
      <c r="AO461">
        <v>45.607340271787088</v>
      </c>
      <c r="AP461">
        <v>54.23525900566873</v>
      </c>
      <c r="AQ461">
        <v>306.90775504214321</v>
      </c>
      <c r="AR461">
        <v>45.462689634106837</v>
      </c>
      <c r="AS461">
        <v>403.97716964434801</v>
      </c>
      <c r="AT461">
        <v>23.39580111795669</v>
      </c>
      <c r="AU461">
        <v>-142.63192282205091</v>
      </c>
      <c r="AV461"/>
      <c r="AW461"/>
      <c r="FY461" s="212">
        <v>456</v>
      </c>
      <c r="FZ461">
        <v>44.431643597970314</v>
      </c>
      <c r="GA461">
        <v>102.15447120111028</v>
      </c>
      <c r="GB461">
        <v>57.739195618935071</v>
      </c>
      <c r="GC461">
        <v>17.272835566405082</v>
      </c>
      <c r="GD461">
        <v>9.5264447801270205</v>
      </c>
      <c r="GE461">
        <v>14.950672267071869</v>
      </c>
      <c r="GF461">
        <v>15.266953299087245</v>
      </c>
      <c r="GG461">
        <v>8.4491715847907987</v>
      </c>
      <c r="GH461">
        <v>8.1725231566119447</v>
      </c>
      <c r="GI461">
        <v>30.514286839873847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8.0537216688670824E-2</v>
      </c>
      <c r="I462" s="101">
        <f>+H462*F461</f>
        <v>14.772243909954755</v>
      </c>
      <c r="J462" s="101">
        <f>+I462*$A$440</f>
        <v>132.95019518959279</v>
      </c>
      <c r="K462" s="61">
        <f>IF(AND(J462&lt;0, J460&lt;0), 0, J462)</f>
        <v>132.95019518959279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719.01721956813606</v>
      </c>
      <c r="AO462">
        <v>56.601232843451513</v>
      </c>
      <c r="AP462">
        <v>62.61552395118693</v>
      </c>
      <c r="AQ462">
        <v>409.05797020534078</v>
      </c>
      <c r="AR462">
        <v>56.060900143368571</v>
      </c>
      <c r="AS462">
        <v>427.54217516048669</v>
      </c>
      <c r="AT462">
        <v>28.293352906602067</v>
      </c>
      <c r="AU462">
        <v>-59.980754319840997</v>
      </c>
      <c r="AV462"/>
      <c r="AW462"/>
      <c r="FY462" s="212">
        <v>457</v>
      </c>
      <c r="FZ462">
        <v>50.927803456016889</v>
      </c>
      <c r="GA462">
        <v>100.47412905837903</v>
      </c>
      <c r="GB462">
        <v>67.797952176726454</v>
      </c>
      <c r="GC462">
        <v>27.218535667382096</v>
      </c>
      <c r="GD462">
        <v>12.037550110181108</v>
      </c>
      <c r="GE462">
        <v>11.959639448260388</v>
      </c>
      <c r="GF462">
        <v>30.466511718468897</v>
      </c>
      <c r="GG462">
        <v>30.296874204509155</v>
      </c>
      <c r="GH462">
        <v>33.110231824647315</v>
      </c>
      <c r="GI462">
        <v>42.097493860779103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102.96865392851181</v>
      </c>
      <c r="E463" s="97">
        <f>+J36</f>
        <v>0.13897203136197886</v>
      </c>
      <c r="F463" s="102">
        <f>+D463-D465</f>
        <v>79.00056961684065</v>
      </c>
      <c r="G463" s="101">
        <f>+D463*E463</f>
        <v>14.309763003053892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594.94241686755504</v>
      </c>
      <c r="AO463">
        <v>43.046591408122957</v>
      </c>
      <c r="AP463">
        <v>30.011424087838328</v>
      </c>
      <c r="AQ463">
        <v>296.39914489713988</v>
      </c>
      <c r="AR463">
        <v>41.02168112392777</v>
      </c>
      <c r="AS463">
        <v>326.03182355141593</v>
      </c>
      <c r="AT463">
        <v>20.614010048679464</v>
      </c>
      <c r="AU463">
        <v>-48.740915660048778</v>
      </c>
      <c r="AV463"/>
      <c r="AW463"/>
      <c r="FY463" s="212">
        <v>458</v>
      </c>
      <c r="FZ463">
        <v>41.508063221188266</v>
      </c>
      <c r="GA463">
        <v>56.25365300598969</v>
      </c>
      <c r="GB463">
        <v>45.045077850002386</v>
      </c>
      <c r="GC463">
        <v>22.714217896271307</v>
      </c>
      <c r="GD463">
        <v>11.255964471217757</v>
      </c>
      <c r="GE463">
        <v>15.242844247368289</v>
      </c>
      <c r="GF463">
        <v>15.261977814638545</v>
      </c>
      <c r="GG463">
        <v>20.922171802766805</v>
      </c>
      <c r="GH463">
        <v>26.918628899527761</v>
      </c>
      <c r="GI463">
        <v>30.972151897063302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0.20465976719665702</v>
      </c>
      <c r="I464" s="101">
        <f>+H464*F463</f>
        <v>16.168238186185903</v>
      </c>
      <c r="J464" s="101">
        <f>+I464*$A$440</f>
        <v>145.51414367567313</v>
      </c>
      <c r="K464" s="61">
        <f>IF(AND(J464&lt;0, J462&lt;0), 0, J464)</f>
        <v>145.51414367567313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593.13807964679586</v>
      </c>
      <c r="AO464">
        <v>45.11672722371781</v>
      </c>
      <c r="AP464">
        <v>42.780161479889003</v>
      </c>
      <c r="AQ464">
        <v>311.7026494804735</v>
      </c>
      <c r="AR464">
        <v>45.53612166673615</v>
      </c>
      <c r="AS464">
        <v>335.88628263467746</v>
      </c>
      <c r="AT464">
        <v>22.673301694598347</v>
      </c>
      <c r="AU464">
        <v>-41.196677015765104</v>
      </c>
      <c r="AV464"/>
      <c r="AW464"/>
      <c r="FY464" s="212">
        <v>459</v>
      </c>
      <c r="FZ464">
        <v>50.309955423041941</v>
      </c>
      <c r="GA464">
        <v>100.36120977539211</v>
      </c>
      <c r="GB464">
        <v>53.446062334060322</v>
      </c>
      <c r="GC464">
        <v>14.917749393063319</v>
      </c>
      <c r="GD464">
        <v>9.9511287797431667</v>
      </c>
      <c r="GE464">
        <v>14.485389403846064</v>
      </c>
      <c r="GF464">
        <v>32.93202295333338</v>
      </c>
      <c r="GG464">
        <v>31.481484113217569</v>
      </c>
      <c r="GH464">
        <v>20.217860275801549</v>
      </c>
      <c r="GI464">
        <v>35.624937832095299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23.968084311671159</v>
      </c>
      <c r="E465" s="97">
        <f>+K36</f>
        <v>0.30139604277562043</v>
      </c>
      <c r="F465" s="102">
        <f>+D465-D467</f>
        <v>16.913160069246917</v>
      </c>
      <c r="G465" s="101">
        <f>+D465*E465</f>
        <v>7.2238857644501175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1199.9032784060514</v>
      </c>
      <c r="AO465">
        <v>73.26388753841897</v>
      </c>
      <c r="AP465">
        <v>100.98298196506987</v>
      </c>
      <c r="AQ465">
        <v>519.33338317090522</v>
      </c>
      <c r="AR465">
        <v>71.113088334844093</v>
      </c>
      <c r="AS465">
        <v>573.68778961248199</v>
      </c>
      <c r="AT465">
        <v>35.570683322572705</v>
      </c>
      <c r="AU465">
        <v>-68.731151419316021</v>
      </c>
      <c r="AV465"/>
      <c r="AW465"/>
      <c r="FY465" s="212">
        <v>460</v>
      </c>
      <c r="FZ465">
        <v>44.911496435892666</v>
      </c>
      <c r="GA465">
        <v>110.64669181128471</v>
      </c>
      <c r="GB465">
        <v>63.222706052083893</v>
      </c>
      <c r="GC465">
        <v>17.703984685060266</v>
      </c>
      <c r="GD465">
        <v>10.303233045184058</v>
      </c>
      <c r="GE465">
        <v>17.407795213609933</v>
      </c>
      <c r="GF465">
        <v>40.404563265532424</v>
      </c>
      <c r="GG465">
        <v>37.244519077276209</v>
      </c>
      <c r="GH465">
        <v>22.040001270073311</v>
      </c>
      <c r="GI465">
        <v>39.275386038771224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0.40693961360848696</v>
      </c>
      <c r="I466" s="101">
        <f>+H466*F465</f>
        <v>6.8826348234778312</v>
      </c>
      <c r="J466" s="101">
        <f>+I466*$A$440</f>
        <v>61.943713411300479</v>
      </c>
      <c r="K466" s="61">
        <f>IF(AND(J466&lt;0, J464&lt;0), 0, J466)</f>
        <v>61.943713411300479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856.18593635195668</v>
      </c>
      <c r="AO466">
        <v>58.363698458351926</v>
      </c>
      <c r="AP466">
        <v>100.31016032672051</v>
      </c>
      <c r="AQ466">
        <v>430.25823478953532</v>
      </c>
      <c r="AR466">
        <v>58.032124547052497</v>
      </c>
      <c r="AS466">
        <v>437.33477721104737</v>
      </c>
      <c r="AT466">
        <v>30.400910871003266</v>
      </c>
      <c r="AU466">
        <v>-39.086085408944669</v>
      </c>
      <c r="AV466"/>
      <c r="AW466"/>
      <c r="FY466" s="212">
        <v>461</v>
      </c>
      <c r="FZ466">
        <v>35.523698355168335</v>
      </c>
      <c r="GA466">
        <v>117.14156459401067</v>
      </c>
      <c r="GB466">
        <v>65.982605204059553</v>
      </c>
      <c r="GC466">
        <v>18.84522427835245</v>
      </c>
      <c r="GD466">
        <v>11.942221045083093</v>
      </c>
      <c r="GE466">
        <v>11.815955820360497</v>
      </c>
      <c r="GF466">
        <v>34.941099819695651</v>
      </c>
      <c r="GG466">
        <v>33.761361156017337</v>
      </c>
      <c r="GH466">
        <v>15.771653769895716</v>
      </c>
      <c r="GI466">
        <v>37.598143237517689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7.0549242424242422</v>
      </c>
      <c r="E467" s="97">
        <f>L36</f>
        <v>0.54944267880487196</v>
      </c>
      <c r="F467" s="102">
        <f>+D467-D469</f>
        <v>9.4414893617020823E-2</v>
      </c>
      <c r="G467" s="101">
        <f>+D467*E467</f>
        <v>3.8762764745230074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874.83623376595392</v>
      </c>
      <c r="AO467">
        <v>48.935803536915458</v>
      </c>
      <c r="AP467">
        <v>151.91005973617092</v>
      </c>
      <c r="AQ467">
        <v>327.67992425252964</v>
      </c>
      <c r="AR467">
        <v>47.302278875802131</v>
      </c>
      <c r="AS467">
        <v>418.73415006783506</v>
      </c>
      <c r="AT467">
        <v>25.54055504681504</v>
      </c>
      <c r="AU467">
        <v>-52.201829992985751</v>
      </c>
      <c r="AV467"/>
      <c r="AW467"/>
      <c r="FY467" s="212">
        <v>462</v>
      </c>
      <c r="FZ467">
        <v>48.292297817395315</v>
      </c>
      <c r="GA467">
        <v>99.694734810698691</v>
      </c>
      <c r="GB467">
        <v>60.815669429539561</v>
      </c>
      <c r="GC467">
        <v>19.21445561957918</v>
      </c>
      <c r="GD467">
        <v>10.24207508790524</v>
      </c>
      <c r="GE467">
        <v>12.567574077468148</v>
      </c>
      <c r="GF467">
        <v>23.219428261948355</v>
      </c>
      <c r="GG467">
        <v>26.494551802736503</v>
      </c>
      <c r="GH467">
        <v>21.829572588693491</v>
      </c>
      <c r="GI467">
        <v>35.853620587556421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0.70219989056047882</v>
      </c>
      <c r="I468" s="101">
        <f>+H468*F467</f>
        <v>6.6298127965151277E-2</v>
      </c>
      <c r="J468" s="101">
        <f>+I468*$A$440</f>
        <v>0.59668315168636155</v>
      </c>
      <c r="K468" s="61">
        <f>IF(AND(J468&lt;0, J466&lt;0), 0, J468)</f>
        <v>0.59668315168636155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922.26830301996813</v>
      </c>
      <c r="AO468">
        <v>64.2370698448496</v>
      </c>
      <c r="AP468">
        <v>84.462893598010936</v>
      </c>
      <c r="AQ468">
        <v>455.74230868883944</v>
      </c>
      <c r="AR468">
        <v>63.333057037690814</v>
      </c>
      <c r="AS468">
        <v>496.35107371854508</v>
      </c>
      <c r="AT468">
        <v>32.19799671141886</v>
      </c>
      <c r="AU468">
        <v>-76.431619848994245</v>
      </c>
      <c r="AV468"/>
      <c r="AW468"/>
      <c r="FY468" s="212">
        <v>463</v>
      </c>
      <c r="FZ468">
        <v>38.540091561174307</v>
      </c>
      <c r="GA468">
        <v>76.22352149883092</v>
      </c>
      <c r="GB468">
        <v>42.612847102029846</v>
      </c>
      <c r="GC468">
        <v>21.004992158618869</v>
      </c>
      <c r="GD468">
        <v>12.083085142618339</v>
      </c>
      <c r="GE468">
        <v>10.695289718006627</v>
      </c>
      <c r="GF468">
        <v>11.194279953565504</v>
      </c>
      <c r="GG468">
        <v>20.303415300259935</v>
      </c>
      <c r="GH468">
        <v>25.86977780972709</v>
      </c>
      <c r="GI468">
        <v>29.4083880448669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6.9605093488072214</v>
      </c>
      <c r="E469" s="97">
        <f>M36</f>
        <v>0.89742698433199364</v>
      </c>
      <c r="F469" s="102">
        <f>+D469-D471</f>
        <v>5.1896760154738883</v>
      </c>
      <c r="G469" s="101">
        <f>+D469*E469</f>
        <v>6.2465489143147135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669.68576032039289</v>
      </c>
      <c r="AO469">
        <v>50.13280392952867</v>
      </c>
      <c r="AP469">
        <v>93.204762005337471</v>
      </c>
      <c r="AQ469">
        <v>353.29191893422268</v>
      </c>
      <c r="AR469">
        <v>49.049046937597993</v>
      </c>
      <c r="AS469">
        <v>388.1099965562326</v>
      </c>
      <c r="AT469">
        <v>25.621155606124006</v>
      </c>
      <c r="AU469">
        <v>24.670172618815752</v>
      </c>
      <c r="AV469"/>
      <c r="AW469"/>
      <c r="FY469" s="212">
        <v>464</v>
      </c>
      <c r="FZ469">
        <v>29.441298257185078</v>
      </c>
      <c r="GA469">
        <v>74.047459396035862</v>
      </c>
      <c r="GB469">
        <v>51.551960059843303</v>
      </c>
      <c r="GC469">
        <v>21.904001819366073</v>
      </c>
      <c r="GD469">
        <v>13.802202950480314</v>
      </c>
      <c r="GE469">
        <v>25.212102772614827</v>
      </c>
      <c r="GF469">
        <v>47.059752135478121</v>
      </c>
      <c r="GG469">
        <v>31.574753881420314</v>
      </c>
      <c r="GH469">
        <v>25.016241794674826</v>
      </c>
      <c r="GI469">
        <v>37.727792893936453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1.1042719215447432</v>
      </c>
      <c r="I470" s="101">
        <f>+H470*F469</f>
        <v>5.7308135058020166</v>
      </c>
      <c r="J470" s="101">
        <f>+I470*$A$440</f>
        <v>51.577321552218152</v>
      </c>
      <c r="K470" s="61">
        <f>IF(AND(J470&lt;0, J468&lt;0), 0, J470)</f>
        <v>51.577321552218152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653.50372468218961</v>
      </c>
      <c r="AO470">
        <v>50.521607738894446</v>
      </c>
      <c r="AP470">
        <v>116.98602743532156</v>
      </c>
      <c r="AQ470">
        <v>361.13769296546701</v>
      </c>
      <c r="AR470">
        <v>49.768519684509627</v>
      </c>
      <c r="AS470">
        <v>411.11853299434591</v>
      </c>
      <c r="AT470">
        <v>25.715299324973596</v>
      </c>
      <c r="AU470">
        <v>-44.329522337737501</v>
      </c>
      <c r="AV470"/>
      <c r="AW470"/>
      <c r="FY470" s="212">
        <v>465</v>
      </c>
      <c r="FZ470">
        <v>41.173466819006293</v>
      </c>
      <c r="GA470">
        <v>76.454995250621991</v>
      </c>
      <c r="GB470">
        <v>44.468631565604653</v>
      </c>
      <c r="GC470">
        <v>15.725285087458904</v>
      </c>
      <c r="GD470">
        <v>8.9202612774253964</v>
      </c>
      <c r="GE470">
        <v>10.17638317051367</v>
      </c>
      <c r="GF470">
        <v>22.075549356516969</v>
      </c>
      <c r="GG470">
        <v>20.057010991770873</v>
      </c>
      <c r="GH470">
        <v>12.98544263556156</v>
      </c>
      <c r="GI470">
        <v>28.402038112022058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1.770833333333333</v>
      </c>
      <c r="E471" s="97">
        <f>+N36</f>
        <v>1.3587918549382612</v>
      </c>
      <c r="F471" s="102">
        <f>+D471-D473</f>
        <v>1.6666666666666663</v>
      </c>
      <c r="G471" s="101">
        <f>+D471*E471</f>
        <v>2.4061939097865039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733.21041433047321</v>
      </c>
      <c r="AO471">
        <v>52.167404033133629</v>
      </c>
      <c r="AP471">
        <v>65.338095368480793</v>
      </c>
      <c r="AQ471">
        <v>368.43543619817802</v>
      </c>
      <c r="AR471">
        <v>50.756824177808205</v>
      </c>
      <c r="AS471">
        <v>420.92536864011737</v>
      </c>
      <c r="AT471">
        <v>25.787418045075864</v>
      </c>
      <c r="AU471">
        <v>-43.553482864303007</v>
      </c>
      <c r="AV471"/>
      <c r="AW471"/>
      <c r="FY471" s="212">
        <v>466</v>
      </c>
      <c r="FZ471">
        <v>38.183359146176478</v>
      </c>
      <c r="GA471">
        <v>98.170916946004979</v>
      </c>
      <c r="GB471">
        <v>54.207913108286419</v>
      </c>
      <c r="GC471">
        <v>19.896431091692541</v>
      </c>
      <c r="GD471">
        <v>12.16293690774954</v>
      </c>
      <c r="GE471">
        <v>12.03563012145402</v>
      </c>
      <c r="GF471">
        <v>9.3959534337281099</v>
      </c>
      <c r="GG471">
        <v>14.610477507706536</v>
      </c>
      <c r="GH471">
        <v>21.23033752106678</v>
      </c>
      <c r="GI471">
        <v>31.230213663898517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1.6262267462759648</v>
      </c>
      <c r="I472" s="101">
        <f>+H472*F471</f>
        <v>2.7103779104599406</v>
      </c>
      <c r="J472" s="101">
        <f>+I472*$A$440</f>
        <v>24.393401194139464</v>
      </c>
      <c r="K472" s="61">
        <f>IF(AND(J472&lt;0, J470&lt;0), 0, J472)</f>
        <v>24.393401194139464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693.78609041966763</v>
      </c>
      <c r="AO472">
        <v>43.329128087033453</v>
      </c>
      <c r="AP472">
        <v>44.551484708929742</v>
      </c>
      <c r="AQ472">
        <v>308.47819791198344</v>
      </c>
      <c r="AR472">
        <v>41.952490655824342</v>
      </c>
      <c r="AS472">
        <v>352.71818397643364</v>
      </c>
      <c r="AT472">
        <v>21.843852119449078</v>
      </c>
      <c r="AU472">
        <v>-85.065369568173622</v>
      </c>
      <c r="AV472"/>
      <c r="AW472"/>
      <c r="FY472" s="212">
        <v>467</v>
      </c>
      <c r="FZ472">
        <v>26.42689312692816</v>
      </c>
      <c r="GA472">
        <v>93.440019694024954</v>
      </c>
      <c r="GB472">
        <v>47.894243782773295</v>
      </c>
      <c r="GC472">
        <v>15.777631062641934</v>
      </c>
      <c r="GD472">
        <v>12.039787412320395</v>
      </c>
      <c r="GE472">
        <v>14.425263620436755</v>
      </c>
      <c r="GF472">
        <v>20.332856521441744</v>
      </c>
      <c r="GG472">
        <v>21.623511690140496</v>
      </c>
      <c r="GH472">
        <v>16.042083978735111</v>
      </c>
      <c r="GI472">
        <v>29.090085712040882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0.10416666666666666</v>
      </c>
      <c r="E473" s="97">
        <f>O36</f>
        <v>1.9462976766397186</v>
      </c>
      <c r="F473" s="102">
        <f>+D473-D475</f>
        <v>-0.3125</v>
      </c>
      <c r="G473" s="101">
        <f>+D473*E473</f>
        <v>0.20273934131663734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877.21425847181979</v>
      </c>
      <c r="AO473">
        <v>58.14981090078021</v>
      </c>
      <c r="AP473">
        <v>75.668652582996387</v>
      </c>
      <c r="AQ473">
        <v>406.38672152535037</v>
      </c>
      <c r="AR473">
        <v>57.72432571480131</v>
      </c>
      <c r="AS473">
        <v>523.91849131171239</v>
      </c>
      <c r="AT473">
        <v>30.532861117768949</v>
      </c>
      <c r="AU473">
        <v>-16.402002292295862</v>
      </c>
      <c r="AV473"/>
      <c r="AW473"/>
      <c r="FY473" s="212">
        <v>468</v>
      </c>
      <c r="FZ473">
        <v>51.669372192482122</v>
      </c>
      <c r="GA473">
        <v>72.790824443498821</v>
      </c>
      <c r="GB473">
        <v>39.684573666016547</v>
      </c>
      <c r="GC473">
        <v>19.053129157005799</v>
      </c>
      <c r="GD473">
        <v>10.74790323566808</v>
      </c>
      <c r="GE473">
        <v>9.394135541884971</v>
      </c>
      <c r="GF473">
        <v>20.982149509093109</v>
      </c>
      <c r="GG473">
        <v>24.679180461017836</v>
      </c>
      <c r="GH473">
        <v>44.600274976777527</v>
      </c>
      <c r="GI473">
        <v>34.659749976062642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2.280525764869402</v>
      </c>
      <c r="I474" s="101">
        <f>+H474*F473</f>
        <v>-0.71266430152168814</v>
      </c>
      <c r="J474" s="101">
        <f>+I474*$A$440</f>
        <v>-6.4139787136951929</v>
      </c>
      <c r="K474" s="61">
        <f>IF(AND(J474&lt;0, J472&lt;0), 0, J474)</f>
        <v>-6.4139787136951929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589.7017477318384</v>
      </c>
      <c r="AO474">
        <v>43.41737258598431</v>
      </c>
      <c r="AP474">
        <v>118.39755323601246</v>
      </c>
      <c r="AQ474">
        <v>286.09475110603415</v>
      </c>
      <c r="AR474">
        <v>42.671262990873679</v>
      </c>
      <c r="AS474">
        <v>332.95117616869459</v>
      </c>
      <c r="AT474">
        <v>24.295437369954389</v>
      </c>
      <c r="AU474">
        <v>-291.86482748083802</v>
      </c>
      <c r="AV474"/>
      <c r="AW474"/>
      <c r="FY474" s="212">
        <v>469</v>
      </c>
      <c r="FZ474">
        <v>41.321476282002862</v>
      </c>
      <c r="GA474">
        <v>72.08529277809464</v>
      </c>
      <c r="GB474">
        <v>42.94349099794568</v>
      </c>
      <c r="GC474">
        <v>16.289977663026658</v>
      </c>
      <c r="GD474">
        <v>8.5963719110699017</v>
      </c>
      <c r="GE474">
        <v>9.0765243672096645</v>
      </c>
      <c r="GF474">
        <v>16.159454787423439</v>
      </c>
      <c r="GG474">
        <v>26.251157066445902</v>
      </c>
      <c r="GH474">
        <v>44.665536950177987</v>
      </c>
      <c r="GI474">
        <v>31.959951835091644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0.41666666666666663</v>
      </c>
      <c r="E475" s="97">
        <f>P36</f>
        <v>2.6721491921073159</v>
      </c>
      <c r="F475" s="102">
        <f>+D475-D477</f>
        <v>0.41666666666666663</v>
      </c>
      <c r="G475" s="101">
        <f>+D475*E475</f>
        <v>1.1133954967113815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757.99314144592279</v>
      </c>
      <c r="AO475">
        <v>49.737815757509409</v>
      </c>
      <c r="AP475">
        <v>72.516843708936534</v>
      </c>
      <c r="AQ475">
        <v>363.72780028359466</v>
      </c>
      <c r="AR475">
        <v>48.806148394613217</v>
      </c>
      <c r="AS475">
        <v>421.99924134406274</v>
      </c>
      <c r="AT475">
        <v>24.927612971050014</v>
      </c>
      <c r="AU475">
        <v>-22.708516362686723</v>
      </c>
      <c r="AV475"/>
      <c r="AW475"/>
      <c r="FY475" s="212">
        <v>470</v>
      </c>
      <c r="FZ475">
        <v>35.213411363270694</v>
      </c>
      <c r="GA475">
        <v>88.774901354680651</v>
      </c>
      <c r="GB475">
        <v>48.029817060881378</v>
      </c>
      <c r="GC475">
        <v>15.675938977289668</v>
      </c>
      <c r="GD475">
        <v>11.523783394269781</v>
      </c>
      <c r="GE475">
        <v>13.502329284145347</v>
      </c>
      <c r="GF475">
        <v>25.23934802663404</v>
      </c>
      <c r="GG475">
        <v>26.877911234681466</v>
      </c>
      <c r="GH475">
        <v>26.20040563732563</v>
      </c>
      <c r="GI475">
        <v>32.70113501016035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3.079125608397741</v>
      </c>
      <c r="I476" s="101">
        <f>+H476*F475</f>
        <v>1.2829690034990586</v>
      </c>
      <c r="J476" s="101">
        <f>+I476*$A$440</f>
        <v>11.546721031491527</v>
      </c>
      <c r="K476" s="61">
        <f>IF(AND(J476&lt;0, J474&lt;0), 0, J476)</f>
        <v>11.546721031491527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854.01676437329877</v>
      </c>
      <c r="AO476">
        <v>56.177359179985459</v>
      </c>
      <c r="AP476">
        <v>70.93003894475163</v>
      </c>
      <c r="AQ476">
        <v>403.16037689476872</v>
      </c>
      <c r="AR476">
        <v>54.076340440208646</v>
      </c>
      <c r="AS476">
        <v>468.5444187388984</v>
      </c>
      <c r="AT476">
        <v>26.309242277593015</v>
      </c>
      <c r="AU476">
        <v>-27.766030679113484</v>
      </c>
      <c r="AV476"/>
      <c r="AW476"/>
      <c r="FY476" s="212">
        <v>471</v>
      </c>
      <c r="FZ476">
        <v>38.074624928666367</v>
      </c>
      <c r="GA476">
        <v>63.22918643459284</v>
      </c>
      <c r="GB476">
        <v>42.705580997358652</v>
      </c>
      <c r="GC476">
        <v>21.698888798700896</v>
      </c>
      <c r="GD476">
        <v>13.185548438199849</v>
      </c>
      <c r="GE476">
        <v>11.748351971792752</v>
      </c>
      <c r="GF476">
        <v>15.438947995420754</v>
      </c>
      <c r="GG476">
        <v>16.606702499371526</v>
      </c>
      <c r="GH476">
        <v>15.788341362049476</v>
      </c>
      <c r="GI476">
        <v>29.237102463758635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3.5480857656805531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768.49462406131704</v>
      </c>
      <c r="AO477">
        <v>54.265962167402492</v>
      </c>
      <c r="AP477">
        <v>87.83672295505319</v>
      </c>
      <c r="AQ477">
        <v>383.32352728016099</v>
      </c>
      <c r="AR477">
        <v>51.902121690839614</v>
      </c>
      <c r="AS477">
        <v>431.61997068858938</v>
      </c>
      <c r="AT477">
        <v>25.164268980161868</v>
      </c>
      <c r="AU477">
        <v>9.0097926874538103</v>
      </c>
      <c r="AV477"/>
      <c r="AW477"/>
      <c r="FY477" s="212">
        <v>472</v>
      </c>
      <c r="FZ477">
        <v>43.523336775124953</v>
      </c>
      <c r="GA477">
        <v>123.57704275775878</v>
      </c>
      <c r="GB477">
        <v>57.892117324729995</v>
      </c>
      <c r="GC477">
        <v>13.044977000692269</v>
      </c>
      <c r="GD477">
        <v>11.635764479172845</v>
      </c>
      <c r="GE477">
        <v>13.262341339787671</v>
      </c>
      <c r="GF477">
        <v>16.828947221248075</v>
      </c>
      <c r="GG477">
        <v>18.328315054836224</v>
      </c>
      <c r="GH477">
        <v>17.881414673872865</v>
      </c>
      <c r="GI477">
        <v>33.542341484626334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4.0335548505366168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782.01192616553021</v>
      </c>
      <c r="AO478">
        <v>50.238023691850145</v>
      </c>
      <c r="AP478">
        <v>54.192516898629734</v>
      </c>
      <c r="AQ478">
        <v>358.22398008352093</v>
      </c>
      <c r="AR478">
        <v>49.285485655503962</v>
      </c>
      <c r="AS478">
        <v>412.60512045097977</v>
      </c>
      <c r="AT478">
        <v>25.236601990626195</v>
      </c>
      <c r="AU478">
        <v>-50.388391479979056</v>
      </c>
      <c r="AV478"/>
      <c r="AW478"/>
      <c r="FY478" s="212">
        <v>473</v>
      </c>
      <c r="FZ478">
        <v>42.1705654785872</v>
      </c>
      <c r="GA478">
        <v>49.443432005584405</v>
      </c>
      <c r="GB478">
        <v>40.161518729253338</v>
      </c>
      <c r="GC478">
        <v>20.535817805722321</v>
      </c>
      <c r="GD478">
        <v>10.244699669624847</v>
      </c>
      <c r="GE478">
        <v>14.243462651890839</v>
      </c>
      <c r="GF478">
        <v>14.510343540398342</v>
      </c>
      <c r="GG478">
        <v>13.206589788938805</v>
      </c>
      <c r="GH478">
        <v>15.725337524065878</v>
      </c>
      <c r="GI478">
        <v>27.286741960160828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4.5854485507812486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690.54980028333125</v>
      </c>
      <c r="AO479">
        <v>42.151651425698844</v>
      </c>
      <c r="AP479">
        <v>56.32767089686638</v>
      </c>
      <c r="AQ479">
        <v>287.93568828969836</v>
      </c>
      <c r="AR479">
        <v>40.369554791995832</v>
      </c>
      <c r="AS479">
        <v>342.05853414284474</v>
      </c>
      <c r="AT479">
        <v>21.188760481797331</v>
      </c>
      <c r="AU479">
        <v>-58.423585607446668</v>
      </c>
      <c r="AV479"/>
      <c r="AW479"/>
      <c r="FY479" s="212">
        <v>474</v>
      </c>
      <c r="FZ479">
        <v>55.995706935287735</v>
      </c>
      <c r="GA479">
        <v>110.29566731881174</v>
      </c>
      <c r="GB479">
        <v>65.083293213888993</v>
      </c>
      <c r="GC479">
        <v>18.238091513536695</v>
      </c>
      <c r="GD479">
        <v>12.079105896468993</v>
      </c>
      <c r="GE479">
        <v>15.776118874790171</v>
      </c>
      <c r="GF479">
        <v>34.863658660310861</v>
      </c>
      <c r="GG479">
        <v>33.389710078691124</v>
      </c>
      <c r="GH479">
        <v>33.195289172012075</v>
      </c>
      <c r="GI479">
        <v>43.133919863954375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5.1549722725896592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881.3048959381598</v>
      </c>
      <c r="AO480">
        <v>53.526431601797455</v>
      </c>
      <c r="AP480">
        <v>91.001434726035455</v>
      </c>
      <c r="AQ480">
        <v>357.33756596103518</v>
      </c>
      <c r="AR480">
        <v>51.812706112665772</v>
      </c>
      <c r="AS480">
        <v>437.44371880265703</v>
      </c>
      <c r="AT480">
        <v>26.548307572896771</v>
      </c>
      <c r="AU480">
        <v>-26.084139922107731</v>
      </c>
      <c r="AV480"/>
      <c r="AW480"/>
      <c r="FY480" s="212">
        <v>475</v>
      </c>
      <c r="FZ480">
        <v>38.004082324745923</v>
      </c>
      <c r="GA480">
        <v>103.4386913275258</v>
      </c>
      <c r="GB480">
        <v>53.568650195723436</v>
      </c>
      <c r="GC480">
        <v>20.485263071054728</v>
      </c>
      <c r="GD480">
        <v>12.442889879902948</v>
      </c>
      <c r="GE480">
        <v>13.127667174138251</v>
      </c>
      <c r="GF480">
        <v>28.323523870481548</v>
      </c>
      <c r="GG480">
        <v>25.979599952073606</v>
      </c>
      <c r="GH480">
        <v>32.953025720029267</v>
      </c>
      <c r="GI480">
        <v>36.601701900912211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5.7952322083388497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614.39065555136801</v>
      </c>
      <c r="AO481">
        <v>39.641838382645567</v>
      </c>
      <c r="AP481">
        <v>53.284061662886828</v>
      </c>
      <c r="AQ481">
        <v>280.43906426650238</v>
      </c>
      <c r="AR481">
        <v>39.034055174658654</v>
      </c>
      <c r="AS481">
        <v>327.12120154542743</v>
      </c>
      <c r="AT481">
        <v>20.261697087094806</v>
      </c>
      <c r="AU481">
        <v>-29.614234698078619</v>
      </c>
      <c r="AV481"/>
      <c r="AW481"/>
      <c r="FY481" s="212">
        <v>476</v>
      </c>
      <c r="FZ481">
        <v>47.852430633631613</v>
      </c>
      <c r="GA481">
        <v>99.826001131327956</v>
      </c>
      <c r="GB481">
        <v>52.855513370655572</v>
      </c>
      <c r="GC481">
        <v>20.296686230243335</v>
      </c>
      <c r="GD481">
        <v>14.685712987162344</v>
      </c>
      <c r="GE481">
        <v>17.147051688755745</v>
      </c>
      <c r="GF481">
        <v>16.2953216167354</v>
      </c>
      <c r="GG481">
        <v>16.470344362074364</v>
      </c>
      <c r="GH481">
        <v>24.461544139709623</v>
      </c>
      <c r="GI481">
        <v>35.626382515195914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6.4542124433467105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667.5062050583067</v>
      </c>
      <c r="AO482">
        <v>44.623991601168413</v>
      </c>
      <c r="AP482">
        <v>46.731561273362182</v>
      </c>
      <c r="AQ482">
        <v>311.12416944776385</v>
      </c>
      <c r="AR482">
        <v>42.831782122940069</v>
      </c>
      <c r="AS482">
        <v>364.06914695747059</v>
      </c>
      <c r="AT482">
        <v>22.056596603718408</v>
      </c>
      <c r="AU482">
        <v>-64.321198335844031</v>
      </c>
      <c r="AV482"/>
      <c r="AW482"/>
      <c r="FY482" s="212">
        <v>477</v>
      </c>
      <c r="FZ482">
        <v>34.40403956191107</v>
      </c>
      <c r="GA482">
        <v>117.22429846494509</v>
      </c>
      <c r="GB482">
        <v>59.788868636294907</v>
      </c>
      <c r="GC482">
        <v>15.241844819281607</v>
      </c>
      <c r="GD482">
        <v>12.485752639544737</v>
      </c>
      <c r="GE482">
        <v>18.136480054853553</v>
      </c>
      <c r="GF482">
        <v>28.281422336190353</v>
      </c>
      <c r="GG482">
        <v>26.168075501998217</v>
      </c>
      <c r="GH482">
        <v>32.683517324779473</v>
      </c>
      <c r="GI482">
        <v>37.598854983438919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7.1881258189983859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616.22372734498367</v>
      </c>
      <c r="AO483">
        <v>42.779344140095809</v>
      </c>
      <c r="AP483">
        <v>70.731354506227689</v>
      </c>
      <c r="AQ483">
        <v>297.09237660148381</v>
      </c>
      <c r="AR483">
        <v>39.979563274614257</v>
      </c>
      <c r="AS483">
        <v>317.35731377522671</v>
      </c>
      <c r="AT483">
        <v>20.709693769428437</v>
      </c>
      <c r="AU483">
        <v>-69.633692725581341</v>
      </c>
      <c r="AV483"/>
      <c r="AW483"/>
      <c r="FY483" s="212">
        <v>478</v>
      </c>
      <c r="FZ483">
        <v>42.135566463688711</v>
      </c>
      <c r="GA483">
        <v>89.729325737152408</v>
      </c>
      <c r="GB483">
        <v>50.138925698036196</v>
      </c>
      <c r="GC483">
        <v>14.83529264518722</v>
      </c>
      <c r="GD483">
        <v>10.191801293595791</v>
      </c>
      <c r="GE483">
        <v>13.869455687859364</v>
      </c>
      <c r="GF483">
        <v>32.766923944362929</v>
      </c>
      <c r="GG483">
        <v>39.955152125796097</v>
      </c>
      <c r="GH483">
        <v>30.347551320844595</v>
      </c>
      <c r="GI483">
        <v>35.521568805748522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7.9418222332345509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576.85701899865751</v>
      </c>
      <c r="AO484">
        <v>46.112264167382321</v>
      </c>
      <c r="AP484">
        <v>49.340058955094278</v>
      </c>
      <c r="AQ484">
        <v>328.26129315950743</v>
      </c>
      <c r="AR484">
        <v>47.692526286560287</v>
      </c>
      <c r="AS484">
        <v>368.11917986118073</v>
      </c>
      <c r="AT484">
        <v>26.184079039620453</v>
      </c>
      <c r="AU484">
        <v>-43.262574558859903</v>
      </c>
      <c r="AV484"/>
      <c r="AW484"/>
      <c r="FY484" s="212">
        <v>479</v>
      </c>
      <c r="FZ484">
        <v>40.581621240103111</v>
      </c>
      <c r="GA484">
        <v>85.932116822209736</v>
      </c>
      <c r="GB484">
        <v>44.639160323939336</v>
      </c>
      <c r="GC484">
        <v>15.865906461327151</v>
      </c>
      <c r="GD484">
        <v>11.552694957631026</v>
      </c>
      <c r="GE484">
        <v>12.289783428071919</v>
      </c>
      <c r="GF484">
        <v>3.4580921905307256</v>
      </c>
      <c r="GG484">
        <v>10.923131670424942</v>
      </c>
      <c r="GH484">
        <v>18.620188842565405</v>
      </c>
      <c r="GI484">
        <v>27.399584695449345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8.7745459626758926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618.00260914995749</v>
      </c>
      <c r="AO485">
        <v>43.411451639309533</v>
      </c>
      <c r="AP485">
        <v>90.365259527718422</v>
      </c>
      <c r="AQ485">
        <v>309.34923463848838</v>
      </c>
      <c r="AR485">
        <v>44.245080979049952</v>
      </c>
      <c r="AS485">
        <v>364.83234278758374</v>
      </c>
      <c r="AT485">
        <v>22.552481446315113</v>
      </c>
      <c r="AU485">
        <v>-25.071736907515067</v>
      </c>
      <c r="AV485"/>
      <c r="AW485"/>
      <c r="FY485" s="212">
        <v>480</v>
      </c>
      <c r="FZ485">
        <v>46.77135446180705</v>
      </c>
      <c r="GA485">
        <v>155.10145878786551</v>
      </c>
      <c r="GB485">
        <v>82.626374363974691</v>
      </c>
      <c r="GC485">
        <v>17.781205782409451</v>
      </c>
      <c r="GD485">
        <v>8.5510612022078387</v>
      </c>
      <c r="GE485">
        <v>6.79811200996875</v>
      </c>
      <c r="GF485">
        <v>29.258235096027288</v>
      </c>
      <c r="GG485">
        <v>35.965281501787629</v>
      </c>
      <c r="GH485">
        <v>30.296414520196279</v>
      </c>
      <c r="GI485">
        <v>42.648832361254215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9.6280906435497275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676.37809998218722</v>
      </c>
      <c r="AO486">
        <v>46.078660081283772</v>
      </c>
      <c r="AP486">
        <v>93.666299228472795</v>
      </c>
      <c r="AQ486">
        <v>323.73898134333893</v>
      </c>
      <c r="AR486">
        <v>45.113872186194364</v>
      </c>
      <c r="AS486">
        <v>371.97145082039037</v>
      </c>
      <c r="AT486">
        <v>22.565903921382297</v>
      </c>
      <c r="AU486">
        <v>-41.898153204543782</v>
      </c>
      <c r="AV486"/>
      <c r="AW486"/>
      <c r="FY486" s="212">
        <v>481</v>
      </c>
      <c r="FZ486">
        <v>54.566690292261541</v>
      </c>
      <c r="GA486">
        <v>119.20496502019404</v>
      </c>
      <c r="GB486">
        <v>62.45995231049119</v>
      </c>
      <c r="GC486">
        <v>17.276373762481889</v>
      </c>
      <c r="GD486">
        <v>8.9735358294866465</v>
      </c>
      <c r="GE486">
        <v>9.0422897469052561</v>
      </c>
      <c r="GF486">
        <v>22.902560989229759</v>
      </c>
      <c r="GG486">
        <v>24.605185954510237</v>
      </c>
      <c r="GH486">
        <v>25.888950696308271</v>
      </c>
      <c r="GI486">
        <v>37.126816536018325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10.564663953522661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630.80440435048138</v>
      </c>
      <c r="AO487">
        <v>40.94208652350418</v>
      </c>
      <c r="AP487">
        <v>78.181728835651683</v>
      </c>
      <c r="AQ487">
        <v>267.7132758899117</v>
      </c>
      <c r="AR487">
        <v>40.291781987240498</v>
      </c>
      <c r="AS487">
        <v>335.63205511219218</v>
      </c>
      <c r="AT487">
        <v>20.801986041520024</v>
      </c>
      <c r="AU487">
        <v>-18.746417015070229</v>
      </c>
      <c r="AV487"/>
      <c r="AW487"/>
      <c r="FY487" s="212">
        <v>482</v>
      </c>
      <c r="FZ487">
        <v>49.297842784727486</v>
      </c>
      <c r="GA487">
        <v>74.09073363341659</v>
      </c>
      <c r="GB487">
        <v>40.246556769632782</v>
      </c>
      <c r="GC487">
        <v>19.745307232517177</v>
      </c>
      <c r="GD487">
        <v>13.538104659100732</v>
      </c>
      <c r="GE487">
        <v>15.230684161637473</v>
      </c>
      <c r="GF487">
        <v>35.359149438100225</v>
      </c>
      <c r="GG487">
        <v>35.807817000912294</v>
      </c>
      <c r="GH487">
        <v>29.049495545862889</v>
      </c>
      <c r="GI487">
        <v>36.168625603623894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11.523073576873449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670.89025455121759</v>
      </c>
      <c r="AO488">
        <v>47.618635684844037</v>
      </c>
      <c r="AP488">
        <v>32.131439946471133</v>
      </c>
      <c r="AQ488">
        <v>349.51659811184999</v>
      </c>
      <c r="AR488">
        <v>46.191664694480842</v>
      </c>
      <c r="AS488">
        <v>363.61885466694753</v>
      </c>
      <c r="AT488">
        <v>22.809704420568238</v>
      </c>
      <c r="AU488">
        <v>-78.657764384061693</v>
      </c>
      <c r="AV488"/>
      <c r="AW488"/>
      <c r="FY488" s="212">
        <v>483</v>
      </c>
      <c r="FZ488">
        <v>50.500940702724286</v>
      </c>
      <c r="GA488">
        <v>93.964077353419995</v>
      </c>
      <c r="GB488">
        <v>51.95927086705526</v>
      </c>
      <c r="GC488">
        <v>22.048211478333034</v>
      </c>
      <c r="GD488">
        <v>15.225670723178061</v>
      </c>
      <c r="GE488">
        <v>18.333550036866153</v>
      </c>
      <c r="GF488">
        <v>43.966012284373711</v>
      </c>
      <c r="GG488">
        <v>48.483139427032071</v>
      </c>
      <c r="GH488">
        <v>40.184426616550084</v>
      </c>
      <c r="GI488">
        <v>43.671502658659584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12.568428607117669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610.86806917189915</v>
      </c>
      <c r="AO489">
        <v>37.638604846808548</v>
      </c>
      <c r="AP489">
        <v>69.948443918061443</v>
      </c>
      <c r="AQ489">
        <v>247.52850915422681</v>
      </c>
      <c r="AR489">
        <v>37.487510165758728</v>
      </c>
      <c r="AS489">
        <v>319.76560582209544</v>
      </c>
      <c r="AT489">
        <v>20.591038705917423</v>
      </c>
      <c r="AU489">
        <v>-37.994364991070995</v>
      </c>
      <c r="AV489"/>
      <c r="AW489"/>
      <c r="FY489" s="212">
        <v>484</v>
      </c>
      <c r="FZ489">
        <v>39.21252260689058</v>
      </c>
      <c r="GA489">
        <v>86.032954641162263</v>
      </c>
      <c r="GB489">
        <v>49.066777775477554</v>
      </c>
      <c r="GC489">
        <v>19.847038986971945</v>
      </c>
      <c r="GD489">
        <v>12.517493324840848</v>
      </c>
      <c r="GE489">
        <v>15.25293425435088</v>
      </c>
      <c r="GF489">
        <v>24.988211090527791</v>
      </c>
      <c r="GG489">
        <v>18.866166801406237</v>
      </c>
      <c r="GH489">
        <v>16.043485017764144</v>
      </c>
      <c r="GI489">
        <v>32.318140458616242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13.636614694721723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879.84694929516377</v>
      </c>
      <c r="AO490">
        <v>58.540158020310926</v>
      </c>
      <c r="AP490">
        <v>95.860660221473694</v>
      </c>
      <c r="AQ490">
        <v>422.05056152775273</v>
      </c>
      <c r="AR490">
        <v>59.347387185428275</v>
      </c>
      <c r="AS490">
        <v>496.85049855074732</v>
      </c>
      <c r="AT490">
        <v>30.626985410261387</v>
      </c>
      <c r="AU490">
        <v>-75.432003544826813</v>
      </c>
      <c r="AV490"/>
      <c r="AW490"/>
      <c r="FY490" s="212">
        <v>485</v>
      </c>
      <c r="FZ490">
        <v>36.730788554711431</v>
      </c>
      <c r="GA490">
        <v>98.77778515756377</v>
      </c>
      <c r="GB490">
        <v>48.737254273516626</v>
      </c>
      <c r="GC490">
        <v>15.473884434201159</v>
      </c>
      <c r="GD490">
        <v>11.164641043480746</v>
      </c>
      <c r="GE490">
        <v>12.85864811039629</v>
      </c>
      <c r="GF490">
        <v>15.225167287508995</v>
      </c>
      <c r="GG490">
        <v>16.313813891728355</v>
      </c>
      <c r="GH490">
        <v>30.342872915333064</v>
      </c>
      <c r="GI490">
        <v>31.638336405776982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14.795585521883805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754.99534987268203</v>
      </c>
      <c r="AO491">
        <v>51.688846154351424</v>
      </c>
      <c r="AP491">
        <v>77.786939135284399</v>
      </c>
      <c r="AQ491">
        <v>364.92509541658768</v>
      </c>
      <c r="AR491">
        <v>50.408395277231499</v>
      </c>
      <c r="AS491">
        <v>414.19910882845954</v>
      </c>
      <c r="AT491">
        <v>25.364867460336242</v>
      </c>
      <c r="AU491">
        <v>-47.947435092522603</v>
      </c>
      <c r="AV491"/>
      <c r="AW491"/>
      <c r="FY491" s="212">
        <v>486</v>
      </c>
      <c r="FZ491">
        <v>47.07053437883097</v>
      </c>
      <c r="GA491">
        <v>106.18350714683299</v>
      </c>
      <c r="GB491">
        <v>57.435485850972064</v>
      </c>
      <c r="GC491">
        <v>14.314668594542075</v>
      </c>
      <c r="GD491">
        <v>8.127005315138609</v>
      </c>
      <c r="GE491">
        <v>10.265393599985956</v>
      </c>
      <c r="GF491">
        <v>21.736170511512189</v>
      </c>
      <c r="GG491">
        <v>28.93328414122529</v>
      </c>
      <c r="GH491">
        <v>23.110903495146641</v>
      </c>
      <c r="GI491">
        <v>33.650952110359995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15.978363191904624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749.92085817112661</v>
      </c>
      <c r="AO492">
        <v>49.993432786160312</v>
      </c>
      <c r="AP492">
        <v>68.062655668338849</v>
      </c>
      <c r="AQ492">
        <v>345.5169886754918</v>
      </c>
      <c r="AR492">
        <v>49.102209834421103</v>
      </c>
      <c r="AS492">
        <v>389.52763367759832</v>
      </c>
      <c r="AT492">
        <v>25.455066048156031</v>
      </c>
      <c r="AU492">
        <v>-72.368903595917757</v>
      </c>
      <c r="AV492"/>
      <c r="AW492"/>
      <c r="FY492" s="212">
        <v>487</v>
      </c>
      <c r="FZ492">
        <v>53.489140564058921</v>
      </c>
      <c r="GA492">
        <v>134.40266132394913</v>
      </c>
      <c r="GB492">
        <v>71.01370838844511</v>
      </c>
      <c r="GC492">
        <v>16.354407551242442</v>
      </c>
      <c r="GD492">
        <v>12.194869200957532</v>
      </c>
      <c r="GE492">
        <v>15.812783714014794</v>
      </c>
      <c r="GF492">
        <v>24.177915180724142</v>
      </c>
      <c r="GG492">
        <v>25.940430245026871</v>
      </c>
      <c r="GH492">
        <v>25.625381303936937</v>
      </c>
      <c r="GI492">
        <v>41.171623740691579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17.255693592848509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890.52234492919581</v>
      </c>
      <c r="AO493">
        <v>53.190499526041471</v>
      </c>
      <c r="AP493">
        <v>82.984787705837633</v>
      </c>
      <c r="AQ493">
        <v>382.01315432323793</v>
      </c>
      <c r="AR493">
        <v>51.810911154731777</v>
      </c>
      <c r="AS493">
        <v>422.06258267471986</v>
      </c>
      <c r="AT493">
        <v>25.260144385269268</v>
      </c>
      <c r="AU493">
        <v>-55.26302600513263</v>
      </c>
      <c r="AV493"/>
      <c r="AW493"/>
      <c r="FY493" s="212">
        <v>488</v>
      </c>
      <c r="FZ493">
        <v>44.756081097317548</v>
      </c>
      <c r="GA493">
        <v>93.209797870098257</v>
      </c>
      <c r="GB493">
        <v>53.48019397464617</v>
      </c>
      <c r="GC493">
        <v>20.496968489717545</v>
      </c>
      <c r="GD493">
        <v>13.187285952221167</v>
      </c>
      <c r="GE493">
        <v>14.400206059082629</v>
      </c>
      <c r="GF493">
        <v>18.42646830625004</v>
      </c>
      <c r="GG493">
        <v>15.717665835618579</v>
      </c>
      <c r="GH493">
        <v>16.98982807519231</v>
      </c>
      <c r="GI493">
        <v>33.627389987469158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18.557789101779392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687.40668324384603</v>
      </c>
      <c r="AO494">
        <v>50.264230438258508</v>
      </c>
      <c r="AP494">
        <v>64.767252748487408</v>
      </c>
      <c r="AQ494">
        <v>359.49156372227185</v>
      </c>
      <c r="AR494">
        <v>49.045183848053767</v>
      </c>
      <c r="AS494">
        <v>388.99240156877636</v>
      </c>
      <c r="AT494">
        <v>23.538167151525897</v>
      </c>
      <c r="AU494">
        <v>-28.231888884412179</v>
      </c>
      <c r="AV494"/>
      <c r="AW494"/>
      <c r="FY494" s="212">
        <v>489</v>
      </c>
      <c r="FZ494">
        <v>26.375681405005963</v>
      </c>
      <c r="GA494">
        <v>57.433554037278284</v>
      </c>
      <c r="GB494">
        <v>35.730571086835141</v>
      </c>
      <c r="GC494">
        <v>19.57420101309318</v>
      </c>
      <c r="GD494">
        <v>12.728117646465652</v>
      </c>
      <c r="GE494">
        <v>13.640435539451961</v>
      </c>
      <c r="GF494">
        <v>24.053910087528667</v>
      </c>
      <c r="GG494">
        <v>19.404841660826005</v>
      </c>
      <c r="GH494">
        <v>22.028461956275823</v>
      </c>
      <c r="GI494">
        <v>28.045955212765548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19.958139294316886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584.24048100912364</v>
      </c>
      <c r="AO495">
        <v>38.929717247950713</v>
      </c>
      <c r="AP495">
        <v>21.485068706086079</v>
      </c>
      <c r="AQ495">
        <v>271.26228063225267</v>
      </c>
      <c r="AR495">
        <v>37.795076892176418</v>
      </c>
      <c r="AS495">
        <v>306.18907173657135</v>
      </c>
      <c r="AT495">
        <v>19.456560073244475</v>
      </c>
      <c r="AU495">
        <v>-58.568426118394143</v>
      </c>
      <c r="AV495"/>
      <c r="AW495"/>
      <c r="FY495" s="212">
        <v>490</v>
      </c>
      <c r="FZ495">
        <v>43.713659433095103</v>
      </c>
      <c r="GA495">
        <v>83.196930874231995</v>
      </c>
      <c r="GB495">
        <v>51.954020298191068</v>
      </c>
      <c r="GC495">
        <v>21.359449235827867</v>
      </c>
      <c r="GD495">
        <v>10.746886605274613</v>
      </c>
      <c r="GE495">
        <v>14.481210566009127</v>
      </c>
      <c r="GF495">
        <v>25.963921127453276</v>
      </c>
      <c r="GG495">
        <v>24.729785273245547</v>
      </c>
      <c r="GH495">
        <v>19.478839259437891</v>
      </c>
      <c r="GI495">
        <v>33.413655534601652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21.384196596249993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819.73031503834704</v>
      </c>
      <c r="AO496">
        <v>60.654322938671967</v>
      </c>
      <c r="AP496">
        <v>57.607391807239864</v>
      </c>
      <c r="AQ496">
        <v>455.7983300874987</v>
      </c>
      <c r="AR496">
        <v>58.794987701982265</v>
      </c>
      <c r="AS496">
        <v>461.86357168489536</v>
      </c>
      <c r="AT496">
        <v>28.516215990502975</v>
      </c>
      <c r="AU496">
        <v>-146.96460738522978</v>
      </c>
      <c r="AV496"/>
      <c r="AW496"/>
      <c r="FY496" s="212">
        <v>491</v>
      </c>
      <c r="FZ496">
        <v>40.899773064434129</v>
      </c>
      <c r="GA496">
        <v>121.19219284438107</v>
      </c>
      <c r="GB496">
        <v>67.620474393993987</v>
      </c>
      <c r="GC496">
        <v>21.276752876470127</v>
      </c>
      <c r="GD496">
        <v>13.094938199729881</v>
      </c>
      <c r="GE496">
        <v>16.962341596778657</v>
      </c>
      <c r="GF496">
        <v>27.22970762803363</v>
      </c>
      <c r="GG496">
        <v>22.111420078010759</v>
      </c>
      <c r="GH496">
        <v>19.799828637138791</v>
      </c>
      <c r="GI496">
        <v>38.589775289307809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22.912149139939221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736.91349152977659</v>
      </c>
      <c r="AO497">
        <v>51.555030497017484</v>
      </c>
      <c r="AP497">
        <v>61.859616027165835</v>
      </c>
      <c r="AQ497">
        <v>382.0473211378872</v>
      </c>
      <c r="AR497">
        <v>51.167517408406049</v>
      </c>
      <c r="AS497">
        <v>424.59931852612908</v>
      </c>
      <c r="AT497">
        <v>26.133747752449889</v>
      </c>
      <c r="AU497">
        <v>-70.711057298786614</v>
      </c>
      <c r="AV497"/>
      <c r="AW497"/>
      <c r="FY497" s="212">
        <v>492</v>
      </c>
      <c r="FZ497">
        <v>41.844398054210266</v>
      </c>
      <c r="GA497">
        <v>87.8369580934704</v>
      </c>
      <c r="GB497">
        <v>54.345101081854658</v>
      </c>
      <c r="GC497">
        <v>19.171334242755222</v>
      </c>
      <c r="GD497">
        <v>9.5831145424777908</v>
      </c>
      <c r="GE497">
        <v>12.454165687681726</v>
      </c>
      <c r="GF497">
        <v>42.364885100374366</v>
      </c>
      <c r="GG497">
        <v>41.809645649817128</v>
      </c>
      <c r="GH497">
        <v>25.647454266112145</v>
      </c>
      <c r="GI497">
        <v>37.058057109272731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24.466735636946694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735.52537885910147</v>
      </c>
      <c r="AO498">
        <v>50.20177156809315</v>
      </c>
      <c r="AP498">
        <v>104.11787018357867</v>
      </c>
      <c r="AQ498">
        <v>348.53431682953158</v>
      </c>
      <c r="AR498">
        <v>49.646062899951097</v>
      </c>
      <c r="AS498">
        <v>403.36027110759079</v>
      </c>
      <c r="AT498">
        <v>25.851809644998269</v>
      </c>
      <c r="AU498">
        <v>-0.82324821107596335</v>
      </c>
      <c r="AV498"/>
      <c r="AW498"/>
      <c r="FY498" s="212">
        <v>493</v>
      </c>
      <c r="FZ498">
        <v>28.179400966043136</v>
      </c>
      <c r="GA498">
        <v>111.3420321097646</v>
      </c>
      <c r="GB498">
        <v>68.488681929031898</v>
      </c>
      <c r="GC498">
        <v>21.355409227060491</v>
      </c>
      <c r="GD498">
        <v>14.360030826298294</v>
      </c>
      <c r="GE498">
        <v>19.505228552272481</v>
      </c>
      <c r="GF498">
        <v>22.051782441153058</v>
      </c>
      <c r="GG498">
        <v>20.524241189680389</v>
      </c>
      <c r="GH498">
        <v>19.806669315651138</v>
      </c>
      <c r="GI498">
        <v>36.659382697538732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26.126800636294448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872.15590611672417</v>
      </c>
      <c r="AO499">
        <v>61.463428536549451</v>
      </c>
      <c r="AP499">
        <v>90.962196894208006</v>
      </c>
      <c r="AQ499">
        <v>428.33680214819225</v>
      </c>
      <c r="AR499">
        <v>60.079977648085773</v>
      </c>
      <c r="AS499">
        <v>478.46546379348871</v>
      </c>
      <c r="AT499">
        <v>30.584934965584257</v>
      </c>
      <c r="AU499">
        <v>-24.968005488573013</v>
      </c>
      <c r="AV499"/>
      <c r="AW499"/>
      <c r="FY499" s="212">
        <v>494</v>
      </c>
      <c r="FZ499">
        <v>50.462794732683456</v>
      </c>
      <c r="GA499">
        <v>110.95420893343814</v>
      </c>
      <c r="GB499">
        <v>60.632544945518141</v>
      </c>
      <c r="GC499">
        <v>17.990851713451022</v>
      </c>
      <c r="GD499">
        <v>13.406555980785273</v>
      </c>
      <c r="GE499">
        <v>18.472853875957036</v>
      </c>
      <c r="GF499">
        <v>18.317769171294767</v>
      </c>
      <c r="GG499">
        <v>11.702599912541428</v>
      </c>
      <c r="GH499">
        <v>12.951836221505578</v>
      </c>
      <c r="GI499">
        <v>35.626801002871936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27.81441225569537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723.91613862920792</v>
      </c>
      <c r="AO500">
        <v>45.663969496871559</v>
      </c>
      <c r="AP500">
        <v>46.302429740844872</v>
      </c>
      <c r="AQ500">
        <v>314.14572495800854</v>
      </c>
      <c r="AR500">
        <v>44.324825914753092</v>
      </c>
      <c r="AS500">
        <v>384.03542363194867</v>
      </c>
      <c r="AT500">
        <v>22.784283476660317</v>
      </c>
      <c r="AU500">
        <v>-30.799767266905576</v>
      </c>
      <c r="AV500"/>
      <c r="AW500"/>
      <c r="FY500" s="212">
        <v>495</v>
      </c>
      <c r="FZ500">
        <v>33.844182347008534</v>
      </c>
      <c r="GA500">
        <v>121.64622159212549</v>
      </c>
      <c r="GB500">
        <v>61.960270733864917</v>
      </c>
      <c r="GC500">
        <v>18.528756435875966</v>
      </c>
      <c r="GD500">
        <v>12.107697907183223</v>
      </c>
      <c r="GE500">
        <v>9.8353461354412524</v>
      </c>
      <c r="GF500">
        <v>24.312174973357649</v>
      </c>
      <c r="GG500">
        <v>27.137284951230892</v>
      </c>
      <c r="GH500">
        <v>25.556238150363356</v>
      </c>
      <c r="GI500">
        <v>36.055360322685061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29.611031978215532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656.56657286048653</v>
      </c>
      <c r="AO501">
        <v>44.189024284711721</v>
      </c>
      <c r="AP501">
        <v>58.389357263478743</v>
      </c>
      <c r="AQ501">
        <v>317.26319207421739</v>
      </c>
      <c r="AR501">
        <v>43.50747798146007</v>
      </c>
      <c r="AS501">
        <v>366.43717027751376</v>
      </c>
      <c r="AT501">
        <v>22.446810710691992</v>
      </c>
      <c r="AU501">
        <v>-63.030834866904314</v>
      </c>
      <c r="AV501"/>
      <c r="AW501"/>
      <c r="FY501" s="212">
        <v>496</v>
      </c>
      <c r="FZ501">
        <v>55.20979174269808</v>
      </c>
      <c r="GA501">
        <v>79.754868310850838</v>
      </c>
      <c r="GB501">
        <v>38.816741048426366</v>
      </c>
      <c r="GC501">
        <v>18.868981505554608</v>
      </c>
      <c r="GD501">
        <v>11.77596348665003</v>
      </c>
      <c r="GE501">
        <v>14.364967499978</v>
      </c>
      <c r="GF501">
        <v>27.549748897954348</v>
      </c>
      <c r="GG501">
        <v>26.736920781684411</v>
      </c>
      <c r="GH501">
        <v>21.7382547375373</v>
      </c>
      <c r="GI501">
        <v>33.141540935309344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31.436097684244807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650.74519797667949</v>
      </c>
      <c r="AO502">
        <v>47.598069137729347</v>
      </c>
      <c r="AP502">
        <v>79.187120311577814</v>
      </c>
      <c r="AQ502">
        <v>350.82790514454678</v>
      </c>
      <c r="AR502">
        <v>46.390579022389133</v>
      </c>
      <c r="AS502">
        <v>352.42895310801708</v>
      </c>
      <c r="AT502">
        <v>22.702432536605272</v>
      </c>
      <c r="AU502">
        <v>-38.530477475026629</v>
      </c>
      <c r="AV502"/>
      <c r="AW502"/>
      <c r="FY502" s="212">
        <v>497</v>
      </c>
      <c r="FZ502">
        <v>46.31680135401961</v>
      </c>
      <c r="GA502">
        <v>76.441551247693724</v>
      </c>
      <c r="GB502">
        <v>39.396132979605738</v>
      </c>
      <c r="GC502">
        <v>17.36528334027253</v>
      </c>
      <c r="GD502">
        <v>14.492906727994498</v>
      </c>
      <c r="GE502">
        <v>20.361515300034238</v>
      </c>
      <c r="GF502">
        <v>30.02318136471963</v>
      </c>
      <c r="GG502">
        <v>32.253655852763202</v>
      </c>
      <c r="GH502">
        <v>27.697199511668824</v>
      </c>
      <c r="GI502">
        <v>34.934974693244939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33.373650683313194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809.44917985718189</v>
      </c>
      <c r="AO503">
        <v>57.555860933074442</v>
      </c>
      <c r="AP503">
        <v>58.836994064334242</v>
      </c>
      <c r="AQ503">
        <v>420.18292121304745</v>
      </c>
      <c r="AR503">
        <v>56.803544005890913</v>
      </c>
      <c r="AS503">
        <v>453.7691717634209</v>
      </c>
      <c r="AT503">
        <v>28.442569317052193</v>
      </c>
      <c r="AU503">
        <v>-116.61594536996233</v>
      </c>
      <c r="AV503"/>
      <c r="AW503"/>
      <c r="FY503" s="212">
        <v>498</v>
      </c>
      <c r="FZ503">
        <v>34.830645046108209</v>
      </c>
      <c r="GA503">
        <v>95.03354870454784</v>
      </c>
      <c r="GB503">
        <v>56.307429758962243</v>
      </c>
      <c r="GC503">
        <v>20.273573450983324</v>
      </c>
      <c r="GD503">
        <v>9.0974376526611813</v>
      </c>
      <c r="GE503">
        <v>9.7178902337581565</v>
      </c>
      <c r="GF503">
        <v>28.825487123621446</v>
      </c>
      <c r="GG503">
        <v>24.271929605107157</v>
      </c>
      <c r="GH503">
        <v>25.237446382676126</v>
      </c>
      <c r="GI503">
        <v>33.818292748591375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35.340536509365528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713.58820643988986</v>
      </c>
      <c r="AO504">
        <v>47.120825371271799</v>
      </c>
      <c r="AP504">
        <v>79.484838409106104</v>
      </c>
      <c r="AQ504">
        <v>324.29188564761336</v>
      </c>
      <c r="AR504">
        <v>46.28555159413574</v>
      </c>
      <c r="AS504">
        <v>377.48904428152116</v>
      </c>
      <c r="AT504">
        <v>23.748230793609526</v>
      </c>
      <c r="AU504">
        <v>-38.120965484754699</v>
      </c>
      <c r="AV504"/>
      <c r="AW504"/>
      <c r="FY504" s="212">
        <v>499</v>
      </c>
      <c r="FZ504">
        <v>54.420529741555697</v>
      </c>
      <c r="GA504">
        <v>64.108728012620148</v>
      </c>
      <c r="GB504">
        <v>39.289541682196152</v>
      </c>
      <c r="GC504">
        <v>18.617039580884189</v>
      </c>
      <c r="GD504">
        <v>11.476617945088691</v>
      </c>
      <c r="GE504">
        <v>18.221964818289791</v>
      </c>
      <c r="GF504">
        <v>28.848831937572378</v>
      </c>
      <c r="GG504">
        <v>22.360654106645697</v>
      </c>
      <c r="GH504">
        <v>24.397958411747709</v>
      </c>
      <c r="GI504">
        <v>33.606898739620675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37.423341324605943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697.04079089479012</v>
      </c>
      <c r="AO505">
        <v>39.481080330330329</v>
      </c>
      <c r="AP505">
        <v>83.988840241009669</v>
      </c>
      <c r="AQ505">
        <v>259.01572964552622</v>
      </c>
      <c r="AR505">
        <v>38.61173767535314</v>
      </c>
      <c r="AS505">
        <v>332.39739272634722</v>
      </c>
      <c r="AT505">
        <v>20.448368145320515</v>
      </c>
      <c r="AU505">
        <v>-55.247998470660498</v>
      </c>
      <c r="AV505"/>
      <c r="AW505"/>
      <c r="FY505" s="212">
        <v>500</v>
      </c>
      <c r="FZ505">
        <v>32.617486432217525</v>
      </c>
      <c r="GA505">
        <v>110.65438182448561</v>
      </c>
      <c r="GB505">
        <v>72.564547701479384</v>
      </c>
      <c r="GC505">
        <v>21.320335355630885</v>
      </c>
      <c r="GD505">
        <v>9.1662989224142688</v>
      </c>
      <c r="GE505">
        <v>7.3470434098447841</v>
      </c>
      <c r="GF505">
        <v>30.475408398168003</v>
      </c>
      <c r="GG505">
        <v>35.416382219917431</v>
      </c>
      <c r="GH505">
        <v>33.627711071358824</v>
      </c>
      <c r="GI505">
        <v>39.073812179557699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39.53635399587737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744.8442122775989</v>
      </c>
      <c r="AO506">
        <v>47.55167323934694</v>
      </c>
      <c r="AP506">
        <v>64.821248397096923</v>
      </c>
      <c r="AQ506">
        <v>329.03835820736822</v>
      </c>
      <c r="AR506">
        <v>45.913321297509853</v>
      </c>
      <c r="AS506">
        <v>392.18713229129821</v>
      </c>
      <c r="AT506">
        <v>24.182361112357373</v>
      </c>
      <c r="AU506">
        <v>-42.298591626326186</v>
      </c>
      <c r="AV506"/>
      <c r="AW506"/>
      <c r="FY506" s="212">
        <v>501</v>
      </c>
      <c r="FZ506">
        <v>58.077455769210211</v>
      </c>
      <c r="GA506">
        <v>105.04428392651408</v>
      </c>
      <c r="GB506">
        <v>58.030731318984813</v>
      </c>
      <c r="GC506">
        <v>20.835309046178541</v>
      </c>
      <c r="GD506">
        <v>12.631389595514451</v>
      </c>
      <c r="GE506">
        <v>15.210266555074133</v>
      </c>
      <c r="GF506">
        <v>4.4231174095776256</v>
      </c>
      <c r="GG506">
        <v>10.122249520676602</v>
      </c>
      <c r="GH506">
        <v>23.678833049793091</v>
      </c>
      <c r="GI506">
        <v>34.908290007647729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41.768672490491134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852.73600204334309</v>
      </c>
      <c r="AO507">
        <v>55.271823305672477</v>
      </c>
      <c r="AP507">
        <v>58.54493521308359</v>
      </c>
      <c r="AQ507">
        <v>388.77720460827885</v>
      </c>
      <c r="AR507">
        <v>53.088818707412074</v>
      </c>
      <c r="AS507">
        <v>440.34807142409704</v>
      </c>
      <c r="AT507">
        <v>26.255165584977178</v>
      </c>
      <c r="AU507">
        <v>-82.427015232267891</v>
      </c>
      <c r="AV507"/>
      <c r="AW507"/>
      <c r="FY507" s="212">
        <v>502</v>
      </c>
      <c r="FZ507">
        <v>41.508511174454917</v>
      </c>
      <c r="GA507">
        <v>132.55510714940252</v>
      </c>
      <c r="GB507">
        <v>72.934728507625778</v>
      </c>
      <c r="GC507">
        <v>19.607217392645655</v>
      </c>
      <c r="GD507">
        <v>11.565415482276903</v>
      </c>
      <c r="GE507">
        <v>14.07643449482129</v>
      </c>
      <c r="GF507">
        <v>27.466432721633588</v>
      </c>
      <c r="GG507">
        <v>24.159895455984216</v>
      </c>
      <c r="GH507">
        <v>18.61014114332815</v>
      </c>
      <c r="GI507">
        <v>39.030179752270598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44.032062694153204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829.22947835659761</v>
      </c>
      <c r="AO508">
        <v>52.345558579515931</v>
      </c>
      <c r="AP508">
        <v>107.5635293847094</v>
      </c>
      <c r="AQ508">
        <v>372.11511382802649</v>
      </c>
      <c r="AR508">
        <v>50.882240332814547</v>
      </c>
      <c r="AS508">
        <v>434.06750962233775</v>
      </c>
      <c r="AT508">
        <v>26.070362960112664</v>
      </c>
      <c r="AU508">
        <v>-40.441082360088011</v>
      </c>
      <c r="AV508"/>
      <c r="AW508"/>
      <c r="FY508" s="212">
        <v>503</v>
      </c>
      <c r="FZ508">
        <v>42.112630343120735</v>
      </c>
      <c r="GA508">
        <v>99.07169267336927</v>
      </c>
      <c r="GB508">
        <v>50.78065437134704</v>
      </c>
      <c r="GC508">
        <v>13.204485845477594</v>
      </c>
      <c r="GD508">
        <v>11.970262041237438</v>
      </c>
      <c r="GE508">
        <v>19.656109501480682</v>
      </c>
      <c r="GF508">
        <v>30.70951636802965</v>
      </c>
      <c r="GG508">
        <v>25.788338046553232</v>
      </c>
      <c r="GH508">
        <v>16.839616652337487</v>
      </c>
      <c r="GI508">
        <v>34.117514392633559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46.418103078167533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875.70585062041118</v>
      </c>
      <c r="AO509">
        <v>53.026302177853793</v>
      </c>
      <c r="AP509">
        <v>65.413186305698815</v>
      </c>
      <c r="AQ509">
        <v>362.27285925449422</v>
      </c>
      <c r="AR509">
        <v>50.356283995016632</v>
      </c>
      <c r="AS509">
        <v>444.50917894717111</v>
      </c>
      <c r="AT509">
        <v>25.413313945665266</v>
      </c>
      <c r="AU509">
        <v>-108.82826690143298</v>
      </c>
      <c r="AV509"/>
      <c r="AW509"/>
      <c r="FY509" s="212">
        <v>504</v>
      </c>
      <c r="FZ509">
        <v>45.19462795326875</v>
      </c>
      <c r="GA509">
        <v>117.62734496154462</v>
      </c>
      <c r="GB509">
        <v>72.895033818489921</v>
      </c>
      <c r="GC509">
        <v>18.953345417572145</v>
      </c>
      <c r="GD509">
        <v>10.238640508113088</v>
      </c>
      <c r="GE509">
        <v>12.610197257595193</v>
      </c>
      <c r="GF509">
        <v>27.23884808073344</v>
      </c>
      <c r="GG509">
        <v>23.387449598747764</v>
      </c>
      <c r="GH509">
        <v>34.283710627430914</v>
      </c>
      <c r="GI509">
        <v>41.107022924773055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48.836068428246357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766.466163072889</v>
      </c>
      <c r="AO510">
        <v>49.558656471947792</v>
      </c>
      <c r="AP510">
        <v>42.481975056691041</v>
      </c>
      <c r="AQ510">
        <v>350.51881649004673</v>
      </c>
      <c r="AR510">
        <v>48.890257641373992</v>
      </c>
      <c r="AS510">
        <v>423.24161028537543</v>
      </c>
      <c r="AT510">
        <v>25.679736204913013</v>
      </c>
      <c r="AU510">
        <v>-75.529029525064573</v>
      </c>
      <c r="AV510"/>
      <c r="AW510"/>
      <c r="FY510" s="212">
        <v>505</v>
      </c>
      <c r="FZ510">
        <v>54.520343531197717</v>
      </c>
      <c r="GA510">
        <v>65.46210849756504</v>
      </c>
      <c r="GB510">
        <v>37.533154868057792</v>
      </c>
      <c r="GC510">
        <v>21.047531950270049</v>
      </c>
      <c r="GD510">
        <v>11.689383055667809</v>
      </c>
      <c r="GE510">
        <v>10.469082352774825</v>
      </c>
      <c r="GF510">
        <v>21.77005629598797</v>
      </c>
      <c r="GG510">
        <v>16.008071577122784</v>
      </c>
      <c r="GH510">
        <v>18.023293283281895</v>
      </c>
      <c r="GI510">
        <v>31.009764759664055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51.37998800838789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704.74486190913524</v>
      </c>
      <c r="AO511">
        <v>51.909583773091853</v>
      </c>
      <c r="AP511">
        <v>76.027389791725213</v>
      </c>
      <c r="AQ511">
        <v>370.98353354913627</v>
      </c>
      <c r="AR511">
        <v>49.772395711380874</v>
      </c>
      <c r="AS511">
        <v>392.9012689632529</v>
      </c>
      <c r="AT511">
        <v>24.0945131903934</v>
      </c>
      <c r="AU511">
        <v>-43.503497188623903</v>
      </c>
      <c r="AV511"/>
      <c r="AW511"/>
      <c r="FY511" s="212">
        <v>506</v>
      </c>
      <c r="FZ511">
        <v>44.450494384714609</v>
      </c>
      <c r="GA511">
        <v>105.15280814699301</v>
      </c>
      <c r="GB511">
        <v>61.046603919089222</v>
      </c>
      <c r="GC511">
        <v>18.86088597068413</v>
      </c>
      <c r="GD511">
        <v>12.614491284213161</v>
      </c>
      <c r="GE511">
        <v>14.001213820789932</v>
      </c>
      <c r="GF511">
        <v>32.721107271348217</v>
      </c>
      <c r="GG511">
        <v>33.081395421666329</v>
      </c>
      <c r="GH511">
        <v>29.241222194273586</v>
      </c>
      <c r="GI511">
        <v>39.672558671394235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53.956675744617755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646.58151722505022</v>
      </c>
      <c r="AO512">
        <v>46.512044633341915</v>
      </c>
      <c r="AP512">
        <v>72.78871371322991</v>
      </c>
      <c r="AQ512">
        <v>327.95777894664337</v>
      </c>
      <c r="AR512">
        <v>45.481636603918624</v>
      </c>
      <c r="AS512">
        <v>382.56734087916726</v>
      </c>
      <c r="AT512">
        <v>23.829125994175694</v>
      </c>
      <c r="AU512">
        <v>-21.777925862673101</v>
      </c>
      <c r="AV512"/>
      <c r="AW512"/>
      <c r="FY512" s="212">
        <v>507</v>
      </c>
      <c r="FZ512">
        <v>40.746056233536216</v>
      </c>
      <c r="GA512">
        <v>114.52405057692627</v>
      </c>
      <c r="GB512">
        <v>58.952141001415654</v>
      </c>
      <c r="GC512">
        <v>14.514654818827484</v>
      </c>
      <c r="GD512">
        <v>9.7403157711209705</v>
      </c>
      <c r="GE512">
        <v>12.781416746933543</v>
      </c>
      <c r="GF512">
        <v>13.305421167579102</v>
      </c>
      <c r="GG512">
        <v>11.005873125443275</v>
      </c>
      <c r="GH512">
        <v>19.612603843308648</v>
      </c>
      <c r="GI512">
        <v>31.927182909922031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56.662583434907432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751.76606776635037</v>
      </c>
      <c r="AO513">
        <v>49.290122117645026</v>
      </c>
      <c r="AP513">
        <v>77.874546266541785</v>
      </c>
      <c r="AQ513">
        <v>339.28320237201694</v>
      </c>
      <c r="AR513">
        <v>48.041380135860031</v>
      </c>
      <c r="AS513">
        <v>411.34070517898982</v>
      </c>
      <c r="AT513">
        <v>24.968624383470445</v>
      </c>
      <c r="AU513">
        <v>-34.058809753120585</v>
      </c>
      <c r="AV513"/>
      <c r="AW513"/>
      <c r="FY513" s="212">
        <v>508</v>
      </c>
      <c r="FZ513">
        <v>52.711875542520524</v>
      </c>
      <c r="GA513">
        <v>112.21022619320074</v>
      </c>
      <c r="GB513">
        <v>62.261576682254258</v>
      </c>
      <c r="GC513">
        <v>18.423857028289238</v>
      </c>
      <c r="GD513">
        <v>12.639331067266843</v>
      </c>
      <c r="GE513">
        <v>14.198655672561916</v>
      </c>
      <c r="GF513">
        <v>9.3420966542900441</v>
      </c>
      <c r="GG513">
        <v>12.216612923046936</v>
      </c>
      <c r="GH513">
        <v>12.671469033186055</v>
      </c>
      <c r="GI513">
        <v>34.294411124915179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59.402092888494316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624.73933343158046</v>
      </c>
      <c r="AO514">
        <v>47.86522818272131</v>
      </c>
      <c r="AP514">
        <v>55.753401918789024</v>
      </c>
      <c r="AQ514">
        <v>337.41368070701708</v>
      </c>
      <c r="AR514">
        <v>46.668786203748361</v>
      </c>
      <c r="AS514">
        <v>351.03798578602658</v>
      </c>
      <c r="AT514">
        <v>23.37489534783542</v>
      </c>
      <c r="AU514">
        <v>-43.81129214865183</v>
      </c>
      <c r="AV514"/>
      <c r="AW514"/>
      <c r="FY514" s="212">
        <v>509</v>
      </c>
      <c r="FZ514">
        <v>39.988188953723522</v>
      </c>
      <c r="GA514">
        <v>104.66466095868157</v>
      </c>
      <c r="GB514">
        <v>55.744879818759472</v>
      </c>
      <c r="GC514">
        <v>18.519216441897068</v>
      </c>
      <c r="GD514">
        <v>11.656310117383635</v>
      </c>
      <c r="GE514">
        <v>13.776944635244927</v>
      </c>
      <c r="GF514">
        <v>22.269728702781144</v>
      </c>
      <c r="GG514">
        <v>17.908684237509387</v>
      </c>
      <c r="GH514">
        <v>23.955909577509715</v>
      </c>
      <c r="GI514">
        <v>34.435401415905716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62.274051510321357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695.653057350278</v>
      </c>
      <c r="AO515">
        <v>45.60801912913319</v>
      </c>
      <c r="AP515">
        <v>83.194014830808044</v>
      </c>
      <c r="AQ515">
        <v>315.3487649762211</v>
      </c>
      <c r="AR515">
        <v>46.150484879309381</v>
      </c>
      <c r="AS515">
        <v>386.8082865305696</v>
      </c>
      <c r="AT515">
        <v>25.387120624732024</v>
      </c>
      <c r="AU515">
        <v>-36.157396782529453</v>
      </c>
      <c r="AV515"/>
      <c r="AW515"/>
      <c r="FY515" s="212">
        <v>510</v>
      </c>
      <c r="FZ515">
        <v>46.557280124039622</v>
      </c>
      <c r="GA515">
        <v>103.02441628478527</v>
      </c>
      <c r="GB515">
        <v>53.428869648972217</v>
      </c>
      <c r="GC515">
        <v>23.291322293818578</v>
      </c>
      <c r="GD515">
        <v>13.194470607539795</v>
      </c>
      <c r="GE515">
        <v>9.8621368743235909</v>
      </c>
      <c r="GF515">
        <v>33.6267418459447</v>
      </c>
      <c r="GG515">
        <v>35.971930918747184</v>
      </c>
      <c r="GH515">
        <v>43.339696865223445</v>
      </c>
      <c r="GI515">
        <v>40.909864693872713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65.180436364432481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794.54596386139133</v>
      </c>
      <c r="AO516">
        <v>54.84429267300429</v>
      </c>
      <c r="AP516">
        <v>79.030824565660623</v>
      </c>
      <c r="AQ516">
        <v>392.26340751507433</v>
      </c>
      <c r="AR516">
        <v>53.803003989436732</v>
      </c>
      <c r="AS516">
        <v>444.53122485050591</v>
      </c>
      <c r="AT516">
        <v>26.222109688753729</v>
      </c>
      <c r="AU516">
        <v>-24.261813276904228</v>
      </c>
      <c r="AV516"/>
      <c r="AW516"/>
      <c r="FY516" s="212">
        <v>511</v>
      </c>
      <c r="FZ516">
        <v>51.999119586419361</v>
      </c>
      <c r="GA516">
        <v>76.766768336868211</v>
      </c>
      <c r="GB516">
        <v>47.048262527866513</v>
      </c>
      <c r="GC516">
        <v>20.323841770682105</v>
      </c>
      <c r="GD516">
        <v>9.7323538332609214</v>
      </c>
      <c r="GE516">
        <v>18.953609209654175</v>
      </c>
      <c r="GF516">
        <v>26.661815113071189</v>
      </c>
      <c r="GG516">
        <v>22.412758748673102</v>
      </c>
      <c r="GH516">
        <v>30.925738183790219</v>
      </c>
      <c r="GI516">
        <v>34.796984744488398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68.222464760522016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663.13435660559992</v>
      </c>
      <c r="AO517">
        <v>48.685994416504293</v>
      </c>
      <c r="AP517">
        <v>53.165096155554252</v>
      </c>
      <c r="AQ517">
        <v>342.96192619917127</v>
      </c>
      <c r="AR517">
        <v>48.105279502010426</v>
      </c>
      <c r="AS517">
        <v>401.1476107104466</v>
      </c>
      <c r="AT517">
        <v>25.636823887253552</v>
      </c>
      <c r="AU517">
        <v>-68.428987493790615</v>
      </c>
      <c r="AV517"/>
      <c r="AW517"/>
      <c r="FY517" s="212">
        <v>512</v>
      </c>
      <c r="FZ517">
        <v>47.54788064000553</v>
      </c>
      <c r="GA517">
        <v>121.46120119444048</v>
      </c>
      <c r="GB517">
        <v>62.286005485435879</v>
      </c>
      <c r="GC517">
        <v>16.974382955987409</v>
      </c>
      <c r="GD517">
        <v>12.470703731234652</v>
      </c>
      <c r="GE517">
        <v>14.212805333632566</v>
      </c>
      <c r="GF517">
        <v>26.3530576755204</v>
      </c>
      <c r="GG517">
        <v>25.943925520029751</v>
      </c>
      <c r="GH517">
        <v>27.884364428108952</v>
      </c>
      <c r="GI517">
        <v>39.004074411199959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68.222464760522016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795.16957566055976</v>
      </c>
      <c r="AO518">
        <v>55.948528142432863</v>
      </c>
      <c r="AP518">
        <v>71.038244904358294</v>
      </c>
      <c r="AQ518">
        <v>401.51406327444357</v>
      </c>
      <c r="AR518">
        <v>53.779764814138353</v>
      </c>
      <c r="AS518">
        <v>443.64905071780106</v>
      </c>
      <c r="AT518">
        <v>26.003331345878745</v>
      </c>
      <c r="AU518">
        <v>-83.915927433966246</v>
      </c>
      <c r="AV518"/>
      <c r="AW518"/>
      <c r="FY518" s="212">
        <v>513</v>
      </c>
      <c r="FZ518">
        <v>65.065652623232367</v>
      </c>
      <c r="GA518">
        <v>124.62142271589627</v>
      </c>
      <c r="GB518">
        <v>56.98597669675209</v>
      </c>
      <c r="GC518">
        <v>12.249243210654464</v>
      </c>
      <c r="GD518">
        <v>11.117034808395545</v>
      </c>
      <c r="GE518">
        <v>16.684183839081307</v>
      </c>
      <c r="GF518">
        <v>37.775726553939428</v>
      </c>
      <c r="GG518">
        <v>40.065694566004296</v>
      </c>
      <c r="GH518">
        <v>37.283124287284842</v>
      </c>
      <c r="GI518">
        <v>43.085165258591921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795.71644448604934</v>
      </c>
      <c r="AO519">
        <v>48.305944039208121</v>
      </c>
      <c r="AP519">
        <v>73.648008559465467</v>
      </c>
      <c r="AQ519">
        <v>344.25082023558667</v>
      </c>
      <c r="AR519">
        <v>46.983377754946638</v>
      </c>
      <c r="AS519">
        <v>374.62498054645158</v>
      </c>
      <c r="AT519">
        <v>23.227934055034297</v>
      </c>
      <c r="AU519">
        <v>-42.800381598080826</v>
      </c>
      <c r="AV519"/>
      <c r="AW519"/>
      <c r="FY519" s="212">
        <v>514</v>
      </c>
      <c r="FZ519">
        <v>41.950524891397464</v>
      </c>
      <c r="GA519">
        <v>66.337454372726413</v>
      </c>
      <c r="GB519">
        <v>40.291686586358956</v>
      </c>
      <c r="GC519">
        <v>17.031878645733208</v>
      </c>
      <c r="GD519">
        <v>11.759048104747983</v>
      </c>
      <c r="GE519">
        <v>12.172612654093406</v>
      </c>
      <c r="GF519">
        <v>16.656670260643494</v>
      </c>
      <c r="GG519">
        <v>18.310650569482711</v>
      </c>
      <c r="GH519">
        <v>21.675940418599417</v>
      </c>
      <c r="GI519">
        <v>29.510416131958841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50.261824362522823</v>
      </c>
      <c r="H520" s="63" t="s">
        <v>30</v>
      </c>
      <c r="I520" s="101">
        <f>SUM(K458:K518)</f>
        <v>422.10820049240675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862.57960694069584</v>
      </c>
      <c r="AO520">
        <v>55.602236057692394</v>
      </c>
      <c r="AP520">
        <v>58.841271651332704</v>
      </c>
      <c r="AQ520">
        <v>403.53622114826891</v>
      </c>
      <c r="AR520">
        <v>56.538807134885502</v>
      </c>
      <c r="AS520">
        <v>465.4191921464905</v>
      </c>
      <c r="AT520">
        <v>28.651613608879103</v>
      </c>
      <c r="AU520">
        <v>-37.18346640920506</v>
      </c>
      <c r="AV520"/>
      <c r="AW520"/>
      <c r="FY520" s="212">
        <v>515</v>
      </c>
      <c r="FZ520">
        <v>45.320930263205661</v>
      </c>
      <c r="GA520">
        <v>110.10464778954805</v>
      </c>
      <c r="GB520">
        <v>62.07505966385159</v>
      </c>
      <c r="GC520">
        <v>18.193603672614159</v>
      </c>
      <c r="GD520">
        <v>11.803452380707455</v>
      </c>
      <c r="GE520">
        <v>15.130172537740544</v>
      </c>
      <c r="GF520">
        <v>35.947403373828003</v>
      </c>
      <c r="GG520">
        <v>33.176463745088995</v>
      </c>
      <c r="GH520">
        <v>23.375128544679725</v>
      </c>
      <c r="GI520">
        <v>39.188468688726182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603.02377161455911</v>
      </c>
      <c r="AO521">
        <v>41.97862287879385</v>
      </c>
      <c r="AP521">
        <v>61.824789583536429</v>
      </c>
      <c r="AQ521">
        <v>287.53279017158991</v>
      </c>
      <c r="AR521">
        <v>42.655777026108382</v>
      </c>
      <c r="AS521">
        <v>355.5747793594785</v>
      </c>
      <c r="AT521">
        <v>23.510731028920677</v>
      </c>
      <c r="AU521">
        <v>-33.714265632149875</v>
      </c>
      <c r="AV521"/>
      <c r="AW521"/>
      <c r="FY521" s="212">
        <v>516</v>
      </c>
      <c r="FZ521">
        <v>30.270482731540753</v>
      </c>
      <c r="GA521">
        <v>101.73138173259798</v>
      </c>
      <c r="GB521">
        <v>60.789029950253315</v>
      </c>
      <c r="GC521">
        <v>22.87838696230904</v>
      </c>
      <c r="GD521">
        <v>11.945972978668161</v>
      </c>
      <c r="GE521">
        <v>8.9503254035623989</v>
      </c>
      <c r="GF521">
        <v>41.347402460839582</v>
      </c>
      <c r="GG521">
        <v>39.92346211502111</v>
      </c>
      <c r="GH521">
        <v>19.394916796003226</v>
      </c>
      <c r="GI521">
        <v>37.171782360083363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8.398187010639969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849.86879413379336</v>
      </c>
      <c r="AO522">
        <v>54.992967116037505</v>
      </c>
      <c r="AP522">
        <v>89.973886619287185</v>
      </c>
      <c r="AQ522">
        <v>390.84278108516645</v>
      </c>
      <c r="AR522">
        <v>54.558397858027178</v>
      </c>
      <c r="AS522">
        <v>458.98176304009593</v>
      </c>
      <c r="AT522">
        <v>27.2343288899912</v>
      </c>
      <c r="AU522">
        <v>-56.595455710846963</v>
      </c>
      <c r="AV522"/>
      <c r="AW522"/>
      <c r="FY522" s="212">
        <v>517</v>
      </c>
      <c r="FZ522">
        <v>40.573980057941696</v>
      </c>
      <c r="GA522">
        <v>146.05040352850168</v>
      </c>
      <c r="GB522">
        <v>86.994784699582567</v>
      </c>
      <c r="GC522">
        <v>20.7706996637354</v>
      </c>
      <c r="GD522">
        <v>10.25827446080725</v>
      </c>
      <c r="GE522">
        <v>10.828231811459137</v>
      </c>
      <c r="GF522">
        <v>4.7611430572267688</v>
      </c>
      <c r="GG522">
        <v>4.6803706271091086</v>
      </c>
      <c r="GH522">
        <v>17.020850945371759</v>
      </c>
      <c r="GI522">
        <v>37.238436485832707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8.6389196682504856</v>
      </c>
      <c r="G523" s="63"/>
      <c r="H523" s="63" t="s">
        <v>103</v>
      </c>
      <c r="I523" s="123">
        <f>+I520*(365/I522)</f>
        <v>434.20786304754984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617.13233487236596</v>
      </c>
      <c r="AO523">
        <v>44.874669727686907</v>
      </c>
      <c r="AP523">
        <v>30.168693022823032</v>
      </c>
      <c r="AQ523">
        <v>327.10971619501316</v>
      </c>
      <c r="AR523">
        <v>44.084122557726829</v>
      </c>
      <c r="AS523">
        <v>359.46088725793652</v>
      </c>
      <c r="AT523">
        <v>22.559618575054376</v>
      </c>
      <c r="AU523">
        <v>-119.70951506700273</v>
      </c>
      <c r="AV523"/>
      <c r="AW523"/>
      <c r="FY523" s="212">
        <v>518</v>
      </c>
      <c r="FZ523">
        <v>36.292318991796847</v>
      </c>
      <c r="GA523">
        <v>101.44133665736597</v>
      </c>
      <c r="GB523">
        <v>51.054920658833332</v>
      </c>
      <c r="GC523">
        <v>15.615322863621746</v>
      </c>
      <c r="GD523">
        <v>10.752901351040391</v>
      </c>
      <c r="GE523">
        <v>10.531084088459581</v>
      </c>
      <c r="GF523">
        <v>25.222586483747758</v>
      </c>
      <c r="GG523">
        <v>26.200794104323421</v>
      </c>
      <c r="GH523">
        <v>21.000484058863979</v>
      </c>
      <c r="GI523">
        <v>32.265587866212002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714.97009859904779</v>
      </c>
      <c r="AO524">
        <v>48.138794100992335</v>
      </c>
      <c r="AP524">
        <v>28.12126381866582</v>
      </c>
      <c r="AQ524">
        <v>340.97011192153172</v>
      </c>
      <c r="AR524">
        <v>47.192441461474452</v>
      </c>
      <c r="AS524">
        <v>377.69761198527294</v>
      </c>
      <c r="AT524">
        <v>23.812602318471193</v>
      </c>
      <c r="AU524">
        <v>-81.025720708481671</v>
      </c>
      <c r="AV524"/>
      <c r="AW524"/>
      <c r="FY524" s="212">
        <v>519</v>
      </c>
      <c r="FZ524">
        <v>33.178093651114523</v>
      </c>
      <c r="GA524">
        <v>78.770147582316483</v>
      </c>
      <c r="GB524">
        <v>48.348812987015478</v>
      </c>
      <c r="GC524">
        <v>21.074648829200033</v>
      </c>
      <c r="GD524">
        <v>11.859106561183697</v>
      </c>
      <c r="GE524">
        <v>8.8544931929821455</v>
      </c>
      <c r="GF524">
        <v>20.836841277753791</v>
      </c>
      <c r="GG524">
        <v>26.159263890888656</v>
      </c>
      <c r="GH524">
        <v>26.447499010399984</v>
      </c>
      <c r="GI524">
        <v>31.688470362137199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659.49447692088154</v>
      </c>
      <c r="AO525">
        <v>48.33978326505715</v>
      </c>
      <c r="AP525">
        <v>46.843234606950475</v>
      </c>
      <c r="AQ525">
        <v>342.91992485939613</v>
      </c>
      <c r="AR525">
        <v>47.346911456733011</v>
      </c>
      <c r="AS525">
        <v>391.10663184986356</v>
      </c>
      <c r="AT525">
        <v>24.566984094759338</v>
      </c>
      <c r="AU525">
        <v>-58.341508158536136</v>
      </c>
      <c r="AV525"/>
      <c r="AW525"/>
      <c r="FY525" s="212">
        <v>520</v>
      </c>
      <c r="FZ525">
        <v>51.757844046915125</v>
      </c>
      <c r="GA525">
        <v>87.183272449226237</v>
      </c>
      <c r="GB525">
        <v>61.340615976958823</v>
      </c>
      <c r="GC525">
        <v>25.934369265105946</v>
      </c>
      <c r="GD525">
        <v>9.5692397951478139</v>
      </c>
      <c r="GE525">
        <v>9.1556231377918262</v>
      </c>
      <c r="GF525">
        <v>27.345922398080113</v>
      </c>
      <c r="GG525">
        <v>29.319970322547725</v>
      </c>
      <c r="GH525">
        <v>35.384848347110641</v>
      </c>
      <c r="GI525">
        <v>38.942345870998999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764.06383219307713</v>
      </c>
      <c r="AO526">
        <v>56.92149714765295</v>
      </c>
      <c r="AP526">
        <v>91.418597186807645</v>
      </c>
      <c r="AQ526">
        <v>403.20673015726709</v>
      </c>
      <c r="AR526">
        <v>56.354075733764695</v>
      </c>
      <c r="AS526">
        <v>449.90961123956669</v>
      </c>
      <c r="AT526">
        <v>29.237738873616859</v>
      </c>
      <c r="AU526">
        <v>-39.301794342862429</v>
      </c>
      <c r="AV526"/>
      <c r="AW526"/>
      <c r="FY526" s="212">
        <v>521</v>
      </c>
      <c r="FZ526">
        <v>45.402634403927046</v>
      </c>
      <c r="GA526">
        <v>121.78479546395546</v>
      </c>
      <c r="GB526">
        <v>69.892005332812914</v>
      </c>
      <c r="GC526">
        <v>19.29593954334695</v>
      </c>
      <c r="GD526">
        <v>13.448901409868821</v>
      </c>
      <c r="GE526">
        <v>17.644439160897218</v>
      </c>
      <c r="GF526">
        <v>17.256754799933773</v>
      </c>
      <c r="GG526">
        <v>15.085276208348386</v>
      </c>
      <c r="GH526">
        <v>22.474776229590038</v>
      </c>
      <c r="GI526">
        <v>38.617466178975931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748.93154827196815</v>
      </c>
      <c r="AO527">
        <v>48.387124079367233</v>
      </c>
      <c r="AP527">
        <v>87.591795229920891</v>
      </c>
      <c r="AQ527">
        <v>339.62125205477417</v>
      </c>
      <c r="AR527">
        <v>47.858841029791698</v>
      </c>
      <c r="AS527">
        <v>399.25123280818553</v>
      </c>
      <c r="AT527">
        <v>26.088849592584662</v>
      </c>
      <c r="AU527">
        <v>-29.188502395933419</v>
      </c>
      <c r="AV527"/>
      <c r="AW527"/>
      <c r="FY527" s="212">
        <v>522</v>
      </c>
      <c r="FZ527">
        <v>48.11476212778873</v>
      </c>
      <c r="GA527">
        <v>86.480526535409695</v>
      </c>
      <c r="GB527">
        <v>46.164825592329954</v>
      </c>
      <c r="GC527">
        <v>17.6901099631297</v>
      </c>
      <c r="GD527">
        <v>10.258387054230655</v>
      </c>
      <c r="GE527">
        <v>13.599202324342651</v>
      </c>
      <c r="GF527">
        <v>20.012878789194691</v>
      </c>
      <c r="GG527">
        <v>19.270969151675992</v>
      </c>
      <c r="GH527">
        <v>20.917431310608187</v>
      </c>
      <c r="GI527">
        <v>31.468817582341561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848.67453419471769</v>
      </c>
      <c r="AO528">
        <v>54.294530643802794</v>
      </c>
      <c r="AP528">
        <v>68.925316499221097</v>
      </c>
      <c r="AQ528">
        <v>394.13840137559561</v>
      </c>
      <c r="AR528">
        <v>53.614045087910775</v>
      </c>
      <c r="AS528">
        <v>445.03861329528593</v>
      </c>
      <c r="AT528">
        <v>27.178777631237249</v>
      </c>
      <c r="AU528">
        <v>-91.502657133892455</v>
      </c>
      <c r="AV528"/>
      <c r="AW528"/>
      <c r="FY528" s="212">
        <v>523</v>
      </c>
      <c r="FZ528">
        <v>47.011231023062834</v>
      </c>
      <c r="GA528">
        <v>79.42298674118436</v>
      </c>
      <c r="GB528">
        <v>47.879223179496876</v>
      </c>
      <c r="GC528">
        <v>20.689939057555812</v>
      </c>
      <c r="GD528">
        <v>12.20798779992661</v>
      </c>
      <c r="GE528">
        <v>15.959228659454791</v>
      </c>
      <c r="GF528">
        <v>17.322725174293314</v>
      </c>
      <c r="GG528">
        <v>19.464146407445305</v>
      </c>
      <c r="GH528">
        <v>31.606942744815846</v>
      </c>
      <c r="GI528">
        <v>34.122086967487469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870.37025465023748</v>
      </c>
      <c r="AO529">
        <v>59.098049280259673</v>
      </c>
      <c r="AP529">
        <v>88.724589741847879</v>
      </c>
      <c r="AQ529">
        <v>444.93322455983252</v>
      </c>
      <c r="AR529">
        <v>59.321554853730859</v>
      </c>
      <c r="AS529">
        <v>462.75711235443151</v>
      </c>
      <c r="AT529">
        <v>30.457812430191098</v>
      </c>
      <c r="AU529">
        <v>-35.864162856435598</v>
      </c>
      <c r="AV529"/>
      <c r="AW529"/>
      <c r="FY529" s="212">
        <v>524</v>
      </c>
      <c r="FZ529">
        <v>44.379726780034382</v>
      </c>
      <c r="GA529">
        <v>91.133622045230098</v>
      </c>
      <c r="GB529">
        <v>60.176192763187245</v>
      </c>
      <c r="GC529">
        <v>22.207748660231164</v>
      </c>
      <c r="GD529">
        <v>7.9155003138632622</v>
      </c>
      <c r="GE529">
        <v>11.544738634232884</v>
      </c>
      <c r="GF529">
        <v>37.089477418123415</v>
      </c>
      <c r="GG529">
        <v>28.746634522480058</v>
      </c>
      <c r="GH529">
        <v>19.992121477377818</v>
      </c>
      <c r="GI529">
        <v>36.161325356436762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573.65279178923163</v>
      </c>
      <c r="AO530">
        <v>40.278365821051295</v>
      </c>
      <c r="AP530">
        <v>37.701954650204058</v>
      </c>
      <c r="AQ530">
        <v>275.69688263574187</v>
      </c>
      <c r="AR530">
        <v>40.615392728326668</v>
      </c>
      <c r="AS530">
        <v>343.05624637794961</v>
      </c>
      <c r="AT530">
        <v>21.176882285032558</v>
      </c>
      <c r="AU530">
        <v>-21.466275513558877</v>
      </c>
      <c r="AV530"/>
      <c r="AW530"/>
      <c r="FY530" s="212">
        <v>525</v>
      </c>
      <c r="FZ530">
        <v>49.691631997076563</v>
      </c>
      <c r="GA530">
        <v>75.024664701110424</v>
      </c>
      <c r="GB530">
        <v>44.64964401901625</v>
      </c>
      <c r="GC530">
        <v>21.816482985935902</v>
      </c>
      <c r="GD530">
        <v>15.154210669908048</v>
      </c>
      <c r="GE530">
        <v>16.536030316331164</v>
      </c>
      <c r="GF530">
        <v>18.77132510841286</v>
      </c>
      <c r="GG530">
        <v>27.046374016445348</v>
      </c>
      <c r="GH530">
        <v>28.731015797414621</v>
      </c>
      <c r="GI530">
        <v>35.274612867369719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157.29166666666663</v>
      </c>
      <c r="E531" s="108">
        <f>E405</f>
        <v>0.16792112865967393</v>
      </c>
      <c r="F531" s="102"/>
      <c r="G531" s="101">
        <f>D531*E531</f>
        <v>26.412594195427872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867.8520339747181</v>
      </c>
      <c r="AO531">
        <v>54.9009639414517</v>
      </c>
      <c r="AP531">
        <v>65.208887131101534</v>
      </c>
      <c r="AQ531">
        <v>394.31533065999037</v>
      </c>
      <c r="AR531">
        <v>53.750633740733321</v>
      </c>
      <c r="AS531">
        <v>454.12637713114549</v>
      </c>
      <c r="AT531">
        <v>27.218465084862604</v>
      </c>
      <c r="AU531">
        <v>-51.154158135137401</v>
      </c>
      <c r="AV531"/>
      <c r="AW531"/>
      <c r="FY531" s="212">
        <v>526</v>
      </c>
      <c r="FZ531">
        <v>31.133675537585976</v>
      </c>
      <c r="GA531">
        <v>93.794806756203812</v>
      </c>
      <c r="GB531">
        <v>57.442521378005793</v>
      </c>
      <c r="GC531">
        <v>18.32418182298531</v>
      </c>
      <c r="GD531">
        <v>9.1311400506387344</v>
      </c>
      <c r="GE531">
        <v>12.789490175422559</v>
      </c>
      <c r="GF531">
        <v>16.899949332160215</v>
      </c>
      <c r="GG531">
        <v>17.140156588390763</v>
      </c>
      <c r="GH531">
        <v>21.285916550599108</v>
      </c>
      <c r="GI531">
        <v>30.701259290221454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-5.5462932226748377E-2</v>
      </c>
      <c r="I532" s="101">
        <f>AVERAGE(D531:D533)</f>
        <v>270.08123556985294</v>
      </c>
      <c r="J532" s="101">
        <f>I532*H532</f>
        <v>-14.979497264127216</v>
      </c>
      <c r="K532" s="61">
        <f>J532/(C533-C531)</f>
        <v>-0.55479619496767463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885.28450951847424</v>
      </c>
      <c r="AO532">
        <v>53.831709359881373</v>
      </c>
      <c r="AP532">
        <v>125.16202059792538</v>
      </c>
      <c r="AQ532">
        <v>374.40314349087885</v>
      </c>
      <c r="AR532">
        <v>51.035866823995356</v>
      </c>
      <c r="AS532">
        <v>455.88668694014439</v>
      </c>
      <c r="AT532">
        <v>25.67913684500266</v>
      </c>
      <c r="AU532">
        <v>12.645396409300664</v>
      </c>
      <c r="AV532"/>
      <c r="AW532"/>
      <c r="FY532" s="212">
        <v>527</v>
      </c>
      <c r="FZ532">
        <v>46.610042959955713</v>
      </c>
      <c r="GA532">
        <v>100.13750955172512</v>
      </c>
      <c r="GB532">
        <v>67.602286679148435</v>
      </c>
      <c r="GC532">
        <v>23.690608704977137</v>
      </c>
      <c r="GD532">
        <v>12.624346730894366</v>
      </c>
      <c r="GE532">
        <v>16.732522009122167</v>
      </c>
      <c r="GF532">
        <v>19.618839982694137</v>
      </c>
      <c r="GG532">
        <v>13.646576056050751</v>
      </c>
      <c r="GH532">
        <v>17.655799131388591</v>
      </c>
      <c r="GI532">
        <v>37.435439735243534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382.87080447303924</v>
      </c>
      <c r="E533" s="108">
        <f>E406</f>
        <v>0.11245819643292555</v>
      </c>
      <c r="F533" s="102"/>
      <c r="G533" s="101">
        <f>D533*E533</f>
        <v>43.056960137861282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775.37086589832563</v>
      </c>
      <c r="AO533">
        <v>52.738362986681963</v>
      </c>
      <c r="AP533">
        <v>47.193564220734004</v>
      </c>
      <c r="AQ533">
        <v>379.17717533756803</v>
      </c>
      <c r="AR533">
        <v>51.483231186506259</v>
      </c>
      <c r="AS533">
        <v>420.29454553101544</v>
      </c>
      <c r="AT533">
        <v>24.072510838138509</v>
      </c>
      <c r="AU533">
        <v>-131.75374805286748</v>
      </c>
      <c r="AV533"/>
      <c r="AW533"/>
      <c r="FY533" s="212">
        <v>528</v>
      </c>
      <c r="FZ533">
        <v>32.083429156277219</v>
      </c>
      <c r="GA533">
        <v>116.0145006845452</v>
      </c>
      <c r="GB533">
        <v>62.433525212203556</v>
      </c>
      <c r="GC533">
        <v>17.158368141459942</v>
      </c>
      <c r="GD533">
        <v>15.427570114180732</v>
      </c>
      <c r="GE533">
        <v>21.706917545075548</v>
      </c>
      <c r="GF533">
        <v>14.575989907818204</v>
      </c>
      <c r="GG533">
        <v>19.697636128797686</v>
      </c>
      <c r="GH533">
        <v>30.057563079164741</v>
      </c>
      <c r="GI533">
        <v>36.587786692203373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-6.3667255408261542E-2</v>
      </c>
      <c r="I534" s="101">
        <f>AVERAGE(D533:D535)</f>
        <v>707.41382485556733</v>
      </c>
      <c r="J534" s="101">
        <f>I534*H534</f>
        <v>-45.039096666414601</v>
      </c>
      <c r="K534" s="61">
        <f>J534/(C535-C533)</f>
        <v>-1.0985145528393805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663.16085262693491</v>
      </c>
      <c r="AO534">
        <v>45.99309400394597</v>
      </c>
      <c r="AP534">
        <v>83.065456552930698</v>
      </c>
      <c r="AQ534">
        <v>330.37733712426501</v>
      </c>
      <c r="AR534">
        <v>44.425101293209181</v>
      </c>
      <c r="AS534">
        <v>358.23558001550765</v>
      </c>
      <c r="AT534">
        <v>22.878430609486077</v>
      </c>
      <c r="AU534">
        <v>-68.361560178815694</v>
      </c>
      <c r="AV534"/>
      <c r="AW534"/>
      <c r="FY534" s="212">
        <v>529</v>
      </c>
      <c r="FZ534">
        <v>37.322934575554868</v>
      </c>
      <c r="GA534">
        <v>148.32044331374755</v>
      </c>
      <c r="GB534">
        <v>88.632057645289152</v>
      </c>
      <c r="GC534">
        <v>22.882963868375072</v>
      </c>
      <c r="GD534">
        <v>9.5234092988154249</v>
      </c>
      <c r="GE534">
        <v>10.37600131802626</v>
      </c>
      <c r="GF534">
        <v>26.712826017033233</v>
      </c>
      <c r="GG534">
        <v>19.754641940396485</v>
      </c>
      <c r="GH534">
        <v>23.657670258329976</v>
      </c>
      <c r="GI534">
        <v>41.729788555198695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1031.9568452380954</v>
      </c>
      <c r="E535" s="108">
        <f>E407</f>
        <v>4.8790941024664011E-2</v>
      </c>
      <c r="F535" s="102"/>
      <c r="G535" s="101">
        <f>D535*E535</f>
        <v>50.350145576010242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749.53297583780954</v>
      </c>
      <c r="AO535">
        <v>44.567051388935369</v>
      </c>
      <c r="AP535">
        <v>93.672954728466848</v>
      </c>
      <c r="AQ535">
        <v>307.21737734499203</v>
      </c>
      <c r="AR535">
        <v>43.394534421440412</v>
      </c>
      <c r="AS535">
        <v>385.38205212139945</v>
      </c>
      <c r="AT535">
        <v>22.869369172142466</v>
      </c>
      <c r="AU535">
        <v>-56.799205881545547</v>
      </c>
      <c r="AV535"/>
      <c r="AW535"/>
      <c r="FY535" s="212">
        <v>530</v>
      </c>
      <c r="FZ535">
        <v>40.008331344507759</v>
      </c>
      <c r="GA535">
        <v>85.888956328658821</v>
      </c>
      <c r="GB535">
        <v>49.778996143667804</v>
      </c>
      <c r="GC535">
        <v>18.590636311426437</v>
      </c>
      <c r="GD535">
        <v>8.9091177081142572</v>
      </c>
      <c r="GE535">
        <v>10.643085191665122</v>
      </c>
      <c r="GF535">
        <v>23.489614551131076</v>
      </c>
      <c r="GG535">
        <v>22.725819167839695</v>
      </c>
      <c r="GH535">
        <v>25.985320532106805</v>
      </c>
      <c r="GI535">
        <v>31.87739544188328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-1.6579409022935067E-2</v>
      </c>
      <c r="I536" s="101">
        <f>AVERAGE(D535:D537)</f>
        <v>1294.1947569910933</v>
      </c>
      <c r="J536" s="101">
        <f>I536*H536</f>
        <v>-21.45698423149339</v>
      </c>
      <c r="K536" s="61">
        <f>J536/(C537-C535)</f>
        <v>-0.65021164337858761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742.49341904192011</v>
      </c>
      <c r="AO536">
        <v>53.296710696039284</v>
      </c>
      <c r="AP536">
        <v>74.010566483393802</v>
      </c>
      <c r="AQ536">
        <v>375.93405160988323</v>
      </c>
      <c r="AR536">
        <v>53.369166258954202</v>
      </c>
      <c r="AS536">
        <v>437.22404267770764</v>
      </c>
      <c r="AT536">
        <v>29.115252736121931</v>
      </c>
      <c r="AU536">
        <v>-44.089052202520101</v>
      </c>
      <c r="AV536"/>
      <c r="AW536"/>
      <c r="FY536" s="212">
        <v>531</v>
      </c>
      <c r="FZ536">
        <v>41.756508491387173</v>
      </c>
      <c r="GA536">
        <v>85.240570938589954</v>
      </c>
      <c r="GB536">
        <v>56.283241027752283</v>
      </c>
      <c r="GC536">
        <v>15.891172546393497</v>
      </c>
      <c r="GD536">
        <v>5.8741152925488338</v>
      </c>
      <c r="GE536">
        <v>10.652716502383749</v>
      </c>
      <c r="GF536">
        <v>22.095714604438374</v>
      </c>
      <c r="GG536">
        <v>14.410559006614672</v>
      </c>
      <c r="GH536">
        <v>12.993916947711215</v>
      </c>
      <c r="GI536">
        <v>29.731385199954303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1556.4326687440912</v>
      </c>
      <c r="E537" s="108">
        <f>E408</f>
        <v>3.2211532001728944E-2</v>
      </c>
      <c r="F537" s="102"/>
      <c r="G537" s="101">
        <f>D537*E537</f>
        <v>50.135080717786678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839.55311434525174</v>
      </c>
      <c r="AO537">
        <v>53.918619079700534</v>
      </c>
      <c r="AP537">
        <v>44.631781837159657</v>
      </c>
      <c r="AQ537">
        <v>380.90298873165654</v>
      </c>
      <c r="AR537">
        <v>53.2052804684132</v>
      </c>
      <c r="AS537">
        <v>450.95693433085756</v>
      </c>
      <c r="AT537">
        <v>26.995034263401994</v>
      </c>
      <c r="AU537">
        <v>-87.100625027313129</v>
      </c>
      <c r="AV537"/>
      <c r="AW537"/>
      <c r="FY537" s="212">
        <v>532</v>
      </c>
      <c r="FZ537">
        <v>42.949893248338959</v>
      </c>
      <c r="GA537">
        <v>120.74342686866332</v>
      </c>
      <c r="GB537">
        <v>64.875934202886441</v>
      </c>
      <c r="GC537">
        <v>20.331642400845293</v>
      </c>
      <c r="GD537">
        <v>13.104933179779691</v>
      </c>
      <c r="GE537">
        <v>20.683109956263284</v>
      </c>
      <c r="GF537">
        <v>23.563866457025355</v>
      </c>
      <c r="GG537">
        <v>19.809535285119029</v>
      </c>
      <c r="GH537">
        <v>18.71502553947677</v>
      </c>
      <c r="GI537">
        <v>37.422414591513871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4.9792309697068993E-3</v>
      </c>
      <c r="I538" s="101">
        <f>AVERAGE(D537:D539)</f>
        <v>1205.8887074458439</v>
      </c>
      <c r="J538" s="101">
        <f>I538*H538</f>
        <v>6.0043983981341684</v>
      </c>
      <c r="K538" s="61">
        <f>J538/(C539-C537)</f>
        <v>0.21444279993336315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623.60251793196232</v>
      </c>
      <c r="AO538">
        <v>44.101030902051285</v>
      </c>
      <c r="AP538">
        <v>52.178250872020534</v>
      </c>
      <c r="AQ538">
        <v>313.9779104310519</v>
      </c>
      <c r="AR538">
        <v>43.164535078503128</v>
      </c>
      <c r="AS538">
        <v>349.8333953311037</v>
      </c>
      <c r="AT538">
        <v>23.464110374561898</v>
      </c>
      <c r="AU538">
        <v>-39.247088083439323</v>
      </c>
      <c r="AV538"/>
      <c r="AW538"/>
      <c r="FY538" s="212">
        <v>533</v>
      </c>
      <c r="FZ538">
        <v>42.352001694065564</v>
      </c>
      <c r="GA538">
        <v>151.90544429970518</v>
      </c>
      <c r="GB538">
        <v>90.106198617763596</v>
      </c>
      <c r="GC538">
        <v>23.278391382934441</v>
      </c>
      <c r="GD538">
        <v>10.090864931764193</v>
      </c>
      <c r="GE538">
        <v>9.2732613682270735</v>
      </c>
      <c r="GF538">
        <v>22.871925102257897</v>
      </c>
      <c r="GG538">
        <v>30.490036924695939</v>
      </c>
      <c r="GH538">
        <v>24.901103557668346</v>
      </c>
      <c r="GI538">
        <v>42.710323605354823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855.34474614759665</v>
      </c>
      <c r="E539" s="108">
        <f>E409</f>
        <v>3.7190762971435844E-2</v>
      </c>
      <c r="F539" s="102"/>
      <c r="G539" s="101">
        <f>D539*E539</f>
        <v>31.810923712838228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707.98529590148178</v>
      </c>
      <c r="AO539">
        <v>47.266719006783013</v>
      </c>
      <c r="AP539">
        <v>61.372369871290303</v>
      </c>
      <c r="AQ539">
        <v>325.68649775472323</v>
      </c>
      <c r="AR539">
        <v>47.005206728902316</v>
      </c>
      <c r="AS539">
        <v>371.34152606020666</v>
      </c>
      <c r="AT539">
        <v>24.215133057216843</v>
      </c>
      <c r="AU539">
        <v>-23.96991221582109</v>
      </c>
      <c r="AV539"/>
      <c r="AW539"/>
      <c r="FY539" s="212">
        <v>534</v>
      </c>
      <c r="FZ539">
        <v>33.487147666680599</v>
      </c>
      <c r="GA539">
        <v>97.089623280847334</v>
      </c>
      <c r="GB539">
        <v>53.117569043626261</v>
      </c>
      <c r="GC539">
        <v>17.666908097754504</v>
      </c>
      <c r="GD539">
        <v>12.168581825592264</v>
      </c>
      <c r="GE539">
        <v>16.344328326564128</v>
      </c>
      <c r="GF539">
        <v>40.394061586919612</v>
      </c>
      <c r="GG539">
        <v>36.025299346593137</v>
      </c>
      <c r="GH539">
        <v>31.015844083744305</v>
      </c>
      <c r="GI539">
        <v>37.44351220166525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-1.1654836181797239E-2</v>
      </c>
      <c r="I540" s="101">
        <f>AVERAGE(D539:D541)</f>
        <v>777.0641574038093</v>
      </c>
      <c r="J540" s="101">
        <f>I540*H540</f>
        <v>-9.0565554572877005</v>
      </c>
      <c r="K540" s="61">
        <f>J540/(C541-C539)</f>
        <v>-0.37735647738698752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733.3236641554679</v>
      </c>
      <c r="AO540">
        <v>51.065716691505557</v>
      </c>
      <c r="AP540">
        <v>77.223034387610369</v>
      </c>
      <c r="AQ540">
        <v>359.34708797119708</v>
      </c>
      <c r="AR540">
        <v>49.900630966352544</v>
      </c>
      <c r="AS540">
        <v>384.78827000655258</v>
      </c>
      <c r="AT540">
        <v>25.313121152710952</v>
      </c>
      <c r="AU540">
        <v>-38.642458473338912</v>
      </c>
      <c r="AV540"/>
      <c r="AW540"/>
      <c r="FY540" s="212">
        <v>535</v>
      </c>
      <c r="FZ540">
        <v>41.668089255139215</v>
      </c>
      <c r="GA540">
        <v>67.3460667377107</v>
      </c>
      <c r="GB540">
        <v>53.983213756374056</v>
      </c>
      <c r="GC540">
        <v>25.186301898383228</v>
      </c>
      <c r="GD540">
        <v>9.754302047249455</v>
      </c>
      <c r="GE540">
        <v>11.617765079220229</v>
      </c>
      <c r="GF540">
        <v>15.464193613715876</v>
      </c>
      <c r="GG540">
        <v>20.466826270765157</v>
      </c>
      <c r="GH540">
        <v>28.455930526992578</v>
      </c>
      <c r="GI540">
        <v>32.586561103847636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698.78356866002196</v>
      </c>
      <c r="E541" s="108">
        <f>E410</f>
        <v>2.5535926789638605E-2</v>
      </c>
      <c r="F541" s="102"/>
      <c r="G541" s="101">
        <f>D541*E541</f>
        <v>17.844086051104721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726.99000719253161</v>
      </c>
      <c r="AO541">
        <v>49.450960273346482</v>
      </c>
      <c r="AP541">
        <v>60.78365185863391</v>
      </c>
      <c r="AQ541">
        <v>332.6959924790209</v>
      </c>
      <c r="AR541">
        <v>48.631023993416434</v>
      </c>
      <c r="AS541">
        <v>394.05555809908867</v>
      </c>
      <c r="AT541">
        <v>25.602894326819367</v>
      </c>
      <c r="AU541">
        <v>-38.035087026606547</v>
      </c>
      <c r="AV541"/>
      <c r="AW541"/>
      <c r="FY541" s="212">
        <v>536</v>
      </c>
      <c r="FZ541">
        <v>53.90024797872104</v>
      </c>
      <c r="GA541">
        <v>124.70209008845704</v>
      </c>
      <c r="GB541">
        <v>62.981832059791159</v>
      </c>
      <c r="GC541">
        <v>16.577154138118154</v>
      </c>
      <c r="GD541">
        <v>8.4274344468852629</v>
      </c>
      <c r="GE541">
        <v>10.346066985200874</v>
      </c>
      <c r="GF541">
        <v>28.3007776844949</v>
      </c>
      <c r="GG541">
        <v>22.587186146193314</v>
      </c>
      <c r="GH541">
        <v>23.543733851446866</v>
      </c>
      <c r="GI541">
        <v>37.634050781841275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-1.8048661407468712E-3</v>
      </c>
      <c r="I542" s="101">
        <f>AVERAGE(D541:D543)</f>
        <v>501.21470099667761</v>
      </c>
      <c r="J542" s="101">
        <f>I542*H542</f>
        <v>-0.90462544307347048</v>
      </c>
      <c r="K542" s="61">
        <f>J542/(C543-C541)</f>
        <v>-1.884636339736397E-2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638.22009010728812</v>
      </c>
      <c r="AO542">
        <v>44.029785298866763</v>
      </c>
      <c r="AP542">
        <v>43.172850726955822</v>
      </c>
      <c r="AQ542">
        <v>308.6430974822137</v>
      </c>
      <c r="AR542">
        <v>42.260027377160185</v>
      </c>
      <c r="AS542">
        <v>334.30088172177682</v>
      </c>
      <c r="AT542">
        <v>20.851467568498872</v>
      </c>
      <c r="AU542">
        <v>-63.956654843417837</v>
      </c>
      <c r="AV542"/>
      <c r="AW542"/>
      <c r="FY542" s="212">
        <v>537</v>
      </c>
      <c r="FZ542">
        <v>51.387235629939227</v>
      </c>
      <c r="GA542">
        <v>83.381639199220814</v>
      </c>
      <c r="GB542">
        <v>39.51860564654028</v>
      </c>
      <c r="GC542">
        <v>17.306890291985834</v>
      </c>
      <c r="GD542">
        <v>12.390841954647996</v>
      </c>
      <c r="GE542">
        <v>11.462516532669264</v>
      </c>
      <c r="GF542">
        <v>15.966844685491299</v>
      </c>
      <c r="GG542">
        <v>19.022714819302941</v>
      </c>
      <c r="GH542">
        <v>29.649869987305348</v>
      </c>
      <c r="GI542">
        <v>32.297826444743166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303.64583333333331</v>
      </c>
      <c r="E543" s="108">
        <f>E411</f>
        <v>2.3731060648891734E-2</v>
      </c>
      <c r="F543" s="102"/>
      <c r="G543" s="101">
        <f>D543*E543</f>
        <v>7.2058376866166043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758.94831855237101</v>
      </c>
      <c r="AO543">
        <v>51.98851060367717</v>
      </c>
      <c r="AP543">
        <v>47.758303677360743</v>
      </c>
      <c r="AQ543">
        <v>355.75397154119992</v>
      </c>
      <c r="AR543">
        <v>51.484002880478585</v>
      </c>
      <c r="AS543">
        <v>415.89314143763465</v>
      </c>
      <c r="AT543">
        <v>26.435657948558642</v>
      </c>
      <c r="AU543">
        <v>-55.845745457901572</v>
      </c>
      <c r="AV543"/>
      <c r="AW543"/>
      <c r="FY543" s="212">
        <v>538</v>
      </c>
      <c r="FZ543">
        <v>27.795481464817644</v>
      </c>
      <c r="GA543">
        <v>83.933522955278136</v>
      </c>
      <c r="GB543">
        <v>53.22000074086521</v>
      </c>
      <c r="GC543">
        <v>20.129630027606005</v>
      </c>
      <c r="GD543">
        <v>10.351830632487809</v>
      </c>
      <c r="GE543">
        <v>8.894274217139877</v>
      </c>
      <c r="GF543">
        <v>24.509437435493609</v>
      </c>
      <c r="GG543">
        <v>24.082878859335327</v>
      </c>
      <c r="GH543">
        <v>19.652853216669651</v>
      </c>
      <c r="GI543">
        <v>30.953700395914549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1.3249954859981882E-2</v>
      </c>
      <c r="I544" s="101">
        <f>AVERAGE(D543:D545)</f>
        <v>753.30018939393926</v>
      </c>
      <c r="J544" s="101">
        <f>I544*H544</f>
        <v>9.9811935054854981</v>
      </c>
      <c r="K544" s="61">
        <f>J544/(C545-C543)</f>
        <v>0.15843164294421425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879.86947368204551</v>
      </c>
      <c r="AO544">
        <v>52.442028696959611</v>
      </c>
      <c r="AP544">
        <v>71.362173691896842</v>
      </c>
      <c r="AQ544">
        <v>365.74328666172624</v>
      </c>
      <c r="AR544">
        <v>50.275183110455352</v>
      </c>
      <c r="AS544">
        <v>440.43943209345605</v>
      </c>
      <c r="AT544">
        <v>25.455219017572947</v>
      </c>
      <c r="AU544">
        <v>-91.678120536901815</v>
      </c>
      <c r="AV544"/>
      <c r="AW544"/>
      <c r="FY544" s="212">
        <v>539</v>
      </c>
      <c r="FZ544">
        <v>35.850181673660998</v>
      </c>
      <c r="GA544">
        <v>97.906440088500545</v>
      </c>
      <c r="GB544">
        <v>60.811951245543796</v>
      </c>
      <c r="GC544">
        <v>17.32429165664097</v>
      </c>
      <c r="GD544">
        <v>9.9546903456853588</v>
      </c>
      <c r="GE544">
        <v>17.202016447578458</v>
      </c>
      <c r="GF544">
        <v>35.220859489583887</v>
      </c>
      <c r="GG544">
        <v>36.21277124330836</v>
      </c>
      <c r="GH544">
        <v>25.713640345429482</v>
      </c>
      <c r="GI544">
        <v>36.633498446503211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1202.9545454545453</v>
      </c>
      <c r="E545" s="108">
        <f>E412</f>
        <v>3.6981015508873616E-2</v>
      </c>
      <c r="F545" s="102"/>
      <c r="G545" s="101">
        <f>D545*E545</f>
        <v>44.486480701924549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876.40458821953143</v>
      </c>
      <c r="AO545">
        <v>59.090986394704217</v>
      </c>
      <c r="AP545">
        <v>51.124317987815367</v>
      </c>
      <c r="AQ545">
        <v>428.91273679076676</v>
      </c>
      <c r="AR545">
        <v>57.365686201067895</v>
      </c>
      <c r="AS545">
        <v>494.43630529992237</v>
      </c>
      <c r="AT545">
        <v>28.163420323336808</v>
      </c>
      <c r="AU545">
        <v>-118.68895862708453</v>
      </c>
      <c r="AV545"/>
      <c r="AW545"/>
      <c r="FY545" s="212">
        <v>540</v>
      </c>
      <c r="FZ545">
        <v>58.915106631412073</v>
      </c>
      <c r="GA545">
        <v>134.50539351588947</v>
      </c>
      <c r="GB545">
        <v>75.049829345356557</v>
      </c>
      <c r="GC545">
        <v>21.163131052407675</v>
      </c>
      <c r="GD545">
        <v>12.992786459878308</v>
      </c>
      <c r="GE545">
        <v>12.705154653856894</v>
      </c>
      <c r="GF545">
        <v>10.322104389966182</v>
      </c>
      <c r="GG545">
        <v>16.854540362352807</v>
      </c>
      <c r="GH545">
        <v>24.965450181516957</v>
      </c>
      <c r="GI545">
        <v>40.780973212725748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2.5447283927567989E-2</v>
      </c>
      <c r="I546" s="101">
        <f>AVERAGE(D545:D547)</f>
        <v>725.30205211038003</v>
      </c>
      <c r="J546" s="101">
        <f>I546*H546</f>
        <v>18.456967253300554</v>
      </c>
      <c r="K546" s="61">
        <f>J546/(C547-C545)</f>
        <v>0.4732555705974501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602.7017176418974</v>
      </c>
      <c r="AO546">
        <v>44.717694017914212</v>
      </c>
      <c r="AP546">
        <v>44.681987970369271</v>
      </c>
      <c r="AQ546">
        <v>317.897272721001</v>
      </c>
      <c r="AR546">
        <v>43.851712330898856</v>
      </c>
      <c r="AS546">
        <v>344.95427188464771</v>
      </c>
      <c r="AT546">
        <v>23.15129087491265</v>
      </c>
      <c r="AU546">
        <v>-49.607301046874063</v>
      </c>
      <c r="AV546"/>
      <c r="AW546"/>
      <c r="FY546" s="212">
        <v>541</v>
      </c>
      <c r="FZ546">
        <v>46.115406282193838</v>
      </c>
      <c r="GA546">
        <v>121.71435199098251</v>
      </c>
      <c r="GB546">
        <v>70.10002682544993</v>
      </c>
      <c r="GC546">
        <v>19.752609247217656</v>
      </c>
      <c r="GD546">
        <v>11.374901363662596</v>
      </c>
      <c r="GE546">
        <v>13.388558928325187</v>
      </c>
      <c r="GF546">
        <v>30.090656000196248</v>
      </c>
      <c r="GG546">
        <v>33.644692288773818</v>
      </c>
      <c r="GH546">
        <v>42.808244506106512</v>
      </c>
      <c r="GI546">
        <v>43.147204249785077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247.64955876621482</v>
      </c>
      <c r="E547" s="108">
        <f>E413</f>
        <v>6.2428299436441605E-2</v>
      </c>
      <c r="F547" s="102"/>
      <c r="G547" s="101">
        <f>D547*E547</f>
        <v>15.4603408099599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616.34884015553246</v>
      </c>
      <c r="AO547">
        <v>40.985141821923229</v>
      </c>
      <c r="AP547">
        <v>33.648720734965593</v>
      </c>
      <c r="AQ547">
        <v>294.92990055777409</v>
      </c>
      <c r="AR547">
        <v>41.010868241676263</v>
      </c>
      <c r="AS547">
        <v>321.35798022321251</v>
      </c>
      <c r="AT547">
        <v>20.865210114792479</v>
      </c>
      <c r="AU547">
        <v>-60.483211689032238</v>
      </c>
      <c r="AV547"/>
      <c r="AW547"/>
      <c r="FY547" s="212">
        <v>542</v>
      </c>
      <c r="FZ547">
        <v>39.786086057725576</v>
      </c>
      <c r="GA547">
        <v>96.979166505300512</v>
      </c>
      <c r="GB547">
        <v>47.711997208419604</v>
      </c>
      <c r="GC547">
        <v>14.340324811032183</v>
      </c>
      <c r="GD547">
        <v>10.495593621379358</v>
      </c>
      <c r="GE547">
        <v>10.110844959211448</v>
      </c>
      <c r="GF547">
        <v>12.563131086016503</v>
      </c>
      <c r="GG547">
        <v>18.285304326974689</v>
      </c>
      <c r="GH547">
        <v>25.878669889468572</v>
      </c>
      <c r="GI547">
        <v>30.371224002110118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5.6914681719072803E-2</v>
      </c>
      <c r="I548" s="101">
        <f>AVERAGE(D547:D549)</f>
        <v>233.62545225233202</v>
      </c>
      <c r="J548" s="101">
        <f>I548*H548</f>
        <v>13.296718256415918</v>
      </c>
      <c r="K548" s="61">
        <f>J548/(C549-C547)</f>
        <v>0.34991363832673467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800.40533195388593</v>
      </c>
      <c r="AO548">
        <v>54.463516958394635</v>
      </c>
      <c r="AP548">
        <v>50.774432359072158</v>
      </c>
      <c r="AQ548">
        <v>382.19978172991199</v>
      </c>
      <c r="AR548">
        <v>51.513427421637751</v>
      </c>
      <c r="AS548">
        <v>423.10348367852134</v>
      </c>
      <c r="AT548">
        <v>25.788452225143686</v>
      </c>
      <c r="AU548">
        <v>-50.001605646437724</v>
      </c>
      <c r="AV548"/>
      <c r="AW548"/>
      <c r="FY548" s="212">
        <v>543</v>
      </c>
      <c r="FZ548">
        <v>45.986483555624979</v>
      </c>
      <c r="GA548">
        <v>135.45951797190958</v>
      </c>
      <c r="GB548">
        <v>64.802055568782038</v>
      </c>
      <c r="GC548">
        <v>15.663851498478788</v>
      </c>
      <c r="GD548">
        <v>11.494532493601161</v>
      </c>
      <c r="GE548">
        <v>11.522129743248495</v>
      </c>
      <c r="GF548">
        <v>30.148897402899458</v>
      </c>
      <c r="GG548">
        <v>34.30095316442759</v>
      </c>
      <c r="GH548">
        <v>31.575184552480675</v>
      </c>
      <c r="GI548">
        <v>40.155847371260307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219.60134573844925</v>
      </c>
      <c r="E549" s="108">
        <f>E414</f>
        <v>0.11934298115551441</v>
      </c>
      <c r="F549" s="102"/>
      <c r="G549" s="101">
        <f>D549*E549</f>
        <v>26.207879266189355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817.43189128049698</v>
      </c>
      <c r="AO549">
        <v>61.782831449573415</v>
      </c>
      <c r="AP549">
        <v>64.289313220464891</v>
      </c>
      <c r="AQ549">
        <v>447.97955148443702</v>
      </c>
      <c r="AR549">
        <v>58.858513246570425</v>
      </c>
      <c r="AS549">
        <v>496.5583035266381</v>
      </c>
      <c r="AT549">
        <v>29.210314073186883</v>
      </c>
      <c r="AU549">
        <v>-87.589683596292375</v>
      </c>
      <c r="AV549"/>
      <c r="AW549"/>
      <c r="FY549" s="212">
        <v>544</v>
      </c>
      <c r="FZ549">
        <v>48.105515430273115</v>
      </c>
      <c r="GA549">
        <v>74.204555705258116</v>
      </c>
      <c r="GB549">
        <v>39.160872735187219</v>
      </c>
      <c r="GC549">
        <v>19.380616290776576</v>
      </c>
      <c r="GD549">
        <v>13.947074441115696</v>
      </c>
      <c r="GE549">
        <v>14.651925176772686</v>
      </c>
      <c r="GF549">
        <v>21.681761087835067</v>
      </c>
      <c r="GG549">
        <v>24.399468370476875</v>
      </c>
      <c r="GH549">
        <v>17.283234032173983</v>
      </c>
      <c r="GI549">
        <v>31.607048143094147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-0.11934298115551441</v>
      </c>
      <c r="I550" s="101">
        <f>AVERAGE(D549:D551)</f>
        <v>109.80067286922463</v>
      </c>
      <c r="J550" s="101">
        <f>I550*H550</f>
        <v>-13.103939633094678</v>
      </c>
      <c r="K550" s="61">
        <f>J550/(C551-C549)</f>
        <v>3.2770499495072593E-4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851.09965737529308</v>
      </c>
      <c r="AO550">
        <v>52.810202005875418</v>
      </c>
      <c r="AP550">
        <v>87.098957114470508</v>
      </c>
      <c r="AQ550">
        <v>374.75287545998748</v>
      </c>
      <c r="AR550">
        <v>51.344035214802197</v>
      </c>
      <c r="AS550">
        <v>429.06808936193994</v>
      </c>
      <c r="AT550">
        <v>26.240387684434499</v>
      </c>
      <c r="AU550">
        <v>-50.70984370649083</v>
      </c>
      <c r="AV550"/>
      <c r="AW550"/>
      <c r="FY550" s="212">
        <v>545</v>
      </c>
      <c r="FZ550">
        <v>44.957775595267073</v>
      </c>
      <c r="GA550">
        <v>97.225356532398493</v>
      </c>
      <c r="GB550">
        <v>51.16763944347737</v>
      </c>
      <c r="GC550">
        <v>15.54729206275487</v>
      </c>
      <c r="GD550">
        <v>7.8131216555943022</v>
      </c>
      <c r="GE550">
        <v>9.9192731595455736</v>
      </c>
      <c r="GF550">
        <v>22.250300103849433</v>
      </c>
      <c r="GG550">
        <v>26.39117822604873</v>
      </c>
      <c r="GH550">
        <v>36.297680584864167</v>
      </c>
      <c r="GI550">
        <v>33.758730918051057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637.40377539477652</v>
      </c>
      <c r="AO551">
        <v>45.656998832952439</v>
      </c>
      <c r="AP551">
        <v>36.505788192421633</v>
      </c>
      <c r="AQ551">
        <v>306.52925028939814</v>
      </c>
      <c r="AR551">
        <v>44.845759272455858</v>
      </c>
      <c r="AS551">
        <v>366.68570691282792</v>
      </c>
      <c r="AT551">
        <v>23.340914675750298</v>
      </c>
      <c r="AU551">
        <v>-51.712083319289867</v>
      </c>
      <c r="AV551"/>
      <c r="AW551"/>
      <c r="FY551" s="212">
        <v>546</v>
      </c>
      <c r="FZ551">
        <v>51.762675096313608</v>
      </c>
      <c r="GA551">
        <v>94.315755267998114</v>
      </c>
      <c r="GB551">
        <v>61.392233501292957</v>
      </c>
      <c r="GC551">
        <v>16.61620329349212</v>
      </c>
      <c r="GD551">
        <v>14.360179812098352</v>
      </c>
      <c r="GE551">
        <v>28.069474042156806</v>
      </c>
      <c r="GF551">
        <v>30.130680367882601</v>
      </c>
      <c r="GG551">
        <v>30.80147351381585</v>
      </c>
      <c r="GH551">
        <v>32.054397425842424</v>
      </c>
      <c r="GI551">
        <v>41.830713829455078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672.70491449952101</v>
      </c>
      <c r="AO552">
        <v>52.576401900953591</v>
      </c>
      <c r="AP552">
        <v>76.042317487866327</v>
      </c>
      <c r="AQ552">
        <v>389.00057416114987</v>
      </c>
      <c r="AR552">
        <v>52.182347346451841</v>
      </c>
      <c r="AS552">
        <v>402.12097685354263</v>
      </c>
      <c r="AT552">
        <v>25.747453599633307</v>
      </c>
      <c r="AU552">
        <v>-46.421523213174403</v>
      </c>
      <c r="AV552"/>
      <c r="AW552"/>
      <c r="FY552" s="212">
        <v>547</v>
      </c>
      <c r="FZ552">
        <v>39.064976605176199</v>
      </c>
      <c r="GA552">
        <v>92.95333360504091</v>
      </c>
      <c r="GB552">
        <v>49.911109843968326</v>
      </c>
      <c r="GC552">
        <v>13.941875809683291</v>
      </c>
      <c r="GD552">
        <v>9.8232671737396053</v>
      </c>
      <c r="GE552">
        <v>13.52518664549229</v>
      </c>
      <c r="GF552">
        <v>32.828553419632648</v>
      </c>
      <c r="GG552">
        <v>34.73033481500741</v>
      </c>
      <c r="GH552">
        <v>41.511606595010612</v>
      </c>
      <c r="GI552">
        <v>36.519141555844364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554.98931532591109</v>
      </c>
      <c r="AO553">
        <v>44.26318929143487</v>
      </c>
      <c r="AP553">
        <v>54.721294753703461</v>
      </c>
      <c r="AQ553">
        <v>312.38498519184617</v>
      </c>
      <c r="AR553">
        <v>44.582547125302639</v>
      </c>
      <c r="AS553">
        <v>356.29050194909786</v>
      </c>
      <c r="AT553">
        <v>23.549061554519117</v>
      </c>
      <c r="AU553">
        <v>-36.041806748485023</v>
      </c>
      <c r="AV553"/>
      <c r="AW553"/>
      <c r="FY553" s="212">
        <v>548</v>
      </c>
      <c r="FZ553">
        <v>55.743905164927106</v>
      </c>
      <c r="GA553">
        <v>77.323710182519463</v>
      </c>
      <c r="GB553">
        <v>40.322133647325003</v>
      </c>
      <c r="GC553">
        <v>15.347797402459776</v>
      </c>
      <c r="GD553">
        <v>10.628150251957946</v>
      </c>
      <c r="GE553">
        <v>15.163642811718981</v>
      </c>
      <c r="GF553">
        <v>35.867925611785466</v>
      </c>
      <c r="GG553">
        <v>31.727103948461973</v>
      </c>
      <c r="GH553">
        <v>20.330064370524319</v>
      </c>
      <c r="GI553">
        <v>34.223195679476554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645.57571811833168</v>
      </c>
      <c r="AO554">
        <v>44.120562247858679</v>
      </c>
      <c r="AP554">
        <v>63.96613331188702</v>
      </c>
      <c r="AQ554">
        <v>303.5236099456078</v>
      </c>
      <c r="AR554">
        <v>42.591192705027503</v>
      </c>
      <c r="AS554">
        <v>374.56889283992308</v>
      </c>
      <c r="AT554">
        <v>21.868185604476775</v>
      </c>
      <c r="AU554">
        <v>-27.9610529425618</v>
      </c>
      <c r="AV554"/>
      <c r="AW554"/>
      <c r="FY554" s="212">
        <v>549</v>
      </c>
      <c r="FZ554">
        <v>46.190704414534423</v>
      </c>
      <c r="GA554">
        <v>89.736038078696623</v>
      </c>
      <c r="GB554">
        <v>46.645998618338794</v>
      </c>
      <c r="GC554">
        <v>20.538585757705544</v>
      </c>
      <c r="GD554">
        <v>13.132708501773671</v>
      </c>
      <c r="GE554">
        <v>14.415514134769818</v>
      </c>
      <c r="GF554">
        <v>24.054093495482213</v>
      </c>
      <c r="GG554">
        <v>19.151663088338644</v>
      </c>
      <c r="GH554">
        <v>28.007598322356969</v>
      </c>
      <c r="GI554">
        <v>34.84908626883292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853.2022519543134</v>
      </c>
      <c r="AO555">
        <v>52.278486553508102</v>
      </c>
      <c r="AP555">
        <v>76.696858854475892</v>
      </c>
      <c r="AQ555">
        <v>372.83034098243513</v>
      </c>
      <c r="AR555">
        <v>50.183989253597083</v>
      </c>
      <c r="AS555">
        <v>449.21472514757818</v>
      </c>
      <c r="AT555">
        <v>25.221902503722074</v>
      </c>
      <c r="AU555">
        <v>-48.932837556942758</v>
      </c>
      <c r="AV555"/>
      <c r="AW555"/>
      <c r="FY555" s="212">
        <v>550</v>
      </c>
      <c r="FZ555">
        <v>31.956791833443788</v>
      </c>
      <c r="GA555">
        <v>86.108144206126369</v>
      </c>
      <c r="GB555">
        <v>52.813609156581158</v>
      </c>
      <c r="GC555">
        <v>18.571171247073984</v>
      </c>
      <c r="GD555">
        <v>10.882449263058669</v>
      </c>
      <c r="GE555">
        <v>14.235298674716164</v>
      </c>
      <c r="GF555">
        <v>22.617639260522591</v>
      </c>
      <c r="GG555">
        <v>30.918686491120827</v>
      </c>
      <c r="GH555">
        <v>27.685034598972724</v>
      </c>
      <c r="GI555">
        <v>32.75337301942745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26.080860737976622</v>
      </c>
      <c r="H556" s="63" t="s">
        <v>103</v>
      </c>
      <c r="I556" s="123">
        <f>SUM(J532:J552)+G531</f>
        <v>-30.388827086727041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742.52517662628031</v>
      </c>
      <c r="AO556">
        <v>56.690453155898581</v>
      </c>
      <c r="AP556">
        <v>36.543776709411553</v>
      </c>
      <c r="AQ556">
        <v>408.25446980536259</v>
      </c>
      <c r="AR556">
        <v>56.162549537338052</v>
      </c>
      <c r="AS556">
        <v>464.95899828483437</v>
      </c>
      <c r="AT556">
        <v>28.789882947317754</v>
      </c>
      <c r="AU556">
        <v>-74.130802604486746</v>
      </c>
      <c r="AV556"/>
      <c r="AW556"/>
      <c r="FY556" s="212">
        <v>551</v>
      </c>
      <c r="FZ556">
        <v>37.182287897518343</v>
      </c>
      <c r="GA556">
        <v>70.382926398630303</v>
      </c>
      <c r="GB556">
        <v>47.11949157356986</v>
      </c>
      <c r="GC556">
        <v>20.369314646631491</v>
      </c>
      <c r="GD556">
        <v>11.264659935557914</v>
      </c>
      <c r="GE556">
        <v>11.853617656319525</v>
      </c>
      <c r="GF556">
        <v>14.641718196205709</v>
      </c>
      <c r="GG556">
        <v>18.113586141021926</v>
      </c>
      <c r="GH556">
        <v>27.199147608932041</v>
      </c>
      <c r="GI556">
        <v>30.689168373547986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816.41736373052277</v>
      </c>
      <c r="AO557">
        <v>59.671731126048734</v>
      </c>
      <c r="AP557">
        <v>81.611223915399663</v>
      </c>
      <c r="AQ557">
        <v>432.13665168269341</v>
      </c>
      <c r="AR557">
        <v>59.467624348144639</v>
      </c>
      <c r="AS557">
        <v>480.27723247945022</v>
      </c>
      <c r="AT557">
        <v>30.142268219173349</v>
      </c>
      <c r="AU557">
        <v>-79.337402788103276</v>
      </c>
      <c r="AV557"/>
      <c r="AW557"/>
      <c r="FY557" s="212">
        <v>552</v>
      </c>
      <c r="FZ557">
        <v>30.246005446108391</v>
      </c>
      <c r="GA557">
        <v>103.01936568628601</v>
      </c>
      <c r="GB557">
        <v>59.534934743413515</v>
      </c>
      <c r="GC557">
        <v>17.038932156402421</v>
      </c>
      <c r="GD557">
        <v>8.1127657962007937</v>
      </c>
      <c r="GE557">
        <v>6.8372322691259253</v>
      </c>
      <c r="GF557">
        <v>28.447058559733016</v>
      </c>
      <c r="GG557">
        <v>33.528788936303087</v>
      </c>
      <c r="GH557">
        <v>29.799977930400377</v>
      </c>
      <c r="GI557">
        <v>33.980706918211617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543.94711951526381</v>
      </c>
      <c r="AO558">
        <v>42.702780044459871</v>
      </c>
      <c r="AP558">
        <v>37.338445383013749</v>
      </c>
      <c r="AQ558">
        <v>306.52234246763857</v>
      </c>
      <c r="AR558">
        <v>42.045492078697954</v>
      </c>
      <c r="AS558">
        <v>334.09214738184971</v>
      </c>
      <c r="AT558">
        <v>20.755533044348759</v>
      </c>
      <c r="AU558">
        <v>-52.741159713851985</v>
      </c>
      <c r="AV558"/>
      <c r="AW558"/>
      <c r="FY558" s="212">
        <v>553</v>
      </c>
      <c r="FZ558">
        <v>49.082555011870511</v>
      </c>
      <c r="GA558">
        <v>146.89762623326334</v>
      </c>
      <c r="GB558">
        <v>78.494779088564883</v>
      </c>
      <c r="GC558">
        <v>18.441166368263559</v>
      </c>
      <c r="GD558">
        <v>13.666869713875174</v>
      </c>
      <c r="GE558">
        <v>20.819945309352029</v>
      </c>
      <c r="GF558">
        <v>19.212379590236313</v>
      </c>
      <c r="GG558">
        <v>13.989213968994168</v>
      </c>
      <c r="GH558">
        <v>24.729583363700019</v>
      </c>
      <c r="GI558">
        <v>42.139218941811635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-1.1651773072994307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780.09535406722932</v>
      </c>
      <c r="AO559">
        <v>56.801018087605506</v>
      </c>
      <c r="AP559">
        <v>68.978188302116692</v>
      </c>
      <c r="AQ559">
        <v>421.10945332271308</v>
      </c>
      <c r="AR559">
        <v>55.25743347104811</v>
      </c>
      <c r="AS559">
        <v>478.3856939213706</v>
      </c>
      <c r="AT559">
        <v>27.770164849320036</v>
      </c>
      <c r="AU559">
        <v>-65.249956625828062</v>
      </c>
      <c r="AV559"/>
      <c r="AW559"/>
      <c r="FY559" s="212">
        <v>554</v>
      </c>
      <c r="FZ559">
        <v>65.071712621071768</v>
      </c>
      <c r="GA559">
        <v>130.66016446191367</v>
      </c>
      <c r="GB559">
        <v>66.01722387582555</v>
      </c>
      <c r="GC559">
        <v>16.538109410670913</v>
      </c>
      <c r="GD559">
        <v>9.5465100816950432</v>
      </c>
      <c r="GE559">
        <v>16.92221239804369</v>
      </c>
      <c r="GF559">
        <v>41.86457751195767</v>
      </c>
      <c r="GG559">
        <v>33.897689871640601</v>
      </c>
      <c r="GH559">
        <v>15.28855090877976</v>
      </c>
      <c r="GI559">
        <v>41.568844474759594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678.27102943739408</v>
      </c>
      <c r="AO560">
        <v>44.583977597699331</v>
      </c>
      <c r="AP560">
        <v>45.851652562108704</v>
      </c>
      <c r="AQ560">
        <v>304.42207141296353</v>
      </c>
      <c r="AR560">
        <v>43.335666737400885</v>
      </c>
      <c r="AS560">
        <v>375.97065425848575</v>
      </c>
      <c r="AT560">
        <v>22.989260056522124</v>
      </c>
      <c r="AU560">
        <v>-38.969796281882061</v>
      </c>
      <c r="AV560"/>
      <c r="AW560"/>
      <c r="FY560" s="212">
        <v>555</v>
      </c>
      <c r="FZ560">
        <v>43.67857988703561</v>
      </c>
      <c r="GA560">
        <v>83.485006214419343</v>
      </c>
      <c r="GB560">
        <v>56.329770635655109</v>
      </c>
      <c r="GC560">
        <v>20.5031515246698</v>
      </c>
      <c r="GD560">
        <v>10.404926288403916</v>
      </c>
      <c r="GE560">
        <v>11.4031872566445</v>
      </c>
      <c r="GF560">
        <v>28.523681147671027</v>
      </c>
      <c r="GG560">
        <v>29.204137159009807</v>
      </c>
      <c r="GH560">
        <v>30.237285665307365</v>
      </c>
      <c r="GI560">
        <v>36.447180822022304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594.1448779105524</v>
      </c>
      <c r="AO561">
        <v>46.760658368913141</v>
      </c>
      <c r="AP561">
        <v>56.725469170520412</v>
      </c>
      <c r="AQ561">
        <v>345.32834828185111</v>
      </c>
      <c r="AR561">
        <v>46.484573295146902</v>
      </c>
      <c r="AS561">
        <v>362.79838734287796</v>
      </c>
      <c r="AT561">
        <v>23.531736327115954</v>
      </c>
      <c r="AU561">
        <v>-27.194149464008863</v>
      </c>
      <c r="AV561"/>
      <c r="AW561"/>
      <c r="FY561" s="212">
        <v>556</v>
      </c>
      <c r="FZ561">
        <v>48.394982251369399</v>
      </c>
      <c r="GA561">
        <v>84.399965064684807</v>
      </c>
      <c r="GB561">
        <v>59.471094128927277</v>
      </c>
      <c r="GC561">
        <v>23.669010871008357</v>
      </c>
      <c r="GD561">
        <v>11.172610394278587</v>
      </c>
      <c r="GE561">
        <v>11.552570311995867</v>
      </c>
      <c r="GF561">
        <v>36.936085075971938</v>
      </c>
      <c r="GG561">
        <v>38.531614450740335</v>
      </c>
      <c r="GH561">
        <v>18.161383536188474</v>
      </c>
      <c r="GI561">
        <v>38.038335025864576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894.31964499114747</v>
      </c>
      <c r="AO562">
        <v>57.611574051071827</v>
      </c>
      <c r="AP562">
        <v>72.266939991338873</v>
      </c>
      <c r="AQ562">
        <v>401.33378615034786</v>
      </c>
      <c r="AR562">
        <v>57.540023176620515</v>
      </c>
      <c r="AS562">
        <v>456.39516901706855</v>
      </c>
      <c r="AT562">
        <v>28.936182323581491</v>
      </c>
      <c r="AU562">
        <v>-30.983419438120762</v>
      </c>
      <c r="AV562"/>
      <c r="AW562"/>
      <c r="FY562" s="212">
        <v>557</v>
      </c>
      <c r="FZ562">
        <v>60.426542199171458</v>
      </c>
      <c r="GA562">
        <v>115.3929866829357</v>
      </c>
      <c r="GB562">
        <v>60.110827292949608</v>
      </c>
      <c r="GC562">
        <v>16.103269852800757</v>
      </c>
      <c r="GD562">
        <v>10.518537534366866</v>
      </c>
      <c r="GE562">
        <v>8.2230677662796356</v>
      </c>
      <c r="GF562">
        <v>20.784229983702794</v>
      </c>
      <c r="GG562">
        <v>31.042029565290651</v>
      </c>
      <c r="GH562">
        <v>29.266545215780127</v>
      </c>
      <c r="GI562">
        <v>38.454209045472986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712.84353647872445</v>
      </c>
      <c r="AO563">
        <v>50.125206251588267</v>
      </c>
      <c r="AP563">
        <v>64.329260630216311</v>
      </c>
      <c r="AQ563">
        <v>364.80938606859564</v>
      </c>
      <c r="AR563">
        <v>50.332605693701794</v>
      </c>
      <c r="AS563">
        <v>403.93148074487146</v>
      </c>
      <c r="AT563">
        <v>25.02613969084031</v>
      </c>
      <c r="AU563">
        <v>-25.564708974160549</v>
      </c>
      <c r="AV563"/>
      <c r="AW563"/>
      <c r="FY563" s="212">
        <v>558</v>
      </c>
      <c r="FZ563">
        <v>61.607910591334146</v>
      </c>
      <c r="GA563">
        <v>86.130808585646207</v>
      </c>
      <c r="GB563">
        <v>52.6011933897123</v>
      </c>
      <c r="GC563">
        <v>20.107174226456589</v>
      </c>
      <c r="GD563">
        <v>13.11058406711053</v>
      </c>
      <c r="GE563">
        <v>16.371093367147591</v>
      </c>
      <c r="GF563">
        <v>14.323096662812297</v>
      </c>
      <c r="GG563">
        <v>21.225638257934808</v>
      </c>
      <c r="GH563">
        <v>45.9495535494924</v>
      </c>
      <c r="GI563">
        <v>39.662977147994688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712.65305420392383</v>
      </c>
      <c r="AO564">
        <v>47.036395942856736</v>
      </c>
      <c r="AP564">
        <v>86.64872273696173</v>
      </c>
      <c r="AQ564">
        <v>336.67762907115662</v>
      </c>
      <c r="AR564">
        <v>47.057011100090925</v>
      </c>
      <c r="AS564">
        <v>380.05522467081659</v>
      </c>
      <c r="AT564">
        <v>24.757100716197289</v>
      </c>
      <c r="AU564">
        <v>0.30808657069796652</v>
      </c>
      <c r="AV564"/>
      <c r="AW564"/>
      <c r="FY564" s="212">
        <v>559</v>
      </c>
      <c r="FZ564">
        <v>44.942559421547088</v>
      </c>
      <c r="GA564">
        <v>107.51973927887185</v>
      </c>
      <c r="GB564">
        <v>59.537071072108738</v>
      </c>
      <c r="GC564">
        <v>18.012685368824634</v>
      </c>
      <c r="GD564">
        <v>10.365578400135812</v>
      </c>
      <c r="GE564">
        <v>13.347604699670304</v>
      </c>
      <c r="GF564">
        <v>13.089171995920752</v>
      </c>
      <c r="GG564">
        <v>14.393850517734323</v>
      </c>
      <c r="GH564">
        <v>20.221336868120193</v>
      </c>
      <c r="GI564">
        <v>33.106360805715028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702.58759405635124</v>
      </c>
      <c r="AO565">
        <v>48.181704518656474</v>
      </c>
      <c r="AP565">
        <v>73.074065033047432</v>
      </c>
      <c r="AQ565">
        <v>336.72199068082961</v>
      </c>
      <c r="AR565">
        <v>47.794112234745775</v>
      </c>
      <c r="AS565">
        <v>399.1070002837173</v>
      </c>
      <c r="AT565">
        <v>25.678126925394277</v>
      </c>
      <c r="AU565">
        <v>-50.055268235349708</v>
      </c>
      <c r="AV565"/>
      <c r="AW565"/>
      <c r="FY565" s="212">
        <v>560</v>
      </c>
      <c r="FZ565">
        <v>47.698099131169755</v>
      </c>
      <c r="GA565">
        <v>93.555359567652147</v>
      </c>
      <c r="GB565">
        <v>55.947069777475896</v>
      </c>
      <c r="GC565">
        <v>17.901760384620204</v>
      </c>
      <c r="GD565">
        <v>12.941104227688012</v>
      </c>
      <c r="GE565">
        <v>16.55883993274178</v>
      </c>
      <c r="GF565">
        <v>30.378420993297858</v>
      </c>
      <c r="GG565">
        <v>32.82348857792406</v>
      </c>
      <c r="GH565">
        <v>24.310668571516374</v>
      </c>
      <c r="GI565">
        <v>37.946863753705138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695.21396039127092</v>
      </c>
      <c r="AO566">
        <v>47.443626508206613</v>
      </c>
      <c r="AP566">
        <v>51.556944144272599</v>
      </c>
      <c r="AQ566">
        <v>328.54219775104372</v>
      </c>
      <c r="AR566">
        <v>45.107063307547811</v>
      </c>
      <c r="AS566">
        <v>351.55943846399674</v>
      </c>
      <c r="AT566">
        <v>21.827378411725636</v>
      </c>
      <c r="AU566">
        <v>-45.861950756362987</v>
      </c>
      <c r="AV566"/>
      <c r="AW566"/>
      <c r="FY566" s="212">
        <v>561</v>
      </c>
      <c r="FZ566">
        <v>46.061086859646693</v>
      </c>
      <c r="GA566">
        <v>91.432797120240934</v>
      </c>
      <c r="GB566">
        <v>51.933623342136578</v>
      </c>
      <c r="GC566">
        <v>17.868220524763686</v>
      </c>
      <c r="GD566">
        <v>12.025202872115985</v>
      </c>
      <c r="GE566">
        <v>12.571521185964327</v>
      </c>
      <c r="GF566">
        <v>25.281375767470973</v>
      </c>
      <c r="GG566">
        <v>34.563465094129029</v>
      </c>
      <c r="GH566">
        <v>38.042004922833172</v>
      </c>
      <c r="GI566">
        <v>37.364655697764164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670.02308383612581</v>
      </c>
      <c r="AO567">
        <v>42.481833121537491</v>
      </c>
      <c r="AP567">
        <v>52.317762697146598</v>
      </c>
      <c r="AQ567">
        <v>288.81591842793512</v>
      </c>
      <c r="AR567">
        <v>42.188933519123317</v>
      </c>
      <c r="AS567">
        <v>345.56645466413033</v>
      </c>
      <c r="AT567">
        <v>22.151263587014906</v>
      </c>
      <c r="AU567">
        <v>-53.608620536409582</v>
      </c>
      <c r="AV567"/>
      <c r="AW567"/>
      <c r="FY567" s="212">
        <v>562</v>
      </c>
      <c r="FZ567">
        <v>42.65094078906607</v>
      </c>
      <c r="GA567">
        <v>86.681528682347803</v>
      </c>
      <c r="GB567">
        <v>47.605772211176316</v>
      </c>
      <c r="GC567">
        <v>18.379013344131838</v>
      </c>
      <c r="GD567">
        <v>12.525514218134777</v>
      </c>
      <c r="GE567">
        <v>14.370575241020392</v>
      </c>
      <c r="GF567">
        <v>8.2399068772377095</v>
      </c>
      <c r="GG567">
        <v>9.8307748737076288</v>
      </c>
      <c r="GH567">
        <v>23.489479750181236</v>
      </c>
      <c r="GI567">
        <v>30.584535676072235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683.59832647152211</v>
      </c>
      <c r="AO568">
        <v>48.38234026266727</v>
      </c>
      <c r="AP568">
        <v>68.551967425319262</v>
      </c>
      <c r="AQ568">
        <v>350.54576844218514</v>
      </c>
      <c r="AR568">
        <v>46.825324603489371</v>
      </c>
      <c r="AS568">
        <v>393.21623168365608</v>
      </c>
      <c r="AT568">
        <v>22.595451162608615</v>
      </c>
      <c r="AU568">
        <v>-109.32761112553477</v>
      </c>
      <c r="AV568"/>
      <c r="AW568"/>
      <c r="FY568" s="212">
        <v>563</v>
      </c>
      <c r="FZ568">
        <v>42.662337711680394</v>
      </c>
      <c r="GA568">
        <v>88.504328860229521</v>
      </c>
      <c r="GB568">
        <v>47.058769776076183</v>
      </c>
      <c r="GC568">
        <v>17.382600471399307</v>
      </c>
      <c r="GD568">
        <v>13.384582521362727</v>
      </c>
      <c r="GE568">
        <v>17.137646795294629</v>
      </c>
      <c r="GF568">
        <v>16.561638955066449</v>
      </c>
      <c r="GG568">
        <v>17.192382590913709</v>
      </c>
      <c r="GH568">
        <v>31.267596730920225</v>
      </c>
      <c r="GI568">
        <v>33.761535375065698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892.85288027544414</v>
      </c>
      <c r="AO569">
        <v>59.200288135736741</v>
      </c>
      <c r="AP569">
        <v>69.714435810433372</v>
      </c>
      <c r="AQ569">
        <v>427.4733375899317</v>
      </c>
      <c r="AR569">
        <v>58.03837099019588</v>
      </c>
      <c r="AS569">
        <v>471.6194320332138</v>
      </c>
      <c r="AT569">
        <v>29.275482329739432</v>
      </c>
      <c r="AU569">
        <v>-116.07155795811424</v>
      </c>
      <c r="AV569"/>
      <c r="AW569"/>
      <c r="FY569" s="212">
        <v>564</v>
      </c>
      <c r="FZ569">
        <v>45.663369953744251</v>
      </c>
      <c r="GA569">
        <v>108.13400353482255</v>
      </c>
      <c r="GB569">
        <v>65.603571319623811</v>
      </c>
      <c r="GC569">
        <v>20.991895478909179</v>
      </c>
      <c r="GD569">
        <v>10.039755986682973</v>
      </c>
      <c r="GE569">
        <v>11.500404474771578</v>
      </c>
      <c r="GF569">
        <v>35.220432170010994</v>
      </c>
      <c r="GG569">
        <v>32.004491639458053</v>
      </c>
      <c r="GH569">
        <v>18.383135544162993</v>
      </c>
      <c r="GI569">
        <v>38.228379919792886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896.54240248600831</v>
      </c>
      <c r="AO570">
        <v>58.533462686503128</v>
      </c>
      <c r="AP570">
        <v>69.582996515869254</v>
      </c>
      <c r="AQ570">
        <v>437.37559561635828</v>
      </c>
      <c r="AR570">
        <v>56.95367454376477</v>
      </c>
      <c r="AS570">
        <v>473.47007901980317</v>
      </c>
      <c r="AT570">
        <v>29.380854522742705</v>
      </c>
      <c r="AU570">
        <v>-66.979052177844949</v>
      </c>
      <c r="AV570"/>
      <c r="AW570"/>
      <c r="FY570" s="212">
        <v>565</v>
      </c>
      <c r="FZ570">
        <v>57.129200980931678</v>
      </c>
      <c r="GA570">
        <v>130.77645541721594</v>
      </c>
      <c r="GB570">
        <v>72.510339882476387</v>
      </c>
      <c r="GC570">
        <v>21.898235971691701</v>
      </c>
      <c r="GD570">
        <v>10.749188670413362</v>
      </c>
      <c r="GE570">
        <v>9.3138130248204956</v>
      </c>
      <c r="GF570">
        <v>22.122474003129511</v>
      </c>
      <c r="GG570">
        <v>23.848652573389327</v>
      </c>
      <c r="GH570">
        <v>22.024884983873111</v>
      </c>
      <c r="GI570">
        <v>40.296777902502228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742.21777939425522</v>
      </c>
      <c r="AO571">
        <v>49.8106328105019</v>
      </c>
      <c r="AP571">
        <v>85.717035631290429</v>
      </c>
      <c r="AQ571">
        <v>350.21690660083874</v>
      </c>
      <c r="AR571">
        <v>50.011036152881267</v>
      </c>
      <c r="AS571">
        <v>421.45367408231203</v>
      </c>
      <c r="AT571">
        <v>27.087003983485943</v>
      </c>
      <c r="AU571">
        <v>13.921733226251028</v>
      </c>
      <c r="AV571"/>
      <c r="AW571"/>
      <c r="FY571" s="212">
        <v>566</v>
      </c>
      <c r="FZ571">
        <v>35.061305242436319</v>
      </c>
      <c r="GA571">
        <v>114.60922288892286</v>
      </c>
      <c r="GB571">
        <v>58.243252259452206</v>
      </c>
      <c r="GC571">
        <v>15.1235106714763</v>
      </c>
      <c r="GD571">
        <v>11.152508033102855</v>
      </c>
      <c r="GE571">
        <v>12.481679340193415</v>
      </c>
      <c r="GF571">
        <v>22.886738982991325</v>
      </c>
      <c r="GG571">
        <v>25.366197574729647</v>
      </c>
      <c r="GH571">
        <v>29.368566280716589</v>
      </c>
      <c r="GI571">
        <v>35.112864222725477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798.92548800022394</v>
      </c>
      <c r="AO572">
        <v>53.58492632523744</v>
      </c>
      <c r="AP572">
        <v>68.535697591162148</v>
      </c>
      <c r="AQ572">
        <v>370.32765111102964</v>
      </c>
      <c r="AR572">
        <v>52.263932167739519</v>
      </c>
      <c r="AS572">
        <v>444.89285620470173</v>
      </c>
      <c r="AT572">
        <v>27.22491028757609</v>
      </c>
      <c r="AU572">
        <v>-28.224983456604782</v>
      </c>
      <c r="AV572"/>
      <c r="AW572"/>
      <c r="FY572" s="212">
        <v>567</v>
      </c>
      <c r="FZ572">
        <v>43.435906553421887</v>
      </c>
      <c r="GA572">
        <v>95.31859045106809</v>
      </c>
      <c r="GB572">
        <v>42.261474382451432</v>
      </c>
      <c r="GC572">
        <v>13.513298017278926</v>
      </c>
      <c r="GD572">
        <v>11.308293413189716</v>
      </c>
      <c r="GE572">
        <v>15.482022046852713</v>
      </c>
      <c r="GF572">
        <v>40.992938272532207</v>
      </c>
      <c r="GG572">
        <v>36.311471201986379</v>
      </c>
      <c r="GH572">
        <v>18.196935142782863</v>
      </c>
      <c r="GI572">
        <v>33.914897561173717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703.47159234771345</v>
      </c>
      <c r="AO573">
        <v>52.826154613970935</v>
      </c>
      <c r="AP573">
        <v>64.8507393986865</v>
      </c>
      <c r="AQ573">
        <v>390.32224513875059</v>
      </c>
      <c r="AR573">
        <v>53.065720622054144</v>
      </c>
      <c r="AS573">
        <v>414.93216035443629</v>
      </c>
      <c r="AT573">
        <v>27.163656684677914</v>
      </c>
      <c r="AU573">
        <v>-91.700805154420863</v>
      </c>
      <c r="AV573"/>
      <c r="AW573"/>
      <c r="FY573" s="212">
        <v>568</v>
      </c>
      <c r="FZ573">
        <v>39.673382834814461</v>
      </c>
      <c r="GA573">
        <v>75.090591892756308</v>
      </c>
      <c r="GB573">
        <v>47.026322165710766</v>
      </c>
      <c r="GC573">
        <v>18.356496052782287</v>
      </c>
      <c r="GD573">
        <v>9.7867896259818963</v>
      </c>
      <c r="GE573">
        <v>13.937070183891192</v>
      </c>
      <c r="GF573">
        <v>27.762843249615745</v>
      </c>
      <c r="GG573">
        <v>25.17847441266478</v>
      </c>
      <c r="GH573">
        <v>28.948000359168798</v>
      </c>
      <c r="GI573">
        <v>32.838032880478735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718.07340996920755</v>
      </c>
      <c r="AO574">
        <v>52.542083381866668</v>
      </c>
      <c r="AP574">
        <v>67.512981473249738</v>
      </c>
      <c r="AQ574">
        <v>371.09002984564154</v>
      </c>
      <c r="AR574">
        <v>54.641657236503796</v>
      </c>
      <c r="AS574">
        <v>463.30679257288381</v>
      </c>
      <c r="AT574">
        <v>29.523323459988845</v>
      </c>
      <c r="AU574">
        <v>-42.688440720307923</v>
      </c>
      <c r="AV574"/>
      <c r="AW574"/>
      <c r="FY574" s="212">
        <v>569</v>
      </c>
      <c r="FZ574">
        <v>49.785074890751147</v>
      </c>
      <c r="GA574">
        <v>178.15966739074099</v>
      </c>
      <c r="GB574">
        <v>98.647955739946354</v>
      </c>
      <c r="GC574">
        <v>22.585115635215214</v>
      </c>
      <c r="GD574">
        <v>11.84645321832522</v>
      </c>
      <c r="GE574">
        <v>13.314892301344486</v>
      </c>
      <c r="GF574">
        <v>21.16616500581835</v>
      </c>
      <c r="GG574">
        <v>18.692600683373065</v>
      </c>
      <c r="GH574">
        <v>22.455480677389904</v>
      </c>
      <c r="GI574">
        <v>46.2178930186546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666.44508442567951</v>
      </c>
      <c r="AO575">
        <v>46.930245182333074</v>
      </c>
      <c r="AP575">
        <v>35.375075814449296</v>
      </c>
      <c r="AQ575">
        <v>334.53595842864877</v>
      </c>
      <c r="AR575">
        <v>45.692807038939705</v>
      </c>
      <c r="AS575">
        <v>355.3379237954835</v>
      </c>
      <c r="AT575">
        <v>23.238348098736363</v>
      </c>
      <c r="AU575">
        <v>-72.105193975878663</v>
      </c>
      <c r="AV575"/>
      <c r="AW575"/>
      <c r="FY575" s="212">
        <v>570</v>
      </c>
      <c r="FZ575">
        <v>42.971084336984518</v>
      </c>
      <c r="GA575">
        <v>93.883587473389895</v>
      </c>
      <c r="GB575">
        <v>57.755099979181665</v>
      </c>
      <c r="GC575">
        <v>19.320070446076794</v>
      </c>
      <c r="GD575">
        <v>9.6215093176783189</v>
      </c>
      <c r="GE575">
        <v>11.464239227242606</v>
      </c>
      <c r="GF575">
        <v>24.678421188853193</v>
      </c>
      <c r="GG575">
        <v>28.772335982277053</v>
      </c>
      <c r="GH575">
        <v>29.450471910992896</v>
      </c>
      <c r="GI575">
        <v>35.573013185488861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754.49010816138923</v>
      </c>
      <c r="AO576">
        <v>52.927717494730381</v>
      </c>
      <c r="AP576">
        <v>80.840158198211526</v>
      </c>
      <c r="AQ576">
        <v>370.06167491779127</v>
      </c>
      <c r="AR576">
        <v>52.34683621488918</v>
      </c>
      <c r="AS576">
        <v>416.73191770372534</v>
      </c>
      <c r="AT576">
        <v>26.02698879310358</v>
      </c>
      <c r="AU576">
        <v>-16.193268397273606</v>
      </c>
      <c r="AV576"/>
      <c r="AW576"/>
      <c r="FY576" s="212">
        <v>571</v>
      </c>
      <c r="FZ576">
        <v>34.659805062704137</v>
      </c>
      <c r="GA576">
        <v>95.303627811150605</v>
      </c>
      <c r="GB576">
        <v>46.344531948265413</v>
      </c>
      <c r="GC576">
        <v>15.598188713608616</v>
      </c>
      <c r="GD576">
        <v>9.0737637394103832</v>
      </c>
      <c r="GE576">
        <v>7.2322519434538703</v>
      </c>
      <c r="GF576">
        <v>16.689374618632979</v>
      </c>
      <c r="GG576">
        <v>18.911361110062003</v>
      </c>
      <c r="GH576">
        <v>26.865846590279286</v>
      </c>
      <c r="GI576">
        <v>29.188133094933903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735.94227087821741</v>
      </c>
      <c r="AO577">
        <v>51.619164986451459</v>
      </c>
      <c r="AP577">
        <v>60.060685569966687</v>
      </c>
      <c r="AQ577">
        <v>367.14395338706549</v>
      </c>
      <c r="AR577">
        <v>51.453186759297957</v>
      </c>
      <c r="AS577">
        <v>429.43221662195413</v>
      </c>
      <c r="AT577">
        <v>26.855256909533221</v>
      </c>
      <c r="AU577">
        <v>-54.105352902469697</v>
      </c>
      <c r="AV577"/>
      <c r="AW577"/>
      <c r="FY577" s="212">
        <v>572</v>
      </c>
      <c r="FZ577">
        <v>46.835529150286753</v>
      </c>
      <c r="GA577">
        <v>113.58391270637455</v>
      </c>
      <c r="GB577">
        <v>47.387901880413096</v>
      </c>
      <c r="GC577">
        <v>14.350961772241343</v>
      </c>
      <c r="GD577">
        <v>12.415169513273735</v>
      </c>
      <c r="GE577">
        <v>16.648462761842985</v>
      </c>
      <c r="GF577">
        <v>16.788902801220253</v>
      </c>
      <c r="GG577">
        <v>9.5489710136666321</v>
      </c>
      <c r="GH577">
        <v>13.954815068459897</v>
      </c>
      <c r="GI577">
        <v>31.286134284247993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660.21797883057798</v>
      </c>
      <c r="AO578">
        <v>42.422152650436196</v>
      </c>
      <c r="AP578">
        <v>43.832179936690586</v>
      </c>
      <c r="AQ578">
        <v>294.35804166307599</v>
      </c>
      <c r="AR578">
        <v>41.990276818247317</v>
      </c>
      <c r="AS578">
        <v>351.64639256625628</v>
      </c>
      <c r="AT578">
        <v>21.948568485119822</v>
      </c>
      <c r="AU578">
        <v>-56.810176919458186</v>
      </c>
      <c r="AV578"/>
      <c r="AW578"/>
      <c r="FY578" s="212">
        <v>573</v>
      </c>
      <c r="FZ578">
        <v>34.916612378140712</v>
      </c>
      <c r="GA578">
        <v>114.90827432473667</v>
      </c>
      <c r="GB578">
        <v>63.393095321417661</v>
      </c>
      <c r="GC578">
        <v>15.342021509557465</v>
      </c>
      <c r="GD578">
        <v>11.731609116767965</v>
      </c>
      <c r="GE578">
        <v>16.157493465810148</v>
      </c>
      <c r="GF578">
        <v>24.954400875687703</v>
      </c>
      <c r="GG578">
        <v>31.053835208964102</v>
      </c>
      <c r="GH578">
        <v>26.291101329610715</v>
      </c>
      <c r="GI578">
        <v>36.589558020460331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666.79164393963288</v>
      </c>
      <c r="AO579">
        <v>46.63433904956409</v>
      </c>
      <c r="AP579">
        <v>76.036316567399339</v>
      </c>
      <c r="AQ579">
        <v>324.91341978800881</v>
      </c>
      <c r="AR579">
        <v>46.469151783405479</v>
      </c>
      <c r="AS579">
        <v>380.30171648910908</v>
      </c>
      <c r="AT579">
        <v>24.234314685138884</v>
      </c>
      <c r="AU579">
        <v>-52.953070203103586</v>
      </c>
      <c r="AV579"/>
      <c r="AW579"/>
      <c r="FY579" s="212">
        <v>574</v>
      </c>
      <c r="FZ579">
        <v>47.332688880392453</v>
      </c>
      <c r="GA579">
        <v>69.216782355531024</v>
      </c>
      <c r="GB579">
        <v>37.541814301841796</v>
      </c>
      <c r="GC579">
        <v>15.296645235157673</v>
      </c>
      <c r="GD579">
        <v>11.297019644463351</v>
      </c>
      <c r="GE579">
        <v>12.45972365192678</v>
      </c>
      <c r="GF579">
        <v>10.61198533650601</v>
      </c>
      <c r="GG579">
        <v>19.315070821225877</v>
      </c>
      <c r="GH579">
        <v>32.912956181303109</v>
      </c>
      <c r="GI579">
        <v>30.159541597578748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817.93941773500705</v>
      </c>
      <c r="AO580">
        <v>54.128363009868622</v>
      </c>
      <c r="AP580">
        <v>71.912125690528612</v>
      </c>
      <c r="AQ580">
        <v>385.76944002197928</v>
      </c>
      <c r="AR580">
        <v>52.631961054204481</v>
      </c>
      <c r="AS580">
        <v>441.81526284444101</v>
      </c>
      <c r="AT580">
        <v>26.519603703510295</v>
      </c>
      <c r="AU580">
        <v>-41.517781891580874</v>
      </c>
      <c r="AV580"/>
      <c r="AW580"/>
      <c r="FY580" s="212">
        <v>575</v>
      </c>
      <c r="FZ580">
        <v>54.126528051423428</v>
      </c>
      <c r="GA580">
        <v>126.32445487349543</v>
      </c>
      <c r="GB580">
        <v>68.077839237968263</v>
      </c>
      <c r="GC580">
        <v>20.746876755797189</v>
      </c>
      <c r="GD580">
        <v>10.791151355407727</v>
      </c>
      <c r="GE580">
        <v>12.366835455736627</v>
      </c>
      <c r="GF580">
        <v>18.278863001665467</v>
      </c>
      <c r="GG580">
        <v>18.970703565093334</v>
      </c>
      <c r="GH580">
        <v>22.626648132474308</v>
      </c>
      <c r="GI580">
        <v>38.207153328051945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783.82195138923248</v>
      </c>
      <c r="AO581">
        <v>56.556928142288314</v>
      </c>
      <c r="AP581">
        <v>44.898559744034635</v>
      </c>
      <c r="AQ581">
        <v>410.67002341044372</v>
      </c>
      <c r="AR581">
        <v>55.520267364922198</v>
      </c>
      <c r="AS581">
        <v>444.12128958955611</v>
      </c>
      <c r="AT581">
        <v>27.976142458436982</v>
      </c>
      <c r="AU581">
        <v>-68.068458671341091</v>
      </c>
      <c r="AV581"/>
      <c r="AW581"/>
      <c r="FY581" s="212">
        <v>576</v>
      </c>
      <c r="FZ581">
        <v>53.212470667490393</v>
      </c>
      <c r="GA581">
        <v>103.3161579201759</v>
      </c>
      <c r="GB581">
        <v>56.225195373841721</v>
      </c>
      <c r="GC581">
        <v>19.085139932263701</v>
      </c>
      <c r="GD581">
        <v>11.182987705623553</v>
      </c>
      <c r="GE581">
        <v>10.160893191597271</v>
      </c>
      <c r="GF581">
        <v>13.858073091606407</v>
      </c>
      <c r="GG581">
        <v>16.589250171043382</v>
      </c>
      <c r="GH581">
        <v>27.873992212978013</v>
      </c>
      <c r="GI581">
        <v>35.345081120472713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717.09898796037908</v>
      </c>
      <c r="AO582">
        <v>49.833584337709958</v>
      </c>
      <c r="AP582">
        <v>65.664605468060842</v>
      </c>
      <c r="AQ582">
        <v>359.40584549674702</v>
      </c>
      <c r="AR582">
        <v>48.521765287192359</v>
      </c>
      <c r="AS582">
        <v>393.57036174466958</v>
      </c>
      <c r="AT582">
        <v>23.234404039466408</v>
      </c>
      <c r="AU582">
        <v>-73.960141229763636</v>
      </c>
      <c r="AV582"/>
      <c r="AW582"/>
      <c r="FY582" s="212">
        <v>577</v>
      </c>
      <c r="FZ582">
        <v>36.495165020356779</v>
      </c>
      <c r="GA582">
        <v>100.80631658626511</v>
      </c>
      <c r="GB582">
        <v>63.335228647057605</v>
      </c>
      <c r="GC582">
        <v>19.252223537761285</v>
      </c>
      <c r="GD582">
        <v>10.417155817620772</v>
      </c>
      <c r="GE582">
        <v>13.601086959222805</v>
      </c>
      <c r="GF582">
        <v>33.0007174151553</v>
      </c>
      <c r="GG582">
        <v>27.91494654744179</v>
      </c>
      <c r="GH582">
        <v>20.085170577662549</v>
      </c>
      <c r="GI582">
        <v>36.405835601241414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747.49118570958285</v>
      </c>
      <c r="AO583">
        <v>48.55088322141949</v>
      </c>
      <c r="AP583">
        <v>63.755551051453665</v>
      </c>
      <c r="AQ583">
        <v>350.73582704273792</v>
      </c>
      <c r="AR583">
        <v>46.628805285666878</v>
      </c>
      <c r="AS583">
        <v>376.6268702900652</v>
      </c>
      <c r="AT583">
        <v>23.44453826345325</v>
      </c>
      <c r="AU583">
        <v>-42.76519782766556</v>
      </c>
      <c r="AV583"/>
      <c r="AW583"/>
      <c r="FY583" s="212">
        <v>578</v>
      </c>
      <c r="FZ583">
        <v>34.022250728735955</v>
      </c>
      <c r="GA583">
        <v>104.8513151689323</v>
      </c>
      <c r="GB583">
        <v>63.293992788788195</v>
      </c>
      <c r="GC583">
        <v>19.998789879613632</v>
      </c>
      <c r="GD583">
        <v>12.19769935312957</v>
      </c>
      <c r="GE583">
        <v>20.09516693535155</v>
      </c>
      <c r="GF583">
        <v>34.352882125964967</v>
      </c>
      <c r="GG583">
        <v>31.713874274754332</v>
      </c>
      <c r="GH583">
        <v>23.612537070166269</v>
      </c>
      <c r="GI583">
        <v>37.85837777270892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710.47372443152335</v>
      </c>
      <c r="AO584">
        <v>45.387152576795337</v>
      </c>
      <c r="AP584">
        <v>68.952277128806486</v>
      </c>
      <c r="AQ584">
        <v>318.59800365786504</v>
      </c>
      <c r="AR584">
        <v>45.065401371241343</v>
      </c>
      <c r="AS584">
        <v>370.21088573141986</v>
      </c>
      <c r="AT584">
        <v>23.079907784504456</v>
      </c>
      <c r="AU584">
        <v>-36.611109344575965</v>
      </c>
      <c r="AV584"/>
      <c r="AW584"/>
      <c r="FY584" s="212">
        <v>579</v>
      </c>
      <c r="FZ584">
        <v>40.236795283278241</v>
      </c>
      <c r="GA584">
        <v>117.27742386535793</v>
      </c>
      <c r="GB584">
        <v>66.109399147345897</v>
      </c>
      <c r="GC584">
        <v>18.417091608494719</v>
      </c>
      <c r="GD584">
        <v>11.145973643639419</v>
      </c>
      <c r="GE584">
        <v>12.36021380152768</v>
      </c>
      <c r="GF584">
        <v>35.087789537849666</v>
      </c>
      <c r="GG584">
        <v>35.035452857688746</v>
      </c>
      <c r="GH584">
        <v>21.892564081179511</v>
      </c>
      <c r="GI584">
        <v>38.789967692340326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907.93511624123187</v>
      </c>
      <c r="AO585">
        <v>65.757670479550171</v>
      </c>
      <c r="AP585">
        <v>52.83766687104962</v>
      </c>
      <c r="AQ585">
        <v>482.87129856155946</v>
      </c>
      <c r="AR585">
        <v>63.682644932399214</v>
      </c>
      <c r="AS585">
        <v>502.3037302593857</v>
      </c>
      <c r="AT585">
        <v>31.822065057040934</v>
      </c>
      <c r="AU585">
        <v>-132.78803271693954</v>
      </c>
      <c r="AV585"/>
      <c r="AW585"/>
      <c r="FY585" s="212">
        <v>580</v>
      </c>
      <c r="FZ585">
        <v>51.721030308580488</v>
      </c>
      <c r="GA585">
        <v>86.641077773467188</v>
      </c>
      <c r="GB585">
        <v>53.146585476185543</v>
      </c>
      <c r="GC585">
        <v>18.676733245821989</v>
      </c>
      <c r="GD585">
        <v>10.52227504526431</v>
      </c>
      <c r="GE585">
        <v>16.360103527336342</v>
      </c>
      <c r="GF585">
        <v>42.76895459186337</v>
      </c>
      <c r="GG585">
        <v>36.518615435493892</v>
      </c>
      <c r="GH585">
        <v>25.167372959460863</v>
      </c>
      <c r="GI585">
        <v>38.897114381059367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664.5922811862506</v>
      </c>
      <c r="AO586">
        <v>49.877809612130832</v>
      </c>
      <c r="AP586">
        <v>64.958615235271949</v>
      </c>
      <c r="AQ586">
        <v>353.48983304816579</v>
      </c>
      <c r="AR586">
        <v>49.037151570444593</v>
      </c>
      <c r="AS586">
        <v>365.64353947335923</v>
      </c>
      <c r="AT586">
        <v>24.700571477055913</v>
      </c>
      <c r="AU586">
        <v>-53.686137710095636</v>
      </c>
      <c r="AV586"/>
      <c r="AW586"/>
      <c r="FY586" s="212">
        <v>581</v>
      </c>
      <c r="FZ586">
        <v>51.592756424438555</v>
      </c>
      <c r="GA586">
        <v>108.17002606012508</v>
      </c>
      <c r="GB586">
        <v>54.739272852517381</v>
      </c>
      <c r="GC586">
        <v>15.433499411037966</v>
      </c>
      <c r="GD586">
        <v>8.1053497501498004</v>
      </c>
      <c r="GE586">
        <v>10.24931663191083</v>
      </c>
      <c r="GF586">
        <v>30.201338874256209</v>
      </c>
      <c r="GG586">
        <v>32.857808545101015</v>
      </c>
      <c r="GH586">
        <v>18.066943804562765</v>
      </c>
      <c r="GI586">
        <v>34.399813997296114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586.56124431105115</v>
      </c>
      <c r="AO587">
        <v>41.024327728386538</v>
      </c>
      <c r="AP587">
        <v>41.54454474927239</v>
      </c>
      <c r="AQ587">
        <v>299.86688463250113</v>
      </c>
      <c r="AR587">
        <v>40.021077821171694</v>
      </c>
      <c r="AS587">
        <v>346.04423507893927</v>
      </c>
      <c r="AT587">
        <v>21.504310654077077</v>
      </c>
      <c r="AU587">
        <v>-49.806700236538092</v>
      </c>
      <c r="AV587"/>
      <c r="AW587"/>
      <c r="FY587" s="212">
        <v>582</v>
      </c>
      <c r="FZ587">
        <v>39.768451851780696</v>
      </c>
      <c r="GA587">
        <v>78.078056866151499</v>
      </c>
      <c r="GB587">
        <v>43.817398992300873</v>
      </c>
      <c r="GC587">
        <v>17.467428720888293</v>
      </c>
      <c r="GD587">
        <v>9.6140871259184024</v>
      </c>
      <c r="GE587">
        <v>10.458306238229799</v>
      </c>
      <c r="GF587">
        <v>17.162856086442886</v>
      </c>
      <c r="GG587">
        <v>27.95875417415715</v>
      </c>
      <c r="GH587">
        <v>42.034278757422129</v>
      </c>
      <c r="GI587">
        <v>32.113286384662963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610.25749676135206</v>
      </c>
      <c r="AO588">
        <v>44.737603214093902</v>
      </c>
      <c r="AP588">
        <v>37.496974285356586</v>
      </c>
      <c r="AQ588">
        <v>322.80076095202719</v>
      </c>
      <c r="AR588">
        <v>43.144924950226923</v>
      </c>
      <c r="AS588">
        <v>355.75225592561287</v>
      </c>
      <c r="AT588">
        <v>21.607017827169642</v>
      </c>
      <c r="AU588">
        <v>-36.7200288226989</v>
      </c>
      <c r="AV588"/>
      <c r="AW588"/>
      <c r="FY588" s="212">
        <v>583</v>
      </c>
      <c r="FZ588">
        <v>37.336553496364544</v>
      </c>
      <c r="GA588">
        <v>132.9911104678487</v>
      </c>
      <c r="GB588">
        <v>78.320585349412255</v>
      </c>
      <c r="GC588">
        <v>20.66660151336982</v>
      </c>
      <c r="GD588">
        <v>10.854499615474994</v>
      </c>
      <c r="GE588">
        <v>11.210896719323852</v>
      </c>
      <c r="GF588">
        <v>23.226309663905479</v>
      </c>
      <c r="GG588">
        <v>30.853573417477385</v>
      </c>
      <c r="GH588">
        <v>34.170060691575948</v>
      </c>
      <c r="GI588">
        <v>40.954699295946128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778.69662364414876</v>
      </c>
      <c r="AO589">
        <v>52.708090681055339</v>
      </c>
      <c r="AP589">
        <v>69.046906049933554</v>
      </c>
      <c r="AQ589">
        <v>375.33800155115358</v>
      </c>
      <c r="AR589">
        <v>50.591864669649659</v>
      </c>
      <c r="AS589">
        <v>407.76875544202733</v>
      </c>
      <c r="AT589">
        <v>24.263001425861166</v>
      </c>
      <c r="AU589">
        <v>-77.187258635025188</v>
      </c>
      <c r="AV589"/>
      <c r="AW589"/>
      <c r="FY589" s="212">
        <v>584</v>
      </c>
      <c r="FZ589">
        <v>49.749079032385794</v>
      </c>
      <c r="GA589">
        <v>122.10243591828655</v>
      </c>
      <c r="GB589">
        <v>59.676475276748555</v>
      </c>
      <c r="GC589">
        <v>15.832214886129005</v>
      </c>
      <c r="GD589">
        <v>11.645863535328971</v>
      </c>
      <c r="GE589">
        <v>17.30896967832221</v>
      </c>
      <c r="GF589">
        <v>45.373718708164056</v>
      </c>
      <c r="GG589">
        <v>37.302408785194871</v>
      </c>
      <c r="GH589">
        <v>18.671320825563207</v>
      </c>
      <c r="GI589">
        <v>40.19115028142047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537.12390592559132</v>
      </c>
      <c r="AO590">
        <v>41.041251199307155</v>
      </c>
      <c r="AP590">
        <v>52.159066653369109</v>
      </c>
      <c r="AQ590">
        <v>286.14422800592678</v>
      </c>
      <c r="AR590">
        <v>41.720271382472284</v>
      </c>
      <c r="AS590">
        <v>328.46839526987071</v>
      </c>
      <c r="AT590">
        <v>21.188546927505616</v>
      </c>
      <c r="AU590">
        <v>-31.578062068057115</v>
      </c>
      <c r="AV590"/>
      <c r="AW590"/>
      <c r="FY590" s="212">
        <v>585</v>
      </c>
      <c r="FZ590">
        <v>32.427460251475196</v>
      </c>
      <c r="GA590">
        <v>114.47633113920473</v>
      </c>
      <c r="GB590">
        <v>57.381223366662041</v>
      </c>
      <c r="GC590">
        <v>13.285506783114572</v>
      </c>
      <c r="GD590">
        <v>10.479686854938993</v>
      </c>
      <c r="GE590">
        <v>11.758715008014578</v>
      </c>
      <c r="GF590">
        <v>15.550441021307336</v>
      </c>
      <c r="GG590">
        <v>17.870938622290886</v>
      </c>
      <c r="GH590">
        <v>33.915977294520175</v>
      </c>
      <c r="GI590">
        <v>33.482385164481407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746.58934528380223</v>
      </c>
      <c r="AO591">
        <v>54.02701967225638</v>
      </c>
      <c r="AP591">
        <v>42.80948585957286</v>
      </c>
      <c r="AQ591">
        <v>390.51705375711379</v>
      </c>
      <c r="AR591">
        <v>52.673480541444334</v>
      </c>
      <c r="AS591">
        <v>434.65834683982848</v>
      </c>
      <c r="AT591">
        <v>27.104534998492497</v>
      </c>
      <c r="AU591">
        <v>-73.053727191367713</v>
      </c>
      <c r="AV591"/>
      <c r="AW591"/>
      <c r="FY591" s="212">
        <v>586</v>
      </c>
      <c r="FZ591">
        <v>48.17032656530381</v>
      </c>
      <c r="GA591">
        <v>95.217103692913184</v>
      </c>
      <c r="GB591">
        <v>57.760277706696478</v>
      </c>
      <c r="GC591">
        <v>22.896598169158285</v>
      </c>
      <c r="GD591">
        <v>14.231007726086736</v>
      </c>
      <c r="GE591">
        <v>17.290104418194023</v>
      </c>
      <c r="GF591">
        <v>50.942448418046162</v>
      </c>
      <c r="GG591">
        <v>47.700472483132799</v>
      </c>
      <c r="GH591">
        <v>30.521517074896224</v>
      </c>
      <c r="GI591">
        <v>43.995246235087961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664.26919922739739</v>
      </c>
      <c r="AO592">
        <v>48.409695136931909</v>
      </c>
      <c r="AP592">
        <v>63.236635952858791</v>
      </c>
      <c r="AQ592">
        <v>346.849241387093</v>
      </c>
      <c r="AR592">
        <v>48.781458031542492</v>
      </c>
      <c r="AS592">
        <v>380.92424992474071</v>
      </c>
      <c r="AT592">
        <v>25.006983968692051</v>
      </c>
      <c r="AU592">
        <v>-40.735790962316223</v>
      </c>
      <c r="AV592"/>
      <c r="AW592"/>
      <c r="FY592" s="212">
        <v>587</v>
      </c>
      <c r="FZ592">
        <v>48.183758783230608</v>
      </c>
      <c r="GA592">
        <v>102.71887698216743</v>
      </c>
      <c r="GB592">
        <v>53.696770306947101</v>
      </c>
      <c r="GC592">
        <v>18.015143854178405</v>
      </c>
      <c r="GD592">
        <v>11.840663025375791</v>
      </c>
      <c r="GE592">
        <v>16.11929084771084</v>
      </c>
      <c r="GF592">
        <v>32.013469370200255</v>
      </c>
      <c r="GG592">
        <v>30.9674452255571</v>
      </c>
      <c r="GH592">
        <v>33.099001884916497</v>
      </c>
      <c r="GI592">
        <v>38.470054228546068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743.9133791881593</v>
      </c>
      <c r="AO593">
        <v>51.351586445238219</v>
      </c>
      <c r="AP593">
        <v>79.124984830582775</v>
      </c>
      <c r="AQ593">
        <v>361.31384670978542</v>
      </c>
      <c r="AR593">
        <v>50.136056223098009</v>
      </c>
      <c r="AS593">
        <v>382.3059032453757</v>
      </c>
      <c r="AT593">
        <v>24.693162734760389</v>
      </c>
      <c r="AU593">
        <v>-15.729148659781899</v>
      </c>
      <c r="AV593"/>
      <c r="AW593"/>
      <c r="FY593" s="212">
        <v>588</v>
      </c>
      <c r="FZ593">
        <v>45.06387079012989</v>
      </c>
      <c r="GA593">
        <v>90.130348700933567</v>
      </c>
      <c r="GB593">
        <v>48.697715352657063</v>
      </c>
      <c r="GC593">
        <v>13.657868189626582</v>
      </c>
      <c r="GD593">
        <v>12.171122493486008</v>
      </c>
      <c r="GE593">
        <v>18.398563153857101</v>
      </c>
      <c r="GF593">
        <v>34.801765771769212</v>
      </c>
      <c r="GG593">
        <v>32.855492811502657</v>
      </c>
      <c r="GH593">
        <v>22.000847154218466</v>
      </c>
      <c r="GI593">
        <v>35.81357858632213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857.35523374736329</v>
      </c>
      <c r="AO594">
        <v>54.771548962615199</v>
      </c>
      <c r="AP594">
        <v>80.737967505516934</v>
      </c>
      <c r="AQ594">
        <v>381.99688609814569</v>
      </c>
      <c r="AR594">
        <v>52.00376883522722</v>
      </c>
      <c r="AS594">
        <v>470.78119196391174</v>
      </c>
      <c r="AT594">
        <v>26.052529817326988</v>
      </c>
      <c r="AU594">
        <v>-38.633108759041562</v>
      </c>
      <c r="AV594"/>
      <c r="AW594"/>
      <c r="FY594" s="212">
        <v>589</v>
      </c>
      <c r="FZ594">
        <v>35.755144866146864</v>
      </c>
      <c r="GA594">
        <v>97.149645301041687</v>
      </c>
      <c r="GB594">
        <v>57.336014798485621</v>
      </c>
      <c r="GC594">
        <v>22.967740596288245</v>
      </c>
      <c r="GD594">
        <v>13.553155710704333</v>
      </c>
      <c r="GE594">
        <v>15.818500423585188</v>
      </c>
      <c r="GF594">
        <v>40.957531943722302</v>
      </c>
      <c r="GG594">
        <v>44.298475421079999</v>
      </c>
      <c r="GH594">
        <v>35.487381204968649</v>
      </c>
      <c r="GI594">
        <v>40.378843340605876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826.66207324451318</v>
      </c>
      <c r="AO595">
        <v>55.243397414831179</v>
      </c>
      <c r="AP595">
        <v>74.443901764476209</v>
      </c>
      <c r="AQ595">
        <v>396.35267151870221</v>
      </c>
      <c r="AR595">
        <v>53.396197490993835</v>
      </c>
      <c r="AS595">
        <v>429.79444754805508</v>
      </c>
      <c r="AT595">
        <v>25.412716136544592</v>
      </c>
      <c r="AU595">
        <v>-59.144399994630476</v>
      </c>
      <c r="AV595"/>
      <c r="AW595"/>
      <c r="FY595" s="212">
        <v>590</v>
      </c>
      <c r="FZ595">
        <v>37.04704471539204</v>
      </c>
      <c r="GA595">
        <v>120.69492309588641</v>
      </c>
      <c r="GB595">
        <v>61.218374581885122</v>
      </c>
      <c r="GC595">
        <v>13.679641905247657</v>
      </c>
      <c r="GD595">
        <v>11.611928140720076</v>
      </c>
      <c r="GE595">
        <v>17.851824625866588</v>
      </c>
      <c r="GF595">
        <v>32.042353700150883</v>
      </c>
      <c r="GG595">
        <v>29.597874453057031</v>
      </c>
      <c r="GH595">
        <v>33.80009852683142</v>
      </c>
      <c r="GI595">
        <v>38.639138815343415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756.60105189624869</v>
      </c>
      <c r="AO596">
        <v>53.810896610815824</v>
      </c>
      <c r="AP596">
        <v>78.676584925242665</v>
      </c>
      <c r="AQ596">
        <v>380.41986274453336</v>
      </c>
      <c r="AR596">
        <v>53.577027502174559</v>
      </c>
      <c r="AS596">
        <v>424.64945064682354</v>
      </c>
      <c r="AT596">
        <v>27.162283517630161</v>
      </c>
      <c r="AU596">
        <v>-17.942588949104824</v>
      </c>
      <c r="AV596"/>
      <c r="AW596"/>
      <c r="FY596" s="212">
        <v>591</v>
      </c>
      <c r="FZ596">
        <v>44.297889112159432</v>
      </c>
      <c r="GA596">
        <v>110.41280298518821</v>
      </c>
      <c r="GB596">
        <v>63.435440525813718</v>
      </c>
      <c r="GC596">
        <v>20.315046709019292</v>
      </c>
      <c r="GD596">
        <v>10.324411865170898</v>
      </c>
      <c r="GE596">
        <v>14.600871578543639</v>
      </c>
      <c r="GF596">
        <v>27.556106726949292</v>
      </c>
      <c r="GG596">
        <v>25.881978215056158</v>
      </c>
      <c r="GH596">
        <v>32.032386083392822</v>
      </c>
      <c r="GI596">
        <v>38.506373491856124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750.23182132428951</v>
      </c>
      <c r="AO597">
        <v>49.1901888954296</v>
      </c>
      <c r="AP597">
        <v>71.642365779157402</v>
      </c>
      <c r="AQ597">
        <v>363.81612635139572</v>
      </c>
      <c r="AR597">
        <v>47.334969750507241</v>
      </c>
      <c r="AS597">
        <v>392.86515523905433</v>
      </c>
      <c r="AT597">
        <v>23.880006172385279</v>
      </c>
      <c r="AU597">
        <v>-39.233775677124186</v>
      </c>
      <c r="AV597"/>
      <c r="AW597"/>
      <c r="FY597" s="212">
        <v>592</v>
      </c>
      <c r="FZ597">
        <v>39.133889732552483</v>
      </c>
      <c r="GA597">
        <v>110.21043571824151</v>
      </c>
      <c r="GB597">
        <v>64.328868800950119</v>
      </c>
      <c r="GC597">
        <v>18.028459165986519</v>
      </c>
      <c r="GD597">
        <v>9.7479931182037323</v>
      </c>
      <c r="GE597">
        <v>15.93899241119937</v>
      </c>
      <c r="GF597">
        <v>41.558571333744325</v>
      </c>
      <c r="GG597">
        <v>36.343119391249026</v>
      </c>
      <c r="GH597">
        <v>23.077081313922996</v>
      </c>
      <c r="GI597">
        <v>38.67952055739768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671.28461953933095</v>
      </c>
      <c r="AO598">
        <v>44.471873571585412</v>
      </c>
      <c r="AP598">
        <v>95.299505791206002</v>
      </c>
      <c r="AQ598">
        <v>318.47290519795467</v>
      </c>
      <c r="AR598">
        <v>44.050332529807157</v>
      </c>
      <c r="AS598">
        <v>359.50296359637264</v>
      </c>
      <c r="AT598">
        <v>22.810193301735865</v>
      </c>
      <c r="AU598">
        <v>-23.643168461522919</v>
      </c>
      <c r="AV598"/>
      <c r="AW598"/>
      <c r="FY598" s="212">
        <v>593</v>
      </c>
      <c r="FZ598">
        <v>48.339095579320364</v>
      </c>
      <c r="GA598">
        <v>63.236120259071541</v>
      </c>
      <c r="GB598">
        <v>49.077336830971163</v>
      </c>
      <c r="GC598">
        <v>25.022145644273508</v>
      </c>
      <c r="GD598">
        <v>13.882194008958411</v>
      </c>
      <c r="GE598">
        <v>19.305779862429713</v>
      </c>
      <c r="GF598">
        <v>35.191076263336704</v>
      </c>
      <c r="GG598">
        <v>31.575835403061134</v>
      </c>
      <c r="GH598">
        <v>26.352620364893575</v>
      </c>
      <c r="GI598">
        <v>37.962695480943275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842.76841911588747</v>
      </c>
      <c r="AO599">
        <v>58.170655696100127</v>
      </c>
      <c r="AP599">
        <v>71.643478090780775</v>
      </c>
      <c r="AQ599">
        <v>420.58489023069905</v>
      </c>
      <c r="AR599">
        <v>56.316489946990011</v>
      </c>
      <c r="AS599">
        <v>472.55149445437371</v>
      </c>
      <c r="AT599">
        <v>27.591875135477242</v>
      </c>
      <c r="AU599">
        <v>-67.777107420106987</v>
      </c>
      <c r="AV599"/>
      <c r="AW599"/>
      <c r="FY599" s="212">
        <v>594</v>
      </c>
      <c r="FZ599">
        <v>59.469657527373229</v>
      </c>
      <c r="GA599">
        <v>105.00593509138427</v>
      </c>
      <c r="GB599">
        <v>46.4815373521919</v>
      </c>
      <c r="GC599">
        <v>14.25146136228733</v>
      </c>
      <c r="GD599">
        <v>11.589608167089908</v>
      </c>
      <c r="GE599">
        <v>15.221612166150514</v>
      </c>
      <c r="GF599">
        <v>16.12665521031354</v>
      </c>
      <c r="GG599">
        <v>16.5197652202162</v>
      </c>
      <c r="GH599">
        <v>26.022963756882845</v>
      </c>
      <c r="GI599">
        <v>34.203144318083226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860.43345858127964</v>
      </c>
      <c r="AO600">
        <v>57.122632722475245</v>
      </c>
      <c r="AP600">
        <v>84.142129825504639</v>
      </c>
      <c r="AQ600">
        <v>417.85363692754373</v>
      </c>
      <c r="AR600">
        <v>55.170502231676231</v>
      </c>
      <c r="AS600">
        <v>478.15733723280516</v>
      </c>
      <c r="AT600">
        <v>27.918232034555889</v>
      </c>
      <c r="AU600">
        <v>-25.595602288616185</v>
      </c>
      <c r="AV600"/>
      <c r="AW600"/>
      <c r="FY600" s="212">
        <v>595</v>
      </c>
      <c r="FZ600">
        <v>43.541517828436398</v>
      </c>
      <c r="GA600">
        <v>78.435644535821112</v>
      </c>
      <c r="GB600">
        <v>53.858630991182594</v>
      </c>
      <c r="GC600">
        <v>20.763033859945448</v>
      </c>
      <c r="GD600">
        <v>10.423712775427152</v>
      </c>
      <c r="GE600">
        <v>20.29457983678379</v>
      </c>
      <c r="GF600">
        <v>47.13156220878647</v>
      </c>
      <c r="GG600">
        <v>34.477196504250067</v>
      </c>
      <c r="GH600">
        <v>25.875098777322492</v>
      </c>
      <c r="GI600">
        <v>38.611977619319795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629.5795396108814</v>
      </c>
      <c r="AO601">
        <v>46.623578516740842</v>
      </c>
      <c r="AP601">
        <v>63.909388476288946</v>
      </c>
      <c r="AQ601">
        <v>340.62866550600995</v>
      </c>
      <c r="AR601">
        <v>46.218474981277538</v>
      </c>
      <c r="AS601">
        <v>343.26219961251354</v>
      </c>
      <c r="AT601">
        <v>22.247491667615197</v>
      </c>
      <c r="AU601">
        <v>-71.818373697814778</v>
      </c>
      <c r="AV601"/>
      <c r="AW601"/>
      <c r="FY601" s="212">
        <v>596</v>
      </c>
      <c r="FZ601">
        <v>44.807801189796649</v>
      </c>
      <c r="GA601">
        <v>100.53186694777763</v>
      </c>
      <c r="GB601">
        <v>56.117104695008223</v>
      </c>
      <c r="GC601">
        <v>22.452079710294505</v>
      </c>
      <c r="GD601">
        <v>13.153642822214595</v>
      </c>
      <c r="GE601">
        <v>12.1895916152432</v>
      </c>
      <c r="GF601">
        <v>19.592098446820216</v>
      </c>
      <c r="GG601">
        <v>20.483712356404755</v>
      </c>
      <c r="GH601">
        <v>21.237500238115214</v>
      </c>
      <c r="GI601">
        <v>35.196064832593834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900.53326749673249</v>
      </c>
      <c r="AO602">
        <v>61.827150672733254</v>
      </c>
      <c r="AP602">
        <v>126.05487357821787</v>
      </c>
      <c r="AQ602">
        <v>428.72510248951568</v>
      </c>
      <c r="AR602">
        <v>60.664749004635226</v>
      </c>
      <c r="AS602">
        <v>469.06195068816334</v>
      </c>
      <c r="AT602">
        <v>31.305265545563817</v>
      </c>
      <c r="AU602">
        <v>23.815942485836121</v>
      </c>
      <c r="AV602"/>
      <c r="AW602"/>
      <c r="FY602" s="212">
        <v>597</v>
      </c>
      <c r="FZ602">
        <v>40.352475100916806</v>
      </c>
      <c r="GA602">
        <v>109.53071919444213</v>
      </c>
      <c r="GB602">
        <v>63.19730906273859</v>
      </c>
      <c r="GC602">
        <v>22.391468244397647</v>
      </c>
      <c r="GD602">
        <v>12.423045906389689</v>
      </c>
      <c r="GE602">
        <v>14.963790676583507</v>
      </c>
      <c r="GF602">
        <v>28.252899780666141</v>
      </c>
      <c r="GG602">
        <v>28.761419597523478</v>
      </c>
      <c r="GH602">
        <v>27.330661062090915</v>
      </c>
      <c r="GI602">
        <v>38.442627596552725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778.31112194195225</v>
      </c>
      <c r="AO603">
        <v>53.692314314051984</v>
      </c>
      <c r="AP603">
        <v>94.292829349517135</v>
      </c>
      <c r="AQ603">
        <v>385.12447450883008</v>
      </c>
      <c r="AR603">
        <v>52.934030180356622</v>
      </c>
      <c r="AS603">
        <v>405.64300538114009</v>
      </c>
      <c r="AT603">
        <v>27.1207390176925</v>
      </c>
      <c r="AU603">
        <v>-46.914593190893967</v>
      </c>
      <c r="AV603"/>
      <c r="AW603"/>
      <c r="FY603" s="212">
        <v>598</v>
      </c>
      <c r="FZ603">
        <v>44.359908685082083</v>
      </c>
      <c r="GA603">
        <v>122.91665540980111</v>
      </c>
      <c r="GB603">
        <v>75.596071608728707</v>
      </c>
      <c r="GC603">
        <v>23.633148577976353</v>
      </c>
      <c r="GD603">
        <v>11.922353859491558</v>
      </c>
      <c r="GE603">
        <v>14.468259649127518</v>
      </c>
      <c r="GF603">
        <v>28.087124341859603</v>
      </c>
      <c r="GG603">
        <v>25.058080891436767</v>
      </c>
      <c r="GH603">
        <v>28.501004077795127</v>
      </c>
      <c r="GI603">
        <v>42.021897023345296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765.35096019109767</v>
      </c>
      <c r="AO604">
        <v>50.078678131567692</v>
      </c>
      <c r="AP604">
        <v>90.194942018485548</v>
      </c>
      <c r="AQ604">
        <v>353.59117300450271</v>
      </c>
      <c r="AR604">
        <v>49.51194980809575</v>
      </c>
      <c r="AS604">
        <v>407.24581218107284</v>
      </c>
      <c r="AT604">
        <v>24.56387193544251</v>
      </c>
      <c r="AU604">
        <v>-10.056169109308243</v>
      </c>
      <c r="AV604"/>
      <c r="AW604"/>
      <c r="FY604" s="212">
        <v>599</v>
      </c>
      <c r="FZ604">
        <v>33.887238632947678</v>
      </c>
      <c r="GA604">
        <v>136.95854772599972</v>
      </c>
      <c r="GB604">
        <v>77.981143540609281</v>
      </c>
      <c r="GC604">
        <v>16.885585566390546</v>
      </c>
      <c r="GD604">
        <v>10.291983468210317</v>
      </c>
      <c r="GE604">
        <v>11.475485292563706</v>
      </c>
      <c r="GF604">
        <v>15.54291377666228</v>
      </c>
      <c r="GG604">
        <v>14.667579227701026</v>
      </c>
      <c r="GH604">
        <v>23.428803018431154</v>
      </c>
      <c r="GI604">
        <v>36.93289311547499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966.42154740020726</v>
      </c>
      <c r="AO605">
        <v>57.765417364654709</v>
      </c>
      <c r="AP605">
        <v>117.3821844210088</v>
      </c>
      <c r="AQ605">
        <v>403.7024336066288</v>
      </c>
      <c r="AR605">
        <v>55.17698554143621</v>
      </c>
      <c r="AS605">
        <v>473.22590230998594</v>
      </c>
      <c r="AT605">
        <v>29.405803763579517</v>
      </c>
      <c r="AU605">
        <v>-64.597727412480836</v>
      </c>
      <c r="AV605"/>
      <c r="AW605"/>
      <c r="FY605" s="212">
        <v>600</v>
      </c>
      <c r="FZ605">
        <v>44.382759549605822</v>
      </c>
      <c r="GA605">
        <v>93.77483039230053</v>
      </c>
      <c r="GB605">
        <v>55.369390997214644</v>
      </c>
      <c r="GC605">
        <v>15.352457580097335</v>
      </c>
      <c r="GD605">
        <v>7.7098230023719925</v>
      </c>
      <c r="GE605">
        <v>12.653630585035485</v>
      </c>
      <c r="GF605">
        <v>26.956014122816846</v>
      </c>
      <c r="GG605">
        <v>23.338441649471211</v>
      </c>
      <c r="GH605">
        <v>27.949183653624985</v>
      </c>
      <c r="GI605">
        <v>34.181015515871721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854.03502807801783</v>
      </c>
      <c r="AO606">
        <v>54.195445852409293</v>
      </c>
      <c r="AP606">
        <v>71.327536845739743</v>
      </c>
      <c r="AQ606">
        <v>396.18320256038061</v>
      </c>
      <c r="AR606">
        <v>53.140321667254</v>
      </c>
      <c r="AS606">
        <v>465.27413133120058</v>
      </c>
      <c r="AT606">
        <v>26.333237159614256</v>
      </c>
      <c r="AU606">
        <v>-81.535548009874191</v>
      </c>
      <c r="AV606"/>
      <c r="AW606"/>
      <c r="FY606" s="212">
        <v>601</v>
      </c>
      <c r="FZ606">
        <v>47.846948482851943</v>
      </c>
      <c r="GA606">
        <v>60.859786792361938</v>
      </c>
      <c r="GB606">
        <v>36.246557789012094</v>
      </c>
      <c r="GC606">
        <v>17.537333976728647</v>
      </c>
      <c r="GD606">
        <v>12.052198292170676</v>
      </c>
      <c r="GE606">
        <v>17.855198986354019</v>
      </c>
      <c r="GF606">
        <v>40.283475829602494</v>
      </c>
      <c r="GG606">
        <v>40.107861162526788</v>
      </c>
      <c r="GH606">
        <v>27.358087937493853</v>
      </c>
      <c r="GI606">
        <v>34.730778421175053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706.23594853475174</v>
      </c>
      <c r="AO607">
        <v>54.236419714064958</v>
      </c>
      <c r="AP607">
        <v>61.875763233408534</v>
      </c>
      <c r="AQ607">
        <v>387.36330729314966</v>
      </c>
      <c r="AR607">
        <v>53.10338612523713</v>
      </c>
      <c r="AS607">
        <v>411.73030368301869</v>
      </c>
      <c r="AT607">
        <v>26.772909053284852</v>
      </c>
      <c r="AU607">
        <v>-55.66542398344415</v>
      </c>
      <c r="AV607"/>
      <c r="AW607"/>
      <c r="FY607" s="212">
        <v>602</v>
      </c>
      <c r="FZ607">
        <v>50.325375169766652</v>
      </c>
      <c r="GA607">
        <v>113.74359126646679</v>
      </c>
      <c r="GB607">
        <v>69.106524750483544</v>
      </c>
      <c r="GC607">
        <v>24.642164743589866</v>
      </c>
      <c r="GD607">
        <v>14.423443054768862</v>
      </c>
      <c r="GE607">
        <v>19.125078968879635</v>
      </c>
      <c r="GF607">
        <v>29.841700421033327</v>
      </c>
      <c r="GG607">
        <v>27.376067483309807</v>
      </c>
      <c r="GH607">
        <v>42.459519978254342</v>
      </c>
      <c r="GI607">
        <v>45.125363748288038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888.16125378095387</v>
      </c>
      <c r="AO608">
        <v>55.161820890416664</v>
      </c>
      <c r="AP608">
        <v>76.732969272321412</v>
      </c>
      <c r="AQ608">
        <v>397.04693154344778</v>
      </c>
      <c r="AR608">
        <v>53.13172338857715</v>
      </c>
      <c r="AS608">
        <v>463.21432794310306</v>
      </c>
      <c r="AT608">
        <v>26.683203324481799</v>
      </c>
      <c r="AU608">
        <v>-51.275463030055803</v>
      </c>
      <c r="AV608"/>
      <c r="AW608"/>
      <c r="FY608" s="212">
        <v>603</v>
      </c>
      <c r="FZ608">
        <v>55.792213494947227</v>
      </c>
      <c r="GA608">
        <v>113.44809719956775</v>
      </c>
      <c r="GB608">
        <v>52.87694917752814</v>
      </c>
      <c r="GC608">
        <v>12.929045186872218</v>
      </c>
      <c r="GD608">
        <v>7.4969162020350604</v>
      </c>
      <c r="GE608">
        <v>6.0788322891173179</v>
      </c>
      <c r="GF608">
        <v>28.355299857839267</v>
      </c>
      <c r="GG608">
        <v>28.01114578271595</v>
      </c>
      <c r="GH608">
        <v>11.622870253770559</v>
      </c>
      <c r="GI608">
        <v>32.899346875313825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895.5686524803408</v>
      </c>
      <c r="AO609">
        <v>52.511435316041272</v>
      </c>
      <c r="AP609">
        <v>95.592633261778715</v>
      </c>
      <c r="AQ609">
        <v>349.94489969725942</v>
      </c>
      <c r="AR609">
        <v>52.081668530665588</v>
      </c>
      <c r="AS609">
        <v>436.07955004863214</v>
      </c>
      <c r="AT609">
        <v>27.636196644425766</v>
      </c>
      <c r="AU609">
        <v>-56.106171076537748</v>
      </c>
      <c r="AV609"/>
      <c r="AW609"/>
      <c r="FY609" s="212">
        <v>604</v>
      </c>
      <c r="FZ609">
        <v>49.198850118461593</v>
      </c>
      <c r="GA609">
        <v>74.399680385154596</v>
      </c>
      <c r="GB609">
        <v>35.683738745359257</v>
      </c>
      <c r="GC609">
        <v>16.876453298602694</v>
      </c>
      <c r="GD609">
        <v>12.042581190059742</v>
      </c>
      <c r="GE609">
        <v>15.550421391586607</v>
      </c>
      <c r="GF609">
        <v>25.468533493457038</v>
      </c>
      <c r="GG609">
        <v>18.298863798029</v>
      </c>
      <c r="GH609">
        <v>12.711662721837454</v>
      </c>
      <c r="GI609">
        <v>29.799701998402757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602.44916971666237</v>
      </c>
      <c r="AO610">
        <v>47.037147282508656</v>
      </c>
      <c r="AP610">
        <v>40.099968064274492</v>
      </c>
      <c r="AQ610">
        <v>344.89234017197299</v>
      </c>
      <c r="AR610">
        <v>47.091313500802805</v>
      </c>
      <c r="AS610">
        <v>380.38638338262302</v>
      </c>
      <c r="AT610">
        <v>24.969716243252574</v>
      </c>
      <c r="AU610">
        <v>-46.322128636662306</v>
      </c>
      <c r="AV610"/>
      <c r="AW610"/>
      <c r="FY610" s="212">
        <v>605</v>
      </c>
      <c r="FZ610">
        <v>49.744455419462192</v>
      </c>
      <c r="GA610">
        <v>121.47193899265289</v>
      </c>
      <c r="GB610">
        <v>72.189998871050989</v>
      </c>
      <c r="GC610">
        <v>22.827593340804608</v>
      </c>
      <c r="GD610">
        <v>14.813184047331376</v>
      </c>
      <c r="GE610">
        <v>16.270894305781471</v>
      </c>
      <c r="GF610">
        <v>28.135748247518315</v>
      </c>
      <c r="GG610">
        <v>31.496481572100741</v>
      </c>
      <c r="GH610">
        <v>28.702969711162059</v>
      </c>
      <c r="GI610">
        <v>43.576412658451837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839.32646071788599</v>
      </c>
      <c r="AO611">
        <v>53.902174063566591</v>
      </c>
      <c r="AP611">
        <v>134.14531246568035</v>
      </c>
      <c r="AQ611">
        <v>373.41295493727529</v>
      </c>
      <c r="AR611">
        <v>53.14024663671465</v>
      </c>
      <c r="AS611">
        <v>416.91211910794311</v>
      </c>
      <c r="AT611">
        <v>27.412396661338629</v>
      </c>
      <c r="AU611">
        <v>107.8164895690895</v>
      </c>
      <c r="AV611"/>
      <c r="AW611"/>
      <c r="FY611" s="212">
        <v>606</v>
      </c>
      <c r="FZ611">
        <v>39.154313565160415</v>
      </c>
      <c r="GA611">
        <v>90.486204763890569</v>
      </c>
      <c r="GB611">
        <v>51.881172602366277</v>
      </c>
      <c r="GC611">
        <v>21.486125622712084</v>
      </c>
      <c r="GD611">
        <v>13.575585760479395</v>
      </c>
      <c r="GE611">
        <v>17.078199602580909</v>
      </c>
      <c r="GF611">
        <v>32.045910072015531</v>
      </c>
      <c r="GG611">
        <v>26.376584887520075</v>
      </c>
      <c r="GH611">
        <v>25.121152196465506</v>
      </c>
      <c r="GI611">
        <v>36.39792804045377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707.75183143983031</v>
      </c>
      <c r="AO612">
        <v>49.938777593646442</v>
      </c>
      <c r="AP612">
        <v>83.585043666766353</v>
      </c>
      <c r="AQ612">
        <v>345.76146285426881</v>
      </c>
      <c r="AR612">
        <v>48.481053086087343</v>
      </c>
      <c r="AS612">
        <v>403.25884033222502</v>
      </c>
      <c r="AT612">
        <v>25.528386476696586</v>
      </c>
      <c r="AU612">
        <v>-60.866948316672023</v>
      </c>
      <c r="AV612"/>
      <c r="AW612"/>
      <c r="FY612" s="212">
        <v>607</v>
      </c>
      <c r="FZ612">
        <v>36.047711020224938</v>
      </c>
      <c r="GA612">
        <v>66.778084052836675</v>
      </c>
      <c r="GB612">
        <v>41.049792203685946</v>
      </c>
      <c r="GC612">
        <v>18.58853847475423</v>
      </c>
      <c r="GD612">
        <v>13.202701085630419</v>
      </c>
      <c r="GE612">
        <v>16.632511751011165</v>
      </c>
      <c r="GF612">
        <v>50.863954572318654</v>
      </c>
      <c r="GG612">
        <v>43.39719909409655</v>
      </c>
      <c r="GH612">
        <v>26.441390629613029</v>
      </c>
      <c r="GI612">
        <v>36.712696962511863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854.78386125669954</v>
      </c>
      <c r="AO613">
        <v>55.102353253414684</v>
      </c>
      <c r="AP613">
        <v>92.897459124098361</v>
      </c>
      <c r="AQ613">
        <v>385.64641622230164</v>
      </c>
      <c r="AR613">
        <v>52.884917365694186</v>
      </c>
      <c r="AS613">
        <v>437.03567420808082</v>
      </c>
      <c r="AT613">
        <v>26.962868415307838</v>
      </c>
      <c r="AU613">
        <v>-67.181986057892459</v>
      </c>
      <c r="AV613"/>
      <c r="AW613"/>
      <c r="FY613" s="212">
        <v>608</v>
      </c>
      <c r="FZ613">
        <v>50.911304365366234</v>
      </c>
      <c r="GA613">
        <v>61.887084632531867</v>
      </c>
      <c r="GB613">
        <v>34.552883311798446</v>
      </c>
      <c r="GC613">
        <v>19.701854211080864</v>
      </c>
      <c r="GD613">
        <v>13.680628435007327</v>
      </c>
      <c r="GE613">
        <v>14.948154875614382</v>
      </c>
      <c r="GF613">
        <v>25.149899468458546</v>
      </c>
      <c r="GG613">
        <v>24.357337367279154</v>
      </c>
      <c r="GH613">
        <v>23.252826964370506</v>
      </c>
      <c r="GI613">
        <v>32.296540262325131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799.70633981942206</v>
      </c>
      <c r="AO614">
        <v>59.099285111117375</v>
      </c>
      <c r="AP614">
        <v>78.973553282591013</v>
      </c>
      <c r="AQ614">
        <v>416.56450412464403</v>
      </c>
      <c r="AR614">
        <v>57.992112565282838</v>
      </c>
      <c r="AS614">
        <v>458.12021153587295</v>
      </c>
      <c r="AT614">
        <v>28.725177168940416</v>
      </c>
      <c r="AU614">
        <v>-65.226382109796702</v>
      </c>
      <c r="AV614"/>
      <c r="AW614"/>
      <c r="FY614" s="212">
        <v>609</v>
      </c>
      <c r="FZ614">
        <v>33.688001340774974</v>
      </c>
      <c r="GA614">
        <v>137.81283264282524</v>
      </c>
      <c r="GB614">
        <v>83.446938473751942</v>
      </c>
      <c r="GC614">
        <v>22.267277346226152</v>
      </c>
      <c r="GD614">
        <v>12.279209074805665</v>
      </c>
      <c r="GE614">
        <v>14.719247802128844</v>
      </c>
      <c r="GF614">
        <v>23.03461879018349</v>
      </c>
      <c r="GG614">
        <v>22.177505331115583</v>
      </c>
      <c r="GH614">
        <v>16.771265038557825</v>
      </c>
      <c r="GI614">
        <v>39.810435494972616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829.50454422963446</v>
      </c>
      <c r="AO615">
        <v>51.822773799028347</v>
      </c>
      <c r="AP615">
        <v>42.27253283859914</v>
      </c>
      <c r="AQ615">
        <v>378.05217336499072</v>
      </c>
      <c r="AR615">
        <v>50.842703660303798</v>
      </c>
      <c r="AS615">
        <v>447.99999384038944</v>
      </c>
      <c r="AT615">
        <v>24.485680748168487</v>
      </c>
      <c r="AU615">
        <v>-128.89120431068329</v>
      </c>
      <c r="AV615"/>
      <c r="AW615"/>
      <c r="FY615" s="212">
        <v>610</v>
      </c>
      <c r="FZ615">
        <v>40.691302098885515</v>
      </c>
      <c r="GA615">
        <v>74.285129983346437</v>
      </c>
      <c r="GB615">
        <v>52.624736953017937</v>
      </c>
      <c r="GC615">
        <v>26.828705814007904</v>
      </c>
      <c r="GD615">
        <v>17.221006900513835</v>
      </c>
      <c r="GE615">
        <v>22.103622997075583</v>
      </c>
      <c r="GF615">
        <v>15.64612448066768</v>
      </c>
      <c r="GG615">
        <v>17.152520144295941</v>
      </c>
      <c r="GH615">
        <v>22.424288559192906</v>
      </c>
      <c r="GI615">
        <v>35.404373096613575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625.82928277176711</v>
      </c>
      <c r="AO616">
        <v>46.86071160514301</v>
      </c>
      <c r="AP616">
        <v>62.697477520594617</v>
      </c>
      <c r="AQ616">
        <v>341.66754704841054</v>
      </c>
      <c r="AR616">
        <v>47.085491366915548</v>
      </c>
      <c r="AS616">
        <v>368.8460706004152</v>
      </c>
      <c r="AT616">
        <v>23.803865668516679</v>
      </c>
      <c r="AU616">
        <v>-33.189111514429548</v>
      </c>
      <c r="AV616"/>
      <c r="AW616"/>
      <c r="FY616" s="212">
        <v>611</v>
      </c>
      <c r="FZ616">
        <v>53.098432394568491</v>
      </c>
      <c r="GA616">
        <v>150.11069919128565</v>
      </c>
      <c r="GB616">
        <v>81.862220997531836</v>
      </c>
      <c r="GC616">
        <v>17.8683078173949</v>
      </c>
      <c r="GD616">
        <v>11.093595920496329</v>
      </c>
      <c r="GE616">
        <v>15.782794127016654</v>
      </c>
      <c r="GF616">
        <v>29.952785428735709</v>
      </c>
      <c r="GG616">
        <v>25.759735409094823</v>
      </c>
      <c r="GH616">
        <v>26.008318554693869</v>
      </c>
      <c r="GI616">
        <v>44.273824343840097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804.27279602151452</v>
      </c>
      <c r="AO617">
        <v>48.30157791940745</v>
      </c>
      <c r="AP617">
        <v>96.347673027291066</v>
      </c>
      <c r="AQ617">
        <v>334.87822767027751</v>
      </c>
      <c r="AR617">
        <v>47.62016569171702</v>
      </c>
      <c r="AS617">
        <v>397.73159713552087</v>
      </c>
      <c r="AT617">
        <v>24.69719964031545</v>
      </c>
      <c r="AU617">
        <v>-2.0416955612174021</v>
      </c>
      <c r="AV617"/>
      <c r="AW617"/>
      <c r="FY617" s="212">
        <v>612</v>
      </c>
      <c r="FZ617">
        <v>47.889334005297151</v>
      </c>
      <c r="GA617">
        <v>94.051921604286264</v>
      </c>
      <c r="GB617">
        <v>58.408402218741699</v>
      </c>
      <c r="GC617">
        <v>21.994782927905966</v>
      </c>
      <c r="GD617">
        <v>12.085526453249081</v>
      </c>
      <c r="GE617">
        <v>13.459415993697398</v>
      </c>
      <c r="GF617">
        <v>28.603110529327353</v>
      </c>
      <c r="GG617">
        <v>28.945605647111762</v>
      </c>
      <c r="GH617">
        <v>25.077794841764753</v>
      </c>
      <c r="GI617">
        <v>37.906349460349951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951.1624205627744</v>
      </c>
      <c r="AO618">
        <v>62.070117332906136</v>
      </c>
      <c r="AP618">
        <v>88.114994389204099</v>
      </c>
      <c r="AQ618">
        <v>436.16882958484086</v>
      </c>
      <c r="AR618">
        <v>61.958774996469437</v>
      </c>
      <c r="AS618">
        <v>517.55202676594445</v>
      </c>
      <c r="AT618">
        <v>31.918037564253392</v>
      </c>
      <c r="AU618">
        <v>-64.177702433873378</v>
      </c>
      <c r="AV618"/>
      <c r="AW618"/>
      <c r="FY618" s="212">
        <v>613</v>
      </c>
      <c r="FZ618">
        <v>40.694339658256609</v>
      </c>
      <c r="GA618">
        <v>103.74811973099671</v>
      </c>
      <c r="GB618">
        <v>62.228191089279179</v>
      </c>
      <c r="GC618">
        <v>21.790363290571761</v>
      </c>
      <c r="GD618">
        <v>9.2962793105250636</v>
      </c>
      <c r="GE618">
        <v>13.309246271985064</v>
      </c>
      <c r="GF618">
        <v>31.949683594357676</v>
      </c>
      <c r="GG618">
        <v>30.247548307713025</v>
      </c>
      <c r="GH618">
        <v>27.240097644354833</v>
      </c>
      <c r="GI618">
        <v>37.024848873313545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589.60518015124217</v>
      </c>
      <c r="AO619">
        <v>46.335524815724696</v>
      </c>
      <c r="AP619">
        <v>78.377984144211808</v>
      </c>
      <c r="AQ619">
        <v>349.51071631970734</v>
      </c>
      <c r="AR619">
        <v>45.472812168057303</v>
      </c>
      <c r="AS619">
        <v>371.44337816644435</v>
      </c>
      <c r="AT619">
        <v>22.185634180085319</v>
      </c>
      <c r="AU619">
        <v>-3.4831379973641177</v>
      </c>
      <c r="AV619"/>
      <c r="AW619"/>
      <c r="FY619" s="212">
        <v>614</v>
      </c>
      <c r="FZ619">
        <v>33.327081812295944</v>
      </c>
      <c r="GA619">
        <v>77.410599109677605</v>
      </c>
      <c r="GB619">
        <v>43.069031105466905</v>
      </c>
      <c r="GC619">
        <v>18.071711957895776</v>
      </c>
      <c r="GD619">
        <v>13.81095262638857</v>
      </c>
      <c r="GE619">
        <v>14.756379298577148</v>
      </c>
      <c r="GF619">
        <v>28.425687165118731</v>
      </c>
      <c r="GG619">
        <v>26.720770367285333</v>
      </c>
      <c r="GH619">
        <v>31.526151903402411</v>
      </c>
      <c r="GI619">
        <v>33.892277912817008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565.39744211083166</v>
      </c>
      <c r="AO620">
        <v>41.706814160660471</v>
      </c>
      <c r="AP620">
        <v>95.929046692222755</v>
      </c>
      <c r="AQ620">
        <v>290.03048714095075</v>
      </c>
      <c r="AR620">
        <v>40.89529558984529</v>
      </c>
      <c r="AS620">
        <v>327.15305229877936</v>
      </c>
      <c r="AT620">
        <v>22.738186360136609</v>
      </c>
      <c r="AU620">
        <v>-86.759419086570972</v>
      </c>
      <c r="AV620"/>
      <c r="AW620"/>
      <c r="FY620" s="212">
        <v>615</v>
      </c>
      <c r="FZ620">
        <v>38.909243295072315</v>
      </c>
      <c r="GA620">
        <v>99.685796244751614</v>
      </c>
      <c r="GB620">
        <v>64.265734676168023</v>
      </c>
      <c r="GC620">
        <v>21.327850297534198</v>
      </c>
      <c r="GD620">
        <v>13.444087438950204</v>
      </c>
      <c r="GE620">
        <v>14.876707824825617</v>
      </c>
      <c r="GF620">
        <v>10.620824596990772</v>
      </c>
      <c r="GG620">
        <v>17.36566767480581</v>
      </c>
      <c r="GH620">
        <v>22.053807037321292</v>
      </c>
      <c r="GI620">
        <v>34.88135400214658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883.26697302391312</v>
      </c>
      <c r="AO621">
        <v>61.130941530152676</v>
      </c>
      <c r="AP621">
        <v>102.58268827621362</v>
      </c>
      <c r="AQ621">
        <v>429.22967716631649</v>
      </c>
      <c r="AR621">
        <v>60.022706956872767</v>
      </c>
      <c r="AS621">
        <v>502.25159710366592</v>
      </c>
      <c r="AT621">
        <v>29.784770204651252</v>
      </c>
      <c r="AU621">
        <v>-15.447109680910756</v>
      </c>
      <c r="AV621"/>
      <c r="AW621"/>
      <c r="FY621" s="212">
        <v>616</v>
      </c>
      <c r="FZ621">
        <v>44.227005930883657</v>
      </c>
      <c r="GA621">
        <v>77.76733518859406</v>
      </c>
      <c r="GB621">
        <v>48.884753525618557</v>
      </c>
      <c r="GC621">
        <v>24.545502883501928</v>
      </c>
      <c r="GD621">
        <v>14.796153933688167</v>
      </c>
      <c r="GE621">
        <v>13.257662492889953</v>
      </c>
      <c r="GF621">
        <v>25.201006282082176</v>
      </c>
      <c r="GG621">
        <v>27.235643426590421</v>
      </c>
      <c r="GH621">
        <v>33.08946875488747</v>
      </c>
      <c r="GI621">
        <v>37.140299434867053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767.59307989576405</v>
      </c>
      <c r="AO622">
        <v>51.411250995597172</v>
      </c>
      <c r="AP622">
        <v>82.992546498704399</v>
      </c>
      <c r="AQ622">
        <v>353.60317711364456</v>
      </c>
      <c r="AR622">
        <v>49.949773913508402</v>
      </c>
      <c r="AS622">
        <v>412.12829090553726</v>
      </c>
      <c r="AT622">
        <v>26.383117526751164</v>
      </c>
      <c r="AU622">
        <v>-39.006578673134243</v>
      </c>
      <c r="AV622"/>
      <c r="AW622"/>
      <c r="FY622" s="212">
        <v>617</v>
      </c>
      <c r="FZ622">
        <v>46.301582398364118</v>
      </c>
      <c r="GA622">
        <v>127.12376697929206</v>
      </c>
      <c r="GB622">
        <v>71.935042638385596</v>
      </c>
      <c r="GC622">
        <v>19.859325017200099</v>
      </c>
      <c r="GD622">
        <v>11.162934807154707</v>
      </c>
      <c r="GE622">
        <v>13.318622108734765</v>
      </c>
      <c r="GF622">
        <v>32.060466304237771</v>
      </c>
      <c r="GG622">
        <v>38.745204383748224</v>
      </c>
      <c r="GH622">
        <v>34.006483657245944</v>
      </c>
      <c r="GI622">
        <v>42.552913942376605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759.38717266806236</v>
      </c>
      <c r="AO623">
        <v>51.126533247151556</v>
      </c>
      <c r="AP623">
        <v>84.526291438405508</v>
      </c>
      <c r="AQ623">
        <v>349.71457984668342</v>
      </c>
      <c r="AR623">
        <v>50.396613868069508</v>
      </c>
      <c r="AS623">
        <v>428.77985032487851</v>
      </c>
      <c r="AT623">
        <v>25.444555519671749</v>
      </c>
      <c r="AU623">
        <v>32.346307579597308</v>
      </c>
      <c r="AV623"/>
      <c r="AW623"/>
      <c r="FY623" s="212">
        <v>618</v>
      </c>
      <c r="FZ623">
        <v>40.149953327882756</v>
      </c>
      <c r="GA623">
        <v>139.89309294839146</v>
      </c>
      <c r="GB623">
        <v>76.334723529533449</v>
      </c>
      <c r="GC623">
        <v>19.281826695920827</v>
      </c>
      <c r="GD623">
        <v>12.489198870492427</v>
      </c>
      <c r="GE623">
        <v>16.625298968100473</v>
      </c>
      <c r="GF623">
        <v>28.722900808321707</v>
      </c>
      <c r="GG623">
        <v>24.749397851797454</v>
      </c>
      <c r="GH623">
        <v>16.21259845190378</v>
      </c>
      <c r="GI623">
        <v>40.071555656755713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657.81387808779323</v>
      </c>
      <c r="AO624">
        <v>44.364772959908507</v>
      </c>
      <c r="AP624">
        <v>103.60166798940546</v>
      </c>
      <c r="AQ624">
        <v>300.73851389383248</v>
      </c>
      <c r="AR624">
        <v>44.369412700420241</v>
      </c>
      <c r="AS624">
        <v>366.43847880540619</v>
      </c>
      <c r="AT624">
        <v>24.200544791513011</v>
      </c>
      <c r="AU624">
        <v>27.079707486231012</v>
      </c>
      <c r="AV624"/>
      <c r="AW624"/>
      <c r="FY624" s="212">
        <v>619</v>
      </c>
      <c r="FZ624">
        <v>66.36318807692426</v>
      </c>
      <c r="GA624">
        <v>99.20610537925856</v>
      </c>
      <c r="GB624">
        <v>53.119509399902341</v>
      </c>
      <c r="GC624">
        <v>15.256648430300077</v>
      </c>
      <c r="GD624">
        <v>8.023559971990851</v>
      </c>
      <c r="GE624">
        <v>11.260959471114484</v>
      </c>
      <c r="GF624">
        <v>16.661843695324027</v>
      </c>
      <c r="GG624">
        <v>18.058327594010581</v>
      </c>
      <c r="GH624">
        <v>25.577855350468568</v>
      </c>
      <c r="GI624">
        <v>34.879030683965318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803.93175467762615</v>
      </c>
      <c r="AO625">
        <v>57.820149469617107</v>
      </c>
      <c r="AP625">
        <v>59.042528187517455</v>
      </c>
      <c r="AQ625">
        <v>406.00733133534243</v>
      </c>
      <c r="AR625">
        <v>54.932554521808449</v>
      </c>
      <c r="AS625">
        <v>450.0314224851079</v>
      </c>
      <c r="AT625">
        <v>26.9568478423557</v>
      </c>
      <c r="AU625">
        <v>-127.34104024599031</v>
      </c>
      <c r="AV625"/>
      <c r="AW625"/>
      <c r="FY625" s="212">
        <v>620</v>
      </c>
      <c r="FZ625">
        <v>36.475002134891845</v>
      </c>
      <c r="GA625">
        <v>109.15292299438445</v>
      </c>
      <c r="GB625">
        <v>63.488707432435461</v>
      </c>
      <c r="GC625">
        <v>22.327506651852712</v>
      </c>
      <c r="GD625">
        <v>15.501491161888687</v>
      </c>
      <c r="GE625">
        <v>18.891711225110772</v>
      </c>
      <c r="GF625">
        <v>46.274879733858342</v>
      </c>
      <c r="GG625">
        <v>39.309334176509125</v>
      </c>
      <c r="GH625">
        <v>14.94610121898998</v>
      </c>
      <c r="GI625">
        <v>41.063744220296044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836.83404818970519</v>
      </c>
      <c r="AO626">
        <v>50.428974862134496</v>
      </c>
      <c r="AP626">
        <v>52.659654823617466</v>
      </c>
      <c r="AQ626">
        <v>324.38181102761729</v>
      </c>
      <c r="AR626">
        <v>48.582326368250591</v>
      </c>
      <c r="AS626">
        <v>430.18342722045207</v>
      </c>
      <c r="AT626">
        <v>25.147528997335513</v>
      </c>
      <c r="AU626">
        <v>-44.83909834783794</v>
      </c>
      <c r="AV626"/>
      <c r="AW626"/>
      <c r="FY626" s="212">
        <v>621</v>
      </c>
      <c r="FZ626">
        <v>46.574844222143952</v>
      </c>
      <c r="GA626">
        <v>102.67948723485205</v>
      </c>
      <c r="GB626">
        <v>49.619652120851654</v>
      </c>
      <c r="GC626">
        <v>21.165939556186562</v>
      </c>
      <c r="GD626">
        <v>16.456672642624</v>
      </c>
      <c r="GE626">
        <v>15.026294035595265</v>
      </c>
      <c r="GF626">
        <v>21.318449176728592</v>
      </c>
      <c r="GG626">
        <v>26.947720551416932</v>
      </c>
      <c r="GH626">
        <v>21.067729973332067</v>
      </c>
      <c r="GI626">
        <v>35.941670600252564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919.87353130205406</v>
      </c>
      <c r="AO627">
        <v>61.724057115292432</v>
      </c>
      <c r="AP627">
        <v>80.621037588340585</v>
      </c>
      <c r="AQ627">
        <v>455.81071418465837</v>
      </c>
      <c r="AR627">
        <v>60.894737457271219</v>
      </c>
      <c r="AS627">
        <v>505.51003352979001</v>
      </c>
      <c r="AT627">
        <v>30.198275291648951</v>
      </c>
      <c r="AU627">
        <v>-100.54033648471152</v>
      </c>
      <c r="AV627"/>
      <c r="AW627"/>
      <c r="FY627" s="212">
        <v>622</v>
      </c>
      <c r="FZ627">
        <v>43.104776910639252</v>
      </c>
      <c r="GA627">
        <v>103.19772543261568</v>
      </c>
      <c r="GB627">
        <v>62.331451959280869</v>
      </c>
      <c r="GC627">
        <v>19.549414434936313</v>
      </c>
      <c r="GD627">
        <v>11.076300957978731</v>
      </c>
      <c r="GE627">
        <v>12.73165180985419</v>
      </c>
      <c r="GF627">
        <v>29.097508339604481</v>
      </c>
      <c r="GG627">
        <v>37.061786589972336</v>
      </c>
      <c r="GH627">
        <v>38.751118814590214</v>
      </c>
      <c r="GI627">
        <v>39.749980727787829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711.01318941412933</v>
      </c>
      <c r="AO628">
        <v>53.058369107818272</v>
      </c>
      <c r="AP628">
        <v>77.351546888601945</v>
      </c>
      <c r="AQ628">
        <v>368.42224368173135</v>
      </c>
      <c r="AR628">
        <v>52.277541526662262</v>
      </c>
      <c r="AS628">
        <v>421.37883011204093</v>
      </c>
      <c r="AT628">
        <v>27.126304935206694</v>
      </c>
      <c r="AU628">
        <v>-35.171034471805733</v>
      </c>
      <c r="AV628"/>
      <c r="AW628"/>
      <c r="FY628" s="212">
        <v>623</v>
      </c>
      <c r="FZ628">
        <v>62.465812124606778</v>
      </c>
      <c r="GA628">
        <v>107.47044553698477</v>
      </c>
      <c r="GB628">
        <v>51.195692786524084</v>
      </c>
      <c r="GC628">
        <v>13.917013805575777</v>
      </c>
      <c r="GD628">
        <v>9.7528341511130687</v>
      </c>
      <c r="GE628">
        <v>11.798718072844196</v>
      </c>
      <c r="GF628">
        <v>27.793300266931791</v>
      </c>
      <c r="GG628">
        <v>33.197003070099363</v>
      </c>
      <c r="GH628">
        <v>27.259333154727223</v>
      </c>
      <c r="GI628">
        <v>37.086740531793396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798.1960330326641</v>
      </c>
      <c r="AO629">
        <v>52.999637939773109</v>
      </c>
      <c r="AP629">
        <v>72.832434639305731</v>
      </c>
      <c r="AQ629">
        <v>377.5287177713534</v>
      </c>
      <c r="AR629">
        <v>50.842119256179096</v>
      </c>
      <c r="AS629">
        <v>441.57753808497853</v>
      </c>
      <c r="AT629">
        <v>26.355268561399583</v>
      </c>
      <c r="AU629">
        <v>-53.876379333985945</v>
      </c>
      <c r="AV629"/>
      <c r="AW629"/>
      <c r="FY629" s="212">
        <v>624</v>
      </c>
      <c r="FZ629">
        <v>55.49353422320317</v>
      </c>
      <c r="GA629">
        <v>74.964185482010919</v>
      </c>
      <c r="GB629">
        <v>44.875560496348584</v>
      </c>
      <c r="GC629">
        <v>21.464115669885086</v>
      </c>
      <c r="GD629">
        <v>15.761541242200678</v>
      </c>
      <c r="GE629">
        <v>18.184044475756274</v>
      </c>
      <c r="GF629">
        <v>24.133399933558788</v>
      </c>
      <c r="GG629">
        <v>24.864426309612988</v>
      </c>
      <c r="GH629">
        <v>30.088869035697133</v>
      </c>
      <c r="GI629">
        <v>37.61192575806141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675.18483020761755</v>
      </c>
      <c r="AO630">
        <v>46.932840533641084</v>
      </c>
      <c r="AP630">
        <v>64.331086916350699</v>
      </c>
      <c r="AQ630">
        <v>321.01064325892543</v>
      </c>
      <c r="AR630">
        <v>46.676691418309915</v>
      </c>
      <c r="AS630">
        <v>392.34114784541811</v>
      </c>
      <c r="AT630">
        <v>23.642614292855232</v>
      </c>
      <c r="AU630">
        <v>-29.586699389415145</v>
      </c>
      <c r="AV630"/>
      <c r="AW630"/>
      <c r="FY630" s="212">
        <v>625</v>
      </c>
      <c r="FZ630">
        <v>48.866551987579385</v>
      </c>
      <c r="GA630">
        <v>106.23884980697044</v>
      </c>
      <c r="GB630">
        <v>53.002263274141534</v>
      </c>
      <c r="GC630">
        <v>17.451506716751169</v>
      </c>
      <c r="GD630">
        <v>11.053336284393676</v>
      </c>
      <c r="GE630">
        <v>15.978891153133196</v>
      </c>
      <c r="GF630">
        <v>21.211954097892523</v>
      </c>
      <c r="GG630">
        <v>21.196334158793025</v>
      </c>
      <c r="GH630">
        <v>33.140204554772531</v>
      </c>
      <c r="GI630">
        <v>35.887318067270307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779.60748151706832</v>
      </c>
      <c r="AO631">
        <v>49.182003986784217</v>
      </c>
      <c r="AP631">
        <v>48.454109086564301</v>
      </c>
      <c r="AQ631">
        <v>337.43107308856639</v>
      </c>
      <c r="AR631">
        <v>47.917747794993616</v>
      </c>
      <c r="AS631">
        <v>392.16369703793487</v>
      </c>
      <c r="AT631">
        <v>24.030236013301138</v>
      </c>
      <c r="AU631">
        <v>-69.748441660909492</v>
      </c>
      <c r="AV631"/>
      <c r="AW631"/>
      <c r="FY631" s="212">
        <v>626</v>
      </c>
      <c r="FZ631">
        <v>51.614645314265758</v>
      </c>
      <c r="GA631">
        <v>97.588380665533947</v>
      </c>
      <c r="GB631">
        <v>61.665857560085975</v>
      </c>
      <c r="GC631">
        <v>22.410317047330604</v>
      </c>
      <c r="GD631">
        <v>11.617661323603055</v>
      </c>
      <c r="GE631">
        <v>11.113935957875507</v>
      </c>
      <c r="GF631">
        <v>18.210428242651769</v>
      </c>
      <c r="GG631">
        <v>16.745058725122249</v>
      </c>
      <c r="GH631">
        <v>24.077594118836036</v>
      </c>
      <c r="GI631">
        <v>36.838867145555639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813.16803208820227</v>
      </c>
      <c r="AO632">
        <v>51.28724637011014</v>
      </c>
      <c r="AP632">
        <v>85.415213364085204</v>
      </c>
      <c r="AQ632">
        <v>346.14483185360348</v>
      </c>
      <c r="AR632">
        <v>51.058016719852695</v>
      </c>
      <c r="AS632">
        <v>429.98139064885817</v>
      </c>
      <c r="AT632">
        <v>26.49442915140796</v>
      </c>
      <c r="AU632">
        <v>-45.652733506212563</v>
      </c>
      <c r="AV632"/>
      <c r="AW632"/>
      <c r="FY632" s="212">
        <v>627</v>
      </c>
      <c r="FZ632">
        <v>31.984177439716824</v>
      </c>
      <c r="GA632">
        <v>120.1334894069049</v>
      </c>
      <c r="GB632">
        <v>63.468208351238722</v>
      </c>
      <c r="GC632">
        <v>16.782441143411479</v>
      </c>
      <c r="GD632">
        <v>12.18123155049533</v>
      </c>
      <c r="GE632">
        <v>20.225403006577103</v>
      </c>
      <c r="GF632">
        <v>44.144155766099118</v>
      </c>
      <c r="GG632">
        <v>33.045129222843727</v>
      </c>
      <c r="GH632">
        <v>25.206917585268176</v>
      </c>
      <c r="GI632">
        <v>39.658967816727056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859.77534402180538</v>
      </c>
      <c r="AO633">
        <v>60.406178767323865</v>
      </c>
      <c r="AP633">
        <v>100.11167481514558</v>
      </c>
      <c r="AQ633">
        <v>437.0663422367399</v>
      </c>
      <c r="AR633">
        <v>58.614560017822299</v>
      </c>
      <c r="AS633">
        <v>454.98609611605059</v>
      </c>
      <c r="AT633">
        <v>30.016281068625123</v>
      </c>
      <c r="AU633">
        <v>-30.585082706599174</v>
      </c>
      <c r="AV633"/>
      <c r="AW633"/>
      <c r="FY633" s="212">
        <v>628</v>
      </c>
      <c r="FZ633">
        <v>49.28900886589647</v>
      </c>
      <c r="GA633">
        <v>117.79438050167472</v>
      </c>
      <c r="GB633">
        <v>63.782132973530167</v>
      </c>
      <c r="GC633">
        <v>21.075546552348424</v>
      </c>
      <c r="GD633">
        <v>12.644466207781067</v>
      </c>
      <c r="GE633">
        <v>11.011804653222676</v>
      </c>
      <c r="GF633">
        <v>30.476806675096768</v>
      </c>
      <c r="GG633">
        <v>28.524158974573528</v>
      </c>
      <c r="GH633">
        <v>17.660435744658638</v>
      </c>
      <c r="GI633">
        <v>38.856780078226826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866.48197677393421</v>
      </c>
      <c r="AO634">
        <v>57.934617285112083</v>
      </c>
      <c r="AP634">
        <v>52.546761381272489</v>
      </c>
      <c r="AQ634">
        <v>414.53054710910004</v>
      </c>
      <c r="AR634">
        <v>55.209559636877913</v>
      </c>
      <c r="AS634">
        <v>459.74388890643661</v>
      </c>
      <c r="AT634">
        <v>25.895963688249726</v>
      </c>
      <c r="AU634">
        <v>-83.848977601291509</v>
      </c>
      <c r="AV634"/>
      <c r="AW634"/>
      <c r="FY634" s="212">
        <v>629</v>
      </c>
      <c r="FZ634">
        <v>32.394605767348558</v>
      </c>
      <c r="GA634">
        <v>151.81334682811001</v>
      </c>
      <c r="GB634">
        <v>87.918485639980887</v>
      </c>
      <c r="GC634">
        <v>21.672549954522996</v>
      </c>
      <c r="GD634">
        <v>12.327933827517308</v>
      </c>
      <c r="GE634">
        <v>12.600621746755561</v>
      </c>
      <c r="GF634">
        <v>18.787494990718365</v>
      </c>
      <c r="GG634">
        <v>19.112360666291721</v>
      </c>
      <c r="GH634">
        <v>15.485262181305078</v>
      </c>
      <c r="GI634">
        <v>39.772180597196389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563.32998704262548</v>
      </c>
      <c r="AO635">
        <v>47.03937491544955</v>
      </c>
      <c r="AP635">
        <v>41.163195383885238</v>
      </c>
      <c r="AQ635">
        <v>348.40702805325907</v>
      </c>
      <c r="AR635">
        <v>48.214064969978914</v>
      </c>
      <c r="AS635">
        <v>362.35591617519412</v>
      </c>
      <c r="AT635">
        <v>25.732893249125954</v>
      </c>
      <c r="AU635">
        <v>-51.363512983895177</v>
      </c>
      <c r="AV635"/>
      <c r="AW635"/>
      <c r="FY635" s="212">
        <v>630</v>
      </c>
      <c r="FZ635">
        <v>41.406584901515835</v>
      </c>
      <c r="GA635">
        <v>101.72481539808905</v>
      </c>
      <c r="GB635">
        <v>55.570482922712564</v>
      </c>
      <c r="GC635">
        <v>15.106754696283447</v>
      </c>
      <c r="GD635">
        <v>6.9288519276920368</v>
      </c>
      <c r="GE635">
        <v>10.925840839827963</v>
      </c>
      <c r="GF635">
        <v>20.764668564801983</v>
      </c>
      <c r="GG635">
        <v>22.586179850982951</v>
      </c>
      <c r="GH635">
        <v>21.886522288113653</v>
      </c>
      <c r="GI635">
        <v>31.211854443114042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935.26257856218422</v>
      </c>
      <c r="AO636">
        <v>59.480234538818515</v>
      </c>
      <c r="AP636">
        <v>106.91813636606068</v>
      </c>
      <c r="AQ636">
        <v>407.43140095021738</v>
      </c>
      <c r="AR636">
        <v>56.515486385760646</v>
      </c>
      <c r="AS636">
        <v>486.23893872052759</v>
      </c>
      <c r="AT636">
        <v>27.397265862121589</v>
      </c>
      <c r="AU636">
        <v>-11.276325170371219</v>
      </c>
      <c r="AV636"/>
      <c r="AW636"/>
      <c r="FY636" s="212">
        <v>631</v>
      </c>
      <c r="FZ636">
        <v>57.344038215618568</v>
      </c>
      <c r="GA636">
        <v>115.98416121643656</v>
      </c>
      <c r="GB636">
        <v>62.825471425200114</v>
      </c>
      <c r="GC636">
        <v>22.832784766559268</v>
      </c>
      <c r="GD636">
        <v>13.522229428206076</v>
      </c>
      <c r="GE636">
        <v>14.96712636150891</v>
      </c>
      <c r="GF636">
        <v>26.811340493556607</v>
      </c>
      <c r="GG636">
        <v>24.175443406385625</v>
      </c>
      <c r="GH636">
        <v>18.20226428179965</v>
      </c>
      <c r="GI636">
        <v>39.69287244750204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849.69577925352019</v>
      </c>
      <c r="AO637">
        <v>51.546316544578261</v>
      </c>
      <c r="AP637">
        <v>75.392576872382051</v>
      </c>
      <c r="AQ637">
        <v>356.79846011398365</v>
      </c>
      <c r="AR637">
        <v>49.26452738490925</v>
      </c>
      <c r="AS637">
        <v>409.45829671013234</v>
      </c>
      <c r="AT637">
        <v>26.103547619025562</v>
      </c>
      <c r="AU637">
        <v>-80.393610739780627</v>
      </c>
      <c r="AV637"/>
      <c r="AW637"/>
      <c r="FY637" s="212">
        <v>632</v>
      </c>
      <c r="FZ637">
        <v>37.608186098815601</v>
      </c>
      <c r="GA637">
        <v>134.58586707480291</v>
      </c>
      <c r="GB637">
        <v>74.735738886802196</v>
      </c>
      <c r="GC637">
        <v>18.945256654794708</v>
      </c>
      <c r="GD637">
        <v>10.844249646941639</v>
      </c>
      <c r="GE637">
        <v>10.651092854854738</v>
      </c>
      <c r="GF637">
        <v>30.419092740081435</v>
      </c>
      <c r="GG637">
        <v>30.566105927397444</v>
      </c>
      <c r="GH637">
        <v>27.122058901048646</v>
      </c>
      <c r="GI637">
        <v>40.350858936944007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792.09723276297393</v>
      </c>
      <c r="AO638">
        <v>55.502751788481227</v>
      </c>
      <c r="AP638">
        <v>99.793840381530529</v>
      </c>
      <c r="AQ638">
        <v>396.65171597725987</v>
      </c>
      <c r="AR638">
        <v>54.730925623640893</v>
      </c>
      <c r="AS638">
        <v>459.18031919587179</v>
      </c>
      <c r="AT638">
        <v>27.521737864556751</v>
      </c>
      <c r="AU638">
        <v>-36.937549153494331</v>
      </c>
      <c r="AV638"/>
      <c r="AW638"/>
      <c r="FY638" s="212">
        <v>633</v>
      </c>
      <c r="FZ638">
        <v>32.213594893070777</v>
      </c>
      <c r="GA638">
        <v>102.8471659011704</v>
      </c>
      <c r="GB638">
        <v>65.139080977782385</v>
      </c>
      <c r="GC638">
        <v>17.315564410495565</v>
      </c>
      <c r="GD638">
        <v>6.310242505247043</v>
      </c>
      <c r="GE638">
        <v>8.3230012226748542</v>
      </c>
      <c r="GF638">
        <v>40.299335231038519</v>
      </c>
      <c r="GG638">
        <v>42.005453615551389</v>
      </c>
      <c r="GH638">
        <v>28.23388712836034</v>
      </c>
      <c r="GI638">
        <v>36.512513529437051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725.08773799527989</v>
      </c>
      <c r="AO639">
        <v>51.22551051302429</v>
      </c>
      <c r="AP639">
        <v>51.819862612888954</v>
      </c>
      <c r="AQ639">
        <v>381.93689350120047</v>
      </c>
      <c r="AR639">
        <v>51.044386695958551</v>
      </c>
      <c r="AS639">
        <v>418.03640272530879</v>
      </c>
      <c r="AT639">
        <v>26.107541445496818</v>
      </c>
      <c r="AU639">
        <v>-42.377634229489566</v>
      </c>
      <c r="AV639"/>
      <c r="AW639"/>
      <c r="FY639" s="212">
        <v>634</v>
      </c>
      <c r="FZ639">
        <v>30.869293510316094</v>
      </c>
      <c r="GA639">
        <v>113.75719672580749</v>
      </c>
      <c r="GB639">
        <v>62.633410576943582</v>
      </c>
      <c r="GC639">
        <v>18.502963360700889</v>
      </c>
      <c r="GD639">
        <v>11.673541960008416</v>
      </c>
      <c r="GE639">
        <v>9.7712313619033946</v>
      </c>
      <c r="GF639">
        <v>24.655169679735927</v>
      </c>
      <c r="GG639">
        <v>28.537774940470261</v>
      </c>
      <c r="GH639">
        <v>26.504267863602831</v>
      </c>
      <c r="GI639">
        <v>35.775373500028721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796.89311244106875</v>
      </c>
      <c r="AO640">
        <v>50.908500774707548</v>
      </c>
      <c r="AP640">
        <v>72.841811405332578</v>
      </c>
      <c r="AQ640">
        <v>347.44160262633505</v>
      </c>
      <c r="AR640">
        <v>51.511784008739724</v>
      </c>
      <c r="AS640">
        <v>416.49885146845725</v>
      </c>
      <c r="AT640">
        <v>27.688013505842775</v>
      </c>
      <c r="AU640">
        <v>-32.134141287125779</v>
      </c>
      <c r="AV640"/>
      <c r="AW640"/>
      <c r="FY640" s="212">
        <v>635</v>
      </c>
      <c r="FZ640">
        <v>40.272134607454248</v>
      </c>
      <c r="GA640">
        <v>101.03620255296494</v>
      </c>
      <c r="GB640">
        <v>55.403180811376252</v>
      </c>
      <c r="GC640">
        <v>16.517813258747971</v>
      </c>
      <c r="GD640">
        <v>9.5922131690661754</v>
      </c>
      <c r="GE640">
        <v>8.3951410567242153</v>
      </c>
      <c r="GF640">
        <v>17.588721478171284</v>
      </c>
      <c r="GG640">
        <v>17.568201825270179</v>
      </c>
      <c r="GH640">
        <v>25.108138614658209</v>
      </c>
      <c r="GI640">
        <v>32.578095855961976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713.5738754439036</v>
      </c>
      <c r="AO641">
        <v>50.119181693793927</v>
      </c>
      <c r="AP641">
        <v>50.473894318140687</v>
      </c>
      <c r="AQ641">
        <v>364.02721010169785</v>
      </c>
      <c r="AR641">
        <v>49.235806509497557</v>
      </c>
      <c r="AS641">
        <v>398.55649168953835</v>
      </c>
      <c r="AT641">
        <v>26.052942518150719</v>
      </c>
      <c r="AU641">
        <v>-65.880425463260593</v>
      </c>
      <c r="AV641"/>
      <c r="AW641"/>
      <c r="FY641" s="212">
        <v>636</v>
      </c>
      <c r="FZ641">
        <v>38.844264766794765</v>
      </c>
      <c r="GA641">
        <v>109.94878979012429</v>
      </c>
      <c r="GB641">
        <v>61.160024852493713</v>
      </c>
      <c r="GC641">
        <v>17.787770406883276</v>
      </c>
      <c r="GD641">
        <v>13.428124729593701</v>
      </c>
      <c r="GE641">
        <v>17.607587343616689</v>
      </c>
      <c r="GF641">
        <v>21.012019506055058</v>
      </c>
      <c r="GG641">
        <v>20.498941677411203</v>
      </c>
      <c r="GH641">
        <v>34.230504580173296</v>
      </c>
      <c r="GI641">
        <v>37.987434394293359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688.63476075918777</v>
      </c>
      <c r="AO642">
        <v>50.319996206617255</v>
      </c>
      <c r="AP642">
        <v>48.122833480665946</v>
      </c>
      <c r="AQ642">
        <v>351.88274610086052</v>
      </c>
      <c r="AR642">
        <v>50.78205742143146</v>
      </c>
      <c r="AS642">
        <v>424.98820806064396</v>
      </c>
      <c r="AT642">
        <v>27.298408233039225</v>
      </c>
      <c r="AU642">
        <v>-57.383766885904592</v>
      </c>
      <c r="AV642"/>
      <c r="AW642"/>
      <c r="FY642" s="212">
        <v>637</v>
      </c>
      <c r="FZ642">
        <v>50.512015191710063</v>
      </c>
      <c r="GA642">
        <v>110.48121030091103</v>
      </c>
      <c r="GB642">
        <v>59.652478218243957</v>
      </c>
      <c r="GC642">
        <v>14.395676231410036</v>
      </c>
      <c r="GD642">
        <v>7.5053518388528087</v>
      </c>
      <c r="GE642">
        <v>11.744166179771042</v>
      </c>
      <c r="GF642">
        <v>33.227853677130454</v>
      </c>
      <c r="GG642">
        <v>30.163380874682524</v>
      </c>
      <c r="GH642">
        <v>18.002523960159781</v>
      </c>
      <c r="GI642">
        <v>35.67832214169966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823.37189696939822</v>
      </c>
      <c r="AO643">
        <v>56.861081752869531</v>
      </c>
      <c r="AP643">
        <v>94.12714840114414</v>
      </c>
      <c r="AQ643">
        <v>406.83012128928249</v>
      </c>
      <c r="AR643">
        <v>54.515508854246313</v>
      </c>
      <c r="AS643">
        <v>450.52853438330379</v>
      </c>
      <c r="AT643">
        <v>27.610673232206533</v>
      </c>
      <c r="AU643">
        <v>-105.38888470585134</v>
      </c>
      <c r="AV643"/>
      <c r="AW643"/>
      <c r="FY643" s="212">
        <v>638</v>
      </c>
      <c r="FZ643">
        <v>51.172322606775467</v>
      </c>
      <c r="GA643">
        <v>83.433814181826222</v>
      </c>
      <c r="GB643">
        <v>46.755533289973883</v>
      </c>
      <c r="GC643">
        <v>17.521971890546595</v>
      </c>
      <c r="GD643">
        <v>13.472266887266567</v>
      </c>
      <c r="GE643">
        <v>17.298928073104509</v>
      </c>
      <c r="GF643">
        <v>26.272444718771144</v>
      </c>
      <c r="GG643">
        <v>33.813207289537573</v>
      </c>
      <c r="GH643">
        <v>26.047727038343027</v>
      </c>
      <c r="GI643">
        <v>35.986285993582513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841.59390098789481</v>
      </c>
      <c r="AO644">
        <v>54.860772679489799</v>
      </c>
      <c r="AP644">
        <v>67.175152457723598</v>
      </c>
      <c r="AQ644">
        <v>391.11552122700931</v>
      </c>
      <c r="AR644">
        <v>53.42035466863728</v>
      </c>
      <c r="AS644">
        <v>422.04088611132534</v>
      </c>
      <c r="AT644">
        <v>26.592164592983199</v>
      </c>
      <c r="AU644">
        <v>-94.727536280562035</v>
      </c>
      <c r="AV644"/>
      <c r="AW644"/>
      <c r="FY644" s="212">
        <v>639</v>
      </c>
      <c r="FZ644">
        <v>44.881823362833195</v>
      </c>
      <c r="GA644">
        <v>98.444911553646392</v>
      </c>
      <c r="GB644">
        <v>55.842593123094424</v>
      </c>
      <c r="GC644">
        <v>17.562310998267762</v>
      </c>
      <c r="GD644">
        <v>9.961301552680327</v>
      </c>
      <c r="GE644">
        <v>12.092029160554258</v>
      </c>
      <c r="GF644">
        <v>15.308038824447127</v>
      </c>
      <c r="GG644">
        <v>20.664043217300865</v>
      </c>
      <c r="GH644">
        <v>27.211091473269391</v>
      </c>
      <c r="GI644">
        <v>33.459080777388905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827.89113559019893</v>
      </c>
      <c r="AO645">
        <v>57.917603222946397</v>
      </c>
      <c r="AP645">
        <v>43.343803864291075</v>
      </c>
      <c r="AQ645">
        <v>411.88484219974686</v>
      </c>
      <c r="AR645">
        <v>54.858297083093582</v>
      </c>
      <c r="AS645">
        <v>437.93552837631364</v>
      </c>
      <c r="AT645">
        <v>26.221794879903296</v>
      </c>
      <c r="AU645">
        <v>-169.92866103699512</v>
      </c>
      <c r="AV645"/>
      <c r="AW645"/>
      <c r="FY645" s="212">
        <v>640</v>
      </c>
      <c r="FZ645">
        <v>40.961020897195894</v>
      </c>
      <c r="GA645">
        <v>113.76782434939156</v>
      </c>
      <c r="GB645">
        <v>65.462435983702889</v>
      </c>
      <c r="GC645">
        <v>19.858578677364797</v>
      </c>
      <c r="GD645">
        <v>9.8451482289643035</v>
      </c>
      <c r="GE645">
        <v>12.094749599298451</v>
      </c>
      <c r="GF645">
        <v>33.933871740316476</v>
      </c>
      <c r="GG645">
        <v>33.628833414120564</v>
      </c>
      <c r="GH645">
        <v>22.997618826379089</v>
      </c>
      <c r="GI645">
        <v>37.969655149293835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612.4690656011777</v>
      </c>
      <c r="AO646">
        <v>44.424402303152462</v>
      </c>
      <c r="AP646">
        <v>44.011712229889866</v>
      </c>
      <c r="AQ646">
        <v>328.11255583313351</v>
      </c>
      <c r="AR646">
        <v>42.81890892820573</v>
      </c>
      <c r="AS646">
        <v>365.37102040854182</v>
      </c>
      <c r="AT646">
        <v>22.256468952340395</v>
      </c>
      <c r="AU646">
        <v>-54.45564088449764</v>
      </c>
      <c r="AV646"/>
      <c r="AW646"/>
      <c r="FY646" s="212">
        <v>641</v>
      </c>
      <c r="FZ646">
        <v>48.669068139624265</v>
      </c>
      <c r="GA646">
        <v>63.826646012378561</v>
      </c>
      <c r="GB646">
        <v>42.74692239182054</v>
      </c>
      <c r="GC646">
        <v>16.671079680090781</v>
      </c>
      <c r="GD646">
        <v>8.3011195385483347</v>
      </c>
      <c r="GE646">
        <v>14.787396873066031</v>
      </c>
      <c r="GF646">
        <v>33.662051513193205</v>
      </c>
      <c r="GG646">
        <v>29.34906484659254</v>
      </c>
      <c r="GH646">
        <v>20.058362518326888</v>
      </c>
      <c r="GI646">
        <v>31.894184314482793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892.26459233985406</v>
      </c>
      <c r="AO647">
        <v>56.030488906174014</v>
      </c>
      <c r="AP647">
        <v>97.414942962881895</v>
      </c>
      <c r="AQ647">
        <v>396.35773204277342</v>
      </c>
      <c r="AR647">
        <v>54.529324028823922</v>
      </c>
      <c r="AS647">
        <v>446.18267717517665</v>
      </c>
      <c r="AT647">
        <v>28.500360101795223</v>
      </c>
      <c r="AU647">
        <v>-69.925937144684411</v>
      </c>
      <c r="AV647"/>
      <c r="AW647"/>
      <c r="FY647" s="212">
        <v>642</v>
      </c>
      <c r="FZ647">
        <v>46.174457327334103</v>
      </c>
      <c r="GA647">
        <v>65.405914143400494</v>
      </c>
      <c r="GB647">
        <v>43.573463867237642</v>
      </c>
      <c r="GC647">
        <v>18.85136077019013</v>
      </c>
      <c r="GD647">
        <v>10.388186628251674</v>
      </c>
      <c r="GE647">
        <v>11.828872525630629</v>
      </c>
      <c r="GF647">
        <v>32.935310894250414</v>
      </c>
      <c r="GG647">
        <v>36.316296780570902</v>
      </c>
      <c r="GH647">
        <v>28.602488496612917</v>
      </c>
      <c r="GI647">
        <v>34.249699685836276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799.99889851327441</v>
      </c>
      <c r="AO648">
        <v>57.266671463513987</v>
      </c>
      <c r="AP648">
        <v>90.261080000190162</v>
      </c>
      <c r="AQ648">
        <v>415.82850772248344</v>
      </c>
      <c r="AR648">
        <v>55.620405195327635</v>
      </c>
      <c r="AS648">
        <v>439.35361748489208</v>
      </c>
      <c r="AT648">
        <v>27.49489175999658</v>
      </c>
      <c r="AU648">
        <v>-130.936425412869</v>
      </c>
      <c r="AV648"/>
      <c r="AW648"/>
      <c r="FY648" s="212">
        <v>643</v>
      </c>
      <c r="FZ648">
        <v>48.438333913055523</v>
      </c>
      <c r="GA648">
        <v>107.08071030841531</v>
      </c>
      <c r="GB648">
        <v>58.995280226606013</v>
      </c>
      <c r="GC648">
        <v>21.273430820271898</v>
      </c>
      <c r="GD648">
        <v>11.927798691585329</v>
      </c>
      <c r="GE648">
        <v>10.767930632788769</v>
      </c>
      <c r="GF648">
        <v>24.561894524870858</v>
      </c>
      <c r="GG648">
        <v>33.209519469556895</v>
      </c>
      <c r="GH648">
        <v>32.705674658319424</v>
      </c>
      <c r="GI648">
        <v>38.525140527315571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785.77449797360771</v>
      </c>
      <c r="AO649">
        <v>51.965607562631796</v>
      </c>
      <c r="AP649">
        <v>91.369476018216375</v>
      </c>
      <c r="AQ649">
        <v>379.19983941482832</v>
      </c>
      <c r="AR649">
        <v>50.225716830720472</v>
      </c>
      <c r="AS649">
        <v>406.83641315545958</v>
      </c>
      <c r="AT649">
        <v>24.331979805273999</v>
      </c>
      <c r="AU649">
        <v>-21.3300296474312</v>
      </c>
      <c r="AV649"/>
      <c r="AW649"/>
      <c r="FY649" s="212">
        <v>644</v>
      </c>
      <c r="FZ649">
        <v>53.056591585012164</v>
      </c>
      <c r="GA649">
        <v>98.19983525911907</v>
      </c>
      <c r="GB649">
        <v>51.210382128778683</v>
      </c>
      <c r="GC649">
        <v>16.497493787490697</v>
      </c>
      <c r="GD649">
        <v>10.153892606898701</v>
      </c>
      <c r="GE649">
        <v>12.620389560378186</v>
      </c>
      <c r="GF649">
        <v>18.86299461016155</v>
      </c>
      <c r="GG649">
        <v>20.815927658516667</v>
      </c>
      <c r="GH649">
        <v>29.205849929792851</v>
      </c>
      <c r="GI649">
        <v>34.549673301868772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708.17870920165421</v>
      </c>
      <c r="AO650">
        <v>51.260860572295357</v>
      </c>
      <c r="AP650">
        <v>34.8455363633663</v>
      </c>
      <c r="AQ650">
        <v>362.68022347951757</v>
      </c>
      <c r="AR650">
        <v>49.409688838858919</v>
      </c>
      <c r="AS650">
        <v>402.64154089675969</v>
      </c>
      <c r="AT650">
        <v>23.897324262089601</v>
      </c>
      <c r="AU650">
        <v>-43.042693072495922</v>
      </c>
      <c r="AV650"/>
      <c r="AW650"/>
      <c r="FY650" s="212">
        <v>645</v>
      </c>
      <c r="FZ650">
        <v>40.207925512196347</v>
      </c>
      <c r="GA650">
        <v>95.902412172010429</v>
      </c>
      <c r="GB650">
        <v>55.889385200015219</v>
      </c>
      <c r="GC650">
        <v>19.186357935187797</v>
      </c>
      <c r="GD650">
        <v>11.479356113191931</v>
      </c>
      <c r="GE650">
        <v>15.165010410740187</v>
      </c>
      <c r="GF650">
        <v>31.603140122356191</v>
      </c>
      <c r="GG650">
        <v>29.928228972281463</v>
      </c>
      <c r="GH650">
        <v>37.058733242751757</v>
      </c>
      <c r="GI650">
        <v>38.184225212816344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591.96826741316386</v>
      </c>
      <c r="AO651">
        <v>44.961911625428932</v>
      </c>
      <c r="AP651">
        <v>50.358556717004355</v>
      </c>
      <c r="AQ651">
        <v>324.05984323039547</v>
      </c>
      <c r="AR651">
        <v>44.978046258917843</v>
      </c>
      <c r="AS651">
        <v>365.65451104244255</v>
      </c>
      <c r="AT651">
        <v>22.80505459378362</v>
      </c>
      <c r="AU651">
        <v>-86.729083053472067</v>
      </c>
      <c r="AV651"/>
      <c r="AW651"/>
      <c r="FY651" s="212">
        <v>646</v>
      </c>
      <c r="FZ651">
        <v>45.563847520533834</v>
      </c>
      <c r="GA651">
        <v>75.494173343874763</v>
      </c>
      <c r="GB651">
        <v>41.035334162247217</v>
      </c>
      <c r="GC651">
        <v>14.196855835061022</v>
      </c>
      <c r="GD651">
        <v>9.4719832519534233</v>
      </c>
      <c r="GE651">
        <v>12.882348745468359</v>
      </c>
      <c r="GF651">
        <v>33.717024170866694</v>
      </c>
      <c r="GG651">
        <v>39.764783189471487</v>
      </c>
      <c r="GH651">
        <v>23.742525956230001</v>
      </c>
      <c r="GI651">
        <v>32.408770879231739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780.86142002099632</v>
      </c>
      <c r="AO652">
        <v>52.664042342993604</v>
      </c>
      <c r="AP652">
        <v>81.308014135126896</v>
      </c>
      <c r="AQ652">
        <v>372.50546204743938</v>
      </c>
      <c r="AR652">
        <v>52.324345394435753</v>
      </c>
      <c r="AS652">
        <v>402.78328085606654</v>
      </c>
      <c r="AT652">
        <v>26.584357894730399</v>
      </c>
      <c r="AU652">
        <v>-95.640594562671595</v>
      </c>
      <c r="AV652"/>
      <c r="AW652"/>
      <c r="FY652" s="212">
        <v>647</v>
      </c>
      <c r="FZ652">
        <v>39.722428677334392</v>
      </c>
      <c r="GA652">
        <v>96.891298220418776</v>
      </c>
      <c r="GB652">
        <v>54.621519939034421</v>
      </c>
      <c r="GC652">
        <v>17.640405340687632</v>
      </c>
      <c r="GD652">
        <v>10.227121641547948</v>
      </c>
      <c r="GE652">
        <v>12.719838586383691</v>
      </c>
      <c r="GF652">
        <v>25.895993804662684</v>
      </c>
      <c r="GG652">
        <v>23.808845890998871</v>
      </c>
      <c r="GH652">
        <v>20.561810950149432</v>
      </c>
      <c r="GI652">
        <v>33.475535085007593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657.12674019997405</v>
      </c>
      <c r="AO653">
        <v>50.18693325177221</v>
      </c>
      <c r="AP653">
        <v>91.641002466547306</v>
      </c>
      <c r="AQ653">
        <v>371.36297861457138</v>
      </c>
      <c r="AR653">
        <v>49.233440572527527</v>
      </c>
      <c r="AS653">
        <v>387.92314914955011</v>
      </c>
      <c r="AT653">
        <v>24.971998787881073</v>
      </c>
      <c r="AU653">
        <v>-7.9471312968566821</v>
      </c>
      <c r="AV653"/>
      <c r="AW653"/>
      <c r="FY653" s="212">
        <v>648</v>
      </c>
      <c r="FZ653">
        <v>35.775792496923408</v>
      </c>
      <c r="GA653">
        <v>132.59442461222451</v>
      </c>
      <c r="GB653">
        <v>66.81208736193355</v>
      </c>
      <c r="GC653">
        <v>15.427482101364552</v>
      </c>
      <c r="GD653">
        <v>10.309766747294145</v>
      </c>
      <c r="GE653">
        <v>9.6331352644541823</v>
      </c>
      <c r="GF653">
        <v>24.94373734952093</v>
      </c>
      <c r="GG653">
        <v>23.179644807952226</v>
      </c>
      <c r="GH653">
        <v>26.254246979629841</v>
      </c>
      <c r="GI653">
        <v>36.765540098047062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710.96121854500427</v>
      </c>
      <c r="AO654">
        <v>50.546666775990261</v>
      </c>
      <c r="AP654">
        <v>65.661837192502873</v>
      </c>
      <c r="AQ654">
        <v>351.77450196972751</v>
      </c>
      <c r="AR654">
        <v>49.580076924833691</v>
      </c>
      <c r="AS654">
        <v>405.99041900418467</v>
      </c>
      <c r="AT654">
        <v>25.570329697894284</v>
      </c>
      <c r="AU654">
        <v>-20.202654062623651</v>
      </c>
      <c r="AV654"/>
      <c r="AW654"/>
      <c r="FY654" s="212">
        <v>649</v>
      </c>
      <c r="FZ654">
        <v>38.484303628362639</v>
      </c>
      <c r="GA654">
        <v>109.31600331095092</v>
      </c>
      <c r="GB654">
        <v>56.477865499481162</v>
      </c>
      <c r="GC654">
        <v>15.713268710956671</v>
      </c>
      <c r="GD654">
        <v>10.408695989275028</v>
      </c>
      <c r="GE654">
        <v>11.067565706650575</v>
      </c>
      <c r="GF654">
        <v>34.676050709317472</v>
      </c>
      <c r="GG654">
        <v>38.356815614155195</v>
      </c>
      <c r="GH654">
        <v>35.081356386619653</v>
      </c>
      <c r="GI654">
        <v>37.806418153872684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712.5362033505678</v>
      </c>
      <c r="AO655">
        <v>46.939421508062672</v>
      </c>
      <c r="AP655">
        <v>69.836032208252334</v>
      </c>
      <c r="AQ655">
        <v>335.42722404348268</v>
      </c>
      <c r="AR655">
        <v>46.200670541161735</v>
      </c>
      <c r="AS655">
        <v>361.83569916661332</v>
      </c>
      <c r="AT655">
        <v>23.309246574150052</v>
      </c>
      <c r="AU655">
        <v>-27.875646469743153</v>
      </c>
      <c r="AV655"/>
      <c r="AW655"/>
      <c r="FY655" s="212">
        <v>650</v>
      </c>
      <c r="FZ655">
        <v>45.368598460947958</v>
      </c>
      <c r="GA655">
        <v>111.90210903631336</v>
      </c>
      <c r="GB655">
        <v>65.961312892712016</v>
      </c>
      <c r="GC655">
        <v>16.104902398592884</v>
      </c>
      <c r="GD655">
        <v>8.7586325949489332</v>
      </c>
      <c r="GE655">
        <v>12.507582981064823</v>
      </c>
      <c r="GF655">
        <v>30.368957333160509</v>
      </c>
      <c r="GG655">
        <v>37.008755986874952</v>
      </c>
      <c r="GH655">
        <v>37.096160069892619</v>
      </c>
      <c r="GI655">
        <v>39.649692159864465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816.48465052086328</v>
      </c>
      <c r="AO656">
        <v>54.499196075181317</v>
      </c>
      <c r="AP656">
        <v>92.516981586331951</v>
      </c>
      <c r="AQ656">
        <v>390.51973686602787</v>
      </c>
      <c r="AR656">
        <v>52.306035863546796</v>
      </c>
      <c r="AS656">
        <v>430.3166807066583</v>
      </c>
      <c r="AT656">
        <v>26.129939668687978</v>
      </c>
      <c r="AU656">
        <v>-22.667052148957168</v>
      </c>
      <c r="AV656"/>
      <c r="AW656"/>
      <c r="FY656" s="212">
        <v>651</v>
      </c>
      <c r="FZ656">
        <v>40.109985001029337</v>
      </c>
      <c r="GA656">
        <v>101.99562538476079</v>
      </c>
      <c r="GB656">
        <v>56.9097217772864</v>
      </c>
      <c r="GC656">
        <v>20.438903113230641</v>
      </c>
      <c r="GD656">
        <v>12.884762106746621</v>
      </c>
      <c r="GE656">
        <v>15.97735492430737</v>
      </c>
      <c r="GF656">
        <v>21.235841842489002</v>
      </c>
      <c r="GG656">
        <v>21.701559009874906</v>
      </c>
      <c r="GH656">
        <v>23.857283585488837</v>
      </c>
      <c r="GI656">
        <v>35.202814465786417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754.02517762603873</v>
      </c>
      <c r="AO657">
        <v>43.806471741606508</v>
      </c>
      <c r="AP657">
        <v>80.106439286714419</v>
      </c>
      <c r="AQ657">
        <v>309.96589582812391</v>
      </c>
      <c r="AR657">
        <v>43.748035695781439</v>
      </c>
      <c r="AS657">
        <v>368.15573971807788</v>
      </c>
      <c r="AT657">
        <v>22.459428791194615</v>
      </c>
      <c r="AU657">
        <v>8.2730545452030952</v>
      </c>
      <c r="AV657"/>
      <c r="AW657"/>
      <c r="FY657" s="212">
        <v>652</v>
      </c>
      <c r="FZ657">
        <v>37.530397050930951</v>
      </c>
      <c r="GA657">
        <v>110.79966384059161</v>
      </c>
      <c r="GB657">
        <v>60.972119068678616</v>
      </c>
      <c r="GC657">
        <v>15.557044700053202</v>
      </c>
      <c r="GD657">
        <v>12.623855581120395</v>
      </c>
      <c r="GE657">
        <v>19.784165877569468</v>
      </c>
      <c r="GF657">
        <v>20.837940035140456</v>
      </c>
      <c r="GG657">
        <v>18.774728022298717</v>
      </c>
      <c r="GH657">
        <v>25.386554196066356</v>
      </c>
      <c r="GI657">
        <v>35.921633705370667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732.566569737186</v>
      </c>
      <c r="AO658">
        <v>47.143137215981596</v>
      </c>
      <c r="AP658">
        <v>88.927379773340519</v>
      </c>
      <c r="AQ658">
        <v>328.3260511193152</v>
      </c>
      <c r="AR658">
        <v>47.119441212697382</v>
      </c>
      <c r="AS658">
        <v>380.59271823144627</v>
      </c>
      <c r="AT658">
        <v>23.989875405335209</v>
      </c>
      <c r="AU658">
        <v>-8.7599205186817741</v>
      </c>
      <c r="AV658"/>
      <c r="AW658"/>
      <c r="FY658" s="212">
        <v>653</v>
      </c>
      <c r="FZ658">
        <v>40.092790053115316</v>
      </c>
      <c r="GA658">
        <v>79.853926647198975</v>
      </c>
      <c r="GB658">
        <v>46.656088869996069</v>
      </c>
      <c r="GC658">
        <v>18.049110567424865</v>
      </c>
      <c r="GD658">
        <v>15.35235745825713</v>
      </c>
      <c r="GE658">
        <v>22.00604928154404</v>
      </c>
      <c r="GF658">
        <v>20.727973587521237</v>
      </c>
      <c r="GG658">
        <v>24.020566454047206</v>
      </c>
      <c r="GH658">
        <v>34.787358790414601</v>
      </c>
      <c r="GI658">
        <v>35.687480529457638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782.5326302409527</v>
      </c>
      <c r="AO659">
        <v>54.612249544641358</v>
      </c>
      <c r="AP659">
        <v>82.700783978397055</v>
      </c>
      <c r="AQ659">
        <v>387.48571377278557</v>
      </c>
      <c r="AR659">
        <v>53.195814217219954</v>
      </c>
      <c r="AS659">
        <v>428.18140920099034</v>
      </c>
      <c r="AT659">
        <v>26.209966628280227</v>
      </c>
      <c r="AU659">
        <v>-32.308126319805844</v>
      </c>
      <c r="AV659"/>
      <c r="AW659"/>
      <c r="FY659" s="212">
        <v>654</v>
      </c>
      <c r="FZ659">
        <v>48.512432800276684</v>
      </c>
      <c r="GA659">
        <v>136.77206995119803</v>
      </c>
      <c r="GB659">
        <v>68.774252512425662</v>
      </c>
      <c r="GC659">
        <v>15.78673165454593</v>
      </c>
      <c r="GD659">
        <v>9.2179615088978384</v>
      </c>
      <c r="GE659">
        <v>10.874960053534027</v>
      </c>
      <c r="GF659">
        <v>26.30329536729111</v>
      </c>
      <c r="GG659">
        <v>27.433576747307271</v>
      </c>
      <c r="GH659">
        <v>25.712562558239526</v>
      </c>
      <c r="GI659">
        <v>38.478895022078532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696.94303231705021</v>
      </c>
      <c r="AO660">
        <v>47.474616713661057</v>
      </c>
      <c r="AP660">
        <v>61.400879860153061</v>
      </c>
      <c r="AQ660">
        <v>345.17303042801734</v>
      </c>
      <c r="AR660">
        <v>47.578763194970819</v>
      </c>
      <c r="AS660">
        <v>395.79774075856631</v>
      </c>
      <c r="AT660">
        <v>24.814454679170737</v>
      </c>
      <c r="AU660">
        <v>-62.404949084057961</v>
      </c>
      <c r="AV660"/>
      <c r="AW660"/>
      <c r="FY660" s="212">
        <v>655</v>
      </c>
      <c r="FZ660">
        <v>38.154946375839444</v>
      </c>
      <c r="GA660">
        <v>67.157576802784718</v>
      </c>
      <c r="GB660">
        <v>35.643099199587439</v>
      </c>
      <c r="GC660">
        <v>20.803557093952485</v>
      </c>
      <c r="GD660">
        <v>15.416845511811504</v>
      </c>
      <c r="GE660">
        <v>17.249064775110153</v>
      </c>
      <c r="GF660">
        <v>9.7558813083202303</v>
      </c>
      <c r="GG660">
        <v>7.7292775724686233</v>
      </c>
      <c r="GH660">
        <v>20.371825422475847</v>
      </c>
      <c r="GI660">
        <v>28.461752162089685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761.84107636607337</v>
      </c>
      <c r="AO661">
        <v>52.868866941378734</v>
      </c>
      <c r="AP661">
        <v>61.496287219123928</v>
      </c>
      <c r="AQ661">
        <v>374.6047748935477</v>
      </c>
      <c r="AR661">
        <v>52.487409423023976</v>
      </c>
      <c r="AS661">
        <v>438.00368125456401</v>
      </c>
      <c r="AT661">
        <v>26.747218022311355</v>
      </c>
      <c r="AU661">
        <v>-68.015779001441814</v>
      </c>
      <c r="AV661"/>
      <c r="AW661"/>
      <c r="FY661" s="212">
        <v>656</v>
      </c>
      <c r="FZ661">
        <v>32.668222487185147</v>
      </c>
      <c r="GA661">
        <v>125.74625555349955</v>
      </c>
      <c r="GB661">
        <v>71.753579265024015</v>
      </c>
      <c r="GC661">
        <v>16.245230417298458</v>
      </c>
      <c r="GD661">
        <v>11.601969882912449</v>
      </c>
      <c r="GE661">
        <v>13.927531552186091</v>
      </c>
      <c r="GF661">
        <v>3.0654290058385829</v>
      </c>
      <c r="GG661">
        <v>16.022843679780376</v>
      </c>
      <c r="GH661">
        <v>38.244075724194118</v>
      </c>
      <c r="GI661">
        <v>36.060683556620042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684.39218153743536</v>
      </c>
      <c r="AO662">
        <v>45.814322002507993</v>
      </c>
      <c r="AP662">
        <v>73.970396070980627</v>
      </c>
      <c r="AQ662">
        <v>328.27764705493854</v>
      </c>
      <c r="AR662">
        <v>44.590713505983871</v>
      </c>
      <c r="AS662">
        <v>351.99718185873274</v>
      </c>
      <c r="AT662">
        <v>23.048078035544368</v>
      </c>
      <c r="AU662">
        <v>-18.854803875059297</v>
      </c>
      <c r="AV662"/>
      <c r="AW662"/>
      <c r="FY662" s="212">
        <v>657</v>
      </c>
      <c r="FZ662">
        <v>39.237932967689481</v>
      </c>
      <c r="GA662">
        <v>119.78111126200763</v>
      </c>
      <c r="GB662">
        <v>65.515155311616994</v>
      </c>
      <c r="GC662">
        <v>18.283653014439501</v>
      </c>
      <c r="GD662">
        <v>9.9546785839997174</v>
      </c>
      <c r="GE662">
        <v>8.2110445675773462</v>
      </c>
      <c r="GF662">
        <v>39.300558128682667</v>
      </c>
      <c r="GG662">
        <v>37.589404658111405</v>
      </c>
      <c r="GH662">
        <v>35.859884975283933</v>
      </c>
      <c r="GI662">
        <v>40.843966556244155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708.63256341975909</v>
      </c>
      <c r="AO663">
        <v>47.413266746278211</v>
      </c>
      <c r="AP663">
        <v>54.92384737865072</v>
      </c>
      <c r="AQ663">
        <v>335.56479813622548</v>
      </c>
      <c r="AR663">
        <v>46.173830226951438</v>
      </c>
      <c r="AS663">
        <v>395.36904191479192</v>
      </c>
      <c r="AT663">
        <v>22.494630078489806</v>
      </c>
      <c r="AU663">
        <v>-49.107195199711555</v>
      </c>
      <c r="AV663"/>
      <c r="AW663"/>
      <c r="FY663" s="212">
        <v>658</v>
      </c>
      <c r="FZ663">
        <v>55.69310998898569</v>
      </c>
      <c r="GA663">
        <v>108.18654180485834</v>
      </c>
      <c r="GB663">
        <v>61.252474127704602</v>
      </c>
      <c r="GC663">
        <v>16.756288482328568</v>
      </c>
      <c r="GD663">
        <v>9.0322839741676813</v>
      </c>
      <c r="GE663">
        <v>9.8323955928121567</v>
      </c>
      <c r="GF663">
        <v>37.228259340135708</v>
      </c>
      <c r="GG663">
        <v>31.612958989232865</v>
      </c>
      <c r="GH663">
        <v>12.594866899615733</v>
      </c>
      <c r="GI663">
        <v>37.672788746520652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666.40538840011448</v>
      </c>
      <c r="AO664">
        <v>52.0094507327657</v>
      </c>
      <c r="AP664">
        <v>62.678828896084241</v>
      </c>
      <c r="AQ664">
        <v>381.69585781934438</v>
      </c>
      <c r="AR664">
        <v>50.842230670531137</v>
      </c>
      <c r="AS664">
        <v>388.94590749703502</v>
      </c>
      <c r="AT664">
        <v>24.346228555889429</v>
      </c>
      <c r="AU664">
        <v>-53.677629387617372</v>
      </c>
      <c r="AV664"/>
      <c r="AW664"/>
      <c r="FY664" s="212">
        <v>659</v>
      </c>
      <c r="FZ664">
        <v>43.61079980474323</v>
      </c>
      <c r="GA664">
        <v>100.89827931503588</v>
      </c>
      <c r="GB664">
        <v>57.619180421996639</v>
      </c>
      <c r="GC664">
        <v>24.666133739114549</v>
      </c>
      <c r="GD664">
        <v>17.355906174664284</v>
      </c>
      <c r="GE664">
        <v>20.635642657730433</v>
      </c>
      <c r="GF664">
        <v>22.473275299766968</v>
      </c>
      <c r="GG664">
        <v>20.3543373644669</v>
      </c>
      <c r="GH664">
        <v>26.400314056189966</v>
      </c>
      <c r="GI664">
        <v>39.097068180865982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703.8363457869375</v>
      </c>
      <c r="AO665">
        <v>53.357814893830813</v>
      </c>
      <c r="AP665">
        <v>75.347954117483368</v>
      </c>
      <c r="AQ665">
        <v>387.38834370964202</v>
      </c>
      <c r="AR665">
        <v>52.226714645173772</v>
      </c>
      <c r="AS665">
        <v>410.66886509621924</v>
      </c>
      <c r="AT665">
        <v>25.648385123868398</v>
      </c>
      <c r="AU665">
        <v>-45.627648573442201</v>
      </c>
      <c r="AV665"/>
      <c r="AW665"/>
      <c r="FY665" s="212">
        <v>660</v>
      </c>
      <c r="FZ665">
        <v>42.867153055754649</v>
      </c>
      <c r="GA665">
        <v>59.509347016482621</v>
      </c>
      <c r="GB665">
        <v>38.526971217358764</v>
      </c>
      <c r="GC665">
        <v>18.464079367691479</v>
      </c>
      <c r="GD665">
        <v>9.4589652917246347</v>
      </c>
      <c r="GE665">
        <v>9.501659695141635</v>
      </c>
      <c r="GF665">
        <v>36.269227413723087</v>
      </c>
      <c r="GG665">
        <v>35.806779130246845</v>
      </c>
      <c r="GH665">
        <v>30.688172075747595</v>
      </c>
      <c r="GI665">
        <v>32.896780988282103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771.64323805183335</v>
      </c>
      <c r="AO666">
        <v>55.15385404572298</v>
      </c>
      <c r="AP666">
        <v>59.5333081200124</v>
      </c>
      <c r="AQ666">
        <v>404.72670391437254</v>
      </c>
      <c r="AR666">
        <v>54.614388188887773</v>
      </c>
      <c r="AS666">
        <v>450.52295627991657</v>
      </c>
      <c r="AT666">
        <v>27.547659738352163</v>
      </c>
      <c r="AU666">
        <v>-75.390061468175304</v>
      </c>
      <c r="AV666"/>
      <c r="AW666"/>
      <c r="FY666" s="212">
        <v>661</v>
      </c>
      <c r="FZ666">
        <v>36.788963836448261</v>
      </c>
      <c r="GA666">
        <v>81.58367386972526</v>
      </c>
      <c r="GB666">
        <v>49.842194496100404</v>
      </c>
      <c r="GC666">
        <v>20.855793497551872</v>
      </c>
      <c r="GD666">
        <v>10.594878322706025</v>
      </c>
      <c r="GE666">
        <v>8.4934247612712941</v>
      </c>
      <c r="GF666">
        <v>21.653238554905961</v>
      </c>
      <c r="GG666">
        <v>23.377538278980843</v>
      </c>
      <c r="GH666">
        <v>28.66400877518333</v>
      </c>
      <c r="GI666">
        <v>32.393081749955734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767.31919205636495</v>
      </c>
      <c r="AO667">
        <v>50.192627300602624</v>
      </c>
      <c r="AP667">
        <v>42.684739700583286</v>
      </c>
      <c r="AQ667">
        <v>350.31385121100038</v>
      </c>
      <c r="AR667">
        <v>48.316846607853691</v>
      </c>
      <c r="AS667">
        <v>418.70164738480401</v>
      </c>
      <c r="AT667">
        <v>24.568538769243077</v>
      </c>
      <c r="AU667">
        <v>-43.284548661619617</v>
      </c>
      <c r="AV667"/>
      <c r="AW667"/>
      <c r="FY667" s="212">
        <v>662</v>
      </c>
      <c r="FZ667">
        <v>52.300978734933835</v>
      </c>
      <c r="GA667">
        <v>121.31899956168267</v>
      </c>
      <c r="GB667">
        <v>63.74942803772332</v>
      </c>
      <c r="GC667">
        <v>21.340237482036084</v>
      </c>
      <c r="GD667">
        <v>12.926242229689866</v>
      </c>
      <c r="GE667">
        <v>11.299952651665183</v>
      </c>
      <c r="GF667">
        <v>19.655764908209878</v>
      </c>
      <c r="GG667">
        <v>16.549626614788853</v>
      </c>
      <c r="GH667">
        <v>15.619065713973276</v>
      </c>
      <c r="GI667">
        <v>37.189684113660604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750.33483652431278</v>
      </c>
      <c r="AO668">
        <v>50.684972756987861</v>
      </c>
      <c r="AP668">
        <v>58.386588681875295</v>
      </c>
      <c r="AQ668">
        <v>358.18810207782042</v>
      </c>
      <c r="AR668">
        <v>49.597848598443996</v>
      </c>
      <c r="AS668">
        <v>380.35346950913134</v>
      </c>
      <c r="AT668">
        <v>24.710664901409384</v>
      </c>
      <c r="AU668">
        <v>-116.51973957490767</v>
      </c>
      <c r="AV668"/>
      <c r="AW668"/>
      <c r="FY668" s="212">
        <v>663</v>
      </c>
      <c r="FZ668">
        <v>40.151546311243656</v>
      </c>
      <c r="GA668">
        <v>145.72429640312316</v>
      </c>
      <c r="GB668">
        <v>84.263795434197817</v>
      </c>
      <c r="GC668">
        <v>18.826037416689342</v>
      </c>
      <c r="GD668">
        <v>13.899010014962091</v>
      </c>
      <c r="GE668">
        <v>18.023267296565979</v>
      </c>
      <c r="GF668">
        <v>15.812508258881348</v>
      </c>
      <c r="GG668">
        <v>19.9444013574896</v>
      </c>
      <c r="GH668">
        <v>26.094532417779732</v>
      </c>
      <c r="GI668">
        <v>42.054605994595676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763.21804586419842</v>
      </c>
      <c r="AO669">
        <v>49.51539825331416</v>
      </c>
      <c r="AP669">
        <v>71.289231500708041</v>
      </c>
      <c r="AQ669">
        <v>337.23370223897706</v>
      </c>
      <c r="AR669">
        <v>49.022678766958087</v>
      </c>
      <c r="AS669">
        <v>391.63487359471503</v>
      </c>
      <c r="AT669">
        <v>24.805821423737285</v>
      </c>
      <c r="AU669">
        <v>-48.560028448780344</v>
      </c>
      <c r="AV669"/>
      <c r="AW669"/>
      <c r="FY669" s="212">
        <v>664</v>
      </c>
      <c r="FZ669">
        <v>42.055060972963595</v>
      </c>
      <c r="GA669">
        <v>51.274618814096812</v>
      </c>
      <c r="GB669">
        <v>30.343810552124459</v>
      </c>
      <c r="GC669">
        <v>16.469611999557678</v>
      </c>
      <c r="GD669">
        <v>11.765896386358996</v>
      </c>
      <c r="GE669">
        <v>16.023997744309881</v>
      </c>
      <c r="GF669">
        <v>37.36480685107405</v>
      </c>
      <c r="GG669">
        <v>34.089539513535939</v>
      </c>
      <c r="GH669">
        <v>23.93672329352616</v>
      </c>
      <c r="GI669">
        <v>31.264872694114167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843.46909170287563</v>
      </c>
      <c r="AO670">
        <v>54.245163810766726</v>
      </c>
      <c r="AP670">
        <v>78.90914946736126</v>
      </c>
      <c r="AQ670">
        <v>407.86673817579458</v>
      </c>
      <c r="AR670">
        <v>52.742557951841064</v>
      </c>
      <c r="AS670">
        <v>450.06203371528738</v>
      </c>
      <c r="AT670">
        <v>27.023242932216302</v>
      </c>
      <c r="AU670">
        <v>-98.055916480185019</v>
      </c>
      <c r="AV670"/>
      <c r="AW670"/>
      <c r="FY670" s="212">
        <v>665</v>
      </c>
      <c r="FZ670">
        <v>50.15391385298755</v>
      </c>
      <c r="GA670">
        <v>119.12351577709923</v>
      </c>
      <c r="GB670">
        <v>68.275100374526531</v>
      </c>
      <c r="GC670">
        <v>21.710071543425652</v>
      </c>
      <c r="GD670">
        <v>8.5175500691031836</v>
      </c>
      <c r="GE670">
        <v>6.6797450885432346</v>
      </c>
      <c r="GF670">
        <v>15.52778440198675</v>
      </c>
      <c r="GG670">
        <v>19.844594875446369</v>
      </c>
      <c r="GH670">
        <v>15.241838698771954</v>
      </c>
      <c r="GI670">
        <v>34.641092811399929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585.18974848808841</v>
      </c>
      <c r="AO671">
        <v>40.053454174901859</v>
      </c>
      <c r="AP671">
        <v>77.388664676087302</v>
      </c>
      <c r="AQ671">
        <v>260.74382622444017</v>
      </c>
      <c r="AR671">
        <v>39.125885497987177</v>
      </c>
      <c r="AS671">
        <v>324.70068109018609</v>
      </c>
      <c r="AT671">
        <v>21.69381696070727</v>
      </c>
      <c r="AU671">
        <v>-95.308016823172224</v>
      </c>
      <c r="AV671"/>
      <c r="AW671"/>
      <c r="FY671" s="212">
        <v>666</v>
      </c>
      <c r="FZ671">
        <v>39.560365638341679</v>
      </c>
      <c r="GA671">
        <v>80.728916066547725</v>
      </c>
      <c r="GB671">
        <v>57.38856135413527</v>
      </c>
      <c r="GC671">
        <v>23.963496354234085</v>
      </c>
      <c r="GD671">
        <v>11.933903721533808</v>
      </c>
      <c r="GE671">
        <v>21.342750259063695</v>
      </c>
      <c r="GF671">
        <v>37.737523493711791</v>
      </c>
      <c r="GG671">
        <v>27.852265908839097</v>
      </c>
      <c r="GH671">
        <v>35.769500526313188</v>
      </c>
      <c r="GI671">
        <v>39.575212945178571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703.13488789507289</v>
      </c>
      <c r="AO672">
        <v>50.79812962381601</v>
      </c>
      <c r="AP672">
        <v>65.943223580199984</v>
      </c>
      <c r="AQ672">
        <v>365.33582112453888</v>
      </c>
      <c r="AR672">
        <v>49.78038502787706</v>
      </c>
      <c r="AS672">
        <v>398.8780988918636</v>
      </c>
      <c r="AT672">
        <v>23.727864721982169</v>
      </c>
      <c r="AU672">
        <v>-56.274829062428644</v>
      </c>
      <c r="AV672"/>
      <c r="AW672"/>
      <c r="FY672" s="212">
        <v>667</v>
      </c>
      <c r="FZ672">
        <v>45.493912819528752</v>
      </c>
      <c r="GA672">
        <v>87.327311569035132</v>
      </c>
      <c r="GB672">
        <v>47.67864007704388</v>
      </c>
      <c r="GC672">
        <v>16.681457015448217</v>
      </c>
      <c r="GD672">
        <v>10.065255803874638</v>
      </c>
      <c r="GE672">
        <v>11.411515980851254</v>
      </c>
      <c r="GF672">
        <v>18.938134257921099</v>
      </c>
      <c r="GG672">
        <v>21.226047953695243</v>
      </c>
      <c r="GH672">
        <v>33.455414945700717</v>
      </c>
      <c r="GI672">
        <v>33.241248525917008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732.55397533981386</v>
      </c>
      <c r="AO673">
        <v>56.733268423934213</v>
      </c>
      <c r="AP673">
        <v>111.04675852579649</v>
      </c>
      <c r="AQ673">
        <v>414.57739002565273</v>
      </c>
      <c r="AR673">
        <v>56.285012965942492</v>
      </c>
      <c r="AS673">
        <v>457.70980815558676</v>
      </c>
      <c r="AT673">
        <v>27.662972803535542</v>
      </c>
      <c r="AU673">
        <v>0.34521299685055595</v>
      </c>
      <c r="AV673"/>
      <c r="AW673"/>
      <c r="FY673" s="212">
        <v>668</v>
      </c>
      <c r="FZ673">
        <v>31.868558988789655</v>
      </c>
      <c r="GA673">
        <v>121.5007197151932</v>
      </c>
      <c r="GB673">
        <v>76.157063389483667</v>
      </c>
      <c r="GC673">
        <v>26.332555485694353</v>
      </c>
      <c r="GD673">
        <v>14.269220426186726</v>
      </c>
      <c r="GE673">
        <v>12.720656566902042</v>
      </c>
      <c r="GF673">
        <v>24.542940153719858</v>
      </c>
      <c r="GG673">
        <v>24.953944114152179</v>
      </c>
      <c r="GH673">
        <v>27.226956623091176</v>
      </c>
      <c r="GI673">
        <v>40.67019601947748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691.97771519429716</v>
      </c>
      <c r="AO674">
        <v>52.314558141261749</v>
      </c>
      <c r="AP674">
        <v>40.921336322060448</v>
      </c>
      <c r="AQ674">
        <v>379.86196794636203</v>
      </c>
      <c r="AR674">
        <v>52.141880167407692</v>
      </c>
      <c r="AS674">
        <v>415.50300727882154</v>
      </c>
      <c r="AT674">
        <v>25.108403336653776</v>
      </c>
      <c r="AU674">
        <v>-27.182196594413291</v>
      </c>
      <c r="AV674"/>
      <c r="AW674"/>
      <c r="FY674" s="212">
        <v>669</v>
      </c>
      <c r="FZ674">
        <v>42.678229246144404</v>
      </c>
      <c r="GA674">
        <v>113.12849799688222</v>
      </c>
      <c r="GB674">
        <v>63.67753364484139</v>
      </c>
      <c r="GC674">
        <v>16.662623529471464</v>
      </c>
      <c r="GD674">
        <v>9.7382825639960746</v>
      </c>
      <c r="GE674">
        <v>12.720804545715835</v>
      </c>
      <c r="GF674">
        <v>24.596952796426425</v>
      </c>
      <c r="GG674">
        <v>23.713106099888886</v>
      </c>
      <c r="GH674">
        <v>24.781635779293136</v>
      </c>
      <c r="GI674">
        <v>36.321459576180231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868.69643833360863</v>
      </c>
      <c r="AO675">
        <v>55.297189055138404</v>
      </c>
      <c r="AP675">
        <v>67.521487314185734</v>
      </c>
      <c r="AQ675">
        <v>373.1109370145748</v>
      </c>
      <c r="AR675">
        <v>53.637832823396209</v>
      </c>
      <c r="AS675">
        <v>466.5471503662576</v>
      </c>
      <c r="AT675">
        <v>27.771561230008544</v>
      </c>
      <c r="AU675">
        <v>-51.956188289706965</v>
      </c>
      <c r="AV675"/>
      <c r="AW675"/>
      <c r="FY675" s="212">
        <v>670</v>
      </c>
      <c r="FZ675">
        <v>33.400988912976032</v>
      </c>
      <c r="GA675">
        <v>97.30755727940516</v>
      </c>
      <c r="GB675">
        <v>54.155902470512167</v>
      </c>
      <c r="GC675">
        <v>13.567636386977419</v>
      </c>
      <c r="GD675">
        <v>7.9281160519568452</v>
      </c>
      <c r="GE675">
        <v>11.267704341783142</v>
      </c>
      <c r="GF675">
        <v>20.050832158715288</v>
      </c>
      <c r="GG675">
        <v>22.447137097428502</v>
      </c>
      <c r="GH675">
        <v>25.975986440063004</v>
      </c>
      <c r="GI675">
        <v>30.846997805060674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637.05957986549663</v>
      </c>
      <c r="AO676">
        <v>44.9027592847916</v>
      </c>
      <c r="AP676">
        <v>86.724775301982675</v>
      </c>
      <c r="AQ676">
        <v>313.9891352521534</v>
      </c>
      <c r="AR676">
        <v>45.25938073033312</v>
      </c>
      <c r="AS676">
        <v>345.37165905085425</v>
      </c>
      <c r="AT676">
        <v>24.272777343377868</v>
      </c>
      <c r="AU676">
        <v>17.856509554513387</v>
      </c>
      <c r="AV676"/>
      <c r="AW676"/>
      <c r="FY676" s="212">
        <v>671</v>
      </c>
      <c r="FZ676">
        <v>53.605772529975397</v>
      </c>
      <c r="GA676">
        <v>88.319461398200289</v>
      </c>
      <c r="GB676">
        <v>55.732298545663681</v>
      </c>
      <c r="GC676">
        <v>22.194050826441391</v>
      </c>
      <c r="GD676">
        <v>10.745588323926041</v>
      </c>
      <c r="GE676">
        <v>13.106669557886292</v>
      </c>
      <c r="GF676">
        <v>33.721019602520741</v>
      </c>
      <c r="GG676">
        <v>29.9538801604475</v>
      </c>
      <c r="GH676">
        <v>15.152409311048586</v>
      </c>
      <c r="GI676">
        <v>36.533565054033069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680.27742663661763</v>
      </c>
      <c r="AO677">
        <v>44.91590044567446</v>
      </c>
      <c r="AP677">
        <v>59.87477244570141</v>
      </c>
      <c r="AQ677">
        <v>314.24679614282894</v>
      </c>
      <c r="AR677">
        <v>44.391135028217583</v>
      </c>
      <c r="AS677">
        <v>387.4290792151088</v>
      </c>
      <c r="AT677">
        <v>23.48239792323038</v>
      </c>
      <c r="AU677">
        <v>-54.371264789939175</v>
      </c>
      <c r="AV677"/>
      <c r="AW677"/>
      <c r="FY677" s="212">
        <v>672</v>
      </c>
      <c r="FZ677">
        <v>47.217461474421476</v>
      </c>
      <c r="GA677">
        <v>82.502558738699392</v>
      </c>
      <c r="GB677">
        <v>51.619491165253798</v>
      </c>
      <c r="GC677">
        <v>21.898990165579761</v>
      </c>
      <c r="GD677">
        <v>11.765077010103346</v>
      </c>
      <c r="GE677">
        <v>13.19876749536569</v>
      </c>
      <c r="GF677">
        <v>13.504238375588852</v>
      </c>
      <c r="GG677">
        <v>13.53687503680098</v>
      </c>
      <c r="GH677">
        <v>26.071288607320867</v>
      </c>
      <c r="GI677">
        <v>33.32853760001769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764.66841654314828</v>
      </c>
      <c r="AO678">
        <v>52.29163732394818</v>
      </c>
      <c r="AP678">
        <v>63.676441182642399</v>
      </c>
      <c r="AQ678">
        <v>371.94998004836361</v>
      </c>
      <c r="AR678">
        <v>51.225852753777104</v>
      </c>
      <c r="AS678">
        <v>414.12551086392551</v>
      </c>
      <c r="AT678">
        <v>25.613163183849377</v>
      </c>
      <c r="AU678">
        <v>-80.029308936910454</v>
      </c>
      <c r="AV678"/>
      <c r="AW678"/>
      <c r="FY678" s="212">
        <v>673</v>
      </c>
      <c r="FZ678">
        <v>38.478158588613418</v>
      </c>
      <c r="GA678">
        <v>81.101885131176871</v>
      </c>
      <c r="GB678">
        <v>58.814292825826371</v>
      </c>
      <c r="GC678">
        <v>23.042366787982598</v>
      </c>
      <c r="GD678">
        <v>10.942716767358666</v>
      </c>
      <c r="GE678">
        <v>12.121723792348313</v>
      </c>
      <c r="GF678">
        <v>23.453931207605713</v>
      </c>
      <c r="GG678">
        <v>25.082725543953622</v>
      </c>
      <c r="GH678">
        <v>31.48630582152192</v>
      </c>
      <c r="GI678">
        <v>36.00174103826253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877.1344673132262</v>
      </c>
      <c r="AO679">
        <v>59.604352278777561</v>
      </c>
      <c r="AP679">
        <v>53.856518577891457</v>
      </c>
      <c r="AQ679">
        <v>424.79400090552838</v>
      </c>
      <c r="AR679">
        <v>58.04864937671848</v>
      </c>
      <c r="AS679">
        <v>476.77805316099199</v>
      </c>
      <c r="AT679">
        <v>28.144040362846606</v>
      </c>
      <c r="AU679">
        <v>-102.67911489399981</v>
      </c>
      <c r="AV679"/>
      <c r="AW679"/>
      <c r="FY679" s="212">
        <v>674</v>
      </c>
      <c r="FZ679">
        <v>45.042120031965588</v>
      </c>
      <c r="GA679">
        <v>122.29552338557747</v>
      </c>
      <c r="GB679">
        <v>59.319787953723427</v>
      </c>
      <c r="GC679">
        <v>13.479747530528799</v>
      </c>
      <c r="GD679">
        <v>13.351160070298258</v>
      </c>
      <c r="GE679">
        <v>16.845251722868269</v>
      </c>
      <c r="GF679">
        <v>29.451251163180078</v>
      </c>
      <c r="GG679">
        <v>28.714613182073506</v>
      </c>
      <c r="GH679">
        <v>21.16691201352851</v>
      </c>
      <c r="GI679">
        <v>37.936693392066509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647.63936637452457</v>
      </c>
      <c r="AO680">
        <v>43.291573990168843</v>
      </c>
      <c r="AP680">
        <v>118.92948689142008</v>
      </c>
      <c r="AQ680">
        <v>294.58893882166171</v>
      </c>
      <c r="AR680">
        <v>43.013193648270807</v>
      </c>
      <c r="AS680">
        <v>332.48469488069571</v>
      </c>
      <c r="AT680">
        <v>24.045017622707917</v>
      </c>
      <c r="AU680">
        <v>-186.97191017738697</v>
      </c>
      <c r="AV680"/>
      <c r="AW680"/>
      <c r="FY680" s="212">
        <v>675</v>
      </c>
      <c r="FZ680">
        <v>44.581249743799525</v>
      </c>
      <c r="GA680">
        <v>118.82457524231631</v>
      </c>
      <c r="GB680">
        <v>69.994527546438007</v>
      </c>
      <c r="GC680">
        <v>17.279091718105281</v>
      </c>
      <c r="GD680">
        <v>10.497532052901972</v>
      </c>
      <c r="GE680">
        <v>12.61008402280309</v>
      </c>
      <c r="GF680">
        <v>3.1566415368622773</v>
      </c>
      <c r="GG680">
        <v>17.613209330926512</v>
      </c>
      <c r="GH680">
        <v>30.489076983511264</v>
      </c>
      <c r="GI680">
        <v>35.448762856322048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689.17642776862124</v>
      </c>
      <c r="AO681">
        <v>49.719592883748035</v>
      </c>
      <c r="AP681">
        <v>35.32487854409041</v>
      </c>
      <c r="AQ681">
        <v>359.71520749329045</v>
      </c>
      <c r="AR681">
        <v>47.715611102959997</v>
      </c>
      <c r="AS681">
        <v>379.31000431551058</v>
      </c>
      <c r="AT681">
        <v>24.995049155949648</v>
      </c>
      <c r="AU681">
        <v>-82.498884795880002</v>
      </c>
      <c r="AV681"/>
      <c r="AW681"/>
      <c r="FY681" s="212">
        <v>676</v>
      </c>
      <c r="FZ681">
        <v>32.225750165889593</v>
      </c>
      <c r="GA681">
        <v>110.79579162479214</v>
      </c>
      <c r="GB681">
        <v>62.259168944486085</v>
      </c>
      <c r="GC681">
        <v>17.711987145684645</v>
      </c>
      <c r="GD681">
        <v>13.660271752302336</v>
      </c>
      <c r="GE681">
        <v>21.324539598832828</v>
      </c>
      <c r="GF681">
        <v>11.643863254181792</v>
      </c>
      <c r="GG681">
        <v>10.071832667132123</v>
      </c>
      <c r="GH681">
        <v>25.318962478204952</v>
      </c>
      <c r="GI681">
        <v>34.353726920892257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880.72670078817953</v>
      </c>
      <c r="AO682">
        <v>55.015832253115512</v>
      </c>
      <c r="AP682">
        <v>88.872095659605691</v>
      </c>
      <c r="AQ682">
        <v>375.85249626789897</v>
      </c>
      <c r="AR682">
        <v>54.413449863885148</v>
      </c>
      <c r="AS682">
        <v>461.33195302765012</v>
      </c>
      <c r="AT682">
        <v>28.147538466921105</v>
      </c>
      <c r="AU682">
        <v>-17.658599925951449</v>
      </c>
      <c r="AV682"/>
      <c r="AW682"/>
      <c r="FY682" s="212">
        <v>677</v>
      </c>
      <c r="FZ682">
        <v>48.469216676432801</v>
      </c>
      <c r="GA682">
        <v>141.07905647643099</v>
      </c>
      <c r="GB682">
        <v>72.065711424844679</v>
      </c>
      <c r="GC682">
        <v>22.068561926235681</v>
      </c>
      <c r="GD682">
        <v>13.357028074042324</v>
      </c>
      <c r="GE682">
        <v>10.875785048731117</v>
      </c>
      <c r="GF682">
        <v>23.489709180672715</v>
      </c>
      <c r="GG682">
        <v>22.815254617813519</v>
      </c>
      <c r="GH682">
        <v>23.759628314694957</v>
      </c>
      <c r="GI682">
        <v>40.978948047863241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615.71473425150873</v>
      </c>
      <c r="AO683">
        <v>45.408457156361898</v>
      </c>
      <c r="AP683">
        <v>67.48838631234814</v>
      </c>
      <c r="AQ683">
        <v>325.51893894901593</v>
      </c>
      <c r="AR683">
        <v>45.806120247489226</v>
      </c>
      <c r="AS683">
        <v>384.66445168454374</v>
      </c>
      <c r="AT683">
        <v>23.540629332763995</v>
      </c>
      <c r="AU683">
        <v>-21.948903736242542</v>
      </c>
      <c r="AV683"/>
      <c r="AW683"/>
      <c r="FY683" s="212">
        <v>678</v>
      </c>
      <c r="FZ683">
        <v>46.880797777999469</v>
      </c>
      <c r="GA683">
        <v>61.135289335754997</v>
      </c>
      <c r="GB683">
        <v>42.729548344840055</v>
      </c>
      <c r="GC683">
        <v>20.006104534703098</v>
      </c>
      <c r="GD683">
        <v>11.03471932061503</v>
      </c>
      <c r="GE683">
        <v>14.611563784227286</v>
      </c>
      <c r="GF683">
        <v>10.620561527007801</v>
      </c>
      <c r="GG683">
        <v>16.971228679758255</v>
      </c>
      <c r="GH683">
        <v>34.579462081640635</v>
      </c>
      <c r="GI683">
        <v>31.305241894155824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940.00977565220887</v>
      </c>
      <c r="AO684">
        <v>58.02760756519465</v>
      </c>
      <c r="AP684">
        <v>69.634214871829414</v>
      </c>
      <c r="AQ684">
        <v>400.24281148269034</v>
      </c>
      <c r="AR684">
        <v>55.838263242836277</v>
      </c>
      <c r="AS684">
        <v>475.92439406316862</v>
      </c>
      <c r="AT684">
        <v>27.359695939838023</v>
      </c>
      <c r="AU684">
        <v>-79.02037682896318</v>
      </c>
      <c r="AV684"/>
      <c r="AW684"/>
      <c r="FY684" s="212">
        <v>679</v>
      </c>
      <c r="FZ684">
        <v>50.353247260193612</v>
      </c>
      <c r="GA684">
        <v>129.94999797455102</v>
      </c>
      <c r="GB684">
        <v>60.553561556853651</v>
      </c>
      <c r="GC684">
        <v>16.879557561139436</v>
      </c>
      <c r="GD684">
        <v>14.568092967960888</v>
      </c>
      <c r="GE684">
        <v>17.346907130851285</v>
      </c>
      <c r="GF684">
        <v>27.028001445987613</v>
      </c>
      <c r="GG684">
        <v>23.822520630250146</v>
      </c>
      <c r="GH684">
        <v>14.253380764493695</v>
      </c>
      <c r="GI684">
        <v>38.058933596349007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650.22158790610592</v>
      </c>
      <c r="AO685">
        <v>50.92624913287959</v>
      </c>
      <c r="AP685">
        <v>68.323005649433156</v>
      </c>
      <c r="AQ685">
        <v>368.01912577884008</v>
      </c>
      <c r="AR685">
        <v>50.172406015154777</v>
      </c>
      <c r="AS685">
        <v>383.98863457978354</v>
      </c>
      <c r="AT685">
        <v>25.395231143737675</v>
      </c>
      <c r="AU685">
        <v>-64.647609910678767</v>
      </c>
      <c r="AV685"/>
      <c r="AW685"/>
      <c r="FY685" s="212">
        <v>680</v>
      </c>
      <c r="FZ685">
        <v>56.277235636464908</v>
      </c>
      <c r="GA685">
        <v>132.98642580625469</v>
      </c>
      <c r="GB685">
        <v>65.58296144349552</v>
      </c>
      <c r="GC685">
        <v>16.394627127635236</v>
      </c>
      <c r="GD685">
        <v>8.7968132639433492</v>
      </c>
      <c r="GE685">
        <v>6.3345884923289288</v>
      </c>
      <c r="GF685">
        <v>15.306706967158524</v>
      </c>
      <c r="GG685">
        <v>19.728680136884645</v>
      </c>
      <c r="GH685">
        <v>25.416087478640954</v>
      </c>
      <c r="GI685">
        <v>36.730804008611443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574.28972254042765</v>
      </c>
      <c r="AO686">
        <v>43.591747136594549</v>
      </c>
      <c r="AP686">
        <v>43.802028685755893</v>
      </c>
      <c r="AQ686">
        <v>316.94885894487822</v>
      </c>
      <c r="AR686">
        <v>42.571904554133489</v>
      </c>
      <c r="AS686">
        <v>335.44239957745526</v>
      </c>
      <c r="AT686">
        <v>21.126329126732365</v>
      </c>
      <c r="AU686">
        <v>-69.098815235223142</v>
      </c>
      <c r="AV686"/>
      <c r="AW686"/>
      <c r="FY686" s="212">
        <v>681</v>
      </c>
      <c r="FZ686">
        <v>37.137280198552197</v>
      </c>
      <c r="GA686">
        <v>77.132182419414193</v>
      </c>
      <c r="GB686">
        <v>46.559281400192155</v>
      </c>
      <c r="GC686">
        <v>18.932354735839002</v>
      </c>
      <c r="GD686">
        <v>12.738874471252933</v>
      </c>
      <c r="GE686">
        <v>15.650970302744225</v>
      </c>
      <c r="GF686">
        <v>29.342751387760682</v>
      </c>
      <c r="GG686">
        <v>29.128943850682784</v>
      </c>
      <c r="GH686">
        <v>26.492375359024816</v>
      </c>
      <c r="GI686">
        <v>34.09566833639466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762.88617004621392</v>
      </c>
      <c r="AO687">
        <v>51.226186855739513</v>
      </c>
      <c r="AP687">
        <v>50.62718731769273</v>
      </c>
      <c r="AQ687">
        <v>359.06471531014301</v>
      </c>
      <c r="AR687">
        <v>50.131137698863611</v>
      </c>
      <c r="AS687">
        <v>427.49184777763844</v>
      </c>
      <c r="AT687">
        <v>27.036988067970793</v>
      </c>
      <c r="AU687">
        <v>-56.15559134930453</v>
      </c>
      <c r="AV687"/>
      <c r="AW687"/>
      <c r="FY687" s="212">
        <v>682</v>
      </c>
      <c r="FZ687">
        <v>39.277351597824264</v>
      </c>
      <c r="GA687">
        <v>144.67740917986339</v>
      </c>
      <c r="GB687">
        <v>82.42351665216033</v>
      </c>
      <c r="GC687">
        <v>16.802218848083179</v>
      </c>
      <c r="GD687">
        <v>10.170799243497207</v>
      </c>
      <c r="GE687">
        <v>14.967530562421617</v>
      </c>
      <c r="GF687">
        <v>29.404131349690225</v>
      </c>
      <c r="GG687">
        <v>26.022066883616453</v>
      </c>
      <c r="GH687">
        <v>17.791511810945408</v>
      </c>
      <c r="GI687">
        <v>40.443747540760135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631.94781509797167</v>
      </c>
      <c r="AO688">
        <v>45.995413367292883</v>
      </c>
      <c r="AP688">
        <v>41.555142327093321</v>
      </c>
      <c r="AQ688">
        <v>314.64328566915185</v>
      </c>
      <c r="AR688">
        <v>46.024036096418193</v>
      </c>
      <c r="AS688">
        <v>346.8386849956936</v>
      </c>
      <c r="AT688">
        <v>23.922535641647329</v>
      </c>
      <c r="AU688">
        <v>-45.426038165145954</v>
      </c>
      <c r="AV688"/>
      <c r="AW688"/>
      <c r="FY688" s="212">
        <v>683</v>
      </c>
      <c r="FZ688">
        <v>42.774451223878273</v>
      </c>
      <c r="GA688">
        <v>71.489910301136348</v>
      </c>
      <c r="GB688">
        <v>34.913662215979514</v>
      </c>
      <c r="GC688">
        <v>12.93090075070389</v>
      </c>
      <c r="GD688">
        <v>12.686075551356897</v>
      </c>
      <c r="GE688">
        <v>15.945838364037714</v>
      </c>
      <c r="GF688">
        <v>31.31772393270866</v>
      </c>
      <c r="GG688">
        <v>25.300419654634801</v>
      </c>
      <c r="GH688">
        <v>12.873547965340807</v>
      </c>
      <c r="GI688">
        <v>30.20637401489542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669.72324149136284</v>
      </c>
      <c r="AO689">
        <v>49.880996568538308</v>
      </c>
      <c r="AP689">
        <v>41.717655755258797</v>
      </c>
      <c r="AQ689">
        <v>340.52584750465002</v>
      </c>
      <c r="AR689">
        <v>49.6829501826833</v>
      </c>
      <c r="AS689">
        <v>410.90054954970236</v>
      </c>
      <c r="AT689">
        <v>25.085488568428762</v>
      </c>
      <c r="AU689">
        <v>-39.20173190139441</v>
      </c>
      <c r="AV689"/>
      <c r="AW689"/>
      <c r="FY689" s="212">
        <v>684</v>
      </c>
      <c r="FZ689">
        <v>40.022341860132997</v>
      </c>
      <c r="GA689">
        <v>81.851902285765163</v>
      </c>
      <c r="GB689">
        <v>48.05267054496764</v>
      </c>
      <c r="GC689">
        <v>16.842464625101023</v>
      </c>
      <c r="GD689">
        <v>11.445276304868266</v>
      </c>
      <c r="GE689">
        <v>15.219991100968331</v>
      </c>
      <c r="GF689">
        <v>24.992434619936247</v>
      </c>
      <c r="GG689">
        <v>24.450993161920845</v>
      </c>
      <c r="GH689">
        <v>20.191282668649428</v>
      </c>
      <c r="GI689">
        <v>32.222753694165583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807.5942715996996</v>
      </c>
      <c r="AO690">
        <v>53.482279014812171</v>
      </c>
      <c r="AP690">
        <v>75.767301207964238</v>
      </c>
      <c r="AQ690">
        <v>387.6030604458104</v>
      </c>
      <c r="AR690">
        <v>52.296573955407673</v>
      </c>
      <c r="AS690">
        <v>410.21745931380832</v>
      </c>
      <c r="AT690">
        <v>25.416077028003212</v>
      </c>
      <c r="AU690">
        <v>-45.289800327200183</v>
      </c>
      <c r="AV690"/>
      <c r="AW690"/>
      <c r="FY690" s="212">
        <v>685</v>
      </c>
      <c r="FZ690">
        <v>31.725694529875923</v>
      </c>
      <c r="GA690">
        <v>102.73532615806548</v>
      </c>
      <c r="GB690">
        <v>70.010280693772728</v>
      </c>
      <c r="GC690">
        <v>22.712281776727526</v>
      </c>
      <c r="GD690">
        <v>10.618059101746921</v>
      </c>
      <c r="GE690">
        <v>11.034296437840089</v>
      </c>
      <c r="GF690">
        <v>21.304031541122932</v>
      </c>
      <c r="GG690">
        <v>28.58323351167828</v>
      </c>
      <c r="GH690">
        <v>36.0440877617471</v>
      </c>
      <c r="GI690">
        <v>37.785342716911011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724.49840678595103</v>
      </c>
      <c r="AO691">
        <v>49.736683693058978</v>
      </c>
      <c r="AP691">
        <v>37.436677136032571</v>
      </c>
      <c r="AQ691">
        <v>360.49475103398629</v>
      </c>
      <c r="AR691">
        <v>48.722236054088761</v>
      </c>
      <c r="AS691">
        <v>388.51509834229472</v>
      </c>
      <c r="AT691">
        <v>24.683101942166275</v>
      </c>
      <c r="AU691">
        <v>-96.31995542572119</v>
      </c>
      <c r="AV691"/>
      <c r="AW691"/>
      <c r="FY691" s="212">
        <v>686</v>
      </c>
      <c r="FZ691">
        <v>52.407921352356297</v>
      </c>
      <c r="GA691">
        <v>129.36570655963101</v>
      </c>
      <c r="GB691">
        <v>68.753492974565518</v>
      </c>
      <c r="GC691">
        <v>23.861449608393237</v>
      </c>
      <c r="GD691">
        <v>14.140695760773191</v>
      </c>
      <c r="GE691">
        <v>19.1248368631143</v>
      </c>
      <c r="GF691">
        <v>26.236805066627653</v>
      </c>
      <c r="GG691">
        <v>20.860862145840482</v>
      </c>
      <c r="GH691">
        <v>25.782887340728994</v>
      </c>
      <c r="GI691">
        <v>41.950963474059755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728.18695332636503</v>
      </c>
      <c r="AO692">
        <v>48.99592191587638</v>
      </c>
      <c r="AP692">
        <v>49.333448040539594</v>
      </c>
      <c r="AQ692">
        <v>339.36589455239874</v>
      </c>
      <c r="AR692">
        <v>47.341469648709591</v>
      </c>
      <c r="AS692">
        <v>380.63936597081084</v>
      </c>
      <c r="AT692">
        <v>23.589284274041585</v>
      </c>
      <c r="AU692">
        <v>-72.036684858890766</v>
      </c>
      <c r="AV692"/>
      <c r="AW692"/>
      <c r="FY692" s="212">
        <v>687</v>
      </c>
      <c r="FZ692">
        <v>44.165536715616078</v>
      </c>
      <c r="GA692">
        <v>66.040791837109865</v>
      </c>
      <c r="GB692">
        <v>45.484208620793247</v>
      </c>
      <c r="GC692">
        <v>23.381661562389944</v>
      </c>
      <c r="GD692">
        <v>11.289366336128957</v>
      </c>
      <c r="GE692">
        <v>12.662525674915136</v>
      </c>
      <c r="GF692">
        <v>30.221929406666263</v>
      </c>
      <c r="GG692">
        <v>24.712749848743716</v>
      </c>
      <c r="GH692">
        <v>28.263912533093407</v>
      </c>
      <c r="GI692">
        <v>34.348643324137377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794.88554219621233</v>
      </c>
      <c r="AO693">
        <v>58.233099810299699</v>
      </c>
      <c r="AP693">
        <v>63.203508114650553</v>
      </c>
      <c r="AQ693">
        <v>418.95889978776211</v>
      </c>
      <c r="AR693">
        <v>56.497082428135826</v>
      </c>
      <c r="AS693">
        <v>424.76546595623182</v>
      </c>
      <c r="AT693">
        <v>28.570581663048657</v>
      </c>
      <c r="AU693">
        <v>-82.634065631057155</v>
      </c>
      <c r="AV693"/>
      <c r="AW693"/>
      <c r="FY693" s="212">
        <v>688</v>
      </c>
      <c r="FZ693">
        <v>43.520088096328756</v>
      </c>
      <c r="GA693">
        <v>118.21024925271904</v>
      </c>
      <c r="GB693">
        <v>70.84104135438497</v>
      </c>
      <c r="GC693">
        <v>21.26440463234556</v>
      </c>
      <c r="GD693">
        <v>13.665609195987884</v>
      </c>
      <c r="GE693">
        <v>18.886552337521078</v>
      </c>
      <c r="GF693">
        <v>21.583675718669479</v>
      </c>
      <c r="GG693">
        <v>20.973728067383902</v>
      </c>
      <c r="GH693">
        <v>20.38493667810538</v>
      </c>
      <c r="GI693">
        <v>39.095366290948547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632.95144000887581</v>
      </c>
      <c r="AO694">
        <v>42.373658676018124</v>
      </c>
      <c r="AP694">
        <v>65.4848260387636</v>
      </c>
      <c r="AQ694">
        <v>289.87451728070243</v>
      </c>
      <c r="AR694">
        <v>43.033875729779993</v>
      </c>
      <c r="AS694">
        <v>350.611746661918</v>
      </c>
      <c r="AT694">
        <v>23.88514409733288</v>
      </c>
      <c r="AU694">
        <v>-36.940990137021217</v>
      </c>
      <c r="AV694"/>
      <c r="AW694"/>
      <c r="FY694" s="212">
        <v>689</v>
      </c>
      <c r="FZ694">
        <v>31.514547584304971</v>
      </c>
      <c r="GA694">
        <v>108.46070453035337</v>
      </c>
      <c r="GB694">
        <v>64.70607142565143</v>
      </c>
      <c r="GC694">
        <v>18.051446051138903</v>
      </c>
      <c r="GD694">
        <v>11.702032801430216</v>
      </c>
      <c r="GE694">
        <v>15.192608335557699</v>
      </c>
      <c r="GF694">
        <v>10.622691573870185</v>
      </c>
      <c r="GG694">
        <v>8.9603629433582679</v>
      </c>
      <c r="GH694">
        <v>20.890939183620649</v>
      </c>
      <c r="GI694">
        <v>32.827013287433161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841.93455435385056</v>
      </c>
      <c r="AO695">
        <v>54.333903935258135</v>
      </c>
      <c r="AP695">
        <v>59.608851334514895</v>
      </c>
      <c r="AQ695">
        <v>392.8142008886303</v>
      </c>
      <c r="AR695">
        <v>52.157641116830092</v>
      </c>
      <c r="AS695">
        <v>445.99857449304199</v>
      </c>
      <c r="AT695">
        <v>26.650042763666889</v>
      </c>
      <c r="AU695">
        <v>-111.09109272517395</v>
      </c>
      <c r="AV695"/>
      <c r="AW695"/>
      <c r="FY695" s="212">
        <v>690</v>
      </c>
      <c r="FZ695">
        <v>52.68463445145025</v>
      </c>
      <c r="GA695">
        <v>80.370101003371275</v>
      </c>
      <c r="GB695">
        <v>49.457656586676393</v>
      </c>
      <c r="GC695">
        <v>24.961729993097755</v>
      </c>
      <c r="GD695">
        <v>17.423069776272015</v>
      </c>
      <c r="GE695">
        <v>20.241378464127671</v>
      </c>
      <c r="GF695">
        <v>35.311227837025626</v>
      </c>
      <c r="GG695">
        <v>36.97351359471984</v>
      </c>
      <c r="GH695">
        <v>23.446633406105533</v>
      </c>
      <c r="GI695">
        <v>40.333406537851793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579.17942500110303</v>
      </c>
      <c r="AO696">
        <v>51.27057432154983</v>
      </c>
      <c r="AP696">
        <v>49.433123882120491</v>
      </c>
      <c r="AQ696">
        <v>383.5549303614182</v>
      </c>
      <c r="AR696">
        <v>50.882944328157862</v>
      </c>
      <c r="AS696">
        <v>395.39039263613643</v>
      </c>
      <c r="AT696">
        <v>25.359511637149009</v>
      </c>
      <c r="AU696">
        <v>-83.418469938090936</v>
      </c>
      <c r="AV696"/>
      <c r="AW696"/>
      <c r="FY696" s="212">
        <v>691</v>
      </c>
      <c r="FZ696">
        <v>42.547106075346761</v>
      </c>
      <c r="GA696">
        <v>91.340614024270351</v>
      </c>
      <c r="GB696">
        <v>52.50310742742078</v>
      </c>
      <c r="GC696">
        <v>16.850536509343705</v>
      </c>
      <c r="GD696">
        <v>9.462647844226078</v>
      </c>
      <c r="GE696">
        <v>16.309217379767798</v>
      </c>
      <c r="GF696">
        <v>31.266183224976615</v>
      </c>
      <c r="GG696">
        <v>19.980839487678196</v>
      </c>
      <c r="GH696">
        <v>20.288772109728999</v>
      </c>
      <c r="GI696">
        <v>33.744414644371147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666.24997774994756</v>
      </c>
      <c r="AO697">
        <v>47.902382574933362</v>
      </c>
      <c r="AP697">
        <v>58.610123586427733</v>
      </c>
      <c r="AQ697">
        <v>327.21068246185763</v>
      </c>
      <c r="AR697">
        <v>47.004548711456835</v>
      </c>
      <c r="AS697">
        <v>379.71140051220573</v>
      </c>
      <c r="AT697">
        <v>24.118576344271769</v>
      </c>
      <c r="AU697">
        <v>-34.839398060929682</v>
      </c>
      <c r="AV697"/>
      <c r="AW697"/>
      <c r="FY697" s="212">
        <v>692</v>
      </c>
      <c r="FZ697">
        <v>40.3963341112891</v>
      </c>
      <c r="GA697">
        <v>82.535862469393663</v>
      </c>
      <c r="GB697">
        <v>51.886032198938906</v>
      </c>
      <c r="GC697">
        <v>20.70547934508766</v>
      </c>
      <c r="GD697">
        <v>13.223204596445402</v>
      </c>
      <c r="GE697">
        <v>14.083227223257236</v>
      </c>
      <c r="GF697">
        <v>12.408897007939737</v>
      </c>
      <c r="GG697">
        <v>8.8727352137839741</v>
      </c>
      <c r="GH697">
        <v>14.166865099191567</v>
      </c>
      <c r="GI697">
        <v>31.061281715906553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802.46297875346966</v>
      </c>
      <c r="AO698">
        <v>57.782791818815802</v>
      </c>
      <c r="AP698">
        <v>88.494537120730669</v>
      </c>
      <c r="AQ698">
        <v>421.98028366886211</v>
      </c>
      <c r="AR698">
        <v>55.758620123371202</v>
      </c>
      <c r="AS698">
        <v>422.84828380427524</v>
      </c>
      <c r="AT698">
        <v>26.287127608393707</v>
      </c>
      <c r="AU698">
        <v>-99.065804346465342</v>
      </c>
      <c r="AV698"/>
      <c r="AW698"/>
      <c r="FY698" s="212">
        <v>693</v>
      </c>
      <c r="FZ698">
        <v>42.475693281821933</v>
      </c>
      <c r="GA698">
        <v>115.55437219864423</v>
      </c>
      <c r="GB698">
        <v>67.751620678177787</v>
      </c>
      <c r="GC698">
        <v>18.455955287503112</v>
      </c>
      <c r="GD698">
        <v>10.096601143445742</v>
      </c>
      <c r="GE698">
        <v>12.301246970200442</v>
      </c>
      <c r="GF698">
        <v>13.642412268819154</v>
      </c>
      <c r="GG698">
        <v>12.998752788494137</v>
      </c>
      <c r="GH698">
        <v>16.906278326343092</v>
      </c>
      <c r="GI698">
        <v>34.170379190694824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662.73783393753024</v>
      </c>
      <c r="AO699">
        <v>41.906713534954392</v>
      </c>
      <c r="AP699">
        <v>79.530477344766439</v>
      </c>
      <c r="AQ699">
        <v>290.43890397467231</v>
      </c>
      <c r="AR699">
        <v>41.680904282670312</v>
      </c>
      <c r="AS699">
        <v>334.23257217832355</v>
      </c>
      <c r="AT699">
        <v>20.843313711277606</v>
      </c>
      <c r="AU699">
        <v>-2.315459101303702</v>
      </c>
      <c r="AV699"/>
      <c r="AW699"/>
      <c r="FY699" s="212">
        <v>694</v>
      </c>
      <c r="FZ699">
        <v>48.826745831128775</v>
      </c>
      <c r="GA699">
        <v>73.92671089594991</v>
      </c>
      <c r="GB699">
        <v>42.906815206647615</v>
      </c>
      <c r="GC699">
        <v>18.60208515294163</v>
      </c>
      <c r="GD699">
        <v>10.130474427797557</v>
      </c>
      <c r="GE699">
        <v>13.57311721577703</v>
      </c>
      <c r="GF699">
        <v>46.370312898090745</v>
      </c>
      <c r="GG699">
        <v>43.339009902159667</v>
      </c>
      <c r="GH699">
        <v>22.920284986215414</v>
      </c>
      <c r="GI699">
        <v>35.979900831873266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711.04484275462505</v>
      </c>
      <c r="AO700">
        <v>45.145076511598702</v>
      </c>
      <c r="AP700">
        <v>62.39101092647946</v>
      </c>
      <c r="AQ700">
        <v>315.29211086647553</v>
      </c>
      <c r="AR700">
        <v>44.213195182831321</v>
      </c>
      <c r="AS700">
        <v>380.53336588673386</v>
      </c>
      <c r="AT700">
        <v>23.140855736295677</v>
      </c>
      <c r="AU700">
        <v>-56.767859652400318</v>
      </c>
      <c r="AV700"/>
      <c r="AW700"/>
      <c r="FY700" s="212">
        <v>695</v>
      </c>
      <c r="FZ700">
        <v>51.037191482749982</v>
      </c>
      <c r="GA700">
        <v>137.01218570870421</v>
      </c>
      <c r="GB700">
        <v>74.850577444274634</v>
      </c>
      <c r="GC700">
        <v>22.146478849205383</v>
      </c>
      <c r="GD700">
        <v>12.791287710098809</v>
      </c>
      <c r="GE700">
        <v>15.579795646408966</v>
      </c>
      <c r="GF700">
        <v>15.425402825532746</v>
      </c>
      <c r="GG700">
        <v>16.957285389997551</v>
      </c>
      <c r="GH700">
        <v>31.615950690633845</v>
      </c>
      <c r="GI700">
        <v>41.412189111740929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830.8082617500711</v>
      </c>
      <c r="AO701">
        <v>53.090206316994497</v>
      </c>
      <c r="AP701">
        <v>74.901043374102187</v>
      </c>
      <c r="AQ701">
        <v>372.55263422948804</v>
      </c>
      <c r="AR701">
        <v>51.87135005606482</v>
      </c>
      <c r="AS701">
        <v>438.92984992169886</v>
      </c>
      <c r="AT701">
        <v>25.744869474926173</v>
      </c>
      <c r="AU701">
        <v>-69.460331793063517</v>
      </c>
      <c r="AV701"/>
      <c r="AW701"/>
      <c r="FY701" s="212">
        <v>696</v>
      </c>
      <c r="FZ701">
        <v>34.51107190267372</v>
      </c>
      <c r="GA701">
        <v>73.138948157150523</v>
      </c>
      <c r="GB701">
        <v>46.760543536036167</v>
      </c>
      <c r="GC701">
        <v>19.922129026191318</v>
      </c>
      <c r="GD701">
        <v>9.4736094676810794</v>
      </c>
      <c r="GE701">
        <v>9.9681528653211604</v>
      </c>
      <c r="GF701">
        <v>34.847521516640739</v>
      </c>
      <c r="GG701">
        <v>37.631882667656868</v>
      </c>
      <c r="GH701">
        <v>26.873148421678795</v>
      </c>
      <c r="GI701">
        <v>32.896404127860997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932.68526384208667</v>
      </c>
      <c r="AO702">
        <v>59.718409436181695</v>
      </c>
      <c r="AP702">
        <v>59.584479094288199</v>
      </c>
      <c r="AQ702">
        <v>422.48562114609047</v>
      </c>
      <c r="AR702">
        <v>57.647972229709339</v>
      </c>
      <c r="AS702">
        <v>512.02969751028411</v>
      </c>
      <c r="AT702">
        <v>29.157516125299864</v>
      </c>
      <c r="AU702">
        <v>-63.452791210680246</v>
      </c>
      <c r="AV702"/>
      <c r="AW702"/>
      <c r="FY702" s="212">
        <v>697</v>
      </c>
      <c r="FZ702">
        <v>47.863152018859317</v>
      </c>
      <c r="GA702">
        <v>62.033165314952505</v>
      </c>
      <c r="GB702">
        <v>47.923031533631651</v>
      </c>
      <c r="GC702">
        <v>25.837289154663232</v>
      </c>
      <c r="GD702">
        <v>10.983198301783377</v>
      </c>
      <c r="GE702">
        <v>6.955943052500845</v>
      </c>
      <c r="GF702">
        <v>31.837849821875793</v>
      </c>
      <c r="GG702">
        <v>32.182337171840814</v>
      </c>
      <c r="GH702">
        <v>36.453898013374747</v>
      </c>
      <c r="GI702">
        <v>36.938628679958533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705.40798123184163</v>
      </c>
      <c r="AO703">
        <v>47.020385624273253</v>
      </c>
      <c r="AP703">
        <v>72.857645322448178</v>
      </c>
      <c r="AQ703">
        <v>320.57132585959397</v>
      </c>
      <c r="AR703">
        <v>47.117463200521499</v>
      </c>
      <c r="AS703">
        <v>385.51689159363173</v>
      </c>
      <c r="AT703">
        <v>25.056081024494926</v>
      </c>
      <c r="AU703">
        <v>-6.4217656244031787</v>
      </c>
      <c r="AV703"/>
      <c r="AW703"/>
      <c r="FY703" s="212">
        <v>698</v>
      </c>
      <c r="FZ703">
        <v>44.724400239860522</v>
      </c>
      <c r="GA703">
        <v>79.141526087688192</v>
      </c>
      <c r="GB703">
        <v>44.322887976293444</v>
      </c>
      <c r="GC703">
        <v>14.142925140132219</v>
      </c>
      <c r="GD703">
        <v>9.4551165343630732</v>
      </c>
      <c r="GE703">
        <v>14.904565056079013</v>
      </c>
      <c r="GF703">
        <v>19.97930667922471</v>
      </c>
      <c r="GG703">
        <v>27.604919602569794</v>
      </c>
      <c r="GH703">
        <v>34.234918898852179</v>
      </c>
      <c r="GI703">
        <v>32.082776596542459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848.2937996047724</v>
      </c>
      <c r="AO704">
        <v>55.586339060591342</v>
      </c>
      <c r="AP704">
        <v>62.324282876104931</v>
      </c>
      <c r="AQ704">
        <v>388.42565162439462</v>
      </c>
      <c r="AR704">
        <v>53.749272753694378</v>
      </c>
      <c r="AS704">
        <v>452.98930855268344</v>
      </c>
      <c r="AT704">
        <v>27.297324248122479</v>
      </c>
      <c r="AU704">
        <v>-69.134335944053632</v>
      </c>
      <c r="AV704"/>
      <c r="AW704"/>
      <c r="FY704" s="212">
        <v>699</v>
      </c>
      <c r="FZ704">
        <v>47.831649300199686</v>
      </c>
      <c r="GA704">
        <v>123.92824010031521</v>
      </c>
      <c r="GB704">
        <v>62.003626841162898</v>
      </c>
      <c r="GC704">
        <v>16.775558521903505</v>
      </c>
      <c r="GD704">
        <v>14.732797012076892</v>
      </c>
      <c r="GE704">
        <v>21.388882165149528</v>
      </c>
      <c r="GF704">
        <v>32.625616310395877</v>
      </c>
      <c r="GG704">
        <v>25.401731039925021</v>
      </c>
      <c r="GH704">
        <v>22.73076256237464</v>
      </c>
      <c r="GI704">
        <v>40.579936278780899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686.15045871069606</v>
      </c>
      <c r="AO705">
        <v>46.352045746376753</v>
      </c>
      <c r="AP705">
        <v>45.680940440840715</v>
      </c>
      <c r="AQ705">
        <v>322.92841771671891</v>
      </c>
      <c r="AR705">
        <v>45.289859557231637</v>
      </c>
      <c r="AS705">
        <v>347.56430285362006</v>
      </c>
      <c r="AT705">
        <v>21.667750350571794</v>
      </c>
      <c r="AU705">
        <v>-93.124714275363345</v>
      </c>
      <c r="AV705"/>
      <c r="AW705"/>
      <c r="FY705" s="212">
        <v>700</v>
      </c>
      <c r="FZ705">
        <v>35.450715988502445</v>
      </c>
      <c r="GA705">
        <v>98.932450152548</v>
      </c>
      <c r="GB705">
        <v>59.165790049200339</v>
      </c>
      <c r="GC705">
        <v>16.54168310649014</v>
      </c>
      <c r="GD705">
        <v>11.010654528290894</v>
      </c>
      <c r="GE705">
        <v>16.241627411878394</v>
      </c>
      <c r="GF705">
        <v>32.257395227404871</v>
      </c>
      <c r="GG705">
        <v>28.664513325735655</v>
      </c>
      <c r="GH705">
        <v>17.397540097250658</v>
      </c>
      <c r="GI705">
        <v>34.980877749006716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943.23210186943288</v>
      </c>
      <c r="AO706">
        <v>57.025298974286194</v>
      </c>
      <c r="AP706">
        <v>79.259105479287129</v>
      </c>
      <c r="AQ706">
        <v>381.20335165069815</v>
      </c>
      <c r="AR706">
        <v>55.446101732242781</v>
      </c>
      <c r="AS706">
        <v>470.31869769025195</v>
      </c>
      <c r="AT706">
        <v>28.282139614291378</v>
      </c>
      <c r="AU706">
        <v>-40.98244320641485</v>
      </c>
      <c r="AV706"/>
      <c r="AW706"/>
      <c r="FY706" s="212">
        <v>701</v>
      </c>
      <c r="FZ706">
        <v>51.335768410204977</v>
      </c>
      <c r="GA706">
        <v>86.525419046964828</v>
      </c>
      <c r="GB706">
        <v>47.910742864273679</v>
      </c>
      <c r="GC706">
        <v>18.072501561202472</v>
      </c>
      <c r="GD706">
        <v>10.996369207392659</v>
      </c>
      <c r="GE706">
        <v>12.550484062640226</v>
      </c>
      <c r="GF706">
        <v>22.538354894493615</v>
      </c>
      <c r="GG706">
        <v>22.740043738955791</v>
      </c>
      <c r="GH706">
        <v>17.577200111135859</v>
      </c>
      <c r="GI706">
        <v>32.704629811875733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730.35915715292163</v>
      </c>
      <c r="AO707">
        <v>46.808177669985454</v>
      </c>
      <c r="AP707">
        <v>75.210038222721494</v>
      </c>
      <c r="AQ707">
        <v>334.29343872713048</v>
      </c>
      <c r="AR707">
        <v>46.301965820726195</v>
      </c>
      <c r="AS707">
        <v>372.36471397885646</v>
      </c>
      <c r="AT707">
        <v>24.153892072727619</v>
      </c>
      <c r="AU707">
        <v>-41.103518092753895</v>
      </c>
      <c r="AV707"/>
      <c r="AW707"/>
      <c r="FY707" s="212">
        <v>702</v>
      </c>
      <c r="FZ707">
        <v>38.033152630754898</v>
      </c>
      <c r="GA707">
        <v>73.535694208898363</v>
      </c>
      <c r="GB707">
        <v>46.371835280473157</v>
      </c>
      <c r="GC707">
        <v>17.840907271733229</v>
      </c>
      <c r="GD707">
        <v>13.475014132812552</v>
      </c>
      <c r="GE707">
        <v>23.636890036699786</v>
      </c>
      <c r="GF707">
        <v>31.476473416691821</v>
      </c>
      <c r="GG707">
        <v>27.702432165851807</v>
      </c>
      <c r="GH707">
        <v>22.964893334282248</v>
      </c>
      <c r="GI707">
        <v>34.437255414825977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670.98785430990188</v>
      </c>
      <c r="AO708">
        <v>43.094442716169638</v>
      </c>
      <c r="AP708">
        <v>43.688217820491388</v>
      </c>
      <c r="AQ708">
        <v>289.33991898123384</v>
      </c>
      <c r="AR708">
        <v>42.765130955430614</v>
      </c>
      <c r="AS708">
        <v>355.76895370171354</v>
      </c>
      <c r="AT708">
        <v>22.243812978321611</v>
      </c>
      <c r="AU708">
        <v>-59.562569150812379</v>
      </c>
      <c r="AV708"/>
      <c r="AW708"/>
      <c r="FY708" s="212">
        <v>703</v>
      </c>
      <c r="FZ708">
        <v>55.10350043624701</v>
      </c>
      <c r="GA708">
        <v>93.856092973823138</v>
      </c>
      <c r="GB708">
        <v>54.228447619233442</v>
      </c>
      <c r="GC708">
        <v>20.841666528796861</v>
      </c>
      <c r="GD708">
        <v>13.527852620496667</v>
      </c>
      <c r="GE708">
        <v>16.748212366863445</v>
      </c>
      <c r="GF708">
        <v>28.114160974101175</v>
      </c>
      <c r="GG708">
        <v>25.973735448259674</v>
      </c>
      <c r="GH708">
        <v>28.840989582262601</v>
      </c>
      <c r="GI708">
        <v>39.088732843387305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649.75019800148141</v>
      </c>
      <c r="AO709">
        <v>48.160714267884615</v>
      </c>
      <c r="AP709">
        <v>28.695722019302487</v>
      </c>
      <c r="AQ709">
        <v>344.35331213414446</v>
      </c>
      <c r="AR709">
        <v>47.064016425541936</v>
      </c>
      <c r="AS709">
        <v>375.38808273901901</v>
      </c>
      <c r="AT709">
        <v>23.317927623796091</v>
      </c>
      <c r="AU709">
        <v>-82.418028269368733</v>
      </c>
      <c r="AV709"/>
      <c r="AW709"/>
      <c r="FY709" s="212">
        <v>704</v>
      </c>
      <c r="FZ709">
        <v>51.381014473522512</v>
      </c>
      <c r="GA709">
        <v>139.38124874026951</v>
      </c>
      <c r="GB709">
        <v>74.577363802871659</v>
      </c>
      <c r="GC709">
        <v>23.467829022157208</v>
      </c>
      <c r="GD709">
        <v>14.196148861852507</v>
      </c>
      <c r="GE709">
        <v>12.81015044357102</v>
      </c>
      <c r="GF709">
        <v>20.706467311232256</v>
      </c>
      <c r="GG709">
        <v>15.875157160189733</v>
      </c>
      <c r="GH709">
        <v>10.729001872482721</v>
      </c>
      <c r="GI709">
        <v>39.843760213742172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787.14946292170498</v>
      </c>
      <c r="AO710">
        <v>50.677782234961441</v>
      </c>
      <c r="AP710">
        <v>121.27773773276301</v>
      </c>
      <c r="AQ710">
        <v>356.57545734858161</v>
      </c>
      <c r="AR710">
        <v>49.572689817780059</v>
      </c>
      <c r="AS710">
        <v>415.29744116170741</v>
      </c>
      <c r="AT710">
        <v>25.144295336312748</v>
      </c>
      <c r="AU710">
        <v>-5.3876072611258223</v>
      </c>
      <c r="AV710"/>
      <c r="AW710"/>
      <c r="FY710" s="212">
        <v>705</v>
      </c>
      <c r="FZ710">
        <v>39.171815815771872</v>
      </c>
      <c r="GA710">
        <v>79.914556739926397</v>
      </c>
      <c r="GB710">
        <v>56.567142757720283</v>
      </c>
      <c r="GC710">
        <v>22.519585364312377</v>
      </c>
      <c r="GD710">
        <v>10.107967590348599</v>
      </c>
      <c r="GE710">
        <v>11.567464412563918</v>
      </c>
      <c r="GF710">
        <v>18.349791704016713</v>
      </c>
      <c r="GG710">
        <v>17.67188971226118</v>
      </c>
      <c r="GH710">
        <v>20.749734939388691</v>
      </c>
      <c r="GI710">
        <v>32.399492431190744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821.58908771228323</v>
      </c>
      <c r="AO711">
        <v>58.235399927395449</v>
      </c>
      <c r="AP711">
        <v>41.603178161790851</v>
      </c>
      <c r="AQ711">
        <v>418.828344859347</v>
      </c>
      <c r="AR711">
        <v>56.961502941164184</v>
      </c>
      <c r="AS711">
        <v>465.88495931489405</v>
      </c>
      <c r="AT711">
        <v>28.921138854795995</v>
      </c>
      <c r="AU711">
        <v>-76.845129240484766</v>
      </c>
      <c r="AV711"/>
      <c r="AW711"/>
      <c r="FY711" s="212">
        <v>706</v>
      </c>
      <c r="FZ711">
        <v>36.31296501495067</v>
      </c>
      <c r="GA711">
        <v>126.80265742771714</v>
      </c>
      <c r="GB711">
        <v>65.216048519737683</v>
      </c>
      <c r="GC711">
        <v>15.699743487704458</v>
      </c>
      <c r="GD711">
        <v>12.755133858919486</v>
      </c>
      <c r="GE711">
        <v>15.801027841236316</v>
      </c>
      <c r="GF711">
        <v>39.769673650982831</v>
      </c>
      <c r="GG711">
        <v>40.008763729570809</v>
      </c>
      <c r="GH711">
        <v>41.347098042222342</v>
      </c>
      <c r="GI711">
        <v>42.915934502282049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660.21382371649599</v>
      </c>
      <c r="AO712">
        <v>46.898497582218496</v>
      </c>
      <c r="AP712">
        <v>72.813086216616867</v>
      </c>
      <c r="AQ712">
        <v>326.02341168889143</v>
      </c>
      <c r="AR712">
        <v>45.258316950224213</v>
      </c>
      <c r="AS712">
        <v>363.38684112348147</v>
      </c>
      <c r="AT712">
        <v>23.310505934623237</v>
      </c>
      <c r="AU712">
        <v>-25.353113853666535</v>
      </c>
      <c r="AV712"/>
      <c r="AW712"/>
      <c r="FY712" s="212">
        <v>707</v>
      </c>
      <c r="FZ712">
        <v>70.866099199504006</v>
      </c>
      <c r="GA712">
        <v>121.08340744698323</v>
      </c>
      <c r="GB712">
        <v>60.109930864188343</v>
      </c>
      <c r="GC712">
        <v>15.754100975226971</v>
      </c>
      <c r="GD712">
        <v>8.0974573761459983</v>
      </c>
      <c r="GE712">
        <v>7.5736527895161156</v>
      </c>
      <c r="GF712">
        <v>41.795437451305787</v>
      </c>
      <c r="GG712">
        <v>39.258847599325748</v>
      </c>
      <c r="GH712">
        <v>22.158068157885396</v>
      </c>
      <c r="GI712">
        <v>41.362698492687223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689.32011548972719</v>
      </c>
      <c r="AO713">
        <v>49.568274696383291</v>
      </c>
      <c r="AP713">
        <v>82.45610121047207</v>
      </c>
      <c r="AQ713">
        <v>339.00849306344077</v>
      </c>
      <c r="AR713">
        <v>50.730825605925766</v>
      </c>
      <c r="AS713">
        <v>429.9223272512902</v>
      </c>
      <c r="AT713">
        <v>27.495459875522148</v>
      </c>
      <c r="AU713">
        <v>13.236368795699846</v>
      </c>
      <c r="AV713"/>
      <c r="AW713"/>
      <c r="FY713" s="212">
        <v>708</v>
      </c>
      <c r="FZ713">
        <v>40.126244809517317</v>
      </c>
      <c r="GA713">
        <v>104.28509945937216</v>
      </c>
      <c r="GB713">
        <v>67.240905790565023</v>
      </c>
      <c r="GC713">
        <v>25.850302956797719</v>
      </c>
      <c r="GD713">
        <v>12.926983066141549</v>
      </c>
      <c r="GE713">
        <v>13.86129220898062</v>
      </c>
      <c r="GF713">
        <v>26.247044998732207</v>
      </c>
      <c r="GG713">
        <v>24.236061861852662</v>
      </c>
      <c r="GH713">
        <v>26.27738852862295</v>
      </c>
      <c r="GI713">
        <v>39.138860276180637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624.27334555567018</v>
      </c>
      <c r="AO714">
        <v>44.306416889787009</v>
      </c>
      <c r="AP714">
        <v>38.198058047912248</v>
      </c>
      <c r="AQ714">
        <v>320.59334281160557</v>
      </c>
      <c r="AR714">
        <v>43.979447225235425</v>
      </c>
      <c r="AS714">
        <v>355.75922407965038</v>
      </c>
      <c r="AT714">
        <v>23.419976485781969</v>
      </c>
      <c r="AU714">
        <v>-82.458282843715324</v>
      </c>
      <c r="AV714"/>
      <c r="AW714"/>
      <c r="FY714" s="212">
        <v>709</v>
      </c>
      <c r="FZ714">
        <v>43.702730632897136</v>
      </c>
      <c r="GA714">
        <v>83.274183608846485</v>
      </c>
      <c r="GB714">
        <v>49.420456899400037</v>
      </c>
      <c r="GC714">
        <v>13.940670168084315</v>
      </c>
      <c r="GD714">
        <v>7.3421742165822961</v>
      </c>
      <c r="GE714">
        <v>16.339141420207088</v>
      </c>
      <c r="GF714">
        <v>29.381100120656235</v>
      </c>
      <c r="GG714">
        <v>25.906141649652866</v>
      </c>
      <c r="GH714">
        <v>29.433391902859984</v>
      </c>
      <c r="GI714">
        <v>32.962464587069512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873.45855416067639</v>
      </c>
      <c r="AO715">
        <v>57.075239772276085</v>
      </c>
      <c r="AP715">
        <v>112.73793830768088</v>
      </c>
      <c r="AQ715">
        <v>407.9988001322842</v>
      </c>
      <c r="AR715">
        <v>55.792306673147237</v>
      </c>
      <c r="AS715">
        <v>443.74983706406221</v>
      </c>
      <c r="AT715">
        <v>27.781241083563742</v>
      </c>
      <c r="AU715">
        <v>-5.9675635965777047</v>
      </c>
      <c r="AV715"/>
      <c r="AW715"/>
      <c r="FY715" s="212">
        <v>710</v>
      </c>
      <c r="FZ715">
        <v>41.286037746780423</v>
      </c>
      <c r="GA715">
        <v>108.22534123001304</v>
      </c>
      <c r="GB715">
        <v>68.261785897836191</v>
      </c>
      <c r="GC715">
        <v>19.707838322329192</v>
      </c>
      <c r="GD715">
        <v>8.6339191402780155</v>
      </c>
      <c r="GE715">
        <v>12.768776429092933</v>
      </c>
      <c r="GF715">
        <v>24.072955528970414</v>
      </c>
      <c r="GG715">
        <v>22.531637068731939</v>
      </c>
      <c r="GH715">
        <v>18.591497349174631</v>
      </c>
      <c r="GI715">
        <v>35.448641944763118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785.22866688968622</v>
      </c>
      <c r="AO716">
        <v>49.721797762953159</v>
      </c>
      <c r="AP716">
        <v>52.770816849036841</v>
      </c>
      <c r="AQ716">
        <v>350.64324763630816</v>
      </c>
      <c r="AR716">
        <v>48.124546979771523</v>
      </c>
      <c r="AS716">
        <v>390.87792133335182</v>
      </c>
      <c r="AT716">
        <v>23.35439264245278</v>
      </c>
      <c r="AU716">
        <v>-52.540562846862109</v>
      </c>
      <c r="AV716"/>
      <c r="AW716"/>
      <c r="FY716" s="212">
        <v>711</v>
      </c>
      <c r="FZ716">
        <v>42.276512574265048</v>
      </c>
      <c r="GA716">
        <v>96.609491690489662</v>
      </c>
      <c r="GB716">
        <v>65.395249871576766</v>
      </c>
      <c r="GC716">
        <v>23.043321818537837</v>
      </c>
      <c r="GD716">
        <v>8.8548723428746303</v>
      </c>
      <c r="GE716">
        <v>10.847932098187897</v>
      </c>
      <c r="GF716">
        <v>34.906824344508216</v>
      </c>
      <c r="GG716">
        <v>34.2484188631108</v>
      </c>
      <c r="GH716">
        <v>27.864738699455799</v>
      </c>
      <c r="GI716">
        <v>38.525588600041281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685.89691257345146</v>
      </c>
      <c r="AO717">
        <v>45.555771544238681</v>
      </c>
      <c r="AP717">
        <v>77.639301794987404</v>
      </c>
      <c r="AQ717">
        <v>322.95151370913993</v>
      </c>
      <c r="AR717">
        <v>44.894573625873015</v>
      </c>
      <c r="AS717">
        <v>366.45605757955474</v>
      </c>
      <c r="AT717">
        <v>24.053456431784998</v>
      </c>
      <c r="AU717">
        <v>-18.970011385567012</v>
      </c>
      <c r="AV717"/>
      <c r="AW717"/>
      <c r="FY717" s="212">
        <v>712</v>
      </c>
      <c r="FZ717">
        <v>54.802170823873112</v>
      </c>
      <c r="GA717">
        <v>149.31940015779747</v>
      </c>
      <c r="GB717">
        <v>74.202463474701261</v>
      </c>
      <c r="GC717">
        <v>18.840562283933298</v>
      </c>
      <c r="GD717">
        <v>13.455074334441338</v>
      </c>
      <c r="GE717">
        <v>18.298602159567718</v>
      </c>
      <c r="GF717">
        <v>23.495599799616954</v>
      </c>
      <c r="GG717">
        <v>20.90300798573351</v>
      </c>
      <c r="GH717">
        <v>20.338612077673162</v>
      </c>
      <c r="GI717">
        <v>41.835735340571802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738.24380523435627</v>
      </c>
      <c r="AO718">
        <v>48.895704585512192</v>
      </c>
      <c r="AP718">
        <v>95.633647015088968</v>
      </c>
      <c r="AQ718">
        <v>329.47454789302384</v>
      </c>
      <c r="AR718">
        <v>47.461692897468652</v>
      </c>
      <c r="AS718">
        <v>375.44478416891593</v>
      </c>
      <c r="AT718">
        <v>24.48246981031906</v>
      </c>
      <c r="AU718">
        <v>-18.963746819569067</v>
      </c>
      <c r="AV718"/>
      <c r="AW718"/>
      <c r="FY718" s="212">
        <v>713</v>
      </c>
      <c r="FZ718">
        <v>40.793085770023211</v>
      </c>
      <c r="GA718">
        <v>63.883536296688838</v>
      </c>
      <c r="GB718">
        <v>37.670117841846647</v>
      </c>
      <c r="GC718">
        <v>17.970925904459751</v>
      </c>
      <c r="GD718">
        <v>14.138660653182841</v>
      </c>
      <c r="GE718">
        <v>17.78907334559004</v>
      </c>
      <c r="GF718">
        <v>41.462763973528261</v>
      </c>
      <c r="GG718">
        <v>41.607013610674478</v>
      </c>
      <c r="GH718">
        <v>24.105075139202334</v>
      </c>
      <c r="GI718">
        <v>35.010795062081208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803.80692082484143</v>
      </c>
      <c r="AO719">
        <v>53.411912460982549</v>
      </c>
      <c r="AP719">
        <v>61.213841515718443</v>
      </c>
      <c r="AQ719">
        <v>376.3233913934713</v>
      </c>
      <c r="AR719">
        <v>53.553697364729217</v>
      </c>
      <c r="AS719">
        <v>438.87232743025692</v>
      </c>
      <c r="AT719">
        <v>28.902325130409555</v>
      </c>
      <c r="AU719">
        <v>-46.130033651761522</v>
      </c>
      <c r="AV719"/>
      <c r="AW719"/>
      <c r="FY719" s="212">
        <v>714</v>
      </c>
      <c r="FZ719">
        <v>38.605176550502456</v>
      </c>
      <c r="GA719">
        <v>96.535245669899311</v>
      </c>
      <c r="GB719">
        <v>49.619779350678257</v>
      </c>
      <c r="GC719">
        <v>15.022364435110102</v>
      </c>
      <c r="GD719">
        <v>10.771100828081282</v>
      </c>
      <c r="GE719">
        <v>13.386012071032308</v>
      </c>
      <c r="GF719">
        <v>14.646605175356598</v>
      </c>
      <c r="GG719">
        <v>18.282450870857406</v>
      </c>
      <c r="GH719">
        <v>16.004773142704821</v>
      </c>
      <c r="GI719">
        <v>29.527938736773969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808.52439863454913</v>
      </c>
      <c r="AO720">
        <v>56.730204218893356</v>
      </c>
      <c r="AP720">
        <v>51.902688396616774</v>
      </c>
      <c r="AQ720">
        <v>402.96814190189139</v>
      </c>
      <c r="AR720">
        <v>54.735264126937764</v>
      </c>
      <c r="AS720">
        <v>475.16165217894729</v>
      </c>
      <c r="AT720">
        <v>28.645100948108375</v>
      </c>
      <c r="AU720">
        <v>-109.41373379723925</v>
      </c>
      <c r="AV720"/>
      <c r="AW720"/>
      <c r="FY720" s="212">
        <v>715</v>
      </c>
      <c r="FZ720">
        <v>41.322047038732876</v>
      </c>
      <c r="GA720">
        <v>98.062069077800473</v>
      </c>
      <c r="GB720">
        <v>47.003031579999274</v>
      </c>
      <c r="GC720">
        <v>11.167218929690584</v>
      </c>
      <c r="GD720">
        <v>11.033486543202892</v>
      </c>
      <c r="GE720">
        <v>14.141031529072118</v>
      </c>
      <c r="GF720">
        <v>25.267904864363476</v>
      </c>
      <c r="GG720">
        <v>26.366186052454484</v>
      </c>
      <c r="GH720">
        <v>20.40212742179887</v>
      </c>
      <c r="GI720">
        <v>32.129900612386301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619.08943785021438</v>
      </c>
      <c r="AO721">
        <v>45.398542722909525</v>
      </c>
      <c r="AP721">
        <v>61.057125819689219</v>
      </c>
      <c r="AQ721">
        <v>309.01944146750083</v>
      </c>
      <c r="AR721">
        <v>44.670818650048709</v>
      </c>
      <c r="AS721">
        <v>362.63652882205594</v>
      </c>
      <c r="AT721">
        <v>23.594884329303408</v>
      </c>
      <c r="AU721">
        <v>-56.270004584835249</v>
      </c>
      <c r="AV721"/>
      <c r="AW721"/>
      <c r="FY721" s="212">
        <v>716</v>
      </c>
      <c r="FZ721">
        <v>39.250700455006772</v>
      </c>
      <c r="GA721">
        <v>123.21262326241921</v>
      </c>
      <c r="GB721">
        <v>65.6016588267819</v>
      </c>
      <c r="GC721">
        <v>13.589796393738343</v>
      </c>
      <c r="GD721">
        <v>8.5934779709761333</v>
      </c>
      <c r="GE721">
        <v>13.082014393125982</v>
      </c>
      <c r="GF721">
        <v>32.939705117085438</v>
      </c>
      <c r="GG721">
        <v>32.71984332654246</v>
      </c>
      <c r="GH721">
        <v>25.215508292063983</v>
      </c>
      <c r="GI721">
        <v>37.146254294469266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865.58783919450138</v>
      </c>
      <c r="AO722">
        <v>60.248609632049487</v>
      </c>
      <c r="AP722">
        <v>86.69628993731132</v>
      </c>
      <c r="AQ722">
        <v>436.6290460753238</v>
      </c>
      <c r="AR722">
        <v>59.264401952807042</v>
      </c>
      <c r="AS722">
        <v>466.71127707084469</v>
      </c>
      <c r="AT722">
        <v>28.374457147172507</v>
      </c>
      <c r="AU722">
        <v>-82.973800745904498</v>
      </c>
      <c r="AV722"/>
      <c r="AW722"/>
      <c r="FY722" s="212">
        <v>717</v>
      </c>
      <c r="FZ722">
        <v>41.602774983583288</v>
      </c>
      <c r="GA722">
        <v>85.791107621913355</v>
      </c>
      <c r="GB722">
        <v>52.804730808788548</v>
      </c>
      <c r="GC722">
        <v>21.164999295523831</v>
      </c>
      <c r="GD722">
        <v>11.295824532834548</v>
      </c>
      <c r="GE722">
        <v>13.378494429763368</v>
      </c>
      <c r="GF722">
        <v>18.430922987631536</v>
      </c>
      <c r="GG722">
        <v>19.54674796984072</v>
      </c>
      <c r="GH722">
        <v>36.220398378966188</v>
      </c>
      <c r="GI722">
        <v>34.920091220418172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729.20744162288088</v>
      </c>
      <c r="AO723">
        <v>56.642878986467096</v>
      </c>
      <c r="AP723">
        <v>71.831086877769735</v>
      </c>
      <c r="AQ723">
        <v>428.0597003527688</v>
      </c>
      <c r="AR723">
        <v>57.070245228687412</v>
      </c>
      <c r="AS723">
        <v>455.38306689974047</v>
      </c>
      <c r="AT723">
        <v>30.096321545771335</v>
      </c>
      <c r="AU723">
        <v>-2.0768331202727381</v>
      </c>
      <c r="AV723"/>
      <c r="AW723"/>
      <c r="FY723" s="212">
        <v>718</v>
      </c>
      <c r="FZ723">
        <v>49.296029202932708</v>
      </c>
      <c r="GA723">
        <v>86.141016449870591</v>
      </c>
      <c r="GB723">
        <v>52.366255798178784</v>
      </c>
      <c r="GC723">
        <v>24.51602662747564</v>
      </c>
      <c r="GD723">
        <v>15.226498019861042</v>
      </c>
      <c r="GE723">
        <v>14.911490230094067</v>
      </c>
      <c r="GF723">
        <v>19.352055941637698</v>
      </c>
      <c r="GG723">
        <v>18.219296809410444</v>
      </c>
      <c r="GH723">
        <v>19.539610954667687</v>
      </c>
      <c r="GI723">
        <v>35.6906132679538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818.98656081884417</v>
      </c>
      <c r="AO724">
        <v>55.410930185969256</v>
      </c>
      <c r="AP724">
        <v>89.478076871894331</v>
      </c>
      <c r="AQ724">
        <v>380.19018395676289</v>
      </c>
      <c r="AR724">
        <v>53.930174254643731</v>
      </c>
      <c r="AS724">
        <v>457.9998429953294</v>
      </c>
      <c r="AT724">
        <v>27.022953925096274</v>
      </c>
      <c r="AU724">
        <v>-55.273173069359466</v>
      </c>
      <c r="AV724"/>
      <c r="AW724"/>
      <c r="FY724" s="212">
        <v>719</v>
      </c>
      <c r="FZ724">
        <v>39.382845191936774</v>
      </c>
      <c r="GA724">
        <v>102.71239349201799</v>
      </c>
      <c r="GB724">
        <v>62.551191910912962</v>
      </c>
      <c r="GC724">
        <v>20.524083763242764</v>
      </c>
      <c r="GD724">
        <v>11.347145577219409</v>
      </c>
      <c r="GE724">
        <v>14.087005705043511</v>
      </c>
      <c r="GF724">
        <v>21.969889831227558</v>
      </c>
      <c r="GG724">
        <v>20.314507724585113</v>
      </c>
      <c r="GH724">
        <v>24.09747284303381</v>
      </c>
      <c r="GI724">
        <v>35.780946214878256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727.09013344384778</v>
      </c>
      <c r="AO725">
        <v>45.317029474864704</v>
      </c>
      <c r="AP725">
        <v>66.477251498333231</v>
      </c>
      <c r="AQ725">
        <v>331.70245520625593</v>
      </c>
      <c r="AR725">
        <v>45.156160062233099</v>
      </c>
      <c r="AS725">
        <v>349.96948154571305</v>
      </c>
      <c r="AT725">
        <v>23.561484675607772</v>
      </c>
      <c r="AU725">
        <v>-50.568295872468227</v>
      </c>
      <c r="AV725"/>
      <c r="AW725"/>
      <c r="FY725" s="212">
        <v>720</v>
      </c>
      <c r="FZ725">
        <v>25.879376361603995</v>
      </c>
      <c r="GA725">
        <v>103.30665203244679</v>
      </c>
      <c r="GB725">
        <v>61.564626040997283</v>
      </c>
      <c r="GC725">
        <v>22.498590793416589</v>
      </c>
      <c r="GD725">
        <v>12.948353011075065</v>
      </c>
      <c r="GE725">
        <v>10.456450965464876</v>
      </c>
      <c r="GF725">
        <v>18.851804418448808</v>
      </c>
      <c r="GG725">
        <v>24.28999659322109</v>
      </c>
      <c r="GH725">
        <v>28.028782705078811</v>
      </c>
      <c r="GI725">
        <v>34.584903658024288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743.73990961893685</v>
      </c>
      <c r="AO726">
        <v>50.387571127735185</v>
      </c>
      <c r="AP726">
        <v>82.147724578202855</v>
      </c>
      <c r="AQ726">
        <v>359.52843065796986</v>
      </c>
      <c r="AR726">
        <v>48.795544933423663</v>
      </c>
      <c r="AS726">
        <v>378.42332252612664</v>
      </c>
      <c r="AT726">
        <v>23.869163669984118</v>
      </c>
      <c r="AU726">
        <v>0.70635955521677829</v>
      </c>
      <c r="AV726"/>
      <c r="AW726"/>
      <c r="FY726" s="212">
        <v>721</v>
      </c>
      <c r="FZ726">
        <v>32.447420299541733</v>
      </c>
      <c r="GA726">
        <v>102.26110685686788</v>
      </c>
      <c r="GB726">
        <v>57.651830971290728</v>
      </c>
      <c r="GC726">
        <v>17.825759743332576</v>
      </c>
      <c r="GD726">
        <v>9.6800219922299977</v>
      </c>
      <c r="GE726">
        <v>11.995732395436525</v>
      </c>
      <c r="GF726">
        <v>38.635935082747359</v>
      </c>
      <c r="GG726">
        <v>38.001124441534316</v>
      </c>
      <c r="GH726">
        <v>32.778206691508522</v>
      </c>
      <c r="GI726">
        <v>37.1710588058342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721.43473532936127</v>
      </c>
      <c r="AO727">
        <v>54.23199215055471</v>
      </c>
      <c r="AP727">
        <v>78.551312711432985</v>
      </c>
      <c r="AQ727">
        <v>382.57295090304791</v>
      </c>
      <c r="AR727">
        <v>52.984042066486467</v>
      </c>
      <c r="AS727">
        <v>445.74292069439571</v>
      </c>
      <c r="AT727">
        <v>27.038914523937525</v>
      </c>
      <c r="AU727">
        <v>-42.032140936288727</v>
      </c>
      <c r="AV727"/>
      <c r="AW727"/>
      <c r="FY727" s="212">
        <v>722</v>
      </c>
      <c r="FZ727">
        <v>47.124694814939666</v>
      </c>
      <c r="GA727">
        <v>135.23469532857226</v>
      </c>
      <c r="GB727">
        <v>73.013696103183747</v>
      </c>
      <c r="GC727">
        <v>19.122119408786869</v>
      </c>
      <c r="GD727">
        <v>11.415763575144368</v>
      </c>
      <c r="GE727">
        <v>9.7631346935905015</v>
      </c>
      <c r="GF727">
        <v>15.550482763815483</v>
      </c>
      <c r="GG727">
        <v>15.678481857464865</v>
      </c>
      <c r="GH727">
        <v>20.581681409776145</v>
      </c>
      <c r="GI727">
        <v>37.89515523051513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878.7004711023925</v>
      </c>
      <c r="AO728">
        <v>59.592118416682567</v>
      </c>
      <c r="AP728">
        <v>47.155611082257749</v>
      </c>
      <c r="AQ728">
        <v>435.49122843790963</v>
      </c>
      <c r="AR728">
        <v>57.40415646180805</v>
      </c>
      <c r="AS728">
        <v>484.91969674719121</v>
      </c>
      <c r="AT728">
        <v>29.031937090958234</v>
      </c>
      <c r="AU728">
        <v>-92.53408400542088</v>
      </c>
      <c r="AV728"/>
      <c r="AW728"/>
      <c r="FY728" s="212">
        <v>723</v>
      </c>
      <c r="FZ728">
        <v>33.130011717061478</v>
      </c>
      <c r="GA728">
        <v>92.000047575439794</v>
      </c>
      <c r="GB728">
        <v>54.426618558837575</v>
      </c>
      <c r="GC728">
        <v>18.052629079976025</v>
      </c>
      <c r="GD728">
        <v>16.950050694879785</v>
      </c>
      <c r="GE728">
        <v>24.16069154664563</v>
      </c>
      <c r="GF728">
        <v>26.418647416342381</v>
      </c>
      <c r="GG728">
        <v>24.103055175293758</v>
      </c>
      <c r="GH728">
        <v>19.393193226094994</v>
      </c>
      <c r="GI728">
        <v>36.190812159902215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802.56876017835509</v>
      </c>
      <c r="AO729">
        <v>49.23124204219706</v>
      </c>
      <c r="AP729">
        <v>124.70290575996907</v>
      </c>
      <c r="AQ729">
        <v>334.43104759727765</v>
      </c>
      <c r="AR729">
        <v>48.094461648288686</v>
      </c>
      <c r="AS729">
        <v>408.47720886520261</v>
      </c>
      <c r="AT729">
        <v>24.923346965057505</v>
      </c>
      <c r="AU729">
        <v>30.82717308987101</v>
      </c>
      <c r="AV729"/>
      <c r="AW729"/>
      <c r="FY729" s="212">
        <v>724</v>
      </c>
      <c r="FZ729">
        <v>42.213527690901117</v>
      </c>
      <c r="GA729">
        <v>87.905472349011887</v>
      </c>
      <c r="GB729">
        <v>47.511749894902692</v>
      </c>
      <c r="GC729">
        <v>18.198794642842358</v>
      </c>
      <c r="GD729">
        <v>11.921623741557232</v>
      </c>
      <c r="GE729">
        <v>13.890092848746248</v>
      </c>
      <c r="GF729">
        <v>28.222482467323307</v>
      </c>
      <c r="GG729">
        <v>30.793916721912556</v>
      </c>
      <c r="GH729">
        <v>25.958544110779442</v>
      </c>
      <c r="GI729">
        <v>34.250865426484374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714.81859243605618</v>
      </c>
      <c r="AO730">
        <v>42.533382722190034</v>
      </c>
      <c r="AP730">
        <v>41.847843087654084</v>
      </c>
      <c r="AQ730">
        <v>302.40144683099652</v>
      </c>
      <c r="AR730">
        <v>40.66352665178438</v>
      </c>
      <c r="AS730">
        <v>334.66645948158418</v>
      </c>
      <c r="AT730">
        <v>20.594364515062171</v>
      </c>
      <c r="AU730">
        <v>-68.364605242544613</v>
      </c>
      <c r="AV730"/>
      <c r="AW730"/>
      <c r="FY730" s="212">
        <v>725</v>
      </c>
      <c r="FZ730">
        <v>43.341710469939798</v>
      </c>
      <c r="GA730">
        <v>62.029591248116908</v>
      </c>
      <c r="GB730">
        <v>37.882713862728906</v>
      </c>
      <c r="GC730">
        <v>16.552006008762934</v>
      </c>
      <c r="GD730">
        <v>10.844634641275702</v>
      </c>
      <c r="GE730">
        <v>13.909994405211453</v>
      </c>
      <c r="GF730">
        <v>23.521288286053501</v>
      </c>
      <c r="GG730">
        <v>21.474854108648284</v>
      </c>
      <c r="GH730">
        <v>21.860491659388543</v>
      </c>
      <c r="GI730">
        <v>29.980035256942081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634.70189121859994</v>
      </c>
      <c r="AO731">
        <v>45.063959208040771</v>
      </c>
      <c r="AP731">
        <v>58.116165954044682</v>
      </c>
      <c r="AQ731">
        <v>326.89500364950135</v>
      </c>
      <c r="AR731">
        <v>44.335614755311624</v>
      </c>
      <c r="AS731">
        <v>374.2507704056909</v>
      </c>
      <c r="AT731">
        <v>21.966524869044861</v>
      </c>
      <c r="AU731">
        <v>-43.502570925113275</v>
      </c>
      <c r="AV731"/>
      <c r="AW731"/>
      <c r="FY731" s="212">
        <v>726</v>
      </c>
      <c r="FZ731">
        <v>54.470459861521306</v>
      </c>
      <c r="GA731">
        <v>123.4565803208727</v>
      </c>
      <c r="GB731">
        <v>62.571195093137511</v>
      </c>
      <c r="GC731">
        <v>18.840824325733443</v>
      </c>
      <c r="GD731">
        <v>12.948392459692453</v>
      </c>
      <c r="GE731">
        <v>15.053108584825734</v>
      </c>
      <c r="GF731">
        <v>23.066186695100814</v>
      </c>
      <c r="GG731">
        <v>20.996156090759996</v>
      </c>
      <c r="GH731">
        <v>19.182886997890556</v>
      </c>
      <c r="GI731">
        <v>38.349346207414634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776.99776667631284</v>
      </c>
      <c r="AO732">
        <v>52.706967712591073</v>
      </c>
      <c r="AP732">
        <v>99.338679793145189</v>
      </c>
      <c r="AQ732">
        <v>391.35158233220949</v>
      </c>
      <c r="AR732">
        <v>51.104063417764124</v>
      </c>
      <c r="AS732">
        <v>419.24207183425983</v>
      </c>
      <c r="AT732">
        <v>24.980563284363196</v>
      </c>
      <c r="AU732">
        <v>-75.560796892749948</v>
      </c>
      <c r="AV732"/>
      <c r="AW732"/>
      <c r="FY732" s="212">
        <v>727</v>
      </c>
      <c r="FZ732">
        <v>50.17209080834283</v>
      </c>
      <c r="GA732">
        <v>85.381224790620308</v>
      </c>
      <c r="GB732">
        <v>45.59977364604147</v>
      </c>
      <c r="GC732">
        <v>14.381159600464269</v>
      </c>
      <c r="GD732">
        <v>9.6519806595381539</v>
      </c>
      <c r="GE732">
        <v>10.758684529557897</v>
      </c>
      <c r="GF732">
        <v>32.50006809592297</v>
      </c>
      <c r="GG732">
        <v>32.635307757275271</v>
      </c>
      <c r="GH732">
        <v>33.811180850050803</v>
      </c>
      <c r="GI732">
        <v>35.659678363936941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694.20355377575277</v>
      </c>
      <c r="AO733">
        <v>48.029611689463096</v>
      </c>
      <c r="AP733">
        <v>54.564210033471468</v>
      </c>
      <c r="AQ733">
        <v>335.15609222926361</v>
      </c>
      <c r="AR733">
        <v>47.990946764486232</v>
      </c>
      <c r="AS733">
        <v>394.16332966789258</v>
      </c>
      <c r="AT733">
        <v>25.39823424476516</v>
      </c>
      <c r="AU733">
        <v>-65.226424995305536</v>
      </c>
      <c r="AV733"/>
      <c r="AW733"/>
      <c r="FY733" s="212">
        <v>728</v>
      </c>
      <c r="FZ733">
        <v>40.052052218665054</v>
      </c>
      <c r="GA733">
        <v>85.70229959643514</v>
      </c>
      <c r="GB733">
        <v>48.942782038283319</v>
      </c>
      <c r="GC733">
        <v>17.169226284831236</v>
      </c>
      <c r="GD733">
        <v>11.723876491851334</v>
      </c>
      <c r="GE733">
        <v>23.497454214933477</v>
      </c>
      <c r="GF733">
        <v>51.142317363930701</v>
      </c>
      <c r="GG733">
        <v>40.836704319874677</v>
      </c>
      <c r="GH733">
        <v>28.876432566323814</v>
      </c>
      <c r="GI733">
        <v>38.705292260479183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888.71123211737961</v>
      </c>
      <c r="AO734">
        <v>49.681267794628283</v>
      </c>
      <c r="AP734">
        <v>62.801701474154733</v>
      </c>
      <c r="AQ734">
        <v>335.25889330208241</v>
      </c>
      <c r="AR734">
        <v>48.962575220453871</v>
      </c>
      <c r="AS734">
        <v>416.62358264889093</v>
      </c>
      <c r="AT734">
        <v>25.940351492717941</v>
      </c>
      <c r="AU734">
        <v>-62.764401219234102</v>
      </c>
      <c r="AV734"/>
      <c r="AW734"/>
      <c r="FY734" s="212">
        <v>729</v>
      </c>
      <c r="FZ734">
        <v>35.798927369827645</v>
      </c>
      <c r="GA734">
        <v>124.13647185531276</v>
      </c>
      <c r="GB734">
        <v>69.951203132472827</v>
      </c>
      <c r="GC734">
        <v>20.910383565147114</v>
      </c>
      <c r="GD734">
        <v>15.377665956263789</v>
      </c>
      <c r="GE734">
        <v>17.948334383382001</v>
      </c>
      <c r="GF734">
        <v>27.030491935017974</v>
      </c>
      <c r="GG734">
        <v>26.880967856095815</v>
      </c>
      <c r="GH734">
        <v>26.494865729106607</v>
      </c>
      <c r="GI734">
        <v>40.661642758062506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711.58467003076601</v>
      </c>
      <c r="AO735">
        <v>50.300641543193315</v>
      </c>
      <c r="AP735">
        <v>66.283013248945466</v>
      </c>
      <c r="AQ735">
        <v>352.76748225409813</v>
      </c>
      <c r="AR735">
        <v>49.246918952469798</v>
      </c>
      <c r="AS735">
        <v>404.26099193280652</v>
      </c>
      <c r="AT735">
        <v>25.315169249989165</v>
      </c>
      <c r="AU735">
        <v>-41.59869423785765</v>
      </c>
      <c r="AV735"/>
      <c r="AW735"/>
      <c r="FY735" s="212">
        <v>730</v>
      </c>
      <c r="FZ735">
        <v>43.687083012603217</v>
      </c>
      <c r="GA735">
        <v>83.565695174675795</v>
      </c>
      <c r="GB735">
        <v>43.972606995370519</v>
      </c>
      <c r="GC735">
        <v>14.941011016572229</v>
      </c>
      <c r="GD735">
        <v>11.652749205597496</v>
      </c>
      <c r="GE735">
        <v>15.285046619546794</v>
      </c>
      <c r="GF735">
        <v>45.378629065967942</v>
      </c>
      <c r="GG735">
        <v>38.358320498064984</v>
      </c>
      <c r="GH735">
        <v>19.593157825779254</v>
      </c>
      <c r="GI735">
        <v>35.67441770886623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775.79765363055299</v>
      </c>
      <c r="AO736">
        <v>49.927225756426139</v>
      </c>
      <c r="AP736">
        <v>59.277545614259502</v>
      </c>
      <c r="AQ736">
        <v>342.40953657977764</v>
      </c>
      <c r="AR736">
        <v>47.645236792525708</v>
      </c>
      <c r="AS736">
        <v>388.80828000252478</v>
      </c>
      <c r="AT736">
        <v>23.708369179760663</v>
      </c>
      <c r="AU736">
        <v>-48.55132048306173</v>
      </c>
      <c r="AV736"/>
      <c r="AW736"/>
      <c r="FY736" s="212">
        <v>731</v>
      </c>
      <c r="FZ736">
        <v>47.236785791914322</v>
      </c>
      <c r="GA736">
        <v>95.295576380388965</v>
      </c>
      <c r="GB736">
        <v>54.322276389137542</v>
      </c>
      <c r="GC736">
        <v>21.618343423222814</v>
      </c>
      <c r="GD736">
        <v>11.129580330652205</v>
      </c>
      <c r="GE736">
        <v>9.5181199253566557</v>
      </c>
      <c r="GF736">
        <v>19.326837422682079</v>
      </c>
      <c r="GG736">
        <v>21.124030248307228</v>
      </c>
      <c r="GH736">
        <v>25.063258908037628</v>
      </c>
      <c r="GI736">
        <v>34.463904735696111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695.32509072090556</v>
      </c>
      <c r="AO737">
        <v>53.003172004497138</v>
      </c>
      <c r="AP737">
        <v>124.91579381078026</v>
      </c>
      <c r="AQ737">
        <v>378.44819728032388</v>
      </c>
      <c r="AR737">
        <v>51.321739614081267</v>
      </c>
      <c r="AS737">
        <v>407.44477393030957</v>
      </c>
      <c r="AT737">
        <v>24.98051438585459</v>
      </c>
      <c r="AU737">
        <v>-4.5953153977316674</v>
      </c>
      <c r="AV737"/>
      <c r="AW737"/>
      <c r="FY737" s="212">
        <v>732</v>
      </c>
      <c r="FZ737">
        <v>46.628423931366839</v>
      </c>
      <c r="GA737">
        <v>102.71930880104667</v>
      </c>
      <c r="GB737">
        <v>59.591339014831433</v>
      </c>
      <c r="GC737">
        <v>17.765705296908379</v>
      </c>
      <c r="GD737">
        <v>10.566859619803223</v>
      </c>
      <c r="GE737">
        <v>11.788919709209987</v>
      </c>
      <c r="GF737">
        <v>26.576195343764514</v>
      </c>
      <c r="GG737">
        <v>30.850020030138342</v>
      </c>
      <c r="GH737">
        <v>27.024719457086515</v>
      </c>
      <c r="GI737">
        <v>36.997636314668171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712.21015575195361</v>
      </c>
      <c r="AO738">
        <v>53.122072729483236</v>
      </c>
      <c r="AP738">
        <v>49.454595515835351</v>
      </c>
      <c r="AQ738">
        <v>385.37990518578903</v>
      </c>
      <c r="AR738">
        <v>52.300104950228267</v>
      </c>
      <c r="AS738">
        <v>412.18246043571855</v>
      </c>
      <c r="AT738">
        <v>26.871947583804644</v>
      </c>
      <c r="AU738">
        <v>-124.74952560715388</v>
      </c>
      <c r="AV738"/>
      <c r="AW738"/>
      <c r="FY738" s="212">
        <v>733</v>
      </c>
      <c r="FZ738">
        <v>39.442101521225943</v>
      </c>
      <c r="GA738">
        <v>107.33230534708902</v>
      </c>
      <c r="GB738">
        <v>60.377704788591096</v>
      </c>
      <c r="GC738">
        <v>16.272875625458621</v>
      </c>
      <c r="GD738">
        <v>9.5735925988928905</v>
      </c>
      <c r="GE738">
        <v>12.513730303787371</v>
      </c>
      <c r="GF738">
        <v>35.700006258213605</v>
      </c>
      <c r="GG738">
        <v>30.56953872379728</v>
      </c>
      <c r="GH738">
        <v>19.53126519086905</v>
      </c>
      <c r="GI738">
        <v>36.055745832978772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791.57465745791251</v>
      </c>
      <c r="AO739">
        <v>51.502674157377456</v>
      </c>
      <c r="AP739">
        <v>57.94062925238417</v>
      </c>
      <c r="AQ739">
        <v>344.82575715047369</v>
      </c>
      <c r="AR739">
        <v>49.783282144789183</v>
      </c>
      <c r="AS739">
        <v>405.96205469472585</v>
      </c>
      <c r="AT739">
        <v>24.64510832682463</v>
      </c>
      <c r="AU739">
        <v>-34.794889327013081</v>
      </c>
      <c r="AV739"/>
      <c r="AW739"/>
      <c r="FY739" s="212">
        <v>734</v>
      </c>
      <c r="FZ739">
        <v>35.5065148622677</v>
      </c>
      <c r="GA739">
        <v>84.937586595835242</v>
      </c>
      <c r="GB739">
        <v>55.041805250791406</v>
      </c>
      <c r="GC739">
        <v>24.536759746704433</v>
      </c>
      <c r="GD739">
        <v>13.369459177021504</v>
      </c>
      <c r="GE739">
        <v>15.867596253303374</v>
      </c>
      <c r="GF739">
        <v>27.413536476266618</v>
      </c>
      <c r="GG739">
        <v>26.948121939794088</v>
      </c>
      <c r="GH739">
        <v>17.999699834616564</v>
      </c>
      <c r="GI739">
        <v>34.51819174330474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734.82975562851902</v>
      </c>
      <c r="AO740">
        <v>48.451998934702644</v>
      </c>
      <c r="AP740">
        <v>50.878565860797885</v>
      </c>
      <c r="AQ740">
        <v>340.86706989446122</v>
      </c>
      <c r="AR740">
        <v>47.043560998915581</v>
      </c>
      <c r="AS740">
        <v>392.62904852509439</v>
      </c>
      <c r="AT740">
        <v>24.973198421470716</v>
      </c>
      <c r="AU740">
        <v>-60.510439192708468</v>
      </c>
      <c r="AV740"/>
      <c r="AW740"/>
      <c r="FY740" s="212">
        <v>735</v>
      </c>
      <c r="FZ740">
        <v>54.726257697049235</v>
      </c>
      <c r="GA740">
        <v>128.38240016073593</v>
      </c>
      <c r="GB740">
        <v>64.523002104447229</v>
      </c>
      <c r="GC740">
        <v>13.284078090682598</v>
      </c>
      <c r="GD740">
        <v>12.201328173942342</v>
      </c>
      <c r="GE740">
        <v>18.122849078881437</v>
      </c>
      <c r="GF740">
        <v>23.885086717501267</v>
      </c>
      <c r="GG740">
        <v>18.019827021673613</v>
      </c>
      <c r="GH740">
        <v>23.448542188336308</v>
      </c>
      <c r="GI740">
        <v>39.3656090521255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527.97647835708858</v>
      </c>
      <c r="AO741">
        <v>41.177322555510891</v>
      </c>
      <c r="AP741">
        <v>83.082854632868887</v>
      </c>
      <c r="AQ741">
        <v>281.39731994706813</v>
      </c>
      <c r="AR741">
        <v>41.421580163755507</v>
      </c>
      <c r="AS741">
        <v>320.72742530677903</v>
      </c>
      <c r="AT741">
        <v>22.476730604070514</v>
      </c>
      <c r="AU741">
        <v>-61.836542519067713</v>
      </c>
      <c r="AV741"/>
      <c r="AW741"/>
      <c r="FY741" s="212">
        <v>736</v>
      </c>
      <c r="FZ741">
        <v>40.825515907422059</v>
      </c>
      <c r="GA741">
        <v>139.50643806608258</v>
      </c>
      <c r="GB741">
        <v>77.874144412879659</v>
      </c>
      <c r="GC741">
        <v>16.994831462094126</v>
      </c>
      <c r="GD741">
        <v>8.8746415143982862</v>
      </c>
      <c r="GE741">
        <v>13.392700592444472</v>
      </c>
      <c r="GF741">
        <v>30.172166873850525</v>
      </c>
      <c r="GG741">
        <v>21.60163836208492</v>
      </c>
      <c r="GH741">
        <v>18.767394677789522</v>
      </c>
      <c r="GI741">
        <v>39.171262384143816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838.48046281453753</v>
      </c>
      <c r="AO742">
        <v>53.926697415639559</v>
      </c>
      <c r="AP742">
        <v>78.583475622996929</v>
      </c>
      <c r="AQ742">
        <v>388.93513663694915</v>
      </c>
      <c r="AR742">
        <v>52.696515467378411</v>
      </c>
      <c r="AS742">
        <v>440.15987003070694</v>
      </c>
      <c r="AT742">
        <v>27.593389391807928</v>
      </c>
      <c r="AU742">
        <v>-81.596981788974887</v>
      </c>
      <c r="AV742"/>
      <c r="AW742"/>
      <c r="FY742" s="212">
        <v>737</v>
      </c>
      <c r="FZ742">
        <v>55.66349425593463</v>
      </c>
      <c r="GA742">
        <v>93.904676195314309</v>
      </c>
      <c r="GB742">
        <v>49.917506995200746</v>
      </c>
      <c r="GC742">
        <v>18.492171259011268</v>
      </c>
      <c r="GD742">
        <v>12.149189003334682</v>
      </c>
      <c r="GE742">
        <v>14.667798275143412</v>
      </c>
      <c r="GF742">
        <v>15.23446269631873</v>
      </c>
      <c r="GG742">
        <v>18.424673675333299</v>
      </c>
      <c r="GH742">
        <v>25.845188330246248</v>
      </c>
      <c r="GI742">
        <v>34.624531044265396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671.50290432630834</v>
      </c>
      <c r="AO743">
        <v>47.941565370706385</v>
      </c>
      <c r="AP743">
        <v>84.034224727302842</v>
      </c>
      <c r="AQ743">
        <v>350.55114910175092</v>
      </c>
      <c r="AR743">
        <v>49.051799903163896</v>
      </c>
      <c r="AS743">
        <v>418.65498241864464</v>
      </c>
      <c r="AT743">
        <v>25.497790201370204</v>
      </c>
      <c r="AU743">
        <v>-35.086658485776866</v>
      </c>
      <c r="AV743"/>
      <c r="AW743"/>
      <c r="FY743" s="212">
        <v>738</v>
      </c>
      <c r="FZ743">
        <v>52.811592277737439</v>
      </c>
      <c r="GA743">
        <v>111.18963949498688</v>
      </c>
      <c r="GB743">
        <v>62.939167696090344</v>
      </c>
      <c r="GC743">
        <v>21.303058712554687</v>
      </c>
      <c r="GD743">
        <v>10.393605712530119</v>
      </c>
      <c r="GE743">
        <v>7.3292114025866937</v>
      </c>
      <c r="GF743">
        <v>15.159457816192997</v>
      </c>
      <c r="GG743">
        <v>22.956966276515352</v>
      </c>
      <c r="GH743">
        <v>24.595457895061106</v>
      </c>
      <c r="GI743">
        <v>36.195872304210752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872.99489875244058</v>
      </c>
      <c r="AO744">
        <v>54.661297095863155</v>
      </c>
      <c r="AP744">
        <v>105.32182235360887</v>
      </c>
      <c r="AQ744">
        <v>386.64843735560794</v>
      </c>
      <c r="AR744">
        <v>52.934426265625333</v>
      </c>
      <c r="AS744">
        <v>458.01405654381972</v>
      </c>
      <c r="AT744">
        <v>28.013045793361613</v>
      </c>
      <c r="AU744">
        <v>-16.376669552466733</v>
      </c>
      <c r="AV744"/>
      <c r="AW744"/>
      <c r="FY744" s="212">
        <v>739</v>
      </c>
      <c r="FZ744">
        <v>41.194008519119187</v>
      </c>
      <c r="GA744">
        <v>128.30954942891944</v>
      </c>
      <c r="GB744">
        <v>67.119181661227401</v>
      </c>
      <c r="GC744">
        <v>16.423469086708685</v>
      </c>
      <c r="GD744">
        <v>9.7381737994219861</v>
      </c>
      <c r="GE744">
        <v>10.150360483599238</v>
      </c>
      <c r="GF744">
        <v>19.541746623634594</v>
      </c>
      <c r="GG744">
        <v>19.237422852953891</v>
      </c>
      <c r="GH744">
        <v>18.581479203635638</v>
      </c>
      <c r="GI744">
        <v>34.990944846551784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931.72653432135871</v>
      </c>
      <c r="AO745">
        <v>57.822625570660669</v>
      </c>
      <c r="AP745">
        <v>66.518310052072835</v>
      </c>
      <c r="AQ745">
        <v>405.19095454068906</v>
      </c>
      <c r="AR745">
        <v>55.772361087843777</v>
      </c>
      <c r="AS745">
        <v>481.27816548122854</v>
      </c>
      <c r="AT745">
        <v>27.72336868204556</v>
      </c>
      <c r="AU745">
        <v>-129.93622771945914</v>
      </c>
      <c r="AV745"/>
      <c r="AW745"/>
      <c r="FY745" s="212">
        <v>740</v>
      </c>
      <c r="FZ745">
        <v>47.568450936633781</v>
      </c>
      <c r="GA745">
        <v>99.627670042723537</v>
      </c>
      <c r="GB745">
        <v>47.510309355601088</v>
      </c>
      <c r="GC745">
        <v>18.004960442110537</v>
      </c>
      <c r="GD745">
        <v>17.186695625516535</v>
      </c>
      <c r="GE745">
        <v>25.854494021157649</v>
      </c>
      <c r="GF745">
        <v>34.027482931887818</v>
      </c>
      <c r="GG745">
        <v>29.560667036692653</v>
      </c>
      <c r="GH745">
        <v>28.234466461770072</v>
      </c>
      <c r="GI745">
        <v>39.481280745156212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741.85474792076377</v>
      </c>
      <c r="AO746">
        <v>49.829809768859363</v>
      </c>
      <c r="AP746">
        <v>120.69552788351515</v>
      </c>
      <c r="AQ746">
        <v>352.10871712304447</v>
      </c>
      <c r="AR746">
        <v>49.153310341653224</v>
      </c>
      <c r="AS746">
        <v>395.26206000180912</v>
      </c>
      <c r="AT746">
        <v>25.032921769055871</v>
      </c>
      <c r="AU746">
        <v>15.562122206908327</v>
      </c>
      <c r="AV746"/>
      <c r="AW746"/>
      <c r="FY746" s="212">
        <v>741</v>
      </c>
      <c r="FZ746">
        <v>45.197431918336221</v>
      </c>
      <c r="GA746">
        <v>87.770108161267657</v>
      </c>
      <c r="GB746">
        <v>56.341069190102324</v>
      </c>
      <c r="GC746">
        <v>20.601337251729788</v>
      </c>
      <c r="GD746">
        <v>11.640468607599654</v>
      </c>
      <c r="GE746">
        <v>14.998323366456896</v>
      </c>
      <c r="GF746">
        <v>33.661547917452737</v>
      </c>
      <c r="GG746">
        <v>27.657575137105241</v>
      </c>
      <c r="GH746">
        <v>21.395573966096975</v>
      </c>
      <c r="GI746">
        <v>36.970582748897584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638.33291783143591</v>
      </c>
      <c r="AO747">
        <v>48.149766930112023</v>
      </c>
      <c r="AP747">
        <v>60.355251295796521</v>
      </c>
      <c r="AQ747">
        <v>339.09871355539559</v>
      </c>
      <c r="AR747">
        <v>47.384940492828825</v>
      </c>
      <c r="AS747">
        <v>387.06194635399135</v>
      </c>
      <c r="AT747">
        <v>24.723219016218469</v>
      </c>
      <c r="AU747">
        <v>-31.484125549834914</v>
      </c>
      <c r="AV747"/>
      <c r="AW747"/>
      <c r="FY747" s="212">
        <v>742</v>
      </c>
      <c r="FZ747">
        <v>36.901258592172759</v>
      </c>
      <c r="GA747">
        <v>94.189194102266129</v>
      </c>
      <c r="GB747">
        <v>61.644716616476707</v>
      </c>
      <c r="GC747">
        <v>21.527723368627825</v>
      </c>
      <c r="GD747">
        <v>11.903480300445761</v>
      </c>
      <c r="GE747">
        <v>17.862992142584194</v>
      </c>
      <c r="GF747">
        <v>32.559580401244631</v>
      </c>
      <c r="GG747">
        <v>28.230788705924304</v>
      </c>
      <c r="GH747">
        <v>32.805987052959956</v>
      </c>
      <c r="GI747">
        <v>38.912638666594518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704.29597554131624</v>
      </c>
      <c r="AO748">
        <v>51.582330257730931</v>
      </c>
      <c r="AP748">
        <v>78.926699908816857</v>
      </c>
      <c r="AQ748">
        <v>370.50912751882407</v>
      </c>
      <c r="AR748">
        <v>50.953827707294472</v>
      </c>
      <c r="AS748">
        <v>401.04648879091252</v>
      </c>
      <c r="AT748">
        <v>26.337495438624433</v>
      </c>
      <c r="AU748">
        <v>-49.31986302939989</v>
      </c>
      <c r="AV748"/>
      <c r="AW748"/>
      <c r="FY748" s="212">
        <v>743</v>
      </c>
      <c r="FZ748">
        <v>50.089158468581637</v>
      </c>
      <c r="GA748">
        <v>121.60393345605127</v>
      </c>
      <c r="GB748">
        <v>63.246050646703402</v>
      </c>
      <c r="GC748">
        <v>18.64595141760266</v>
      </c>
      <c r="GD748">
        <v>12.280573643753028</v>
      </c>
      <c r="GE748">
        <v>12.243924226612064</v>
      </c>
      <c r="GF748">
        <v>14.966317513436252</v>
      </c>
      <c r="GG748">
        <v>20.61240854610443</v>
      </c>
      <c r="GH748">
        <v>24.442241457006361</v>
      </c>
      <c r="GI748">
        <v>36.861746714609204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756.5815575370035</v>
      </c>
      <c r="AO749">
        <v>50.882138303415338</v>
      </c>
      <c r="AP749">
        <v>81.05623016251721</v>
      </c>
      <c r="AQ749">
        <v>367.36886619090376</v>
      </c>
      <c r="AR749">
        <v>49.694630139521429</v>
      </c>
      <c r="AS749">
        <v>394.95756963568999</v>
      </c>
      <c r="AT749">
        <v>24.804572970530717</v>
      </c>
      <c r="AU749">
        <v>-44.255635532784346</v>
      </c>
      <c r="AV749"/>
      <c r="AW749"/>
      <c r="FY749" s="212">
        <v>744</v>
      </c>
      <c r="FZ749">
        <v>23.645952343782888</v>
      </c>
      <c r="GA749">
        <v>73.176412316401283</v>
      </c>
      <c r="GB749">
        <v>49.546790206100376</v>
      </c>
      <c r="GC749">
        <v>19.473448357410234</v>
      </c>
      <c r="GD749">
        <v>11.855116341611891</v>
      </c>
      <c r="GE749">
        <v>17.706535194057565</v>
      </c>
      <c r="GF749">
        <v>18.462178845899057</v>
      </c>
      <c r="GG749">
        <v>16.049678706060721</v>
      </c>
      <c r="GH749">
        <v>23.862281441553868</v>
      </c>
      <c r="GI749">
        <v>29.795255788473934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848.21436557128925</v>
      </c>
      <c r="AO750">
        <v>50.066025421832236</v>
      </c>
      <c r="AP750">
        <v>75.932249254088504</v>
      </c>
      <c r="AQ750">
        <v>336.13927187990561</v>
      </c>
      <c r="AR750">
        <v>47.326057390309231</v>
      </c>
      <c r="AS750">
        <v>420.77537309782809</v>
      </c>
      <c r="AT750">
        <v>24.660656865369646</v>
      </c>
      <c r="AU750">
        <v>-47.193508900600577</v>
      </c>
      <c r="AV750"/>
      <c r="AW750"/>
      <c r="FY750" s="212">
        <v>745</v>
      </c>
      <c r="FZ750">
        <v>50.710111892898993</v>
      </c>
      <c r="GA750">
        <v>66.760867433109951</v>
      </c>
      <c r="GB750">
        <v>35.814762633476036</v>
      </c>
      <c r="GC750">
        <v>16.345332790451788</v>
      </c>
      <c r="GD750">
        <v>13.177150330806828</v>
      </c>
      <c r="GE750">
        <v>21.90405082426631</v>
      </c>
      <c r="GF750">
        <v>24.232840080569726</v>
      </c>
      <c r="GG750">
        <v>20.096626569169104</v>
      </c>
      <c r="GH750">
        <v>24.853852396124456</v>
      </c>
      <c r="GI750">
        <v>32.463857940349996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787.75600070701091</v>
      </c>
      <c r="AO751">
        <v>53.959090003304837</v>
      </c>
      <c r="AP751">
        <v>51.151354072527155</v>
      </c>
      <c r="AQ751">
        <v>395.95898028537545</v>
      </c>
      <c r="AR751">
        <v>54.378772046613193</v>
      </c>
      <c r="AS751">
        <v>423.42617435077256</v>
      </c>
      <c r="AT751">
        <v>26.879251539026502</v>
      </c>
      <c r="AU751">
        <v>-87.928619535787618</v>
      </c>
      <c r="AV751"/>
      <c r="AW751"/>
      <c r="FY751" s="212">
        <v>746</v>
      </c>
      <c r="FZ751">
        <v>44.331683372402104</v>
      </c>
      <c r="GA751">
        <v>99.579528127207368</v>
      </c>
      <c r="GB751">
        <v>60.026539766155494</v>
      </c>
      <c r="GC751">
        <v>17.849451537389097</v>
      </c>
      <c r="GD751">
        <v>12.830512823649503</v>
      </c>
      <c r="GE751">
        <v>18.858440935859552</v>
      </c>
      <c r="GF751">
        <v>18.987403348249437</v>
      </c>
      <c r="GG751">
        <v>21.741615616323045</v>
      </c>
      <c r="GH751">
        <v>21.89541383816027</v>
      </c>
      <c r="GI751">
        <v>35.858305266411101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760.00244906463672</v>
      </c>
      <c r="AO752">
        <v>55.525002335910507</v>
      </c>
      <c r="AP752">
        <v>67.970981837630916</v>
      </c>
      <c r="AQ752">
        <v>407.18073425319</v>
      </c>
      <c r="AR752">
        <v>54.073306073067911</v>
      </c>
      <c r="AS752">
        <v>445.39717623044743</v>
      </c>
      <c r="AT752">
        <v>25.974654732811004</v>
      </c>
      <c r="AU752">
        <v>-77.847691031588397</v>
      </c>
      <c r="AV752"/>
      <c r="AW752"/>
      <c r="FY752" s="212">
        <v>747</v>
      </c>
      <c r="FZ752">
        <v>33.963457638985275</v>
      </c>
      <c r="GA752">
        <v>127.3323874635125</v>
      </c>
      <c r="GB752">
        <v>72.635403194333975</v>
      </c>
      <c r="GC752">
        <v>20.619145063036601</v>
      </c>
      <c r="GD752">
        <v>14.988898601582605</v>
      </c>
      <c r="GE752">
        <v>17.047133697958873</v>
      </c>
      <c r="GF752">
        <v>22.8205830590129</v>
      </c>
      <c r="GG752">
        <v>27.458152025483532</v>
      </c>
      <c r="GH752">
        <v>34.737064523142266</v>
      </c>
      <c r="GI752">
        <v>41.490593055322336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706.42083920145501</v>
      </c>
      <c r="AO753">
        <v>47.911964696867429</v>
      </c>
      <c r="AP753">
        <v>53.589592503409449</v>
      </c>
      <c r="AQ753">
        <v>338.92369173010263</v>
      </c>
      <c r="AR753">
        <v>47.697851465985188</v>
      </c>
      <c r="AS753">
        <v>394.6497396344879</v>
      </c>
      <c r="AT753">
        <v>25.225862161911266</v>
      </c>
      <c r="AU753">
        <v>-45.908451888898263</v>
      </c>
      <c r="AV753"/>
      <c r="AW753"/>
      <c r="FY753" s="212">
        <v>748</v>
      </c>
      <c r="FZ753">
        <v>37.953906419497208</v>
      </c>
      <c r="GA753">
        <v>110.4456209730273</v>
      </c>
      <c r="GB753">
        <v>59.774720301452142</v>
      </c>
      <c r="GC753">
        <v>23.06316653285052</v>
      </c>
      <c r="GD753">
        <v>13.562610626169773</v>
      </c>
      <c r="GE753">
        <v>13.274066092823841</v>
      </c>
      <c r="GF753">
        <v>37.305325105678207</v>
      </c>
      <c r="GG753">
        <v>36.819935075664894</v>
      </c>
      <c r="GH753">
        <v>26.168072235886726</v>
      </c>
      <c r="GI753">
        <v>39.392331593237863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676.34673680634307</v>
      </c>
      <c r="AO754">
        <v>50.764035618708995</v>
      </c>
      <c r="AP754">
        <v>50.570211881955679</v>
      </c>
      <c r="AQ754">
        <v>364.87402958846639</v>
      </c>
      <c r="AR754">
        <v>49.888093273200873</v>
      </c>
      <c r="AS754">
        <v>405.93869565197701</v>
      </c>
      <c r="AT754">
        <v>25.896145784882993</v>
      </c>
      <c r="AU754">
        <v>-57.505974217466381</v>
      </c>
      <c r="AV754"/>
      <c r="AW754"/>
      <c r="FY754" s="212">
        <v>749</v>
      </c>
      <c r="FZ754">
        <v>57.720270068166265</v>
      </c>
      <c r="GA754">
        <v>65.445727374307864</v>
      </c>
      <c r="GB754">
        <v>32.236828585273656</v>
      </c>
      <c r="GC754">
        <v>17.629400220304561</v>
      </c>
      <c r="GD754">
        <v>13.669746945448948</v>
      </c>
      <c r="GE754">
        <v>15.398414476379514</v>
      </c>
      <c r="GF754">
        <v>15.953077525736823</v>
      </c>
      <c r="GG754">
        <v>16.354323011451562</v>
      </c>
      <c r="GH754">
        <v>21.650831394480118</v>
      </c>
      <c r="GI754">
        <v>30.83839772966482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729.4809546973263</v>
      </c>
      <c r="AO755">
        <v>49.753895166050306</v>
      </c>
      <c r="AP755">
        <v>47.979292559348089</v>
      </c>
      <c r="AQ755">
        <v>365.28633650577183</v>
      </c>
      <c r="AR755">
        <v>48.168599989112174</v>
      </c>
      <c r="AS755">
        <v>381.64143737026615</v>
      </c>
      <c r="AT755">
        <v>23.609874051989511</v>
      </c>
      <c r="AU755">
        <v>-81.085900309382112</v>
      </c>
      <c r="AV755"/>
      <c r="AW755"/>
      <c r="FY755" s="212">
        <v>750</v>
      </c>
      <c r="FZ755">
        <v>49.509474633827558</v>
      </c>
      <c r="GA755">
        <v>109.29308327037278</v>
      </c>
      <c r="GB755">
        <v>59.673664737834095</v>
      </c>
      <c r="GC755">
        <v>19.058071255386224</v>
      </c>
      <c r="GD755">
        <v>9.5590168253347976</v>
      </c>
      <c r="GE755">
        <v>9.7114517856682703</v>
      </c>
      <c r="GF755">
        <v>36.994963413938216</v>
      </c>
      <c r="GG755">
        <v>33.12357002668498</v>
      </c>
      <c r="GH755">
        <v>19.663858866828605</v>
      </c>
      <c r="GI755">
        <v>37.666227651463977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851.35603505711083</v>
      </c>
      <c r="AO756">
        <v>55.808681227913134</v>
      </c>
      <c r="AP756">
        <v>78.160498669575503</v>
      </c>
      <c r="AQ756">
        <v>387.05647759924989</v>
      </c>
      <c r="AR756">
        <v>54.180177178844275</v>
      </c>
      <c r="AS756">
        <v>450.54959896124967</v>
      </c>
      <c r="AT756">
        <v>27.483605932355143</v>
      </c>
      <c r="AU756">
        <v>-40.690793378253645</v>
      </c>
      <c r="AV756"/>
      <c r="AW756"/>
      <c r="FY756" s="212">
        <v>751</v>
      </c>
      <c r="FZ756">
        <v>51.934242523462515</v>
      </c>
      <c r="GA756">
        <v>95.444904101608472</v>
      </c>
      <c r="GB756">
        <v>47.139169431339589</v>
      </c>
      <c r="GC756">
        <v>18.647991235639129</v>
      </c>
      <c r="GD756">
        <v>12.235525375262288</v>
      </c>
      <c r="GE756">
        <v>12.12321502289991</v>
      </c>
      <c r="GF756">
        <v>8.0202669198648877</v>
      </c>
      <c r="GG756">
        <v>17.004539682827026</v>
      </c>
      <c r="GH756">
        <v>31.587306343183876</v>
      </c>
      <c r="GI756">
        <v>32.958666323936292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823.14957542980721</v>
      </c>
      <c r="AO757">
        <v>51.15388821143091</v>
      </c>
      <c r="AP757">
        <v>85.635449783997899</v>
      </c>
      <c r="AQ757">
        <v>356.23401826504511</v>
      </c>
      <c r="AR757">
        <v>50.779315644539182</v>
      </c>
      <c r="AS757">
        <v>407.54169929283756</v>
      </c>
      <c r="AT757">
        <v>25.622088599955926</v>
      </c>
      <c r="AU757">
        <v>-15.5316884909561</v>
      </c>
      <c r="AV757"/>
      <c r="AW757"/>
      <c r="FY757" s="212">
        <v>752</v>
      </c>
      <c r="FZ757">
        <v>45.522912158862368</v>
      </c>
      <c r="GA757">
        <v>111.80222608654586</v>
      </c>
      <c r="GB757">
        <v>59.697382007553387</v>
      </c>
      <c r="GC757">
        <v>16.92404000578378</v>
      </c>
      <c r="GD757">
        <v>11.174340951228752</v>
      </c>
      <c r="GE757">
        <v>13.140281849647319</v>
      </c>
      <c r="GF757">
        <v>26.566288047893423</v>
      </c>
      <c r="GG757">
        <v>34.210783684029593</v>
      </c>
      <c r="GH757">
        <v>30.544420601268328</v>
      </c>
      <c r="GI757">
        <v>37.847578557326038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804.70957644039424</v>
      </c>
      <c r="AO758">
        <v>54.503411057113524</v>
      </c>
      <c r="AP758">
        <v>65.568310530824533</v>
      </c>
      <c r="AQ758">
        <v>376.53835994929671</v>
      </c>
      <c r="AR758">
        <v>53.686297564745786</v>
      </c>
      <c r="AS758">
        <v>448.66715107429155</v>
      </c>
      <c r="AT758">
        <v>27.626117905773409</v>
      </c>
      <c r="AU758">
        <v>-37.618401137184151</v>
      </c>
      <c r="AV758"/>
      <c r="AW758"/>
      <c r="FY758" s="212">
        <v>753</v>
      </c>
      <c r="FZ758">
        <v>42.693479800228545</v>
      </c>
      <c r="GA758">
        <v>80.823456015460039</v>
      </c>
      <c r="GB758">
        <v>38.089247709943386</v>
      </c>
      <c r="GC758">
        <v>15.434385995484604</v>
      </c>
      <c r="GD758">
        <v>10.536631641661845</v>
      </c>
      <c r="GE758">
        <v>9.3883199439617488</v>
      </c>
      <c r="GF758">
        <v>24.07402789796593</v>
      </c>
      <c r="GG758">
        <v>25.283225209626671</v>
      </c>
      <c r="GH758">
        <v>29.447374540551362</v>
      </c>
      <c r="GI758">
        <v>31.075393981383993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762.28333205736647</v>
      </c>
      <c r="AO759">
        <v>51.914895978688627</v>
      </c>
      <c r="AP759">
        <v>53.610785697749009</v>
      </c>
      <c r="AQ759">
        <v>374.99230609046032</v>
      </c>
      <c r="AR759">
        <v>50.676913112990185</v>
      </c>
      <c r="AS759">
        <v>413.44174490426855</v>
      </c>
      <c r="AT759">
        <v>25.322918531554745</v>
      </c>
      <c r="AU759">
        <v>-83.505519673095222</v>
      </c>
      <c r="AV759"/>
      <c r="AW759"/>
      <c r="FY759" s="212">
        <v>754</v>
      </c>
      <c r="FZ759">
        <v>47.363281210331209</v>
      </c>
      <c r="GA759">
        <v>159.53410451091239</v>
      </c>
      <c r="GB759">
        <v>83.330521740468825</v>
      </c>
      <c r="GC759">
        <v>20.081004848957981</v>
      </c>
      <c r="GD759">
        <v>12.636240524917579</v>
      </c>
      <c r="GE759">
        <v>10.892804991761345</v>
      </c>
      <c r="GF759">
        <v>26.30755522996267</v>
      </c>
      <c r="GG759">
        <v>26.796866382480317</v>
      </c>
      <c r="GH759">
        <v>26.362432969832433</v>
      </c>
      <c r="GI759">
        <v>44.065722497375347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734.38662172971635</v>
      </c>
      <c r="AO760">
        <v>42.453053213106706</v>
      </c>
      <c r="AP760">
        <v>56.925247308107181</v>
      </c>
      <c r="AQ760">
        <v>283.57364954135187</v>
      </c>
      <c r="AR760">
        <v>40.876854774614792</v>
      </c>
      <c r="AS760">
        <v>349.6596894730198</v>
      </c>
      <c r="AT760">
        <v>20.054417819076672</v>
      </c>
      <c r="AU760">
        <v>-38.095867492867185</v>
      </c>
      <c r="AV760"/>
      <c r="AW760"/>
      <c r="FY760" s="212">
        <v>755</v>
      </c>
      <c r="FZ760">
        <v>45.183178152134367</v>
      </c>
      <c r="GA760">
        <v>144.68392466413727</v>
      </c>
      <c r="GB760">
        <v>77.314869666725059</v>
      </c>
      <c r="GC760">
        <v>19.997150563790829</v>
      </c>
      <c r="GD760">
        <v>11.594247187070454</v>
      </c>
      <c r="GE760">
        <v>12.67816276157521</v>
      </c>
      <c r="GF760">
        <v>40.697971615194533</v>
      </c>
      <c r="GG760">
        <v>35.84647161556024</v>
      </c>
      <c r="GH760">
        <v>19.048172048515561</v>
      </c>
      <c r="GI760">
        <v>43.087928363776165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634.23093660862389</v>
      </c>
      <c r="AO761">
        <v>44.774118417031417</v>
      </c>
      <c r="AP761">
        <v>100.32050460690141</v>
      </c>
      <c r="AQ761">
        <v>306.35945289122321</v>
      </c>
      <c r="AR761">
        <v>44.739192436448384</v>
      </c>
      <c r="AS761">
        <v>367.30315674626655</v>
      </c>
      <c r="AT761">
        <v>23.346577614856297</v>
      </c>
      <c r="AU761">
        <v>-42.846311437676626</v>
      </c>
      <c r="AV761"/>
      <c r="AW761"/>
      <c r="FY761" s="212">
        <v>756</v>
      </c>
      <c r="FZ761">
        <v>39.390151879436289</v>
      </c>
      <c r="GA761">
        <v>109.55218588883363</v>
      </c>
      <c r="GB761">
        <v>54.87903223215217</v>
      </c>
      <c r="GC761">
        <v>12.079967936750444</v>
      </c>
      <c r="GD761">
        <v>8.2891685217734068</v>
      </c>
      <c r="GE761">
        <v>12.288731215927564</v>
      </c>
      <c r="GF761">
        <v>38.598191400514203</v>
      </c>
      <c r="GG761">
        <v>37.211491605524174</v>
      </c>
      <c r="GH761">
        <v>35.836268616001462</v>
      </c>
      <c r="GI761">
        <v>37.061923256200458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744.49668868376762</v>
      </c>
      <c r="AO762">
        <v>50.418630434862095</v>
      </c>
      <c r="AP762">
        <v>31.576553113344765</v>
      </c>
      <c r="AQ762">
        <v>351.95889463180697</v>
      </c>
      <c r="AR762">
        <v>49.318511768478807</v>
      </c>
      <c r="AS762">
        <v>406.51318041292905</v>
      </c>
      <c r="AT762">
        <v>24.707519335283703</v>
      </c>
      <c r="AU762">
        <v>-73.867812813964377</v>
      </c>
      <c r="AV762"/>
      <c r="AW762"/>
      <c r="FY762" s="212">
        <v>757</v>
      </c>
      <c r="FZ762">
        <v>41.133782456354446</v>
      </c>
      <c r="GA762">
        <v>92.115949341099736</v>
      </c>
      <c r="GB762">
        <v>56.206793313461766</v>
      </c>
      <c r="GC762">
        <v>21.74792153687082</v>
      </c>
      <c r="GD762">
        <v>12.021328482698506</v>
      </c>
      <c r="GE762">
        <v>14.367364959868418</v>
      </c>
      <c r="GF762">
        <v>35.881449399926261</v>
      </c>
      <c r="GG762">
        <v>33.307073470412639</v>
      </c>
      <c r="GH762">
        <v>30.562971221610614</v>
      </c>
      <c r="GI762">
        <v>38.517063468417184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837.16305477945139</v>
      </c>
      <c r="AO763">
        <v>58.859309242638041</v>
      </c>
      <c r="AP763">
        <v>67.978233972922169</v>
      </c>
      <c r="AQ763">
        <v>413.09281832237087</v>
      </c>
      <c r="AR763">
        <v>57.168869034548216</v>
      </c>
      <c r="AS763">
        <v>452.88292201056697</v>
      </c>
      <c r="AT763">
        <v>28.56781927903117</v>
      </c>
      <c r="AU763">
        <v>-113.63134697236794</v>
      </c>
      <c r="AV763"/>
      <c r="AW763"/>
      <c r="FY763" s="212">
        <v>758</v>
      </c>
      <c r="FZ763">
        <v>39.354480215152137</v>
      </c>
      <c r="GA763">
        <v>98.806221429670643</v>
      </c>
      <c r="GB763">
        <v>61.302016495054474</v>
      </c>
      <c r="GC763">
        <v>21.869672740912925</v>
      </c>
      <c r="GD763">
        <v>12.468336511529099</v>
      </c>
      <c r="GE763">
        <v>18.398272141872976</v>
      </c>
      <c r="GF763">
        <v>14.998622205705555</v>
      </c>
      <c r="GG763">
        <v>21.71477581319256</v>
      </c>
      <c r="GH763">
        <v>30.192365887809313</v>
      </c>
      <c r="GI763">
        <v>35.899788008097595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812.69895877536226</v>
      </c>
      <c r="AO764">
        <v>56.983405925625142</v>
      </c>
      <c r="AP764">
        <v>75.00877155743342</v>
      </c>
      <c r="AQ764">
        <v>397.75975495628848</v>
      </c>
      <c r="AR764">
        <v>54.211453512499105</v>
      </c>
      <c r="AS764">
        <v>462.42637746033915</v>
      </c>
      <c r="AT764">
        <v>27.481422595479046</v>
      </c>
      <c r="AU764">
        <v>-42.197365670503004</v>
      </c>
      <c r="AV764"/>
      <c r="AW764"/>
      <c r="FY764" s="212">
        <v>759</v>
      </c>
      <c r="FZ764">
        <v>40.999556990737503</v>
      </c>
      <c r="GA764">
        <v>129.79557564261296</v>
      </c>
      <c r="GB764">
        <v>79.783692088590271</v>
      </c>
      <c r="GC764">
        <v>23.684433972155837</v>
      </c>
      <c r="GD764">
        <v>10.044532170586734</v>
      </c>
      <c r="GE764">
        <v>14.286049273528079</v>
      </c>
      <c r="GF764">
        <v>34.597358622237152</v>
      </c>
      <c r="GG764">
        <v>35.758014161150768</v>
      </c>
      <c r="GH764">
        <v>31.704303722771641</v>
      </c>
      <c r="GI764">
        <v>43.24623355731574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591.26621349790958</v>
      </c>
      <c r="AO765">
        <v>41.856192829030078</v>
      </c>
      <c r="AP765">
        <v>143.79320596050664</v>
      </c>
      <c r="AQ765">
        <v>286.8970173312141</v>
      </c>
      <c r="AR765">
        <v>42.493752364451936</v>
      </c>
      <c r="AS765">
        <v>339.55100562311355</v>
      </c>
      <c r="AT765">
        <v>25.030788740455282</v>
      </c>
      <c r="AU765">
        <v>-165.90764619817853</v>
      </c>
      <c r="AV765"/>
      <c r="AW765"/>
      <c r="FY765" s="212">
        <v>760</v>
      </c>
      <c r="FZ765">
        <v>46.446939158191668</v>
      </c>
      <c r="GA765">
        <v>81.812721651934851</v>
      </c>
      <c r="GB765">
        <v>46.519449784176466</v>
      </c>
      <c r="GC765">
        <v>16.47933071617577</v>
      </c>
      <c r="GD765">
        <v>13.255983508509955</v>
      </c>
      <c r="GE765">
        <v>19.842517048908761</v>
      </c>
      <c r="GF765">
        <v>24.307570475353113</v>
      </c>
      <c r="GG765">
        <v>20.288164142922781</v>
      </c>
      <c r="GH765">
        <v>28.075839192701643</v>
      </c>
      <c r="GI765">
        <v>34.991913917568127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815.86017491187408</v>
      </c>
      <c r="AO766">
        <v>53.10498593695187</v>
      </c>
      <c r="AP766">
        <v>92.257308958632507</v>
      </c>
      <c r="AQ766">
        <v>384.25338246733952</v>
      </c>
      <c r="AR766">
        <v>51.934830875465671</v>
      </c>
      <c r="AS766">
        <v>436.55552154963846</v>
      </c>
      <c r="AT766">
        <v>26.304098048443404</v>
      </c>
      <c r="AU766">
        <v>-16.567110865421249</v>
      </c>
      <c r="AV766"/>
      <c r="AW766"/>
      <c r="FY766" s="212">
        <v>761</v>
      </c>
      <c r="FZ766">
        <v>28.885152989142966</v>
      </c>
      <c r="GA766">
        <v>86.282856363051849</v>
      </c>
      <c r="GB766">
        <v>66.642328997608246</v>
      </c>
      <c r="GC766">
        <v>25.353918662651076</v>
      </c>
      <c r="GD766">
        <v>10.806151492467125</v>
      </c>
      <c r="GE766">
        <v>12.705067428496529</v>
      </c>
      <c r="GF766">
        <v>28.932836144970889</v>
      </c>
      <c r="GG766">
        <v>28.569243985273076</v>
      </c>
      <c r="GH766">
        <v>27.123278674789802</v>
      </c>
      <c r="GI766">
        <v>36.703364041545477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705.89828722441632</v>
      </c>
      <c r="AO767">
        <v>45.868081471215127</v>
      </c>
      <c r="AP767">
        <v>56.930292958414569</v>
      </c>
      <c r="AQ767">
        <v>327.09582696002394</v>
      </c>
      <c r="AR767">
        <v>45.30151101510436</v>
      </c>
      <c r="AS767">
        <v>372.80204690698844</v>
      </c>
      <c r="AT767">
        <v>23.957472310426379</v>
      </c>
      <c r="AU767">
        <v>-85.007778743315626</v>
      </c>
      <c r="AV767"/>
      <c r="AW767"/>
      <c r="FY767" s="212">
        <v>762</v>
      </c>
      <c r="FZ767">
        <v>46.191589405388413</v>
      </c>
      <c r="GA767">
        <v>89.209204553730657</v>
      </c>
      <c r="GB767">
        <v>45.486312575286931</v>
      </c>
      <c r="GC767">
        <v>17.618086258801306</v>
      </c>
      <c r="GD767">
        <v>11.710912570350109</v>
      </c>
      <c r="GE767">
        <v>13.401819297322174</v>
      </c>
      <c r="GF767">
        <v>32.001459944708088</v>
      </c>
      <c r="GG767">
        <v>26.02009384429207</v>
      </c>
      <c r="GH767">
        <v>18.561537880641243</v>
      </c>
      <c r="GI767">
        <v>33.796858850182474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799.95637967301604</v>
      </c>
      <c r="AO768">
        <v>53.696266252812656</v>
      </c>
      <c r="AP768">
        <v>68.313152260674613</v>
      </c>
      <c r="AQ768">
        <v>387.43025395013876</v>
      </c>
      <c r="AR768">
        <v>52.203173382030904</v>
      </c>
      <c r="AS768">
        <v>424.70510934351722</v>
      </c>
      <c r="AT768">
        <v>25.829805010012368</v>
      </c>
      <c r="AU768">
        <v>-72.851235727121662</v>
      </c>
      <c r="AV768"/>
      <c r="AW768"/>
      <c r="FY768" s="212">
        <v>763</v>
      </c>
      <c r="FZ768">
        <v>52.911697917983716</v>
      </c>
      <c r="GA768">
        <v>94.122625888123366</v>
      </c>
      <c r="GB768">
        <v>48.834536890089687</v>
      </c>
      <c r="GC768">
        <v>17.863589631055365</v>
      </c>
      <c r="GD768">
        <v>13.579285474187142</v>
      </c>
      <c r="GE768">
        <v>17.68774846508806</v>
      </c>
      <c r="GF768">
        <v>17.751236719323071</v>
      </c>
      <c r="GG768">
        <v>21.075390780828556</v>
      </c>
      <c r="GH768">
        <v>29.963691278521193</v>
      </c>
      <c r="GI768">
        <v>35.853904430708631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598.46370492307312</v>
      </c>
      <c r="AO769">
        <v>42.942307676048621</v>
      </c>
      <c r="AP769">
        <v>75.607957532813515</v>
      </c>
      <c r="AQ769">
        <v>306.8455427362681</v>
      </c>
      <c r="AR769">
        <v>42.896568643605441</v>
      </c>
      <c r="AS769">
        <v>336.53736702115788</v>
      </c>
      <c r="AT769">
        <v>22.325680927064639</v>
      </c>
      <c r="AU769">
        <v>-17.946004348709376</v>
      </c>
      <c r="AV769"/>
      <c r="AW769"/>
      <c r="FY769" s="212">
        <v>764</v>
      </c>
      <c r="FZ769">
        <v>54.784487314956657</v>
      </c>
      <c r="GA769">
        <v>100.80685658315193</v>
      </c>
      <c r="GB769">
        <v>57.732052167332974</v>
      </c>
      <c r="GC769">
        <v>18.437748381574821</v>
      </c>
      <c r="GD769">
        <v>9.9599903613045093</v>
      </c>
      <c r="GE769">
        <v>13.357885258139065</v>
      </c>
      <c r="GF769">
        <v>25.632656865569913</v>
      </c>
      <c r="GG769">
        <v>26.611037238522197</v>
      </c>
      <c r="GH769">
        <v>19.906525794604153</v>
      </c>
      <c r="GI769">
        <v>36.198440379714931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934.46276569592101</v>
      </c>
      <c r="AO770">
        <v>62.263819980333928</v>
      </c>
      <c r="AP770">
        <v>71.025452358251684</v>
      </c>
      <c r="AQ770">
        <v>457.37053490700015</v>
      </c>
      <c r="AR770">
        <v>60.677481481500429</v>
      </c>
      <c r="AS770">
        <v>511.79172420535821</v>
      </c>
      <c r="AT770">
        <v>30.108991600140047</v>
      </c>
      <c r="AU770">
        <v>-135.71203857802038</v>
      </c>
      <c r="AV770"/>
      <c r="AW770"/>
      <c r="FY770" s="212">
        <v>765</v>
      </c>
      <c r="FZ770">
        <v>47.138524682213948</v>
      </c>
      <c r="GA770">
        <v>72.811212892928452</v>
      </c>
      <c r="GB770">
        <v>45.531178335454086</v>
      </c>
      <c r="GC770">
        <v>23.789998044024653</v>
      </c>
      <c r="GD770">
        <v>15.114026344279599</v>
      </c>
      <c r="GE770">
        <v>17.316781692798404</v>
      </c>
      <c r="GF770">
        <v>15.544931028519517</v>
      </c>
      <c r="GG770">
        <v>20.082719881245424</v>
      </c>
      <c r="GH770">
        <v>27.179088269590544</v>
      </c>
      <c r="GI770">
        <v>34.218814761524037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940.2075150551027</v>
      </c>
      <c r="AO771">
        <v>61.692208159582982</v>
      </c>
      <c r="AP771">
        <v>133.64136395912126</v>
      </c>
      <c r="AQ771">
        <v>450.13207663847965</v>
      </c>
      <c r="AR771">
        <v>59.229187326536582</v>
      </c>
      <c r="AS771">
        <v>506.71985792135013</v>
      </c>
      <c r="AT771">
        <v>29.291065456627326</v>
      </c>
      <c r="AU771">
        <v>-41.296839877913591</v>
      </c>
      <c r="AV771"/>
      <c r="AW771"/>
      <c r="FY771" s="212">
        <v>766</v>
      </c>
      <c r="FZ771">
        <v>28.280231889067686</v>
      </c>
      <c r="GA771">
        <v>101.67144760070232</v>
      </c>
      <c r="GB771">
        <v>57.594272226091334</v>
      </c>
      <c r="GC771">
        <v>17.190151145820721</v>
      </c>
      <c r="GD771">
        <v>10.412391141910108</v>
      </c>
      <c r="GE771">
        <v>14.920689554244568</v>
      </c>
      <c r="GF771">
        <v>14.743241234034654</v>
      </c>
      <c r="GG771">
        <v>13.517913353544465</v>
      </c>
      <c r="GH771">
        <v>17.025124577397182</v>
      </c>
      <c r="GI771">
        <v>29.979683054751064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730.85859624681393</v>
      </c>
      <c r="AO772">
        <v>51.553976474233934</v>
      </c>
      <c r="AP772">
        <v>90.550201370867015</v>
      </c>
      <c r="AQ772">
        <v>385.18711255311371</v>
      </c>
      <c r="AR772">
        <v>51.056473244130395</v>
      </c>
      <c r="AS772">
        <v>390.92935104239751</v>
      </c>
      <c r="AT772">
        <v>25.198340135587731</v>
      </c>
      <c r="AU772">
        <v>-31.463914600529733</v>
      </c>
      <c r="AV772"/>
      <c r="AW772"/>
      <c r="FY772" s="212">
        <v>767</v>
      </c>
      <c r="FZ772">
        <v>40.83441014893986</v>
      </c>
      <c r="GA772">
        <v>80.285107823311378</v>
      </c>
      <c r="GB772">
        <v>54.898586142318074</v>
      </c>
      <c r="GC772">
        <v>24.555042028712695</v>
      </c>
      <c r="GD772">
        <v>14.562673941641444</v>
      </c>
      <c r="GE772">
        <v>16.724998478835474</v>
      </c>
      <c r="GF772">
        <v>20.582439232287122</v>
      </c>
      <c r="GG772">
        <v>17.580334234079999</v>
      </c>
      <c r="GH772">
        <v>16.963592382055658</v>
      </c>
      <c r="GI772">
        <v>34.596589812815218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798.68131305304178</v>
      </c>
      <c r="AO773">
        <v>54.05806115716149</v>
      </c>
      <c r="AP773">
        <v>80.369486767044918</v>
      </c>
      <c r="AQ773">
        <v>375.86169765072037</v>
      </c>
      <c r="AR773">
        <v>53.051247663986253</v>
      </c>
      <c r="AS773">
        <v>435.72544352662123</v>
      </c>
      <c r="AT773">
        <v>26.911190528113266</v>
      </c>
      <c r="AU773">
        <v>-48.013999592812048</v>
      </c>
      <c r="AV773"/>
      <c r="AW773"/>
      <c r="FY773" s="212">
        <v>768</v>
      </c>
      <c r="FZ773">
        <v>45.529022019351082</v>
      </c>
      <c r="GA773">
        <v>112.64233686966818</v>
      </c>
      <c r="GB773">
        <v>66.072614039010588</v>
      </c>
      <c r="GC773">
        <v>19.516949294311875</v>
      </c>
      <c r="GD773">
        <v>10.998541836453732</v>
      </c>
      <c r="GE773">
        <v>11.006323055926797</v>
      </c>
      <c r="GF773">
        <v>35.124315352067022</v>
      </c>
      <c r="GG773">
        <v>35.821615696635916</v>
      </c>
      <c r="GH773">
        <v>22.876094634724691</v>
      </c>
      <c r="GI773">
        <v>39.540893120291308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759.01371332679935</v>
      </c>
      <c r="AO774">
        <v>51.694845090982838</v>
      </c>
      <c r="AP774">
        <v>56.913560322389927</v>
      </c>
      <c r="AQ774">
        <v>355.00455144899729</v>
      </c>
      <c r="AR774">
        <v>49.517063879230982</v>
      </c>
      <c r="AS774">
        <v>405.33123013300212</v>
      </c>
      <c r="AT774">
        <v>24.699496726099895</v>
      </c>
      <c r="AU774">
        <v>-53.388082115982819</v>
      </c>
      <c r="AV774"/>
      <c r="AW774"/>
      <c r="FY774" s="212">
        <v>769</v>
      </c>
      <c r="FZ774">
        <v>46.087649322466447</v>
      </c>
      <c r="GA774">
        <v>99.006918419774024</v>
      </c>
      <c r="GB774">
        <v>43.886481214227324</v>
      </c>
      <c r="GC774">
        <v>13.645500971472288</v>
      </c>
      <c r="GD774">
        <v>11.319587313819726</v>
      </c>
      <c r="GE774">
        <v>14.786270827650943</v>
      </c>
      <c r="GF774">
        <v>43.015564111352795</v>
      </c>
      <c r="GG774">
        <v>40.12827059561068</v>
      </c>
      <c r="GH774">
        <v>19.138865501418309</v>
      </c>
      <c r="GI774">
        <v>35.295413674855041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813.64015274260851</v>
      </c>
      <c r="AO775">
        <v>62.296350224024863</v>
      </c>
      <c r="AP775">
        <v>63.56224153196294</v>
      </c>
      <c r="AQ775">
        <v>443.89975020168669</v>
      </c>
      <c r="AR775">
        <v>59.677185038230633</v>
      </c>
      <c r="AS775">
        <v>468.93961525808743</v>
      </c>
      <c r="AT775">
        <v>29.17138891692441</v>
      </c>
      <c r="AU775">
        <v>-62.560566644274111</v>
      </c>
      <c r="AV775"/>
      <c r="AW775"/>
      <c r="FY775" s="212">
        <v>770</v>
      </c>
      <c r="FZ775">
        <v>42.436984803728379</v>
      </c>
      <c r="GA775">
        <v>117.62058073412695</v>
      </c>
      <c r="GB775">
        <v>68.861974342204576</v>
      </c>
      <c r="GC775">
        <v>16.699394347317391</v>
      </c>
      <c r="GD775">
        <v>7.9705178606938523</v>
      </c>
      <c r="GE775">
        <v>16.168824241315388</v>
      </c>
      <c r="GF775">
        <v>25.017944422122568</v>
      </c>
      <c r="GG775">
        <v>18.789467875130875</v>
      </c>
      <c r="GH775">
        <v>21.930962492282358</v>
      </c>
      <c r="GI775">
        <v>36.050986384228445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798.65592476584573</v>
      </c>
      <c r="AO776">
        <v>47.68553762151079</v>
      </c>
      <c r="AP776">
        <v>66.067852852354534</v>
      </c>
      <c r="AQ776">
        <v>332.02042959644319</v>
      </c>
      <c r="AR776">
        <v>48.095957840295128</v>
      </c>
      <c r="AS776">
        <v>400.66673029056074</v>
      </c>
      <c r="AT776">
        <v>24.703259436857437</v>
      </c>
      <c r="AU776">
        <v>-48.370762560804508</v>
      </c>
      <c r="AV776"/>
      <c r="AW776"/>
      <c r="FY776" s="212">
        <v>771</v>
      </c>
      <c r="FZ776">
        <v>63.49286052233542</v>
      </c>
      <c r="GA776">
        <v>79.225400808096865</v>
      </c>
      <c r="GB776">
        <v>51.863049534662174</v>
      </c>
      <c r="GC776">
        <v>27.76207002694991</v>
      </c>
      <c r="GD776">
        <v>14.436566297410815</v>
      </c>
      <c r="GE776">
        <v>14.968940838071186</v>
      </c>
      <c r="GF776">
        <v>25.398435839519887</v>
      </c>
      <c r="GG776">
        <v>23.744894217940804</v>
      </c>
      <c r="GH776">
        <v>28.908571161959035</v>
      </c>
      <c r="GI776">
        <v>39.880142760739915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811.04299863661095</v>
      </c>
      <c r="AO777">
        <v>52.014198040000466</v>
      </c>
      <c r="AP777">
        <v>73.050863667445213</v>
      </c>
      <c r="AQ777">
        <v>352.00419877999701</v>
      </c>
      <c r="AR777">
        <v>50.451650745423571</v>
      </c>
      <c r="AS777">
        <v>403.09133500928601</v>
      </c>
      <c r="AT777">
        <v>24.806818315716885</v>
      </c>
      <c r="AU777">
        <v>-61.894640045691659</v>
      </c>
      <c r="AV777"/>
      <c r="AW777"/>
      <c r="FY777" s="212">
        <v>772</v>
      </c>
      <c r="FZ777">
        <v>42.993257812529542</v>
      </c>
      <c r="GA777">
        <v>58.090620312332845</v>
      </c>
      <c r="GB777">
        <v>36.732306000032132</v>
      </c>
      <c r="GC777">
        <v>20.334802196522205</v>
      </c>
      <c r="GD777">
        <v>11.558404603827872</v>
      </c>
      <c r="GE777">
        <v>10.069186629249302</v>
      </c>
      <c r="GF777">
        <v>10.565440828693509</v>
      </c>
      <c r="GG777">
        <v>16.373441615481557</v>
      </c>
      <c r="GH777">
        <v>30.065828410186047</v>
      </c>
      <c r="GI777">
        <v>28.920312012075556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704.87641286216081</v>
      </c>
      <c r="AO778">
        <v>47.439767185130101</v>
      </c>
      <c r="AP778">
        <v>109.38685672987272</v>
      </c>
      <c r="AQ778">
        <v>333.99787518070355</v>
      </c>
      <c r="AR778">
        <v>46.610092571537891</v>
      </c>
      <c r="AS778">
        <v>376.24642155156278</v>
      </c>
      <c r="AT778">
        <v>23.629833306199558</v>
      </c>
      <c r="AU778">
        <v>-1.4440704318046116</v>
      </c>
      <c r="AV778"/>
      <c r="AW778"/>
      <c r="FY778" s="212">
        <v>773</v>
      </c>
      <c r="FZ778">
        <v>47.569846403568391</v>
      </c>
      <c r="GA778">
        <v>89.349987993523854</v>
      </c>
      <c r="GB778">
        <v>50.834577486210883</v>
      </c>
      <c r="GC778">
        <v>19.728354683373453</v>
      </c>
      <c r="GD778">
        <v>11.825701573950008</v>
      </c>
      <c r="GE778">
        <v>16.24767520526186</v>
      </c>
      <c r="GF778">
        <v>21.639580674985169</v>
      </c>
      <c r="GG778">
        <v>20.238239185259353</v>
      </c>
      <c r="GH778">
        <v>18.627746348567975</v>
      </c>
      <c r="GI778">
        <v>33.403335266489904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751.19284226592561</v>
      </c>
      <c r="AO779">
        <v>49.632417826981182</v>
      </c>
      <c r="AP779">
        <v>66.123051464430304</v>
      </c>
      <c r="AQ779">
        <v>349.64370747590874</v>
      </c>
      <c r="AR779">
        <v>49.360561229414785</v>
      </c>
      <c r="AS779">
        <v>425.34792436990693</v>
      </c>
      <c r="AT779">
        <v>26.41438998257253</v>
      </c>
      <c r="AU779">
        <v>-64.452461140713552</v>
      </c>
      <c r="AV779"/>
      <c r="AW779"/>
      <c r="FY779" s="212">
        <v>774</v>
      </c>
      <c r="FZ779">
        <v>64.499025740639112</v>
      </c>
      <c r="GA779">
        <v>95.035134280194953</v>
      </c>
      <c r="GB779">
        <v>49.181134982717062</v>
      </c>
      <c r="GC779">
        <v>21.663418074361566</v>
      </c>
      <c r="GD779">
        <v>14.320906705289666</v>
      </c>
      <c r="GE779">
        <v>14.632135803193165</v>
      </c>
      <c r="GF779">
        <v>18.259564735429166</v>
      </c>
      <c r="GG779">
        <v>22.679871483738836</v>
      </c>
      <c r="GH779">
        <v>26.944023975959269</v>
      </c>
      <c r="GI779">
        <v>37.723326932483296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733.28593691650781</v>
      </c>
      <c r="AO780">
        <v>50.853051473947154</v>
      </c>
      <c r="AP780">
        <v>63.679438437373591</v>
      </c>
      <c r="AQ780">
        <v>363.42768034487113</v>
      </c>
      <c r="AR780">
        <v>50.027076929997179</v>
      </c>
      <c r="AS780">
        <v>380.0058134274808</v>
      </c>
      <c r="AT780">
        <v>25.281594450192959</v>
      </c>
      <c r="AU780">
        <v>-49.742675705280995</v>
      </c>
      <c r="AV780"/>
      <c r="AW780"/>
      <c r="FY780" s="212">
        <v>775</v>
      </c>
      <c r="FZ780">
        <v>43.888971102329009</v>
      </c>
      <c r="GA780">
        <v>132.54535255143807</v>
      </c>
      <c r="GB780">
        <v>68.940342344077379</v>
      </c>
      <c r="GC780">
        <v>17.752432415971946</v>
      </c>
      <c r="GD780">
        <v>9.5405193540866087</v>
      </c>
      <c r="GE780">
        <v>12.825905075635244</v>
      </c>
      <c r="GF780">
        <v>23.297205685709361</v>
      </c>
      <c r="GG780">
        <v>15.060070009319984</v>
      </c>
      <c r="GH780">
        <v>17.317650776233691</v>
      </c>
      <c r="GI780">
        <v>36.331812762821315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826.5021229156589</v>
      </c>
      <c r="AO781">
        <v>48.054437138731366</v>
      </c>
      <c r="AP781">
        <v>57.853943360286074</v>
      </c>
      <c r="AQ781">
        <v>318.72727593257866</v>
      </c>
      <c r="AR781">
        <v>47.10911613777516</v>
      </c>
      <c r="AS781">
        <v>385.9653404123672</v>
      </c>
      <c r="AT781">
        <v>24.399699618917055</v>
      </c>
      <c r="AU781">
        <v>-46.597598624317186</v>
      </c>
      <c r="AV781"/>
      <c r="AW781"/>
      <c r="FY781" s="212">
        <v>776</v>
      </c>
      <c r="FZ781">
        <v>51.960451415909453</v>
      </c>
      <c r="GA781">
        <v>82.121466661952198</v>
      </c>
      <c r="GB781">
        <v>45.932320353197056</v>
      </c>
      <c r="GC781">
        <v>19.859951559513409</v>
      </c>
      <c r="GD781">
        <v>10.967891382067496</v>
      </c>
      <c r="GE781">
        <v>11.642115481926135</v>
      </c>
      <c r="GF781">
        <v>31.209021938376743</v>
      </c>
      <c r="GG781">
        <v>30.230480077621088</v>
      </c>
      <c r="GH781">
        <v>28.171135019554395</v>
      </c>
      <c r="GI781">
        <v>35.710731297641978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687.12829053371775</v>
      </c>
      <c r="AO782">
        <v>43.621731038530584</v>
      </c>
      <c r="AP782">
        <v>40.827629972104255</v>
      </c>
      <c r="AQ782">
        <v>305.33514577756421</v>
      </c>
      <c r="AR782">
        <v>41.249438722846939</v>
      </c>
      <c r="AS782">
        <v>362.56267166732596</v>
      </c>
      <c r="AT782">
        <v>20.489868983859299</v>
      </c>
      <c r="AU782">
        <v>-70.659681390421909</v>
      </c>
      <c r="AV782"/>
      <c r="AW782"/>
      <c r="FY782" s="212">
        <v>777</v>
      </c>
      <c r="FZ782">
        <v>44.91101699850546</v>
      </c>
      <c r="GA782">
        <v>85.713545552061021</v>
      </c>
      <c r="GB782">
        <v>41.63453677953872</v>
      </c>
      <c r="GC782">
        <v>18.105521089896275</v>
      </c>
      <c r="GD782">
        <v>11.090020369283076</v>
      </c>
      <c r="GE782">
        <v>10.769144210638173</v>
      </c>
      <c r="GF782">
        <v>13.674002604381457</v>
      </c>
      <c r="GG782">
        <v>13.981865690875148</v>
      </c>
      <c r="GH782">
        <v>18.88794586400428</v>
      </c>
      <c r="GI782">
        <v>28.994351573003112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726.53454055472525</v>
      </c>
      <c r="AO783">
        <v>48.770965586795228</v>
      </c>
      <c r="AP783">
        <v>60.418807534956628</v>
      </c>
      <c r="AQ783">
        <v>321.58377422499694</v>
      </c>
      <c r="AR783">
        <v>47.640963873674906</v>
      </c>
      <c r="AS783">
        <v>408.22573329545298</v>
      </c>
      <c r="AT783">
        <v>24.402832423450054</v>
      </c>
      <c r="AU783">
        <v>-30.208528048874264</v>
      </c>
      <c r="AV783"/>
      <c r="AW783"/>
      <c r="FY783" s="212">
        <v>778</v>
      </c>
      <c r="FZ783">
        <v>54.472686466894984</v>
      </c>
      <c r="GA783">
        <v>64.276489755694485</v>
      </c>
      <c r="GB783">
        <v>39.341555854079232</v>
      </c>
      <c r="GC783">
        <v>21.263232632746824</v>
      </c>
      <c r="GD783">
        <v>14.228458349160729</v>
      </c>
      <c r="GE783">
        <v>15.14731452339057</v>
      </c>
      <c r="GF783">
        <v>23.375166305794565</v>
      </c>
      <c r="GG783">
        <v>26.876124965055901</v>
      </c>
      <c r="GH783">
        <v>23.990257443391698</v>
      </c>
      <c r="GI783">
        <v>34.131979014919253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805.51858729671915</v>
      </c>
      <c r="AO784">
        <v>55.469355937665497</v>
      </c>
      <c r="AP784">
        <v>90.164006141758989</v>
      </c>
      <c r="AQ784">
        <v>399.12870591844114</v>
      </c>
      <c r="AR784">
        <v>54.262721398935753</v>
      </c>
      <c r="AS784">
        <v>441.4570696252207</v>
      </c>
      <c r="AT784">
        <v>27.388671054318582</v>
      </c>
      <c r="AU784">
        <v>-6.2031794391881903</v>
      </c>
      <c r="AV784"/>
      <c r="AW784"/>
      <c r="FY784" s="212">
        <v>779</v>
      </c>
      <c r="FZ784">
        <v>39.48032358444334</v>
      </c>
      <c r="GA784">
        <v>71.796953061141906</v>
      </c>
      <c r="GB784">
        <v>48.429883836991415</v>
      </c>
      <c r="GC784">
        <v>22.5377180085001</v>
      </c>
      <c r="GD784">
        <v>11.580372446648683</v>
      </c>
      <c r="GE784">
        <v>15.838305318633532</v>
      </c>
      <c r="GF784">
        <v>38.848454291316664</v>
      </c>
      <c r="GG784">
        <v>32.828787708377469</v>
      </c>
      <c r="GH784">
        <v>22.887165882099676</v>
      </c>
      <c r="GI784">
        <v>35.289126576152825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735.3706468103361</v>
      </c>
      <c r="AO785">
        <v>50.590729679477846</v>
      </c>
      <c r="AP785">
        <v>98.328818888254659</v>
      </c>
      <c r="AQ785">
        <v>366.3105219526476</v>
      </c>
      <c r="AR785">
        <v>48.662844057868938</v>
      </c>
      <c r="AS785">
        <v>392.98782351699617</v>
      </c>
      <c r="AT785">
        <v>24.512630566709646</v>
      </c>
      <c r="AU785">
        <v>-11.054966372802969</v>
      </c>
      <c r="AV785"/>
      <c r="AW785"/>
      <c r="FY785" s="212">
        <v>780</v>
      </c>
      <c r="FZ785">
        <v>53.017573427006589</v>
      </c>
      <c r="GA785">
        <v>105.90245645330248</v>
      </c>
      <c r="GB785">
        <v>53.618390622341465</v>
      </c>
      <c r="GC785">
        <v>14.932577451265599</v>
      </c>
      <c r="GD785">
        <v>9.7341654170536138</v>
      </c>
      <c r="GE785">
        <v>13.195532471662348</v>
      </c>
      <c r="GF785">
        <v>35.412750293846784</v>
      </c>
      <c r="GG785">
        <v>34.652722266918587</v>
      </c>
      <c r="GH785">
        <v>27.439818752655736</v>
      </c>
      <c r="GI785">
        <v>37.645105897807774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805.70690816584897</v>
      </c>
      <c r="AO786">
        <v>50.780486928144555</v>
      </c>
      <c r="AP786">
        <v>59.08281932227068</v>
      </c>
      <c r="AQ786">
        <v>371.54763750315078</v>
      </c>
      <c r="AR786">
        <v>49.564187287700932</v>
      </c>
      <c r="AS786">
        <v>408.9643513784398</v>
      </c>
      <c r="AT786">
        <v>24.59627380689302</v>
      </c>
      <c r="AU786">
        <v>-63.522506358240733</v>
      </c>
      <c r="AV786"/>
      <c r="AW786"/>
      <c r="FY786" s="212">
        <v>781</v>
      </c>
      <c r="FZ786">
        <v>45.236989715148006</v>
      </c>
      <c r="GA786">
        <v>91.939012700703159</v>
      </c>
      <c r="GB786">
        <v>58.064429614861744</v>
      </c>
      <c r="GC786">
        <v>23.726927889663671</v>
      </c>
      <c r="GD786">
        <v>12.641484327308595</v>
      </c>
      <c r="GE786">
        <v>11.772252821569829</v>
      </c>
      <c r="GF786">
        <v>26.468424941282155</v>
      </c>
      <c r="GG786">
        <v>34.947357376661373</v>
      </c>
      <c r="GH786">
        <v>36.972148704105685</v>
      </c>
      <c r="GI786">
        <v>39.122942297737609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796.90205934242488</v>
      </c>
      <c r="AO787">
        <v>54.542163882641113</v>
      </c>
      <c r="AP787">
        <v>64.713486193015171</v>
      </c>
      <c r="AQ787">
        <v>369.68093200768601</v>
      </c>
      <c r="AR787">
        <v>54.874798623021668</v>
      </c>
      <c r="AS787">
        <v>446.67528129005211</v>
      </c>
      <c r="AT787">
        <v>29.712769568571034</v>
      </c>
      <c r="AU787">
        <v>-55.311352326755426</v>
      </c>
      <c r="AV787"/>
      <c r="AW787"/>
      <c r="FY787" s="212">
        <v>782</v>
      </c>
      <c r="FZ787">
        <v>40.854360791890429</v>
      </c>
      <c r="GA787">
        <v>74.217793564180241</v>
      </c>
      <c r="GB787">
        <v>47.030830451681034</v>
      </c>
      <c r="GC787">
        <v>21.383211887579204</v>
      </c>
      <c r="GD787">
        <v>12.277417816814969</v>
      </c>
      <c r="GE787">
        <v>13.209987746897923</v>
      </c>
      <c r="GF787">
        <v>30.33689567618978</v>
      </c>
      <c r="GG787">
        <v>28.930634966664371</v>
      </c>
      <c r="GH787">
        <v>23.356497361462793</v>
      </c>
      <c r="GI787">
        <v>34.047385374516878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574.90505040563096</v>
      </c>
      <c r="AO788">
        <v>39.446602280724505</v>
      </c>
      <c r="AP788">
        <v>122.90028145716694</v>
      </c>
      <c r="AQ788">
        <v>265.70360042093057</v>
      </c>
      <c r="AR788">
        <v>39.87823590078002</v>
      </c>
      <c r="AS788">
        <v>321.62632140018047</v>
      </c>
      <c r="AT788">
        <v>22.717547246119835</v>
      </c>
      <c r="AU788">
        <v>-253.0519950517961</v>
      </c>
      <c r="AV788"/>
      <c r="AW788"/>
      <c r="FY788" s="212">
        <v>783</v>
      </c>
      <c r="FZ788">
        <v>50.587162904270521</v>
      </c>
      <c r="GA788">
        <v>90.260596601038216</v>
      </c>
      <c r="GB788">
        <v>46.46894796870825</v>
      </c>
      <c r="GC788">
        <v>13.953366030359691</v>
      </c>
      <c r="GD788">
        <v>9.5754502618326285</v>
      </c>
      <c r="GE788">
        <v>12.956443212012504</v>
      </c>
      <c r="GF788">
        <v>30.791219649426672</v>
      </c>
      <c r="GG788">
        <v>31.850623495654155</v>
      </c>
      <c r="GH788">
        <v>23.819068107001257</v>
      </c>
      <c r="GI788">
        <v>34.064216553814141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726.34333280501073</v>
      </c>
      <c r="AO789">
        <v>47.220210231462495</v>
      </c>
      <c r="AP789">
        <v>54.401144479630702</v>
      </c>
      <c r="AQ789">
        <v>329.46504482119087</v>
      </c>
      <c r="AR789">
        <v>45.834631763042765</v>
      </c>
      <c r="AS789">
        <v>405.17716010241605</v>
      </c>
      <c r="AT789">
        <v>23.836834120860953</v>
      </c>
      <c r="AU789">
        <v>-39.717881593094205</v>
      </c>
      <c r="AV789"/>
      <c r="AW789"/>
      <c r="FY789" s="212">
        <v>784</v>
      </c>
      <c r="FZ789">
        <v>55.014949132353998</v>
      </c>
      <c r="GA789">
        <v>150.55928064627096</v>
      </c>
      <c r="GB789">
        <v>79.249251604613022</v>
      </c>
      <c r="GC789">
        <v>16.657426707011108</v>
      </c>
      <c r="GD789">
        <v>7.9232630958499772</v>
      </c>
      <c r="GE789">
        <v>10.937269496902953</v>
      </c>
      <c r="GF789">
        <v>20.196610058798637</v>
      </c>
      <c r="GG789">
        <v>25.801327670394468</v>
      </c>
      <c r="GH789">
        <v>28.635694348667048</v>
      </c>
      <c r="GI789">
        <v>40.787675990249014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712.8417202700731</v>
      </c>
      <c r="AO790">
        <v>52.144600904387211</v>
      </c>
      <c r="AP790">
        <v>92.426668927132994</v>
      </c>
      <c r="AQ790">
        <v>364.93854271400613</v>
      </c>
      <c r="AR790">
        <v>52.010846648342387</v>
      </c>
      <c r="AS790">
        <v>408.6331316675836</v>
      </c>
      <c r="AT790">
        <v>27.439399065963773</v>
      </c>
      <c r="AU790">
        <v>-55.762224322351933</v>
      </c>
      <c r="AV790"/>
      <c r="AW790"/>
      <c r="FY790" s="212">
        <v>785</v>
      </c>
      <c r="FZ790">
        <v>40.388151434794324</v>
      </c>
      <c r="GA790">
        <v>111.94580536171519</v>
      </c>
      <c r="GB790">
        <v>61.064670683289471</v>
      </c>
      <c r="GC790">
        <v>17.162900634463025</v>
      </c>
      <c r="GD790">
        <v>11.185313048077331</v>
      </c>
      <c r="GE790">
        <v>13.652658466770427</v>
      </c>
      <c r="GF790">
        <v>24.666245329262122</v>
      </c>
      <c r="GG790">
        <v>29.784947447586958</v>
      </c>
      <c r="GH790">
        <v>28.967866759763751</v>
      </c>
      <c r="GI790">
        <v>36.738610808505456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658.83544025993967</v>
      </c>
      <c r="AO791">
        <v>51.75465880199981</v>
      </c>
      <c r="AP791">
        <v>66.9352092669954</v>
      </c>
      <c r="AQ791">
        <v>377.50026207762255</v>
      </c>
      <c r="AR791">
        <v>50.19479854887966</v>
      </c>
      <c r="AS791">
        <v>393.40729930242361</v>
      </c>
      <c r="AT791">
        <v>25.088891259164686</v>
      </c>
      <c r="AU791">
        <v>-73.944724180360311</v>
      </c>
      <c r="AV791"/>
      <c r="AW791"/>
      <c r="FY791" s="212">
        <v>786</v>
      </c>
      <c r="FZ791">
        <v>35.339250041452431</v>
      </c>
      <c r="GA791">
        <v>77.367264809002364</v>
      </c>
      <c r="GB791">
        <v>48.592708914915988</v>
      </c>
      <c r="GC791">
        <v>21.556627682809673</v>
      </c>
      <c r="GD791">
        <v>10.818920753912193</v>
      </c>
      <c r="GE791">
        <v>7.0890536202117325</v>
      </c>
      <c r="GF791">
        <v>11.553389006930884</v>
      </c>
      <c r="GG791">
        <v>12.905661127062912</v>
      </c>
      <c r="GH791">
        <v>19.922935981391529</v>
      </c>
      <c r="GI791">
        <v>28.857854618275034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705.37353995240005</v>
      </c>
      <c r="AO792">
        <v>49.374042589086578</v>
      </c>
      <c r="AP792">
        <v>82.577908245605869</v>
      </c>
      <c r="AQ792">
        <v>347.80556518775995</v>
      </c>
      <c r="AR792">
        <v>49.259324077060128</v>
      </c>
      <c r="AS792">
        <v>384.06210024796735</v>
      </c>
      <c r="AT792">
        <v>25.23239650607783</v>
      </c>
      <c r="AU792">
        <v>-49.077406438504852</v>
      </c>
      <c r="AV792"/>
      <c r="AW792"/>
      <c r="FY792" s="212">
        <v>787</v>
      </c>
      <c r="FZ792">
        <v>30.540184683589054</v>
      </c>
      <c r="GA792">
        <v>102.27370575409387</v>
      </c>
      <c r="GB792">
        <v>64.554621030785796</v>
      </c>
      <c r="GC792">
        <v>20.731305743895664</v>
      </c>
      <c r="GD792">
        <v>11.928719630808962</v>
      </c>
      <c r="GE792">
        <v>15.080109794302958</v>
      </c>
      <c r="GF792">
        <v>45.820558666064905</v>
      </c>
      <c r="GG792">
        <v>44.887589525776569</v>
      </c>
      <c r="GH792">
        <v>35.140527626640989</v>
      </c>
      <c r="GI792">
        <v>41.48032728863717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647.11652956830153</v>
      </c>
      <c r="AO793">
        <v>41.043722524483606</v>
      </c>
      <c r="AP793">
        <v>51.953015562852087</v>
      </c>
      <c r="AQ793">
        <v>287.76195073218668</v>
      </c>
      <c r="AR793">
        <v>39.954537019876199</v>
      </c>
      <c r="AS793">
        <v>328.43201846088118</v>
      </c>
      <c r="AT793">
        <v>20.379287900795969</v>
      </c>
      <c r="AU793">
        <v>-47.234944140707313</v>
      </c>
      <c r="AV793"/>
      <c r="AW793"/>
      <c r="FY793" s="212">
        <v>788</v>
      </c>
      <c r="FZ793">
        <v>33.960138848400788</v>
      </c>
      <c r="GA793">
        <v>132.64133949201172</v>
      </c>
      <c r="GB793">
        <v>71.783946530102099</v>
      </c>
      <c r="GC793">
        <v>17.10559996028417</v>
      </c>
      <c r="GD793">
        <v>11.718986529641084</v>
      </c>
      <c r="GE793">
        <v>12.979961981316784</v>
      </c>
      <c r="GF793">
        <v>5.5228161986297426</v>
      </c>
      <c r="GG793">
        <v>16.153541853653721</v>
      </c>
      <c r="GH793">
        <v>29.518088241984412</v>
      </c>
      <c r="GI793">
        <v>35.39995822205946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770.17920677417658</v>
      </c>
      <c r="AO794">
        <v>46.831563664875638</v>
      </c>
      <c r="AP794">
        <v>59.233592128089136</v>
      </c>
      <c r="AQ794">
        <v>317.10326531112821</v>
      </c>
      <c r="AR794">
        <v>46.782961803936061</v>
      </c>
      <c r="AS794">
        <v>398.76700326318053</v>
      </c>
      <c r="AT794">
        <v>25.358899338727735</v>
      </c>
      <c r="AU794">
        <v>-30.026724658726963</v>
      </c>
      <c r="AV794"/>
      <c r="AW794"/>
      <c r="FY794" s="212">
        <v>789</v>
      </c>
      <c r="FZ794">
        <v>34.537787479124866</v>
      </c>
      <c r="GA794">
        <v>78.560902215108513</v>
      </c>
      <c r="GB794">
        <v>51.262294618257975</v>
      </c>
      <c r="GC794">
        <v>20.548729076736961</v>
      </c>
      <c r="GD794">
        <v>11.463429001891001</v>
      </c>
      <c r="GE794">
        <v>15.675609107840318</v>
      </c>
      <c r="GF794">
        <v>36.201485767337019</v>
      </c>
      <c r="GG794">
        <v>26.991914914050252</v>
      </c>
      <c r="GH794">
        <v>15.654053784272646</v>
      </c>
      <c r="GI794">
        <v>33.556005380094042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790.6269658772618</v>
      </c>
      <c r="AO795">
        <v>49.865337806815681</v>
      </c>
      <c r="AP795">
        <v>78.958574363278956</v>
      </c>
      <c r="AQ795">
        <v>339.5170907143056</v>
      </c>
      <c r="AR795">
        <v>48.422452395057682</v>
      </c>
      <c r="AS795">
        <v>420.06183005402477</v>
      </c>
      <c r="AT795">
        <v>25.537126093348515</v>
      </c>
      <c r="AU795">
        <v>-34.632780245953811</v>
      </c>
      <c r="AV795"/>
      <c r="AW795"/>
      <c r="FY795" s="212">
        <v>790</v>
      </c>
      <c r="FZ795">
        <v>35.713133091664858</v>
      </c>
      <c r="GA795">
        <v>105.45530313855299</v>
      </c>
      <c r="GB795">
        <v>58.525073106124978</v>
      </c>
      <c r="GC795">
        <v>18.53630314921816</v>
      </c>
      <c r="GD795">
        <v>11.430677876338923</v>
      </c>
      <c r="GE795">
        <v>18.423270234403329</v>
      </c>
      <c r="GF795">
        <v>34.10089292127094</v>
      </c>
      <c r="GG795">
        <v>23.938378225288119</v>
      </c>
      <c r="GH795">
        <v>23.733902806089667</v>
      </c>
      <c r="GI795">
        <v>36.462860475121367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788.40156088978461</v>
      </c>
      <c r="AO796">
        <v>52.302006371059647</v>
      </c>
      <c r="AP796">
        <v>80.34160294474971</v>
      </c>
      <c r="AQ796">
        <v>385.551093053861</v>
      </c>
      <c r="AR796">
        <v>51.800731229548227</v>
      </c>
      <c r="AS796">
        <v>404.84844954296784</v>
      </c>
      <c r="AT796">
        <v>26.435369132172596</v>
      </c>
      <c r="AU796">
        <v>-43.822079172194591</v>
      </c>
      <c r="AV796"/>
      <c r="AW796"/>
      <c r="FY796" s="212">
        <v>791</v>
      </c>
      <c r="FZ796">
        <v>47.172306208348502</v>
      </c>
      <c r="GA796">
        <v>92.978420865321198</v>
      </c>
      <c r="GB796">
        <v>47.433223149455713</v>
      </c>
      <c r="GC796">
        <v>14.361106911673948</v>
      </c>
      <c r="GD796">
        <v>7.8360974660946807</v>
      </c>
      <c r="GE796">
        <v>7.86894453364933</v>
      </c>
      <c r="GF796">
        <v>16.336024951568678</v>
      </c>
      <c r="GG796">
        <v>20.154918171815506</v>
      </c>
      <c r="GH796">
        <v>22.349400142137867</v>
      </c>
      <c r="GI796">
        <v>29.96882299238904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850.85400734183952</v>
      </c>
      <c r="AO797">
        <v>54.598072966110898</v>
      </c>
      <c r="AP797">
        <v>69.628062128741064</v>
      </c>
      <c r="AQ797">
        <v>380.89197038904183</v>
      </c>
      <c r="AR797">
        <v>53.662411245928247</v>
      </c>
      <c r="AS797">
        <v>471.00849878063838</v>
      </c>
      <c r="AT797">
        <v>28.379615102749231</v>
      </c>
      <c r="AU797">
        <v>-60.903241995109795</v>
      </c>
      <c r="AV797"/>
      <c r="AW797"/>
      <c r="FY797" s="212">
        <v>792</v>
      </c>
      <c r="FZ797">
        <v>42.19514946532157</v>
      </c>
      <c r="GA797">
        <v>80.561483850965743</v>
      </c>
      <c r="GB797">
        <v>49.422514649974786</v>
      </c>
      <c r="GC797">
        <v>20.383891455337643</v>
      </c>
      <c r="GD797">
        <v>11.86239265950389</v>
      </c>
      <c r="GE797">
        <v>10.26869237232261</v>
      </c>
      <c r="GF797">
        <v>10.903242204254106</v>
      </c>
      <c r="GG797">
        <v>17.293172770871596</v>
      </c>
      <c r="GH797">
        <v>28.96135653695961</v>
      </c>
      <c r="GI797">
        <v>31.939420211298557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718.39033633450867</v>
      </c>
      <c r="AO798">
        <v>47.532171193718568</v>
      </c>
      <c r="AP798">
        <v>60.243310842853603</v>
      </c>
      <c r="AQ798">
        <v>325.64501563787758</v>
      </c>
      <c r="AR798">
        <v>46.652665177720074</v>
      </c>
      <c r="AS798">
        <v>390.04057412402767</v>
      </c>
      <c r="AT798">
        <v>24.752426986972043</v>
      </c>
      <c r="AU798">
        <v>-36.600868757583811</v>
      </c>
      <c r="AV798"/>
      <c r="AW798"/>
      <c r="FY798" s="212">
        <v>793</v>
      </c>
      <c r="FZ798">
        <v>51.887295061232173</v>
      </c>
      <c r="GA798">
        <v>101.69708098025978</v>
      </c>
      <c r="GB798">
        <v>55.598639021087102</v>
      </c>
      <c r="GC798">
        <v>18.126499906335049</v>
      </c>
      <c r="GD798">
        <v>10.716481398281935</v>
      </c>
      <c r="GE798">
        <v>10.701630449299556</v>
      </c>
      <c r="GF798">
        <v>9.55175273373262</v>
      </c>
      <c r="GG798">
        <v>11.430961404752432</v>
      </c>
      <c r="GH798">
        <v>12.878374077012969</v>
      </c>
      <c r="GI798">
        <v>31.540901489794873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621.92188883546146</v>
      </c>
      <c r="AO799">
        <v>47.371608799069328</v>
      </c>
      <c r="AP799">
        <v>50.44332866989275</v>
      </c>
      <c r="AQ799">
        <v>344.32709478411806</v>
      </c>
      <c r="AR799">
        <v>46.969155629058264</v>
      </c>
      <c r="AS799">
        <v>383.04820944108218</v>
      </c>
      <c r="AT799">
        <v>24.09056999221491</v>
      </c>
      <c r="AU799">
        <v>-20.255968559469665</v>
      </c>
      <c r="AV799"/>
      <c r="AW799"/>
      <c r="FY799" s="212">
        <v>794</v>
      </c>
      <c r="FZ799">
        <v>38.704205209049768</v>
      </c>
      <c r="GA799">
        <v>130.88171735954381</v>
      </c>
      <c r="GB799">
        <v>67.546654188599149</v>
      </c>
      <c r="GC799">
        <v>17.328912972795827</v>
      </c>
      <c r="GD799">
        <v>11.35150178581401</v>
      </c>
      <c r="GE799">
        <v>12.80365157396727</v>
      </c>
      <c r="GF799">
        <v>25.604944949130065</v>
      </c>
      <c r="GG799">
        <v>26.265816713557228</v>
      </c>
      <c r="GH799">
        <v>19.276122000963888</v>
      </c>
      <c r="GI799">
        <v>36.870375157774653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767.85520112460097</v>
      </c>
      <c r="AO800">
        <v>57.82196915967846</v>
      </c>
      <c r="AP800">
        <v>62.479590864563541</v>
      </c>
      <c r="AQ800">
        <v>435.76274875111119</v>
      </c>
      <c r="AR800">
        <v>56.30979665604282</v>
      </c>
      <c r="AS800">
        <v>410.12463127264175</v>
      </c>
      <c r="AT800">
        <v>27.477818937602574</v>
      </c>
      <c r="AU800">
        <v>-93.193146976252194</v>
      </c>
      <c r="AV800"/>
      <c r="AW800"/>
      <c r="FY800" s="212">
        <v>795</v>
      </c>
      <c r="FZ800">
        <v>61.086119739617814</v>
      </c>
      <c r="GA800">
        <v>120.84880731701196</v>
      </c>
      <c r="GB800">
        <v>69.702410289160767</v>
      </c>
      <c r="GC800">
        <v>17.447240637445706</v>
      </c>
      <c r="GD800">
        <v>7.7479440076536941</v>
      </c>
      <c r="GE800">
        <v>11.526875853103148</v>
      </c>
      <c r="GF800">
        <v>19.583680723052538</v>
      </c>
      <c r="GG800">
        <v>23.203775200892473</v>
      </c>
      <c r="GH800">
        <v>24.661038360087908</v>
      </c>
      <c r="GI800">
        <v>38.333211595474644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778.52321397534524</v>
      </c>
      <c r="AO801">
        <v>52.078251140240653</v>
      </c>
      <c r="AP801">
        <v>65.406782054753791</v>
      </c>
      <c r="AQ801">
        <v>375.55716997422803</v>
      </c>
      <c r="AR801">
        <v>50.487378439010605</v>
      </c>
      <c r="AS801">
        <v>425.32997995485442</v>
      </c>
      <c r="AT801">
        <v>25.865280533814893</v>
      </c>
      <c r="AU801">
        <v>-67.013541799403654</v>
      </c>
      <c r="AV801"/>
      <c r="AW801"/>
      <c r="FY801" s="212">
        <v>796</v>
      </c>
      <c r="FZ801">
        <v>44.331780223910243</v>
      </c>
      <c r="GA801">
        <v>101.74960596014598</v>
      </c>
      <c r="GB801">
        <v>56.056285941968987</v>
      </c>
      <c r="GC801">
        <v>15.962521930466835</v>
      </c>
      <c r="GD801">
        <v>8.6727951180119742</v>
      </c>
      <c r="GE801">
        <v>13.347869620808384</v>
      </c>
      <c r="GF801">
        <v>29.311909242038617</v>
      </c>
      <c r="GG801">
        <v>32.441418823105039</v>
      </c>
      <c r="GH801">
        <v>29.702094708656688</v>
      </c>
      <c r="GI801">
        <v>35.53551422771389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613.68623972221553</v>
      </c>
      <c r="AO802">
        <v>40.323864331566043</v>
      </c>
      <c r="AP802">
        <v>48.359124410471267</v>
      </c>
      <c r="AQ802">
        <v>274.00366655596468</v>
      </c>
      <c r="AR802">
        <v>39.725871616032151</v>
      </c>
      <c r="AS802">
        <v>338.97007596980865</v>
      </c>
      <c r="AT802">
        <v>20.167892142237918</v>
      </c>
      <c r="AU802">
        <v>-38.993159226050793</v>
      </c>
      <c r="AV802"/>
      <c r="AW802"/>
      <c r="FY802" s="212">
        <v>797</v>
      </c>
      <c r="FZ802">
        <v>55.251489093984688</v>
      </c>
      <c r="GA802">
        <v>64.981852838242517</v>
      </c>
      <c r="GB802">
        <v>33.346805531853803</v>
      </c>
      <c r="GC802">
        <v>18.432971008658761</v>
      </c>
      <c r="GD802">
        <v>10.9367317923668</v>
      </c>
      <c r="GE802">
        <v>13.056078190059999</v>
      </c>
      <c r="GF802">
        <v>16.958125195812872</v>
      </c>
      <c r="GG802">
        <v>12.18090130755834</v>
      </c>
      <c r="GH802">
        <v>12.564339564450885</v>
      </c>
      <c r="GI802">
        <v>27.867213193110185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817.29954204819535</v>
      </c>
      <c r="AO803">
        <v>58.790060513382457</v>
      </c>
      <c r="AP803">
        <v>97.480248754161693</v>
      </c>
      <c r="AQ803">
        <v>412.43764974459594</v>
      </c>
      <c r="AR803">
        <v>57.051449983595177</v>
      </c>
      <c r="AS803">
        <v>496.73758517384528</v>
      </c>
      <c r="AT803">
        <v>28.485090244481139</v>
      </c>
      <c r="AU803">
        <v>-67.772913277241983</v>
      </c>
      <c r="AV803"/>
      <c r="AW803"/>
      <c r="FY803" s="212">
        <v>798</v>
      </c>
      <c r="FZ803">
        <v>52.253427638626135</v>
      </c>
      <c r="GA803">
        <v>88.012602254852425</v>
      </c>
      <c r="GB803">
        <v>43.290021094677975</v>
      </c>
      <c r="GC803">
        <v>16.808256249349842</v>
      </c>
      <c r="GD803">
        <v>10.108004627475575</v>
      </c>
      <c r="GE803">
        <v>10.08832954908088</v>
      </c>
      <c r="GF803">
        <v>14.691324266118096</v>
      </c>
      <c r="GG803">
        <v>13.101738684042596</v>
      </c>
      <c r="GH803">
        <v>21.921190057173821</v>
      </c>
      <c r="GI803">
        <v>30.513100215848752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693.66338390224632</v>
      </c>
      <c r="AO804">
        <v>50.862380855388857</v>
      </c>
      <c r="AP804">
        <v>31.646802956010628</v>
      </c>
      <c r="AQ804">
        <v>366.78437785808399</v>
      </c>
      <c r="AR804">
        <v>48.803295506723671</v>
      </c>
      <c r="AS804">
        <v>392.48343276040475</v>
      </c>
      <c r="AT804">
        <v>24.160853160527939</v>
      </c>
      <c r="AU804">
        <v>-71.77434671851799</v>
      </c>
      <c r="AV804"/>
      <c r="AW804"/>
      <c r="FY804" s="212">
        <v>799</v>
      </c>
      <c r="FZ804">
        <v>50.702976464290664</v>
      </c>
      <c r="GA804">
        <v>198.09873427098572</v>
      </c>
      <c r="GB804">
        <v>92.740208684363736</v>
      </c>
      <c r="GC804">
        <v>14.561719754766333</v>
      </c>
      <c r="GD804">
        <v>11.992790928134935</v>
      </c>
      <c r="GE804">
        <v>10.805353098848377</v>
      </c>
      <c r="GF804">
        <v>9.9273966783809886</v>
      </c>
      <c r="GG804">
        <v>16.605134833936841</v>
      </c>
      <c r="GH804">
        <v>38.332693778512279</v>
      </c>
      <c r="GI804">
        <v>45.495670286341429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807.61537753514665</v>
      </c>
      <c r="AO805">
        <v>47.57429497841504</v>
      </c>
      <c r="AP805">
        <v>118.7276736382495</v>
      </c>
      <c r="AQ805">
        <v>324.45221134471365</v>
      </c>
      <c r="AR805">
        <v>46.097603782839663</v>
      </c>
      <c r="AS805">
        <v>393.70912380014693</v>
      </c>
      <c r="AT805">
        <v>23.417887257431456</v>
      </c>
      <c r="AU805">
        <v>41.223263681167545</v>
      </c>
      <c r="AV805"/>
      <c r="AW805"/>
      <c r="FY805" s="212">
        <v>800</v>
      </c>
      <c r="FZ805">
        <v>43.800961910289033</v>
      </c>
      <c r="GA805">
        <v>107.82751483474274</v>
      </c>
      <c r="GB805">
        <v>68.895577496209341</v>
      </c>
      <c r="GC805">
        <v>23.498454821872912</v>
      </c>
      <c r="GD805">
        <v>9.6437353911301056</v>
      </c>
      <c r="GE805">
        <v>11.521094708950173</v>
      </c>
      <c r="GF805">
        <v>19.67428806889458</v>
      </c>
      <c r="GG805">
        <v>22.925200742561547</v>
      </c>
      <c r="GH805">
        <v>30.04206603927965</v>
      </c>
      <c r="GI805">
        <v>37.660366131673683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806.2971790000978</v>
      </c>
      <c r="AO806">
        <v>51.784932772609139</v>
      </c>
      <c r="AP806">
        <v>69.234412238090243</v>
      </c>
      <c r="AQ806">
        <v>366.3197950240733</v>
      </c>
      <c r="AR806">
        <v>50.093962409798934</v>
      </c>
      <c r="AS806">
        <v>413.09160325084372</v>
      </c>
      <c r="AT806">
        <v>25.58066329680187</v>
      </c>
      <c r="AU806">
        <v>-67.502282533380964</v>
      </c>
      <c r="AV806"/>
      <c r="AW806"/>
      <c r="FY806" s="212">
        <v>801</v>
      </c>
      <c r="FZ806">
        <v>38.358907092988346</v>
      </c>
      <c r="GA806">
        <v>106.4834870606135</v>
      </c>
      <c r="GB806">
        <v>56.481941048846316</v>
      </c>
      <c r="GC806">
        <v>14.750333834222497</v>
      </c>
      <c r="GD806">
        <v>10.251927892476205</v>
      </c>
      <c r="GE806">
        <v>12.526310172402605</v>
      </c>
      <c r="GF806">
        <v>27.221606703929289</v>
      </c>
      <c r="GG806">
        <v>27.58510277787547</v>
      </c>
      <c r="GH806">
        <v>13.230232339243765</v>
      </c>
      <c r="GI806">
        <v>32.76241052878936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555.60088310434139</v>
      </c>
      <c r="AO807">
        <v>41.859072707525534</v>
      </c>
      <c r="AP807">
        <v>47.461807419269512</v>
      </c>
      <c r="AQ807">
        <v>306.45926539245448</v>
      </c>
      <c r="AR807">
        <v>41.490493334311054</v>
      </c>
      <c r="AS807">
        <v>309.0462057494114</v>
      </c>
      <c r="AT807">
        <v>21.087018345242321</v>
      </c>
      <c r="AU807">
        <v>-45.947593734812479</v>
      </c>
      <c r="AV807"/>
      <c r="AW807"/>
      <c r="FY807" s="212">
        <v>802</v>
      </c>
      <c r="FZ807">
        <v>44.38755525334652</v>
      </c>
      <c r="GA807">
        <v>72.3085433191562</v>
      </c>
      <c r="GB807">
        <v>45.470962828944373</v>
      </c>
      <c r="GC807">
        <v>20.546318499849903</v>
      </c>
      <c r="GD807">
        <v>11.732991205309904</v>
      </c>
      <c r="GE807">
        <v>15.125771338392301</v>
      </c>
      <c r="GF807">
        <v>32.914547464907464</v>
      </c>
      <c r="GG807">
        <v>27.26488216854878</v>
      </c>
      <c r="GH807">
        <v>13.391114551074736</v>
      </c>
      <c r="GI807">
        <v>32.818907921460799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601.19377613472784</v>
      </c>
      <c r="AO808">
        <v>43.934470873428744</v>
      </c>
      <c r="AP808">
        <v>45.665712281836569</v>
      </c>
      <c r="AQ808">
        <v>303.79131617681014</v>
      </c>
      <c r="AR808">
        <v>43.870263856353517</v>
      </c>
      <c r="AS808">
        <v>363.22183887405629</v>
      </c>
      <c r="AT808">
        <v>23.71702493143907</v>
      </c>
      <c r="AU808">
        <v>-59.854293619030912</v>
      </c>
      <c r="AV808"/>
      <c r="AW808"/>
      <c r="FY808" s="212">
        <v>803</v>
      </c>
      <c r="FZ808">
        <v>34.986343418991297</v>
      </c>
      <c r="GA808">
        <v>98.59085360523521</v>
      </c>
      <c r="GB808">
        <v>53.045716772003651</v>
      </c>
      <c r="GC808">
        <v>18.600822180316733</v>
      </c>
      <c r="GD808">
        <v>12.617965853470752</v>
      </c>
      <c r="GE808">
        <v>13.818695439996347</v>
      </c>
      <c r="GF808">
        <v>29.595989627019055</v>
      </c>
      <c r="GG808">
        <v>31.146309052667689</v>
      </c>
      <c r="GH808">
        <v>22.576671673799517</v>
      </c>
      <c r="GI808">
        <v>34.652429949145571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597.8735274883802</v>
      </c>
      <c r="AO809">
        <v>44.184766345304908</v>
      </c>
      <c r="AP809">
        <v>26.0766081959828</v>
      </c>
      <c r="AQ809">
        <v>314.12961652178848</v>
      </c>
      <c r="AR809">
        <v>43.520652642413438</v>
      </c>
      <c r="AS809">
        <v>348.00413628559835</v>
      </c>
      <c r="AT809">
        <v>22.309160880767866</v>
      </c>
      <c r="AU809">
        <v>-57.823360796894271</v>
      </c>
      <c r="AV809"/>
      <c r="AW809"/>
      <c r="FY809" s="212">
        <v>804</v>
      </c>
      <c r="FZ809">
        <v>38.878144390037534</v>
      </c>
      <c r="GA809">
        <v>99.057808982106593</v>
      </c>
      <c r="GB809">
        <v>68.326396085067515</v>
      </c>
      <c r="GC809">
        <v>23.997000229895956</v>
      </c>
      <c r="GD809">
        <v>10.878746084261714</v>
      </c>
      <c r="GE809">
        <v>12.372575903651621</v>
      </c>
      <c r="GF809">
        <v>23.634605014407782</v>
      </c>
      <c r="GG809">
        <v>27.099130656304766</v>
      </c>
      <c r="GH809">
        <v>29.946693161371154</v>
      </c>
      <c r="GI809">
        <v>38.092533967010986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760.12768344547669</v>
      </c>
      <c r="AO810">
        <v>53.28557435157061</v>
      </c>
      <c r="AP810">
        <v>38.693985713604036</v>
      </c>
      <c r="AQ810">
        <v>386.63390191119572</v>
      </c>
      <c r="AR810">
        <v>50.703742678343872</v>
      </c>
      <c r="AS810">
        <v>412.08039703765678</v>
      </c>
      <c r="AT810">
        <v>24.975531732615281</v>
      </c>
      <c r="AU810">
        <v>-68.784345030318377</v>
      </c>
      <c r="AV810"/>
      <c r="AW810"/>
      <c r="FY810" s="212">
        <v>805</v>
      </c>
      <c r="FZ810">
        <v>59.078049003239336</v>
      </c>
      <c r="GA810">
        <v>136.52019115883166</v>
      </c>
      <c r="GB810">
        <v>67.454544713458048</v>
      </c>
      <c r="GC810">
        <v>18.099774941239687</v>
      </c>
      <c r="GD810">
        <v>11.508620146771626</v>
      </c>
      <c r="GE810">
        <v>10.353698729305723</v>
      </c>
      <c r="GF810">
        <v>16.737947110083219</v>
      </c>
      <c r="GG810">
        <v>26.523248119765576</v>
      </c>
      <c r="GH810">
        <v>37.479043977740098</v>
      </c>
      <c r="GI810">
        <v>41.163284227041203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713.05080047546198</v>
      </c>
      <c r="AO811">
        <v>53.002115143328787</v>
      </c>
      <c r="AP811">
        <v>46.25813232456381</v>
      </c>
      <c r="AQ811">
        <v>394.14110372350069</v>
      </c>
      <c r="AR811">
        <v>52.793789169115584</v>
      </c>
      <c r="AS811">
        <v>417.23976086394651</v>
      </c>
      <c r="AT811">
        <v>27.423635384278054</v>
      </c>
      <c r="AU811">
        <v>-72.033950996480783</v>
      </c>
      <c r="AV811"/>
      <c r="AW811"/>
      <c r="FY811" s="212">
        <v>806</v>
      </c>
      <c r="FZ811">
        <v>50.768636845300058</v>
      </c>
      <c r="GA811">
        <v>111.16748173109698</v>
      </c>
      <c r="GB811">
        <v>58.186992348372172</v>
      </c>
      <c r="GC811">
        <v>18.607127525523364</v>
      </c>
      <c r="GD811">
        <v>10.127751428204835</v>
      </c>
      <c r="GE811">
        <v>6.0603947729753127</v>
      </c>
      <c r="GF811">
        <v>15.504238249662894</v>
      </c>
      <c r="GG811">
        <v>18.29311083710807</v>
      </c>
      <c r="GH811">
        <v>22.807048308663493</v>
      </c>
      <c r="GI811">
        <v>34.321862203000904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742.94380816185094</v>
      </c>
      <c r="AO812">
        <v>50.096164195230145</v>
      </c>
      <c r="AP812">
        <v>52.600564231952418</v>
      </c>
      <c r="AQ812">
        <v>367.11179579682664</v>
      </c>
      <c r="AR812">
        <v>48.741496322547945</v>
      </c>
      <c r="AS812">
        <v>416.67561915777998</v>
      </c>
      <c r="AT812">
        <v>24.914167182673918</v>
      </c>
      <c r="AU812">
        <v>-44.947695101096365</v>
      </c>
      <c r="AV812"/>
      <c r="AW812"/>
      <c r="FY812" s="212">
        <v>807</v>
      </c>
      <c r="FZ812">
        <v>47.463885358985031</v>
      </c>
      <c r="GA812">
        <v>84.394785078324816</v>
      </c>
      <c r="GB812">
        <v>51.527722664289634</v>
      </c>
      <c r="GC812">
        <v>20.96595080193962</v>
      </c>
      <c r="GD812">
        <v>13.403019516508314</v>
      </c>
      <c r="GE812">
        <v>16.400148850955436</v>
      </c>
      <c r="GF812">
        <v>24.140937642587712</v>
      </c>
      <c r="GG812">
        <v>26.209868738719678</v>
      </c>
      <c r="GH812">
        <v>28.886240468375984</v>
      </c>
      <c r="GI812">
        <v>36.649314065659574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557.07457481673248</v>
      </c>
      <c r="AO813">
        <v>38.406766533316976</v>
      </c>
      <c r="AP813">
        <v>55.649567869863347</v>
      </c>
      <c r="AQ813">
        <v>265.57650771609883</v>
      </c>
      <c r="AR813">
        <v>38.25702359932432</v>
      </c>
      <c r="AS813">
        <v>309.13564402647398</v>
      </c>
      <c r="AT813">
        <v>21.531401306703795</v>
      </c>
      <c r="AU813">
        <v>-35.085748412435528</v>
      </c>
      <c r="AV813"/>
      <c r="AW813"/>
      <c r="FY813" s="212">
        <v>808</v>
      </c>
      <c r="FZ813">
        <v>30.417383338739342</v>
      </c>
      <c r="GA813">
        <v>104.92673349665425</v>
      </c>
      <c r="GB813">
        <v>57.571697780238608</v>
      </c>
      <c r="GC813">
        <v>16.411972576567916</v>
      </c>
      <c r="GD813">
        <v>11.088612452820001</v>
      </c>
      <c r="GE813">
        <v>15.579809654003851</v>
      </c>
      <c r="GF813">
        <v>31.197792778227353</v>
      </c>
      <c r="GG813">
        <v>28.681598675397893</v>
      </c>
      <c r="GH813">
        <v>24.728645998587609</v>
      </c>
      <c r="GI813">
        <v>34.868932816553254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563.83106939400773</v>
      </c>
      <c r="AO814">
        <v>41.730849932746949</v>
      </c>
      <c r="AP814">
        <v>53.315956939691326</v>
      </c>
      <c r="AQ814">
        <v>300.78799463724607</v>
      </c>
      <c r="AR814">
        <v>41.977810011288412</v>
      </c>
      <c r="AS814">
        <v>330.58660254243136</v>
      </c>
      <c r="AT814">
        <v>22.397524420145672</v>
      </c>
      <c r="AU814">
        <v>-46.219860969940576</v>
      </c>
      <c r="AV814"/>
      <c r="AW814"/>
      <c r="FY814" s="212">
        <v>809</v>
      </c>
      <c r="FZ814">
        <v>53.589204997114308</v>
      </c>
      <c r="GA814">
        <v>106.71601593552138</v>
      </c>
      <c r="GB814">
        <v>54.436272955612502</v>
      </c>
      <c r="GC814">
        <v>16.048702382472179</v>
      </c>
      <c r="GD814">
        <v>11.304555362262731</v>
      </c>
      <c r="GE814">
        <v>13.275850141503081</v>
      </c>
      <c r="GF814">
        <v>34.454614157770102</v>
      </c>
      <c r="GG814">
        <v>38.195288725678139</v>
      </c>
      <c r="GH814">
        <v>29.150287986459507</v>
      </c>
      <c r="GI814">
        <v>39.025632771442133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814.26705033929852</v>
      </c>
      <c r="AO815">
        <v>63.798830614827047</v>
      </c>
      <c r="AP815">
        <v>36.863175984146778</v>
      </c>
      <c r="AQ815">
        <v>489.26267877856134</v>
      </c>
      <c r="AR815">
        <v>62.788337938261485</v>
      </c>
      <c r="AS815">
        <v>502.28116847108765</v>
      </c>
      <c r="AT815">
        <v>29.830166537685212</v>
      </c>
      <c r="AU815">
        <v>-126.94038321045477</v>
      </c>
      <c r="AV815"/>
      <c r="AW815"/>
      <c r="FY815" s="212">
        <v>810</v>
      </c>
      <c r="FZ815">
        <v>34.506766392860378</v>
      </c>
      <c r="GA815">
        <v>57.715403395209165</v>
      </c>
      <c r="GB815">
        <v>32.764440389501189</v>
      </c>
      <c r="GC815">
        <v>18.769599420135329</v>
      </c>
      <c r="GD815">
        <v>17.730847831335076</v>
      </c>
      <c r="GE815">
        <v>25.387898551057663</v>
      </c>
      <c r="GF815">
        <v>27.43176347603103</v>
      </c>
      <c r="GG815">
        <v>23.667726048980768</v>
      </c>
      <c r="GH815">
        <v>26.02351945738226</v>
      </c>
      <c r="GI815">
        <v>32.69711597486188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734.50536895427194</v>
      </c>
      <c r="AO816">
        <v>53.331377182839354</v>
      </c>
      <c r="AP816">
        <v>57.730535323465958</v>
      </c>
      <c r="AQ816">
        <v>375.48926014560374</v>
      </c>
      <c r="AR816">
        <v>52.025770170917291</v>
      </c>
      <c r="AS816">
        <v>410.69134268479473</v>
      </c>
      <c r="AT816">
        <v>26.015063568241342</v>
      </c>
      <c r="AU816">
        <v>-56.56681981312834</v>
      </c>
      <c r="AV816"/>
      <c r="AW816"/>
      <c r="FY816" s="212">
        <v>811</v>
      </c>
      <c r="FZ816">
        <v>43.940912199458808</v>
      </c>
      <c r="GA816">
        <v>91.902465150708196</v>
      </c>
      <c r="GB816">
        <v>41.921875523847845</v>
      </c>
      <c r="GC816">
        <v>15.428325157493651</v>
      </c>
      <c r="GD816">
        <v>12.335653353876713</v>
      </c>
      <c r="GE816">
        <v>11.905831327196317</v>
      </c>
      <c r="GF816">
        <v>41.378945614672929</v>
      </c>
      <c r="GG816">
        <v>39.939500201213491</v>
      </c>
      <c r="GH816">
        <v>37.615144615912513</v>
      </c>
      <c r="GI816">
        <v>37.724149457409901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664.18617488649522</v>
      </c>
      <c r="AO817">
        <v>47.147230243679672</v>
      </c>
      <c r="AP817">
        <v>43.910478536547998</v>
      </c>
      <c r="AQ817">
        <v>339.65225945138735</v>
      </c>
      <c r="AR817">
        <v>45.083592166545003</v>
      </c>
      <c r="AS817">
        <v>361.48319722040742</v>
      </c>
      <c r="AT817">
        <v>22.430403391846323</v>
      </c>
      <c r="AU817">
        <v>-62.992472003271146</v>
      </c>
      <c r="AV817"/>
      <c r="AW817"/>
      <c r="FY817" s="212">
        <v>812</v>
      </c>
      <c r="FZ817">
        <v>54.373243145134232</v>
      </c>
      <c r="GA817">
        <v>62.047128781837586</v>
      </c>
      <c r="GB817">
        <v>25.70662087234702</v>
      </c>
      <c r="GC817">
        <v>14.210660976720227</v>
      </c>
      <c r="GD817">
        <v>12.11246454936947</v>
      </c>
      <c r="GE817">
        <v>16.654694724982797</v>
      </c>
      <c r="GF817">
        <v>36.075907358184821</v>
      </c>
      <c r="GG817">
        <v>30.055666253713866</v>
      </c>
      <c r="GH817">
        <v>23.959556333054064</v>
      </c>
      <c r="GI817">
        <v>31.787038730124962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746.96473887155673</v>
      </c>
      <c r="AO818">
        <v>46.442457610184093</v>
      </c>
      <c r="AP818">
        <v>101.38871785202568</v>
      </c>
      <c r="AQ818">
        <v>315.96159455099092</v>
      </c>
      <c r="AR818">
        <v>45.147101605122998</v>
      </c>
      <c r="AS818">
        <v>369.67090550563512</v>
      </c>
      <c r="AT818">
        <v>23.176079907050056</v>
      </c>
      <c r="AU818">
        <v>10.126076984376354</v>
      </c>
      <c r="AV818"/>
      <c r="AW818"/>
      <c r="FY818" s="212">
        <v>813</v>
      </c>
      <c r="FZ818">
        <v>43.014108041034973</v>
      </c>
      <c r="GA818">
        <v>113.00022197962056</v>
      </c>
      <c r="GB818">
        <v>61.386481259339682</v>
      </c>
      <c r="GC818">
        <v>17.522789171459706</v>
      </c>
      <c r="GD818">
        <v>9.3201692273156507</v>
      </c>
      <c r="GE818">
        <v>8.404729495474843</v>
      </c>
      <c r="GF818">
        <v>47.307483992795461</v>
      </c>
      <c r="GG818">
        <v>42.405309359302272</v>
      </c>
      <c r="GH818">
        <v>25.436611681161786</v>
      </c>
      <c r="GI818">
        <v>39.841025533704176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751.78354102890239</v>
      </c>
      <c r="AO819">
        <v>49.851318598290618</v>
      </c>
      <c r="AP819">
        <v>80.119576579580098</v>
      </c>
      <c r="AQ819">
        <v>349.63179757264584</v>
      </c>
      <c r="AR819">
        <v>47.58722638679847</v>
      </c>
      <c r="AS819">
        <v>400.9152460791251</v>
      </c>
      <c r="AT819">
        <v>24.088401464871058</v>
      </c>
      <c r="AU819">
        <v>-48.742105830122085</v>
      </c>
      <c r="AV819"/>
      <c r="AW819"/>
      <c r="FY819" s="212">
        <v>814</v>
      </c>
      <c r="FZ819">
        <v>43.820294263034398</v>
      </c>
      <c r="GA819">
        <v>80.072419988859153</v>
      </c>
      <c r="GB819">
        <v>49.542698509940948</v>
      </c>
      <c r="GC819">
        <v>21.427330682871119</v>
      </c>
      <c r="GD819">
        <v>14.061883632954705</v>
      </c>
      <c r="GE819">
        <v>16.900287875968456</v>
      </c>
      <c r="GF819">
        <v>11.699516908857449</v>
      </c>
      <c r="GG819">
        <v>23.416935876095636</v>
      </c>
      <c r="GH819">
        <v>39.963013274536941</v>
      </c>
      <c r="GI819">
        <v>35.414059248755215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799.29642022979567</v>
      </c>
      <c r="AO820">
        <v>53.533832241161164</v>
      </c>
      <c r="AP820">
        <v>69.814951709148204</v>
      </c>
      <c r="AQ820">
        <v>372.28363447411556</v>
      </c>
      <c r="AR820">
        <v>52.340250137683896</v>
      </c>
      <c r="AS820">
        <v>433.23074482172547</v>
      </c>
      <c r="AT820">
        <v>26.186024265255696</v>
      </c>
      <c r="AU820">
        <v>-30.48490559200053</v>
      </c>
      <c r="AV820"/>
      <c r="AW820"/>
      <c r="FY820" s="212">
        <v>815</v>
      </c>
      <c r="FZ820">
        <v>47.652591468121685</v>
      </c>
      <c r="GA820">
        <v>132.19362444430817</v>
      </c>
      <c r="GB820">
        <v>66.366834490065273</v>
      </c>
      <c r="GC820">
        <v>21.350469413022239</v>
      </c>
      <c r="GD820">
        <v>15.53361902601481</v>
      </c>
      <c r="GE820">
        <v>20.003803750685364</v>
      </c>
      <c r="GF820">
        <v>24.265855705500467</v>
      </c>
      <c r="GG820">
        <v>16.514858177742685</v>
      </c>
      <c r="GH820">
        <v>17.231713278956622</v>
      </c>
      <c r="GI820">
        <v>39.699327342825249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710.83559048669417</v>
      </c>
      <c r="AO821">
        <v>57.111418934381319</v>
      </c>
      <c r="AP821">
        <v>66.49561119627306</v>
      </c>
      <c r="AQ821">
        <v>424.91840212747616</v>
      </c>
      <c r="AR821">
        <v>56.648564478011835</v>
      </c>
      <c r="AS821">
        <v>474.12203379639914</v>
      </c>
      <c r="AT821">
        <v>29.143945800687955</v>
      </c>
      <c r="AU821">
        <v>-84.562034991585477</v>
      </c>
      <c r="AV821"/>
      <c r="AW821"/>
      <c r="FY821" s="212">
        <v>816</v>
      </c>
      <c r="FZ821">
        <v>40.683176948026556</v>
      </c>
      <c r="GA821">
        <v>115.8462104428872</v>
      </c>
      <c r="GB821">
        <v>65.861401871390328</v>
      </c>
      <c r="GC821">
        <v>13.301407034710538</v>
      </c>
      <c r="GD821">
        <v>9.3633480503325845</v>
      </c>
      <c r="GE821">
        <v>17.798491604053094</v>
      </c>
      <c r="GF821">
        <v>45.763144508183267</v>
      </c>
      <c r="GG821">
        <v>38.983850223175509</v>
      </c>
      <c r="GH821">
        <v>10.937453588364415</v>
      </c>
      <c r="GI821">
        <v>38.057459976252758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615.65454351307108</v>
      </c>
      <c r="AO822">
        <v>47.420874306638488</v>
      </c>
      <c r="AP822">
        <v>52.699954925822006</v>
      </c>
      <c r="AQ822">
        <v>345.84464424990813</v>
      </c>
      <c r="AR822">
        <v>47.22377313168397</v>
      </c>
      <c r="AS822">
        <v>389.33493710498624</v>
      </c>
      <c r="AT822">
        <v>24.595371686157435</v>
      </c>
      <c r="AU822">
        <v>-79.960051234906501</v>
      </c>
      <c r="AV822"/>
      <c r="AW822"/>
      <c r="FY822" s="212">
        <v>817</v>
      </c>
      <c r="FZ822">
        <v>43.037287262069889</v>
      </c>
      <c r="GA822">
        <v>121.57364897469542</v>
      </c>
      <c r="GB822">
        <v>67.055034272505765</v>
      </c>
      <c r="GC822">
        <v>16.774410149065908</v>
      </c>
      <c r="GD822">
        <v>12.240627943553609</v>
      </c>
      <c r="GE822">
        <v>16.06800793138822</v>
      </c>
      <c r="GF822">
        <v>42.398980354556002</v>
      </c>
      <c r="GG822">
        <v>40.837639797612667</v>
      </c>
      <c r="GH822">
        <v>19.152664091810429</v>
      </c>
      <c r="GI822">
        <v>40.930878457602994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703.63658994400623</v>
      </c>
      <c r="AO823">
        <v>50.928225461425669</v>
      </c>
      <c r="AP823">
        <v>65.589578812443463</v>
      </c>
      <c r="AQ823">
        <v>350.04187318634581</v>
      </c>
      <c r="AR823">
        <v>50.441973573670786</v>
      </c>
      <c r="AS823">
        <v>400.6834959970688</v>
      </c>
      <c r="AT823">
        <v>26.111659053949904</v>
      </c>
      <c r="AU823">
        <v>-46.403948336397768</v>
      </c>
      <c r="AV823"/>
      <c r="AW823"/>
      <c r="FY823" s="212">
        <v>818</v>
      </c>
      <c r="FZ823">
        <v>44.436189545907034</v>
      </c>
      <c r="GA823">
        <v>90.180922234734155</v>
      </c>
      <c r="GB823">
        <v>57.116586564001068</v>
      </c>
      <c r="GC823">
        <v>18.989131207198412</v>
      </c>
      <c r="GD823">
        <v>9.6709790648309024</v>
      </c>
      <c r="GE823">
        <v>13.627744196137229</v>
      </c>
      <c r="GF823">
        <v>40.119080258333028</v>
      </c>
      <c r="GG823">
        <v>33.266566114289631</v>
      </c>
      <c r="GH823">
        <v>22.57249565715377</v>
      </c>
      <c r="GI823">
        <v>37.204379501322421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735.22211621531699</v>
      </c>
      <c r="AO824">
        <v>49.928770342984834</v>
      </c>
      <c r="AP824">
        <v>76.463629612757103</v>
      </c>
      <c r="AQ824">
        <v>355.47317956779005</v>
      </c>
      <c r="AR824">
        <v>47.889584580671503</v>
      </c>
      <c r="AS824">
        <v>395.86879778824203</v>
      </c>
      <c r="AT824">
        <v>24.501188469405211</v>
      </c>
      <c r="AU824">
        <v>-68.218332932913825</v>
      </c>
      <c r="AV824"/>
      <c r="AW824"/>
      <c r="FY824" s="212">
        <v>819</v>
      </c>
      <c r="FZ824">
        <v>43.310983149792115</v>
      </c>
      <c r="GA824">
        <v>112.60775322382905</v>
      </c>
      <c r="GB824">
        <v>60.265628274398864</v>
      </c>
      <c r="GC824">
        <v>16.099764640344624</v>
      </c>
      <c r="GD824">
        <v>10.193208433269453</v>
      </c>
      <c r="GE824">
        <v>14.479285531332485</v>
      </c>
      <c r="GF824">
        <v>4.8451361712471703</v>
      </c>
      <c r="GG824">
        <v>9.2671337046987023</v>
      </c>
      <c r="GH824">
        <v>19.617226164209026</v>
      </c>
      <c r="GI824">
        <v>31.430873913174235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821.82934562810192</v>
      </c>
      <c r="AO825">
        <v>54.505133648889696</v>
      </c>
      <c r="AP825">
        <v>112.44432880924731</v>
      </c>
      <c r="AQ825">
        <v>396.19642541583607</v>
      </c>
      <c r="AR825">
        <v>53.814903616215929</v>
      </c>
      <c r="AS825">
        <v>436.47668980568943</v>
      </c>
      <c r="AT825">
        <v>27.008266328839909</v>
      </c>
      <c r="AU825">
        <v>-25.467329783236615</v>
      </c>
      <c r="AV825"/>
      <c r="AW825"/>
      <c r="FY825" s="212">
        <v>820</v>
      </c>
      <c r="FZ825">
        <v>52.302028742950199</v>
      </c>
      <c r="GA825">
        <v>97.917206887228517</v>
      </c>
      <c r="GB825">
        <v>47.72073043762348</v>
      </c>
      <c r="GC825">
        <v>13.181910950718894</v>
      </c>
      <c r="GD825">
        <v>10.191075820432012</v>
      </c>
      <c r="GE825">
        <v>10.160880937215879</v>
      </c>
      <c r="GF825">
        <v>46.222467700719093</v>
      </c>
      <c r="GG825">
        <v>47.279045004618951</v>
      </c>
      <c r="GH825">
        <v>19.073917786217976</v>
      </c>
      <c r="GI825">
        <v>37.056865752356359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741.84645683691565</v>
      </c>
      <c r="AO826">
        <v>46.004883331753106</v>
      </c>
      <c r="AP826">
        <v>107.48203416443522</v>
      </c>
      <c r="AQ826">
        <v>296.69508093735476</v>
      </c>
      <c r="AR826">
        <v>44.953387254089982</v>
      </c>
      <c r="AS826">
        <v>387.83927887646615</v>
      </c>
      <c r="AT826">
        <v>24.045574686250685</v>
      </c>
      <c r="AU826">
        <v>-67.719645466638497</v>
      </c>
      <c r="AV826"/>
      <c r="AW826"/>
      <c r="FY826" s="212">
        <v>821</v>
      </c>
      <c r="FZ826">
        <v>30.045675785502642</v>
      </c>
      <c r="GA826">
        <v>121.80284761892476</v>
      </c>
      <c r="GB826">
        <v>71.470590811071077</v>
      </c>
      <c r="GC826">
        <v>19.472764758476611</v>
      </c>
      <c r="GD826">
        <v>12.853847053050798</v>
      </c>
      <c r="GE826">
        <v>15.88165793787055</v>
      </c>
      <c r="GF826">
        <v>23.983498924271363</v>
      </c>
      <c r="GG826">
        <v>29.827968435619518</v>
      </c>
      <c r="GH826">
        <v>35.990245548105051</v>
      </c>
      <c r="GI826">
        <v>39.759029418554285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670.43055745368974</v>
      </c>
      <c r="AO827">
        <v>51.93843763221075</v>
      </c>
      <c r="AP827">
        <v>74.194660127192677</v>
      </c>
      <c r="AQ827">
        <v>374.09280260179037</v>
      </c>
      <c r="AR827">
        <v>51.974617658122277</v>
      </c>
      <c r="AS827">
        <v>396.30383693199013</v>
      </c>
      <c r="AT827">
        <v>26.658587210221835</v>
      </c>
      <c r="AU827">
        <v>-35.797792203255526</v>
      </c>
      <c r="AV827"/>
      <c r="AW827"/>
      <c r="FY827" s="212">
        <v>822</v>
      </c>
      <c r="FZ827">
        <v>43.22141647750091</v>
      </c>
      <c r="GA827">
        <v>66.530757200533756</v>
      </c>
      <c r="GB827">
        <v>40.011368663760166</v>
      </c>
      <c r="GC827">
        <v>16.865698012437701</v>
      </c>
      <c r="GD827">
        <v>12.229434882983403</v>
      </c>
      <c r="GE827">
        <v>15.051815285023553</v>
      </c>
      <c r="GF827">
        <v>19.462433162499991</v>
      </c>
      <c r="GG827">
        <v>18.375953050572381</v>
      </c>
      <c r="GH827">
        <v>27.161534035586264</v>
      </c>
      <c r="GI827">
        <v>31.168719291538327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683.49379558975772</v>
      </c>
      <c r="AO828">
        <v>43.30136497372645</v>
      </c>
      <c r="AP828">
        <v>102.81520345136806</v>
      </c>
      <c r="AQ828">
        <v>306.98298172546902</v>
      </c>
      <c r="AR828">
        <v>43.592202191174202</v>
      </c>
      <c r="AS828">
        <v>359.51786552785853</v>
      </c>
      <c r="AT828">
        <v>23.0491164056413</v>
      </c>
      <c r="AU828">
        <v>46.236265775981607</v>
      </c>
      <c r="AV828"/>
      <c r="AW828"/>
      <c r="FY828" s="212">
        <v>823</v>
      </c>
      <c r="FZ828">
        <v>44.263608836785835</v>
      </c>
      <c r="GA828">
        <v>134.85487214818389</v>
      </c>
      <c r="GB828">
        <v>73.159885765022011</v>
      </c>
      <c r="GC828">
        <v>17.536837609560752</v>
      </c>
      <c r="GD828">
        <v>9.8125780105599443</v>
      </c>
      <c r="GE828">
        <v>10.306183080698606</v>
      </c>
      <c r="GF828">
        <v>29.303977465165527</v>
      </c>
      <c r="GG828">
        <v>34.546135241997995</v>
      </c>
      <c r="GH828">
        <v>32.624804259620866</v>
      </c>
      <c r="GI828">
        <v>41.082252044890105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729.23502702257156</v>
      </c>
      <c r="AO829">
        <v>55.916409554368002</v>
      </c>
      <c r="AP829">
        <v>100.00795538240484</v>
      </c>
      <c r="AQ829">
        <v>407.63892974120915</v>
      </c>
      <c r="AR829">
        <v>55.002170835011093</v>
      </c>
      <c r="AS829">
        <v>417.81352592794002</v>
      </c>
      <c r="AT829">
        <v>26.730980758725707</v>
      </c>
      <c r="AU829">
        <v>-29.844404610877504</v>
      </c>
      <c r="AV829"/>
      <c r="AW829"/>
      <c r="FY829" s="212">
        <v>824</v>
      </c>
      <c r="FZ829">
        <v>51.15054187291318</v>
      </c>
      <c r="GA829">
        <v>113.09630025698695</v>
      </c>
      <c r="GB829">
        <v>61.061749356174012</v>
      </c>
      <c r="GC829">
        <v>21.844941009326902</v>
      </c>
      <c r="GD829">
        <v>12.492451724302914</v>
      </c>
      <c r="GE829">
        <v>13.004451632970422</v>
      </c>
      <c r="GF829">
        <v>17.951925360419075</v>
      </c>
      <c r="GG829">
        <v>23.991078303784498</v>
      </c>
      <c r="GH829">
        <v>32.027030946145949</v>
      </c>
      <c r="GI829">
        <v>38.42962467779622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740.48680319281834</v>
      </c>
      <c r="AO830">
        <v>49.331108453153085</v>
      </c>
      <c r="AP830">
        <v>86.409909241480989</v>
      </c>
      <c r="AQ830">
        <v>336.318440261874</v>
      </c>
      <c r="AR830">
        <v>48.721631820378661</v>
      </c>
      <c r="AS830">
        <v>381.79276066127579</v>
      </c>
      <c r="AT830">
        <v>25.257228890242541</v>
      </c>
      <c r="AU830">
        <v>-56.346708962422504</v>
      </c>
      <c r="AV830"/>
      <c r="AW830"/>
      <c r="FY830" s="212">
        <v>825</v>
      </c>
      <c r="FZ830">
        <v>37.240840756407316</v>
      </c>
      <c r="GA830">
        <v>86.365089076954419</v>
      </c>
      <c r="GB830">
        <v>43.622588350872164</v>
      </c>
      <c r="GC830">
        <v>10.292984480985485</v>
      </c>
      <c r="GD830">
        <v>9.3144898559180103</v>
      </c>
      <c r="GE830">
        <v>17.343144419185453</v>
      </c>
      <c r="GF830">
        <v>16.656282438534038</v>
      </c>
      <c r="GG830">
        <v>21.787796898529333</v>
      </c>
      <c r="GH830">
        <v>51.093718148547339</v>
      </c>
      <c r="GI830">
        <v>32.963963792530997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884.51115679754764</v>
      </c>
      <c r="AO831">
        <v>56.836669517592078</v>
      </c>
      <c r="AP831">
        <v>51.894957168873134</v>
      </c>
      <c r="AQ831">
        <v>400.81269709724256</v>
      </c>
      <c r="AR831">
        <v>54.525518048243363</v>
      </c>
      <c r="AS831">
        <v>474.63149686451874</v>
      </c>
      <c r="AT831">
        <v>27.731247697050559</v>
      </c>
      <c r="AU831">
        <v>-94.353053042844621</v>
      </c>
      <c r="AV831"/>
      <c r="AW831"/>
      <c r="FY831" s="212">
        <v>826</v>
      </c>
      <c r="FZ831">
        <v>44.636213869482965</v>
      </c>
      <c r="GA831">
        <v>113.16331481504021</v>
      </c>
      <c r="GB831">
        <v>59.973124129907703</v>
      </c>
      <c r="GC831">
        <v>17.598328769526468</v>
      </c>
      <c r="GD831">
        <v>10.991127381792888</v>
      </c>
      <c r="GE831">
        <v>10.928594372739747</v>
      </c>
      <c r="GF831">
        <v>29.279112449581557</v>
      </c>
      <c r="GG831">
        <v>30.718690455978408</v>
      </c>
      <c r="GH831">
        <v>21.193723457433045</v>
      </c>
      <c r="GI831">
        <v>36.60215510604425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834.11454868796932</v>
      </c>
      <c r="AO832">
        <v>54.743346889954992</v>
      </c>
      <c r="AP832">
        <v>101.98905266311303</v>
      </c>
      <c r="AQ832">
        <v>396.59594424737622</v>
      </c>
      <c r="AR832">
        <v>52.509659190023292</v>
      </c>
      <c r="AS832">
        <v>429.15043128819519</v>
      </c>
      <c r="AT832">
        <v>25.490913482373088</v>
      </c>
      <c r="AU832">
        <v>-28.501798861096816</v>
      </c>
      <c r="AV832"/>
      <c r="AW832"/>
      <c r="FY832" s="212">
        <v>827</v>
      </c>
      <c r="FZ832">
        <v>44.60261347593238</v>
      </c>
      <c r="GA832">
        <v>66.128228549168355</v>
      </c>
      <c r="GB832">
        <v>44.089500409387981</v>
      </c>
      <c r="GC832">
        <v>22.063855958088268</v>
      </c>
      <c r="GD832">
        <v>10.112665669492372</v>
      </c>
      <c r="GE832">
        <v>10.028764120293427</v>
      </c>
      <c r="GF832">
        <v>24.635010815435407</v>
      </c>
      <c r="GG832">
        <v>25.092678717659929</v>
      </c>
      <c r="GH832">
        <v>21.713742103848741</v>
      </c>
      <c r="GI832">
        <v>31.401128112534408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872.70622291413679</v>
      </c>
      <c r="AO833">
        <v>58.325819091122867</v>
      </c>
      <c r="AP833">
        <v>74.948572715126403</v>
      </c>
      <c r="AQ833">
        <v>420.06917923486088</v>
      </c>
      <c r="AR833">
        <v>56.255712528286807</v>
      </c>
      <c r="AS833">
        <v>465.17628182935107</v>
      </c>
      <c r="AT833">
        <v>28.003458347928227</v>
      </c>
      <c r="AU833">
        <v>-72.239409391417752</v>
      </c>
      <c r="AV833"/>
      <c r="AW833"/>
      <c r="FY833" s="212">
        <v>828</v>
      </c>
      <c r="FZ833">
        <v>30.754207945852315</v>
      </c>
      <c r="GA833">
        <v>130.9376288272413</v>
      </c>
      <c r="GB833">
        <v>69.718691250640802</v>
      </c>
      <c r="GC833">
        <v>16.999237688525668</v>
      </c>
      <c r="GD833">
        <v>12.634495242281075</v>
      </c>
      <c r="GE833">
        <v>17.142980289120004</v>
      </c>
      <c r="GF833">
        <v>36.244208231305407</v>
      </c>
      <c r="GG833">
        <v>36.466255514056265</v>
      </c>
      <c r="GH833">
        <v>29.376817380587827</v>
      </c>
      <c r="GI833">
        <v>40.530662419158318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826.13004148324126</v>
      </c>
      <c r="AO834">
        <v>51.454247298290525</v>
      </c>
      <c r="AP834">
        <v>63.45241807236691</v>
      </c>
      <c r="AQ834">
        <v>367.18407434390764</v>
      </c>
      <c r="AR834">
        <v>50.960490561123613</v>
      </c>
      <c r="AS834">
        <v>440.8179118587837</v>
      </c>
      <c r="AT834">
        <v>27.507008744013476</v>
      </c>
      <c r="AU834">
        <v>-64.607553400025637</v>
      </c>
      <c r="AV834"/>
      <c r="AW834"/>
      <c r="FY834" s="212">
        <v>829</v>
      </c>
      <c r="FZ834">
        <v>56.042888911481356</v>
      </c>
      <c r="GA834">
        <v>150.74471730403226</v>
      </c>
      <c r="GB834">
        <v>80.214582840800034</v>
      </c>
      <c r="GC834">
        <v>18.892526631663987</v>
      </c>
      <c r="GD834">
        <v>11.712820007643494</v>
      </c>
      <c r="GE834">
        <v>14.896123885671946</v>
      </c>
      <c r="GF834">
        <v>27.351201385566075</v>
      </c>
      <c r="GG834">
        <v>23.049716336958209</v>
      </c>
      <c r="GH834">
        <v>16.196824383541632</v>
      </c>
      <c r="GI834">
        <v>42.546286938260813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597.42956174075994</v>
      </c>
      <c r="AO835">
        <v>44.998445468625036</v>
      </c>
      <c r="AP835">
        <v>36.347848977799671</v>
      </c>
      <c r="AQ835">
        <v>322.11699320629577</v>
      </c>
      <c r="AR835">
        <v>43.471532283740267</v>
      </c>
      <c r="AS835">
        <v>328.17424177446679</v>
      </c>
      <c r="AT835">
        <v>21.321957941759241</v>
      </c>
      <c r="AU835">
        <v>-73.533971207497174</v>
      </c>
      <c r="AV835"/>
      <c r="AW835"/>
      <c r="FY835" s="212">
        <v>830</v>
      </c>
      <c r="FZ835">
        <v>59.151978576057864</v>
      </c>
      <c r="GA835">
        <v>115.52773152076276</v>
      </c>
      <c r="GB835">
        <v>72.275755796549447</v>
      </c>
      <c r="GC835">
        <v>22.643756130674483</v>
      </c>
      <c r="GD835">
        <v>11.693842000664199</v>
      </c>
      <c r="GE835">
        <v>12.719026930619567</v>
      </c>
      <c r="GF835">
        <v>15.323639891518249</v>
      </c>
      <c r="GG835">
        <v>21.067874354026028</v>
      </c>
      <c r="GH835">
        <v>23.014888579666806</v>
      </c>
      <c r="GI835">
        <v>39.822293271213489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741.98757122897462</v>
      </c>
      <c r="AO836">
        <v>51.895269585167661</v>
      </c>
      <c r="AP836">
        <v>116.97284799353386</v>
      </c>
      <c r="AQ836">
        <v>381.10613002008137</v>
      </c>
      <c r="AR836">
        <v>51.066949830004468</v>
      </c>
      <c r="AS836">
        <v>389.53385436034773</v>
      </c>
      <c r="AT836">
        <v>25.270907109842412</v>
      </c>
      <c r="AU836">
        <v>-4.4814257136321487</v>
      </c>
      <c r="AV836"/>
      <c r="AW836"/>
      <c r="FY836" s="212">
        <v>831</v>
      </c>
      <c r="FZ836">
        <v>39.844520386815404</v>
      </c>
      <c r="GA836">
        <v>99.268873836858475</v>
      </c>
      <c r="GB836">
        <v>61.290345221187806</v>
      </c>
      <c r="GC836">
        <v>20.670778257131477</v>
      </c>
      <c r="GD836">
        <v>9.8362653281180332</v>
      </c>
      <c r="GE836">
        <v>14.232574150015603</v>
      </c>
      <c r="GF836">
        <v>40.73801280994202</v>
      </c>
      <c r="GG836">
        <v>34.894441096996829</v>
      </c>
      <c r="GH836">
        <v>31.82814830330274</v>
      </c>
      <c r="GI836">
        <v>39.383015467648654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886.17152773418979</v>
      </c>
      <c r="AO837">
        <v>56.7136916204174</v>
      </c>
      <c r="AP837">
        <v>87.600536607894014</v>
      </c>
      <c r="AQ837">
        <v>401.08812629144671</v>
      </c>
      <c r="AR837">
        <v>54.773061536175618</v>
      </c>
      <c r="AS837">
        <v>470.61297229737784</v>
      </c>
      <c r="AT837">
        <v>26.38820866622244</v>
      </c>
      <c r="AU837">
        <v>-122.40225053704387</v>
      </c>
      <c r="AV837"/>
      <c r="AW837"/>
      <c r="FY837" s="212">
        <v>832</v>
      </c>
      <c r="FZ837">
        <v>56.031182923795612</v>
      </c>
      <c r="GA837">
        <v>108.50355644574158</v>
      </c>
      <c r="GB837">
        <v>59.557869114176903</v>
      </c>
      <c r="GC837">
        <v>17.794893451373699</v>
      </c>
      <c r="GD837">
        <v>12.447916572679814</v>
      </c>
      <c r="GE837">
        <v>19.245106677167684</v>
      </c>
      <c r="GF837">
        <v>16.224423789266954</v>
      </c>
      <c r="GG837">
        <v>18.818001087437271</v>
      </c>
      <c r="GH837">
        <v>34.181235601130794</v>
      </c>
      <c r="GI837">
        <v>38.680789352428448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661.26020045888083</v>
      </c>
      <c r="AO838">
        <v>41.905277710817856</v>
      </c>
      <c r="AP838">
        <v>54.729772875753504</v>
      </c>
      <c r="AQ838">
        <v>290.07913006243643</v>
      </c>
      <c r="AR838">
        <v>42.659620354344362</v>
      </c>
      <c r="AS838">
        <v>374.07264184620971</v>
      </c>
      <c r="AT838">
        <v>23.194010897661624</v>
      </c>
      <c r="AU838">
        <v>-25.82110108794749</v>
      </c>
      <c r="AV838"/>
      <c r="AW838"/>
      <c r="FY838" s="212">
        <v>833</v>
      </c>
      <c r="FZ838">
        <v>38.935492590214132</v>
      </c>
      <c r="GA838">
        <v>125.83356709931968</v>
      </c>
      <c r="GB838">
        <v>80.375173581264718</v>
      </c>
      <c r="GC838">
        <v>24.497827843094068</v>
      </c>
      <c r="GD838">
        <v>9.2865522559200979</v>
      </c>
      <c r="GE838">
        <v>10.069234452582906</v>
      </c>
      <c r="GF838">
        <v>27.040383107192969</v>
      </c>
      <c r="GG838">
        <v>20.526830716023508</v>
      </c>
      <c r="GH838">
        <v>15.228571527727471</v>
      </c>
      <c r="GI838">
        <v>38.441347851266123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773.33195112677754</v>
      </c>
      <c r="AO839">
        <v>58.066027578669647</v>
      </c>
      <c r="AP839">
        <v>68.070236040543236</v>
      </c>
      <c r="AQ839">
        <v>427.49113446248549</v>
      </c>
      <c r="AR839">
        <v>56.654007140635663</v>
      </c>
      <c r="AS839">
        <v>484.3551326590088</v>
      </c>
      <c r="AT839">
        <v>27.409103461494244</v>
      </c>
      <c r="AU839">
        <v>-107.22559755644065</v>
      </c>
      <c r="AV839"/>
      <c r="AW839"/>
      <c r="FY839" s="212">
        <v>834</v>
      </c>
      <c r="FZ839">
        <v>38.801181603776577</v>
      </c>
      <c r="GA839">
        <v>72.734951807970901</v>
      </c>
      <c r="GB839">
        <v>47.671132543595014</v>
      </c>
      <c r="GC839">
        <v>22.436325745189222</v>
      </c>
      <c r="GD839">
        <v>12.230625238981899</v>
      </c>
      <c r="GE839">
        <v>9.8233412919866332</v>
      </c>
      <c r="GF839">
        <v>17.062989298086304</v>
      </c>
      <c r="GG839">
        <v>17.511994817578291</v>
      </c>
      <c r="GH839">
        <v>24.556868987252745</v>
      </c>
      <c r="GI839">
        <v>31.639211163936899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720.76035066440295</v>
      </c>
      <c r="AO840">
        <v>54.254449700760077</v>
      </c>
      <c r="AP840">
        <v>55.434294170887448</v>
      </c>
      <c r="AQ840">
        <v>385.05009514082008</v>
      </c>
      <c r="AR840">
        <v>52.98518087427577</v>
      </c>
      <c r="AS840">
        <v>437.83379032645558</v>
      </c>
      <c r="AT840">
        <v>27.291588264473493</v>
      </c>
      <c r="AU840">
        <v>-60.606694324667522</v>
      </c>
      <c r="AV840"/>
      <c r="AW840"/>
      <c r="FY840" s="212">
        <v>835</v>
      </c>
      <c r="FZ840">
        <v>61.629133451399028</v>
      </c>
      <c r="GA840">
        <v>146.30526994447482</v>
      </c>
      <c r="GB840">
        <v>66.738577914141246</v>
      </c>
      <c r="GC840">
        <v>18.16025642162241</v>
      </c>
      <c r="GD840">
        <v>13.485320690768072</v>
      </c>
      <c r="GE840">
        <v>15.787428996195342</v>
      </c>
      <c r="GF840">
        <v>27.379214784536746</v>
      </c>
      <c r="GG840">
        <v>24.34053378268926</v>
      </c>
      <c r="GH840">
        <v>18.740286122754338</v>
      </c>
      <c r="GI840">
        <v>41.509295061715022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638.2564076676598</v>
      </c>
      <c r="AO841">
        <v>44.488209312834059</v>
      </c>
      <c r="AP841">
        <v>65.662910245152688</v>
      </c>
      <c r="AQ841">
        <v>326.68089821846456</v>
      </c>
      <c r="AR841">
        <v>45.501114504305271</v>
      </c>
      <c r="AS841">
        <v>355.43819311468502</v>
      </c>
      <c r="AT841">
        <v>23.074786806005889</v>
      </c>
      <c r="AU841">
        <v>-61.845753161340511</v>
      </c>
      <c r="AV841"/>
      <c r="AW841"/>
      <c r="FY841" s="212">
        <v>836</v>
      </c>
      <c r="FZ841">
        <v>44.384636478201877</v>
      </c>
      <c r="GA841">
        <v>88.58028710127742</v>
      </c>
      <c r="GB841">
        <v>48.962536291722358</v>
      </c>
      <c r="GC841">
        <v>20.612899738026847</v>
      </c>
      <c r="GD841">
        <v>11.8045513721289</v>
      </c>
      <c r="GE841">
        <v>11.211590083045911</v>
      </c>
      <c r="GF841">
        <v>18.428527711973729</v>
      </c>
      <c r="GG841">
        <v>20.364564350429596</v>
      </c>
      <c r="GH841">
        <v>24.970008670685282</v>
      </c>
      <c r="GI841">
        <v>32.894036992645894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727.61932725570045</v>
      </c>
      <c r="AO842">
        <v>51.82532814814499</v>
      </c>
      <c r="AP842">
        <v>49.783200252175803</v>
      </c>
      <c r="AQ842">
        <v>375.08438480752727</v>
      </c>
      <c r="AR842">
        <v>50.303867138621158</v>
      </c>
      <c r="AS842">
        <v>417.32449170727187</v>
      </c>
      <c r="AT842">
        <v>25.409807414165456</v>
      </c>
      <c r="AU842">
        <v>-51.538344909139113</v>
      </c>
      <c r="AV842"/>
      <c r="AW842"/>
      <c r="FY842" s="212">
        <v>837</v>
      </c>
      <c r="FZ842">
        <v>46.43420949993628</v>
      </c>
      <c r="GA842">
        <v>73.000444859984526</v>
      </c>
      <c r="GB842">
        <v>41.731878685059236</v>
      </c>
      <c r="GC842">
        <v>17.890739604317176</v>
      </c>
      <c r="GD842">
        <v>10.720591739003485</v>
      </c>
      <c r="GE842">
        <v>13.421153294156467</v>
      </c>
      <c r="GF842">
        <v>37.042827891616149</v>
      </c>
      <c r="GG842">
        <v>34.13271894604312</v>
      </c>
      <c r="GH842">
        <v>50.213598799184247</v>
      </c>
      <c r="GI842">
        <v>38.303105724952424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626.56271803223149</v>
      </c>
      <c r="AO843">
        <v>43.970487692908172</v>
      </c>
      <c r="AP843">
        <v>89.335155124499011</v>
      </c>
      <c r="AQ843">
        <v>299.86818793184131</v>
      </c>
      <c r="AR843">
        <v>43.247183743271968</v>
      </c>
      <c r="AS843">
        <v>344.12328919217271</v>
      </c>
      <c r="AT843">
        <v>22.679505291355742</v>
      </c>
      <c r="AU843">
        <v>3.2556259505609759</v>
      </c>
      <c r="AV843"/>
      <c r="AW843"/>
      <c r="FY843" s="212">
        <v>838</v>
      </c>
      <c r="FZ843">
        <v>40.357501941687211</v>
      </c>
      <c r="GA843">
        <v>83.289181577705136</v>
      </c>
      <c r="GB843">
        <v>51.352454607711309</v>
      </c>
      <c r="GC843">
        <v>21.525847191048687</v>
      </c>
      <c r="GD843">
        <v>12.101870548713377</v>
      </c>
      <c r="GE843">
        <v>15.39511095404151</v>
      </c>
      <c r="GF843">
        <v>22.526454676331824</v>
      </c>
      <c r="GG843">
        <v>27.50755886415288</v>
      </c>
      <c r="GH843">
        <v>34.683564938866937</v>
      </c>
      <c r="GI843">
        <v>35.334449764065127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873.7941573848808</v>
      </c>
      <c r="AO844">
        <v>58.600467225889631</v>
      </c>
      <c r="AP844">
        <v>90.814294747793085</v>
      </c>
      <c r="AQ844">
        <v>420.80518478876894</v>
      </c>
      <c r="AR844">
        <v>55.837136716540272</v>
      </c>
      <c r="AS844">
        <v>468.03943583889605</v>
      </c>
      <c r="AT844">
        <v>27.471383592337634</v>
      </c>
      <c r="AU844">
        <v>-79.442375906753384</v>
      </c>
      <c r="AV844"/>
      <c r="AW844"/>
      <c r="FY844" s="212">
        <v>839</v>
      </c>
      <c r="FZ844">
        <v>38.266827779059689</v>
      </c>
      <c r="GA844">
        <v>129.96848261568263</v>
      </c>
      <c r="GB844">
        <v>65.155406688611933</v>
      </c>
      <c r="GC844">
        <v>19.362506344807571</v>
      </c>
      <c r="GD844">
        <v>13.384795665844992</v>
      </c>
      <c r="GE844">
        <v>10.297795626673514</v>
      </c>
      <c r="GF844">
        <v>27.127150829215942</v>
      </c>
      <c r="GG844">
        <v>30.548362821591489</v>
      </c>
      <c r="GH844">
        <v>31.739552439306163</v>
      </c>
      <c r="GI844">
        <v>39.63611983822269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888.45976858580798</v>
      </c>
      <c r="AO845">
        <v>60.018450025903689</v>
      </c>
      <c r="AP845">
        <v>47.325265661338186</v>
      </c>
      <c r="AQ845">
        <v>441.64768862561988</v>
      </c>
      <c r="AR845">
        <v>58.477291200733198</v>
      </c>
      <c r="AS845">
        <v>502.48470855280488</v>
      </c>
      <c r="AT845">
        <v>29.973700354856447</v>
      </c>
      <c r="AU845">
        <v>-149.37499664098706</v>
      </c>
      <c r="AV845"/>
      <c r="AW845"/>
      <c r="FY845" s="212">
        <v>840</v>
      </c>
      <c r="FZ845">
        <v>46.952182168912969</v>
      </c>
      <c r="GA845">
        <v>119.67030857912712</v>
      </c>
      <c r="GB845">
        <v>66.92557025971422</v>
      </c>
      <c r="GC845">
        <v>20.175487485940401</v>
      </c>
      <c r="GD845">
        <v>11.612271917121289</v>
      </c>
      <c r="GE845">
        <v>10.411573812215956</v>
      </c>
      <c r="GF845">
        <v>18.876661298883256</v>
      </c>
      <c r="GG845">
        <v>19.730921844275564</v>
      </c>
      <c r="GH845">
        <v>18.018942617984372</v>
      </c>
      <c r="GI845">
        <v>36.639064094079139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842.64227594132592</v>
      </c>
      <c r="AO846">
        <v>55.011586616290614</v>
      </c>
      <c r="AP846">
        <v>59.233335222951737</v>
      </c>
      <c r="AQ846">
        <v>393.24078705175287</v>
      </c>
      <c r="AR846">
        <v>54.630058511468384</v>
      </c>
      <c r="AS846">
        <v>474.34478498983225</v>
      </c>
      <c r="AT846">
        <v>28.71785679744487</v>
      </c>
      <c r="AU846">
        <v>-41.33966875898507</v>
      </c>
      <c r="AV846"/>
      <c r="AW846"/>
      <c r="FY846" s="212">
        <v>841</v>
      </c>
      <c r="FZ846">
        <v>53.139820292473182</v>
      </c>
      <c r="GA846">
        <v>71.168713288528878</v>
      </c>
      <c r="GB846">
        <v>40.402246762778596</v>
      </c>
      <c r="GC846">
        <v>21.566323744454731</v>
      </c>
      <c r="GD846">
        <v>12.665851006268131</v>
      </c>
      <c r="GE846">
        <v>14.30048039666972</v>
      </c>
      <c r="GF846">
        <v>43.279675523712655</v>
      </c>
      <c r="GG846">
        <v>50.485720216078683</v>
      </c>
      <c r="GH846">
        <v>36.723586832899024</v>
      </c>
      <c r="GI846">
        <v>39.01367311085437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832.06286403085653</v>
      </c>
      <c r="AO847">
        <v>55.196406138699238</v>
      </c>
      <c r="AP847">
        <v>89.963223087872663</v>
      </c>
      <c r="AQ847">
        <v>391.98697485801705</v>
      </c>
      <c r="AR847">
        <v>54.24372584347136</v>
      </c>
      <c r="AS847">
        <v>462.84545455289845</v>
      </c>
      <c r="AT847">
        <v>26.777788833141994</v>
      </c>
      <c r="AU847">
        <v>-12.916082509384356</v>
      </c>
      <c r="AV847"/>
      <c r="AW847"/>
      <c r="FY847" s="212">
        <v>842</v>
      </c>
      <c r="FZ847">
        <v>50.945935580420851</v>
      </c>
      <c r="GA847">
        <v>78.089077447951823</v>
      </c>
      <c r="GB847">
        <v>35.155437144957958</v>
      </c>
      <c r="GC847">
        <v>16.412307941067745</v>
      </c>
      <c r="GD847">
        <v>12.292372451615432</v>
      </c>
      <c r="GE847">
        <v>19.779526085529064</v>
      </c>
      <c r="GF847">
        <v>30.754151238392012</v>
      </c>
      <c r="GG847">
        <v>19.286905778585524</v>
      </c>
      <c r="GH847">
        <v>16.806564138171385</v>
      </c>
      <c r="GI847">
        <v>31.734923568625536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786.97733291592056</v>
      </c>
      <c r="AO848">
        <v>53.182512051196319</v>
      </c>
      <c r="AP848">
        <v>64.971932082805893</v>
      </c>
      <c r="AQ848">
        <v>381.4849750151987</v>
      </c>
      <c r="AR848">
        <v>53.251624256888967</v>
      </c>
      <c r="AS848">
        <v>407.08404092240909</v>
      </c>
      <c r="AT848">
        <v>27.714965594133659</v>
      </c>
      <c r="AU848">
        <v>-75.297083605727153</v>
      </c>
      <c r="AV848"/>
      <c r="AW848"/>
      <c r="FY848" s="212">
        <v>843</v>
      </c>
      <c r="FZ848">
        <v>32.78261276114425</v>
      </c>
      <c r="GA848">
        <v>64.088928482437964</v>
      </c>
      <c r="GB848">
        <v>52.934031037122281</v>
      </c>
      <c r="GC848">
        <v>24.301760071734062</v>
      </c>
      <c r="GD848">
        <v>12.840196790039739</v>
      </c>
      <c r="GE848">
        <v>16.585550456310504</v>
      </c>
      <c r="GF848">
        <v>29.555197409464007</v>
      </c>
      <c r="GG848">
        <v>28.919272586807754</v>
      </c>
      <c r="GH848">
        <v>25.170379763457689</v>
      </c>
      <c r="GI848">
        <v>34.861113602074177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835.37833020377059</v>
      </c>
      <c r="AO849">
        <v>54.82855401766691</v>
      </c>
      <c r="AP849">
        <v>41.268101325900929</v>
      </c>
      <c r="AQ849">
        <v>390.23498102460559</v>
      </c>
      <c r="AR849">
        <v>52.776405765901693</v>
      </c>
      <c r="AS849">
        <v>447.46794313835653</v>
      </c>
      <c r="AT849">
        <v>26.541494746189215</v>
      </c>
      <c r="AU849">
        <v>-87.131839762892767</v>
      </c>
      <c r="AV849"/>
      <c r="AW849"/>
      <c r="FY849" s="212">
        <v>844</v>
      </c>
      <c r="FZ849">
        <v>40.025854271015852</v>
      </c>
      <c r="GA849">
        <v>103.88029524439955</v>
      </c>
      <c r="GB849">
        <v>56.092479464186809</v>
      </c>
      <c r="GC849">
        <v>18.282195604743315</v>
      </c>
      <c r="GD849">
        <v>9.5117988662726596</v>
      </c>
      <c r="GE849">
        <v>12.989739897272379</v>
      </c>
      <c r="GF849">
        <v>26.567573545966784</v>
      </c>
      <c r="GG849">
        <v>22.122532803858132</v>
      </c>
      <c r="GH849">
        <v>29.081529272731697</v>
      </c>
      <c r="GI849">
        <v>34.930980150359716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595.75818913605497</v>
      </c>
      <c r="AO850">
        <v>43.546819447749371</v>
      </c>
      <c r="AP850">
        <v>59.89431527589435</v>
      </c>
      <c r="AQ850">
        <v>294.46862249835448</v>
      </c>
      <c r="AR850">
        <v>43.46801640567756</v>
      </c>
      <c r="AS850">
        <v>346.23026163825347</v>
      </c>
      <c r="AT850">
        <v>23.432822776202372</v>
      </c>
      <c r="AU850">
        <v>-21.146577823402261</v>
      </c>
      <c r="AV850"/>
      <c r="AW850"/>
      <c r="FY850" s="212">
        <v>845</v>
      </c>
      <c r="FZ850">
        <v>33.860160408133183</v>
      </c>
      <c r="GA850">
        <v>100.28913721876305</v>
      </c>
      <c r="GB850">
        <v>67.923468849667017</v>
      </c>
      <c r="GC850">
        <v>24.787675297520348</v>
      </c>
      <c r="GD850">
        <v>13.737818637468566</v>
      </c>
      <c r="GE850">
        <v>17.097072742608667</v>
      </c>
      <c r="GF850">
        <v>20.089916141916135</v>
      </c>
      <c r="GG850">
        <v>21.044088544211792</v>
      </c>
      <c r="GH850">
        <v>32.635920792369468</v>
      </c>
      <c r="GI850">
        <v>38.634115634400018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886.38859136433871</v>
      </c>
      <c r="AO851">
        <v>58.919569273283358</v>
      </c>
      <c r="AP851">
        <v>85.512088824499102</v>
      </c>
      <c r="AQ851">
        <v>434.07531717029627</v>
      </c>
      <c r="AR851">
        <v>57.016890509239225</v>
      </c>
      <c r="AS851">
        <v>469.23479716617783</v>
      </c>
      <c r="AT851">
        <v>29.432045472563843</v>
      </c>
      <c r="AU851">
        <v>-99.409158568919452</v>
      </c>
      <c r="AV851"/>
      <c r="AW851"/>
      <c r="FY851" s="212">
        <v>846</v>
      </c>
      <c r="FZ851">
        <v>29.36487872451417</v>
      </c>
      <c r="GA851">
        <v>107.9580234093544</v>
      </c>
      <c r="GB851">
        <v>59.719838643978363</v>
      </c>
      <c r="GC851">
        <v>18.758900772005511</v>
      </c>
      <c r="GD851">
        <v>10.662736146015687</v>
      </c>
      <c r="GE851">
        <v>14.603792693486872</v>
      </c>
      <c r="GF851">
        <v>17.388034309659986</v>
      </c>
      <c r="GG851">
        <v>10.800956016253675</v>
      </c>
      <c r="GH851">
        <v>12.540941713751607</v>
      </c>
      <c r="GI851">
        <v>30.625090435833908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659.82556301681802</v>
      </c>
      <c r="AO852">
        <v>46.115239259085833</v>
      </c>
      <c r="AP852">
        <v>55.451665171943354</v>
      </c>
      <c r="AQ852">
        <v>322.21363879013779</v>
      </c>
      <c r="AR852">
        <v>45.202322626354274</v>
      </c>
      <c r="AS852">
        <v>387.42635783817707</v>
      </c>
      <c r="AT852">
        <v>23.666183483151752</v>
      </c>
      <c r="AU852">
        <v>-46.444310575974555</v>
      </c>
      <c r="AV852"/>
      <c r="AW852"/>
      <c r="FY852" s="212">
        <v>847</v>
      </c>
      <c r="FZ852">
        <v>43.594269617050877</v>
      </c>
      <c r="GA852">
        <v>60.281954267721972</v>
      </c>
      <c r="GB852">
        <v>43.239612490085143</v>
      </c>
      <c r="GC852">
        <v>19.601123984476462</v>
      </c>
      <c r="GD852">
        <v>8.9591555327816632</v>
      </c>
      <c r="GE852">
        <v>10.078422708089265</v>
      </c>
      <c r="GF852">
        <v>10.86569276880749</v>
      </c>
      <c r="GG852">
        <v>13.837170597453776</v>
      </c>
      <c r="GH852">
        <v>28.445197780176521</v>
      </c>
      <c r="GI852">
        <v>28.822279056313622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690.09324543062701</v>
      </c>
      <c r="AO853">
        <v>51.099994302329918</v>
      </c>
      <c r="AP853">
        <v>96.684157827780695</v>
      </c>
      <c r="AQ853">
        <v>362.89126904425308</v>
      </c>
      <c r="AR853">
        <v>52.911264236584593</v>
      </c>
      <c r="AS853">
        <v>425.06264443420633</v>
      </c>
      <c r="AT853">
        <v>27.130904338956167</v>
      </c>
      <c r="AU853">
        <v>-16.396215699982001</v>
      </c>
      <c r="AV853"/>
      <c r="AW853"/>
      <c r="FY853" s="212">
        <v>848</v>
      </c>
      <c r="FZ853">
        <v>41.713544549781474</v>
      </c>
      <c r="GA853">
        <v>97.711388564287148</v>
      </c>
      <c r="GB853">
        <v>58.234759547153814</v>
      </c>
      <c r="GC853">
        <v>22.719608053291758</v>
      </c>
      <c r="GD853">
        <v>14.521529123828028</v>
      </c>
      <c r="GE853">
        <v>20.763002888831284</v>
      </c>
      <c r="GF853">
        <v>47.888958359114611</v>
      </c>
      <c r="GG853">
        <v>39.490145683138117</v>
      </c>
      <c r="GH853">
        <v>29.92073272334947</v>
      </c>
      <c r="GI853">
        <v>42.580856103289562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775.21316859148544</v>
      </c>
      <c r="AO854">
        <v>49.69983828704737</v>
      </c>
      <c r="AP854">
        <v>61.509402802299419</v>
      </c>
      <c r="AQ854">
        <v>344.07399506432404</v>
      </c>
      <c r="AR854">
        <v>48.453836381753504</v>
      </c>
      <c r="AS854">
        <v>407.2398292822993</v>
      </c>
      <c r="AT854">
        <v>25.193100875058121</v>
      </c>
      <c r="AU854">
        <v>-40.820029216528638</v>
      </c>
      <c r="AV854"/>
      <c r="AW854"/>
      <c r="FY854" s="212">
        <v>849</v>
      </c>
      <c r="FZ854">
        <v>48.179495268281933</v>
      </c>
      <c r="GA854">
        <v>132.6444012340462</v>
      </c>
      <c r="GB854">
        <v>74.744676126351379</v>
      </c>
      <c r="GC854">
        <v>17.402624386275196</v>
      </c>
      <c r="GD854">
        <v>9.2263205565904265</v>
      </c>
      <c r="GE854">
        <v>10.123619798799698</v>
      </c>
      <c r="GF854">
        <v>24.653848078787149</v>
      </c>
      <c r="GG854">
        <v>22.41566597454382</v>
      </c>
      <c r="GH854">
        <v>15.227929384167291</v>
      </c>
      <c r="GI854">
        <v>38.110769670607105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816.91807957905451</v>
      </c>
      <c r="AO855">
        <v>56.163752982914914</v>
      </c>
      <c r="AP855">
        <v>60.686360846360984</v>
      </c>
      <c r="AQ855">
        <v>405.48700064901664</v>
      </c>
      <c r="AR855">
        <v>54.445593786309523</v>
      </c>
      <c r="AS855">
        <v>437.78865774895144</v>
      </c>
      <c r="AT855">
        <v>26.876172175706682</v>
      </c>
      <c r="AU855">
        <v>-85.130602869359421</v>
      </c>
      <c r="AV855"/>
      <c r="AW855"/>
      <c r="FY855" s="212">
        <v>850</v>
      </c>
      <c r="FZ855">
        <v>38.787864017180716</v>
      </c>
      <c r="GA855">
        <v>169.2541877622441</v>
      </c>
      <c r="GB855">
        <v>90.466620990114762</v>
      </c>
      <c r="GC855">
        <v>23.021227573188707</v>
      </c>
      <c r="GD855">
        <v>13.174791874309808</v>
      </c>
      <c r="GE855">
        <v>9.866253585130945</v>
      </c>
      <c r="GF855">
        <v>17.22483758635358</v>
      </c>
      <c r="GG855">
        <v>27.776397477517541</v>
      </c>
      <c r="GH855">
        <v>28.529025051062153</v>
      </c>
      <c r="GI855">
        <v>43.641826997167769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738.20537044787955</v>
      </c>
      <c r="AO856">
        <v>51.630935126720104</v>
      </c>
      <c r="AP856">
        <v>47.981495743964118</v>
      </c>
      <c r="AQ856">
        <v>369.01298407825425</v>
      </c>
      <c r="AR856">
        <v>50.445218001661402</v>
      </c>
      <c r="AS856">
        <v>408.67129882491713</v>
      </c>
      <c r="AT856">
        <v>24.684760990549591</v>
      </c>
      <c r="AU856">
        <v>-78.571284936096134</v>
      </c>
      <c r="AV856"/>
      <c r="AW856"/>
      <c r="FY856" s="212">
        <v>851</v>
      </c>
      <c r="FZ856">
        <v>30.799750113190512</v>
      </c>
      <c r="GA856">
        <v>84.375698069751152</v>
      </c>
      <c r="GB856">
        <v>38.732384031139134</v>
      </c>
      <c r="GC856">
        <v>11.819218174057905</v>
      </c>
      <c r="GD856">
        <v>9.5511041485830344</v>
      </c>
      <c r="GE856">
        <v>15.334272532855787</v>
      </c>
      <c r="GF856">
        <v>12.452486684798245</v>
      </c>
      <c r="GG856">
        <v>9.029641889103857</v>
      </c>
      <c r="GH856">
        <v>32.287419103904604</v>
      </c>
      <c r="GI856">
        <v>27.192905562899263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906.80360906578733</v>
      </c>
      <c r="AO857">
        <v>54.884084971086715</v>
      </c>
      <c r="AP857">
        <v>137.48994027195656</v>
      </c>
      <c r="AQ857">
        <v>382.74609117471795</v>
      </c>
      <c r="AR857">
        <v>53.598664390697159</v>
      </c>
      <c r="AS857">
        <v>452.1901083153395</v>
      </c>
      <c r="AT857">
        <v>28.399073535535493</v>
      </c>
      <c r="AU857">
        <v>-46.392580237784827</v>
      </c>
      <c r="AV857"/>
      <c r="AW857"/>
      <c r="FY857" s="212">
        <v>852</v>
      </c>
      <c r="FZ857">
        <v>52.788511019534205</v>
      </c>
      <c r="GA857">
        <v>54.215080836214433</v>
      </c>
      <c r="GB857">
        <v>41.917080336905862</v>
      </c>
      <c r="GC857">
        <v>25.721165855646397</v>
      </c>
      <c r="GD857">
        <v>13.190196835638938</v>
      </c>
      <c r="GE857">
        <v>10.222597648507683</v>
      </c>
      <c r="GF857">
        <v>18.357963326920782</v>
      </c>
      <c r="GG857">
        <v>26.154392998112719</v>
      </c>
      <c r="GH857">
        <v>30.682488713944039</v>
      </c>
      <c r="GI857">
        <v>34.118108887331751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670.26216387639022</v>
      </c>
      <c r="AO858">
        <v>44.527736385481923</v>
      </c>
      <c r="AP858">
        <v>108.1144273040599</v>
      </c>
      <c r="AQ858">
        <v>311.25720137531738</v>
      </c>
      <c r="AR858">
        <v>43.672120674613858</v>
      </c>
      <c r="AS858">
        <v>352.24133616202721</v>
      </c>
      <c r="AT858">
        <v>23.571900490117073</v>
      </c>
      <c r="AU858">
        <v>-49.564651260012013</v>
      </c>
      <c r="AV858"/>
      <c r="AW858"/>
      <c r="FY858" s="212">
        <v>853</v>
      </c>
      <c r="FZ858">
        <v>49.453315227846431</v>
      </c>
      <c r="GA858">
        <v>82.041132675050946</v>
      </c>
      <c r="GB858">
        <v>49.010858998347302</v>
      </c>
      <c r="GC858">
        <v>22.110665300378415</v>
      </c>
      <c r="GD858">
        <v>12.503254913369574</v>
      </c>
      <c r="GE858">
        <v>17.663472005004298</v>
      </c>
      <c r="GF858">
        <v>26.792729346490859</v>
      </c>
      <c r="GG858">
        <v>19.81942599159202</v>
      </c>
      <c r="GH858">
        <v>11.800124164302071</v>
      </c>
      <c r="GI858">
        <v>33.493023904513606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743.5461346716553</v>
      </c>
      <c r="AO859">
        <v>49.067730331000703</v>
      </c>
      <c r="AP859">
        <v>119.10244541402668</v>
      </c>
      <c r="AQ859">
        <v>322.03904296059238</v>
      </c>
      <c r="AR859">
        <v>47.911078517871616</v>
      </c>
      <c r="AS859">
        <v>395.13619019302212</v>
      </c>
      <c r="AT859">
        <v>24.757052934727479</v>
      </c>
      <c r="AU859">
        <v>14.404585362003221</v>
      </c>
      <c r="AV859"/>
      <c r="AW859"/>
      <c r="FY859" s="212">
        <v>854</v>
      </c>
      <c r="FZ859">
        <v>45.612182036517666</v>
      </c>
      <c r="GA859">
        <v>84.985022728045848</v>
      </c>
      <c r="GB859">
        <v>50.938309606565007</v>
      </c>
      <c r="GC859">
        <v>22.065085221550493</v>
      </c>
      <c r="GD859">
        <v>11.699620799569406</v>
      </c>
      <c r="GE859">
        <v>10.96249025872878</v>
      </c>
      <c r="GF859">
        <v>23.527038949054951</v>
      </c>
      <c r="GG859">
        <v>25.888050109754637</v>
      </c>
      <c r="GH859">
        <v>25.501139264752723</v>
      </c>
      <c r="GI859">
        <v>34.53753817533601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692.515816611785</v>
      </c>
      <c r="AO860">
        <v>49.132510567660624</v>
      </c>
      <c r="AP860">
        <v>63.109361900857799</v>
      </c>
      <c r="AQ860">
        <v>353.48497912080688</v>
      </c>
      <c r="AR860">
        <v>48.08566248925402</v>
      </c>
      <c r="AS860">
        <v>376.52074209118013</v>
      </c>
      <c r="AT860">
        <v>24.39679317394258</v>
      </c>
      <c r="AU860">
        <v>-65.623083514551737</v>
      </c>
      <c r="AV860"/>
      <c r="AW860"/>
      <c r="FY860" s="212">
        <v>855</v>
      </c>
      <c r="FZ860">
        <v>35.172098975095253</v>
      </c>
      <c r="GA860">
        <v>99.757364468942512</v>
      </c>
      <c r="GB860">
        <v>62.747926584490592</v>
      </c>
      <c r="GC860">
        <v>20.84137060936688</v>
      </c>
      <c r="GD860">
        <v>12.91576792084661</v>
      </c>
      <c r="GE860">
        <v>14.062191016601961</v>
      </c>
      <c r="GF860">
        <v>29.417332741267636</v>
      </c>
      <c r="GG860">
        <v>31.841109665076232</v>
      </c>
      <c r="GH860">
        <v>27.398747466205457</v>
      </c>
      <c r="GI860">
        <v>38.045574194551392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957.66027109067522</v>
      </c>
      <c r="AO861">
        <v>54.31808051667948</v>
      </c>
      <c r="AP861">
        <v>83.724636329976022</v>
      </c>
      <c r="AQ861">
        <v>370.09937426705818</v>
      </c>
      <c r="AR861">
        <v>53.075780317612974</v>
      </c>
      <c r="AS861">
        <v>455.74682524146175</v>
      </c>
      <c r="AT861">
        <v>27.263095308948706</v>
      </c>
      <c r="AU861">
        <v>-103.41097109055926</v>
      </c>
      <c r="AV861"/>
      <c r="AW861"/>
      <c r="FY861" s="212">
        <v>856</v>
      </c>
      <c r="FZ861">
        <v>61.45058813305549</v>
      </c>
      <c r="GA861">
        <v>67.23339240427471</v>
      </c>
      <c r="GB861">
        <v>25.243077125127225</v>
      </c>
      <c r="GC861">
        <v>14.175725839229962</v>
      </c>
      <c r="GD861">
        <v>11.188381968045187</v>
      </c>
      <c r="GE861">
        <v>12.408187841299389</v>
      </c>
      <c r="GF861">
        <v>37.889593405878671</v>
      </c>
      <c r="GG861">
        <v>36.730387186459382</v>
      </c>
      <c r="GH861">
        <v>36.543224844462323</v>
      </c>
      <c r="GI861">
        <v>34.720956363241257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660.57615658794498</v>
      </c>
      <c r="AO862">
        <v>44.830244269396609</v>
      </c>
      <c r="AP862">
        <v>33.092791244167067</v>
      </c>
      <c r="AQ862">
        <v>312.42319286485412</v>
      </c>
      <c r="AR862">
        <v>42.216706827771525</v>
      </c>
      <c r="AS862">
        <v>344.65010083228981</v>
      </c>
      <c r="AT862">
        <v>20.560962538618355</v>
      </c>
      <c r="AU862">
        <v>-82.488997518505244</v>
      </c>
      <c r="AV862"/>
      <c r="AW862"/>
      <c r="FY862" s="212">
        <v>857</v>
      </c>
      <c r="FZ862">
        <v>43.724994143551079</v>
      </c>
      <c r="GA862">
        <v>81.699539512338902</v>
      </c>
      <c r="GB862">
        <v>42.094251841936938</v>
      </c>
      <c r="GC862">
        <v>18.85766132795251</v>
      </c>
      <c r="GD862">
        <v>12.600761484983883</v>
      </c>
      <c r="GE862">
        <v>14.313213280144094</v>
      </c>
      <c r="GF862">
        <v>35.438764737666993</v>
      </c>
      <c r="GG862">
        <v>29.51101164451385</v>
      </c>
      <c r="GH862">
        <v>22.699770522368706</v>
      </c>
      <c r="GI862">
        <v>34.367988000062311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601.1013028528605</v>
      </c>
      <c r="AO863">
        <v>38.786444179682576</v>
      </c>
      <c r="AP863">
        <v>37.779177118418204</v>
      </c>
      <c r="AQ863">
        <v>267.72487880295682</v>
      </c>
      <c r="AR863">
        <v>39.550612077334925</v>
      </c>
      <c r="AS863">
        <v>322.49472219889344</v>
      </c>
      <c r="AT863">
        <v>21.394313297220474</v>
      </c>
      <c r="AU863">
        <v>-39.554004235074764</v>
      </c>
      <c r="AV863"/>
      <c r="AW863"/>
      <c r="FY863" s="212">
        <v>858</v>
      </c>
      <c r="FZ863">
        <v>42.5883202336761</v>
      </c>
      <c r="GA863">
        <v>95.082036546221886</v>
      </c>
      <c r="GB863">
        <v>49.606397137576195</v>
      </c>
      <c r="GC863">
        <v>17.422206362792647</v>
      </c>
      <c r="GD863">
        <v>10.615571366847568</v>
      </c>
      <c r="GE863">
        <v>14.314925377190542</v>
      </c>
      <c r="GF863">
        <v>30.848545201262674</v>
      </c>
      <c r="GG863">
        <v>23.225445807160884</v>
      </c>
      <c r="GH863">
        <v>23.176797973700324</v>
      </c>
      <c r="GI863">
        <v>34.198517857987731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956.34490422640852</v>
      </c>
      <c r="AO864">
        <v>60.153744941779564</v>
      </c>
      <c r="AP864">
        <v>115.59823600264187</v>
      </c>
      <c r="AQ864">
        <v>415.54452559606534</v>
      </c>
      <c r="AR864">
        <v>58.53054171183345</v>
      </c>
      <c r="AS864">
        <v>479.19603371453007</v>
      </c>
      <c r="AT864">
        <v>29.114818391986145</v>
      </c>
      <c r="AU864">
        <v>15.45419424502359</v>
      </c>
      <c r="AV864"/>
      <c r="AW864"/>
      <c r="FY864" s="212">
        <v>859</v>
      </c>
      <c r="FZ864">
        <v>32.522743602025848</v>
      </c>
      <c r="GA864">
        <v>109.32149792542803</v>
      </c>
      <c r="GB864">
        <v>58.632591824678109</v>
      </c>
      <c r="GC864">
        <v>15.444294586919558</v>
      </c>
      <c r="GD864">
        <v>7.5182144236232444</v>
      </c>
      <c r="GE864">
        <v>11.337193339340217</v>
      </c>
      <c r="GF864">
        <v>38.082283225909777</v>
      </c>
      <c r="GG864">
        <v>39.722124013773822</v>
      </c>
      <c r="GH864">
        <v>23.544462540740646</v>
      </c>
      <c r="GI864">
        <v>34.474282800110856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692.21968206310044</v>
      </c>
      <c r="AO865">
        <v>53.701019748911371</v>
      </c>
      <c r="AP865">
        <v>54.151625641063148</v>
      </c>
      <c r="AQ865">
        <v>392.72935047845027</v>
      </c>
      <c r="AR865">
        <v>52.691919221375734</v>
      </c>
      <c r="AS865">
        <v>422.10739281849095</v>
      </c>
      <c r="AT865">
        <v>25.429404767987666</v>
      </c>
      <c r="AU865">
        <v>-46.853781617703476</v>
      </c>
      <c r="AV865"/>
      <c r="AW865"/>
      <c r="FY865" s="212">
        <v>860</v>
      </c>
      <c r="FZ865">
        <v>51.251025257537719</v>
      </c>
      <c r="GA865">
        <v>87.368631343862276</v>
      </c>
      <c r="GB865">
        <v>52.428140315914185</v>
      </c>
      <c r="GC865">
        <v>21.496529607121296</v>
      </c>
      <c r="GD865">
        <v>12.730511405414633</v>
      </c>
      <c r="GE865">
        <v>13.361975804413794</v>
      </c>
      <c r="GF865">
        <v>24.172314847590592</v>
      </c>
      <c r="GG865">
        <v>23.711108444417398</v>
      </c>
      <c r="GH865">
        <v>29.918921318448923</v>
      </c>
      <c r="GI865">
        <v>37.170216272952665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820.08766887776369</v>
      </c>
      <c r="AO866">
        <v>63.808761341594376</v>
      </c>
      <c r="AP866">
        <v>62.0281424715604</v>
      </c>
      <c r="AQ866">
        <v>461.74303291427003</v>
      </c>
      <c r="AR866">
        <v>60.214893453110918</v>
      </c>
      <c r="AS866">
        <v>481.50831732044077</v>
      </c>
      <c r="AT866">
        <v>29.195021927108765</v>
      </c>
      <c r="AU866">
        <v>-143.54070868947113</v>
      </c>
      <c r="AV866"/>
      <c r="AW866"/>
      <c r="FY866" s="212">
        <v>861</v>
      </c>
      <c r="FZ866">
        <v>45.523784628497943</v>
      </c>
      <c r="GA866">
        <v>113.98984287552037</v>
      </c>
      <c r="GB866">
        <v>75.734157194868004</v>
      </c>
      <c r="GC866">
        <v>23.070802831181783</v>
      </c>
      <c r="GD866">
        <v>9.505565237449396</v>
      </c>
      <c r="GE866">
        <v>12.809681817001506</v>
      </c>
      <c r="GF866">
        <v>21.40636053566903</v>
      </c>
      <c r="GG866">
        <v>27.495059183036382</v>
      </c>
      <c r="GH866">
        <v>34.179035477869398</v>
      </c>
      <c r="GI866">
        <v>40.348410606662107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545.5829147062035</v>
      </c>
      <c r="AO867">
        <v>37.759883621133497</v>
      </c>
      <c r="AP867">
        <v>38.616110115334678</v>
      </c>
      <c r="AQ867">
        <v>271.5748803102835</v>
      </c>
      <c r="AR867">
        <v>37.531967267979752</v>
      </c>
      <c r="AS867">
        <v>320.79319079640123</v>
      </c>
      <c r="AT867">
        <v>18.998710482792916</v>
      </c>
      <c r="AU867">
        <v>-48.773068656507533</v>
      </c>
      <c r="AV867"/>
      <c r="AW867"/>
      <c r="FY867" s="212">
        <v>862</v>
      </c>
      <c r="FZ867">
        <v>51.430803022159708</v>
      </c>
      <c r="GA867">
        <v>104.16184217662878</v>
      </c>
      <c r="GB867">
        <v>57.103659862801472</v>
      </c>
      <c r="GC867">
        <v>18.911080823361861</v>
      </c>
      <c r="GD867">
        <v>11.155364113630846</v>
      </c>
      <c r="GE867">
        <v>11.38418591234991</v>
      </c>
      <c r="GF867">
        <v>18.48495308692987</v>
      </c>
      <c r="GG867">
        <v>23.985656176984072</v>
      </c>
      <c r="GH867">
        <v>21.600751972347666</v>
      </c>
      <c r="GI867">
        <v>35.066584721180156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690.44087487819263</v>
      </c>
      <c r="AO868">
        <v>46.554889388613766</v>
      </c>
      <c r="AP868">
        <v>83.699212714136507</v>
      </c>
      <c r="AQ868">
        <v>307.36758645875682</v>
      </c>
      <c r="AR868">
        <v>47.078390333869763</v>
      </c>
      <c r="AS868">
        <v>398.52160302151748</v>
      </c>
      <c r="AT868">
        <v>25.588259020213517</v>
      </c>
      <c r="AU868">
        <v>-55.778134580471736</v>
      </c>
      <c r="AV868"/>
      <c r="AW868"/>
      <c r="FY868" s="212">
        <v>863</v>
      </c>
      <c r="FZ868">
        <v>35.529273926322837</v>
      </c>
      <c r="GA868">
        <v>123.52799007958143</v>
      </c>
      <c r="GB868">
        <v>65.985981517669501</v>
      </c>
      <c r="GC868">
        <v>20.595888855460018</v>
      </c>
      <c r="GD868">
        <v>12.224808596788176</v>
      </c>
      <c r="GE868">
        <v>15.502012810064175</v>
      </c>
      <c r="GF868">
        <v>32.264036831393121</v>
      </c>
      <c r="GG868">
        <v>30.021745724853783</v>
      </c>
      <c r="GH868">
        <v>24.162591035718279</v>
      </c>
      <c r="GI868">
        <v>38.567432193908253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784.56521968098491</v>
      </c>
      <c r="AO869">
        <v>47.596106704020841</v>
      </c>
      <c r="AP869">
        <v>62.654655905939705</v>
      </c>
      <c r="AQ869">
        <v>324.68800252689556</v>
      </c>
      <c r="AR869">
        <v>45.971802338406491</v>
      </c>
      <c r="AS869">
        <v>415.81385468958359</v>
      </c>
      <c r="AT869">
        <v>24.991205163990358</v>
      </c>
      <c r="AU869">
        <v>-53.828908232563883</v>
      </c>
      <c r="AV869"/>
      <c r="AW869"/>
      <c r="FY869" s="212">
        <v>864</v>
      </c>
      <c r="FZ869">
        <v>44.778761376690944</v>
      </c>
      <c r="GA869">
        <v>94.304746637439024</v>
      </c>
      <c r="GB869">
        <v>55.219365648982233</v>
      </c>
      <c r="GC869">
        <v>20.412212043202985</v>
      </c>
      <c r="GD869">
        <v>10.64821565436578</v>
      </c>
      <c r="GE869">
        <v>15.198899736753438</v>
      </c>
      <c r="GF869">
        <v>25.044818907038376</v>
      </c>
      <c r="GG869">
        <v>21.279859637202339</v>
      </c>
      <c r="GH869">
        <v>22.536169753294736</v>
      </c>
      <c r="GI869">
        <v>34.724383922141108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659.73095657810836</v>
      </c>
      <c r="AO870">
        <v>48.315987791828341</v>
      </c>
      <c r="AP870">
        <v>51.07729351831432</v>
      </c>
      <c r="AQ870">
        <v>335.71647714987557</v>
      </c>
      <c r="AR870">
        <v>47.416177520916946</v>
      </c>
      <c r="AS870">
        <v>395.9733073827785</v>
      </c>
      <c r="AT870">
        <v>24.785575047411545</v>
      </c>
      <c r="AU870">
        <v>-33.855172135620478</v>
      </c>
      <c r="AV870"/>
      <c r="AW870"/>
      <c r="FY870" s="212">
        <v>865</v>
      </c>
      <c r="FZ870">
        <v>43.117733547401365</v>
      </c>
      <c r="GA870">
        <v>73.297670978029032</v>
      </c>
      <c r="GB870">
        <v>48.981086920149821</v>
      </c>
      <c r="GC870">
        <v>20.274967187518381</v>
      </c>
      <c r="GD870">
        <v>9.0173704389183555</v>
      </c>
      <c r="GE870">
        <v>10.860716103873681</v>
      </c>
      <c r="GF870">
        <v>35.20297235470489</v>
      </c>
      <c r="GG870">
        <v>35.285268017737458</v>
      </c>
      <c r="GH870">
        <v>18.754423618261523</v>
      </c>
      <c r="GI870">
        <v>33.197041018211181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789.65509260260853</v>
      </c>
      <c r="AO871">
        <v>53.694292869626508</v>
      </c>
      <c r="AP871">
        <v>70.920624384416939</v>
      </c>
      <c r="AQ871">
        <v>372.19948364244453</v>
      </c>
      <c r="AR871">
        <v>52.325139598720284</v>
      </c>
      <c r="AS871">
        <v>423.70907090759869</v>
      </c>
      <c r="AT871">
        <v>25.079865313367943</v>
      </c>
      <c r="AU871">
        <v>-45.608354611368128</v>
      </c>
      <c r="AV871"/>
      <c r="AW871"/>
      <c r="FY871" s="212">
        <v>866</v>
      </c>
      <c r="FZ871">
        <v>39.553415205265033</v>
      </c>
      <c r="GA871">
        <v>91.656261646198388</v>
      </c>
      <c r="GB871">
        <v>59.023835534733038</v>
      </c>
      <c r="GC871">
        <v>23.078355683609015</v>
      </c>
      <c r="GD871">
        <v>13.368166094987361</v>
      </c>
      <c r="GE871">
        <v>16.727165597795501</v>
      </c>
      <c r="GF871">
        <v>38.036965384132472</v>
      </c>
      <c r="GG871">
        <v>37.356053705941839</v>
      </c>
      <c r="GH871">
        <v>31.567113981391902</v>
      </c>
      <c r="GI871">
        <v>40.27120735615911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564.95422292227954</v>
      </c>
      <c r="AO872">
        <v>46.608266738851704</v>
      </c>
      <c r="AP872">
        <v>175.90329135661042</v>
      </c>
      <c r="AQ872">
        <v>337.58351511107361</v>
      </c>
      <c r="AR872">
        <v>47.889372795055237</v>
      </c>
      <c r="AS872">
        <v>378.0706196623097</v>
      </c>
      <c r="AT872">
        <v>27.101334095905603</v>
      </c>
      <c r="AU872">
        <v>-59.364374337991819</v>
      </c>
      <c r="AV872"/>
      <c r="AW872"/>
      <c r="FY872" s="212">
        <v>867</v>
      </c>
      <c r="FZ872">
        <v>25.025832347192754</v>
      </c>
      <c r="GA872">
        <v>83.684385719712068</v>
      </c>
      <c r="GB872">
        <v>56.339027769973661</v>
      </c>
      <c r="GC872">
        <v>21.785956299640063</v>
      </c>
      <c r="GD872">
        <v>12.643596729165189</v>
      </c>
      <c r="GE872">
        <v>16.923134697540114</v>
      </c>
      <c r="GF872">
        <v>29.282361292965955</v>
      </c>
      <c r="GG872">
        <v>28.202533201511756</v>
      </c>
      <c r="GH872">
        <v>29.97291787029927</v>
      </c>
      <c r="GI872">
        <v>35.100731241662807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692.08984589919987</v>
      </c>
      <c r="AO873">
        <v>48.143482875987765</v>
      </c>
      <c r="AP873">
        <v>68.55610977490322</v>
      </c>
      <c r="AQ873">
        <v>335.30795649551925</v>
      </c>
      <c r="AR873">
        <v>47.218264167372269</v>
      </c>
      <c r="AS873">
        <v>393.9480141063957</v>
      </c>
      <c r="AT873">
        <v>24.805867496945694</v>
      </c>
      <c r="AU873">
        <v>-4.8028540091160608</v>
      </c>
      <c r="AV873"/>
      <c r="AW873"/>
      <c r="FY873" s="212">
        <v>868</v>
      </c>
      <c r="FZ873">
        <v>41.963518313134259</v>
      </c>
      <c r="GA873">
        <v>97.483878439981964</v>
      </c>
      <c r="GB873">
        <v>61.094321519998722</v>
      </c>
      <c r="GC873">
        <v>23.122334836284921</v>
      </c>
      <c r="GD873">
        <v>13.669990127267834</v>
      </c>
      <c r="GE873">
        <v>17.256811787320107</v>
      </c>
      <c r="GF873">
        <v>38.479770715336002</v>
      </c>
      <c r="GG873">
        <v>38.158951470506175</v>
      </c>
      <c r="GH873">
        <v>38.780619019911718</v>
      </c>
      <c r="GI873">
        <v>42.587164032687525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653.73406157584759</v>
      </c>
      <c r="AO874">
        <v>47.940184342959512</v>
      </c>
      <c r="AP874">
        <v>59.115105142611711</v>
      </c>
      <c r="AQ874">
        <v>341.0787638644166</v>
      </c>
      <c r="AR874">
        <v>47.091472754535609</v>
      </c>
      <c r="AS874">
        <v>395.08605644844164</v>
      </c>
      <c r="AT874">
        <v>23.741218280766976</v>
      </c>
      <c r="AU874">
        <v>-28.801632016518752</v>
      </c>
      <c r="AV874"/>
      <c r="AW874"/>
      <c r="FY874" s="212">
        <v>869</v>
      </c>
      <c r="FZ874">
        <v>35.372260054643483</v>
      </c>
      <c r="GA874">
        <v>83.625801397479876</v>
      </c>
      <c r="GB874">
        <v>43.850814323712207</v>
      </c>
      <c r="GC874">
        <v>16.051580701522287</v>
      </c>
      <c r="GD874">
        <v>11.12192813111572</v>
      </c>
      <c r="GE874">
        <v>15.995700292170969</v>
      </c>
      <c r="GF874">
        <v>31.326135354697932</v>
      </c>
      <c r="GG874">
        <v>27.709838316924408</v>
      </c>
      <c r="GH874">
        <v>14.143028697138639</v>
      </c>
      <c r="GI874">
        <v>30.596839277806914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719.29128741255658</v>
      </c>
      <c r="AO875">
        <v>50.506930350150832</v>
      </c>
      <c r="AP875">
        <v>109.72938423689244</v>
      </c>
      <c r="AQ875">
        <v>370.59968828255012</v>
      </c>
      <c r="AR875">
        <v>47.385668473603708</v>
      </c>
      <c r="AS875">
        <v>403.64768184812721</v>
      </c>
      <c r="AT875">
        <v>23.786458158329591</v>
      </c>
      <c r="AU875">
        <v>34.04591260786826</v>
      </c>
      <c r="AV875"/>
      <c r="AW875"/>
      <c r="FY875" s="212">
        <v>870</v>
      </c>
      <c r="FZ875">
        <v>39.609379582108296</v>
      </c>
      <c r="GA875">
        <v>137.08617856605079</v>
      </c>
      <c r="GB875">
        <v>74.441091680051684</v>
      </c>
      <c r="GC875">
        <v>18.437369483099033</v>
      </c>
      <c r="GD875">
        <v>12.3075074131565</v>
      </c>
      <c r="GE875">
        <v>15.922414809356756</v>
      </c>
      <c r="GF875">
        <v>27.489049652323349</v>
      </c>
      <c r="GG875">
        <v>26.158446004806724</v>
      </c>
      <c r="GH875">
        <v>24.001073836012242</v>
      </c>
      <c r="GI875">
        <v>40.343545429885829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785.40251750611128</v>
      </c>
      <c r="AO876">
        <v>50.773511333703681</v>
      </c>
      <c r="AP876">
        <v>84.355388219663794</v>
      </c>
      <c r="AQ876">
        <v>353.60937461767344</v>
      </c>
      <c r="AR876">
        <v>51.133862815271392</v>
      </c>
      <c r="AS876">
        <v>405.67227738957467</v>
      </c>
      <c r="AT876">
        <v>26.560677717304245</v>
      </c>
      <c r="AU876">
        <v>-44.382876535200033</v>
      </c>
      <c r="AV876"/>
      <c r="AW876"/>
      <c r="FY876" s="212">
        <v>871</v>
      </c>
      <c r="FZ876">
        <v>51.911231621490671</v>
      </c>
      <c r="GA876">
        <v>89.752301948743337</v>
      </c>
      <c r="GB876">
        <v>46.055273404156758</v>
      </c>
      <c r="GC876">
        <v>19.513105620136351</v>
      </c>
      <c r="GD876">
        <v>14.238926534279434</v>
      </c>
      <c r="GE876">
        <v>14.747513047494591</v>
      </c>
      <c r="GF876">
        <v>22.545457665520917</v>
      </c>
      <c r="GG876">
        <v>27.559736198742087</v>
      </c>
      <c r="GH876">
        <v>31.909244097214692</v>
      </c>
      <c r="GI876">
        <v>36.512246137869731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820.88778307568043</v>
      </c>
      <c r="AO877">
        <v>56.480961899135515</v>
      </c>
      <c r="AP877">
        <v>65.723338159205653</v>
      </c>
      <c r="AQ877">
        <v>404.06270038775591</v>
      </c>
      <c r="AR877">
        <v>55.407208311786398</v>
      </c>
      <c r="AS877">
        <v>474.27742331454851</v>
      </c>
      <c r="AT877">
        <v>29.255538429302984</v>
      </c>
      <c r="AU877">
        <v>-97.904273629395078</v>
      </c>
      <c r="AV877"/>
      <c r="AW877"/>
      <c r="FY877" s="212">
        <v>872</v>
      </c>
      <c r="FZ877">
        <v>33.307057168375991</v>
      </c>
      <c r="GA877">
        <v>71.714459040081209</v>
      </c>
      <c r="GB877">
        <v>42.463485671777114</v>
      </c>
      <c r="GC877">
        <v>24.073433294976358</v>
      </c>
      <c r="GD877">
        <v>15.703544203487324</v>
      </c>
      <c r="GE877">
        <v>16.385806785876511</v>
      </c>
      <c r="GF877">
        <v>26.075914636844043</v>
      </c>
      <c r="GG877">
        <v>28.330286735706743</v>
      </c>
      <c r="GH877">
        <v>31.02383691848075</v>
      </c>
      <c r="GI877">
        <v>34.292915439044158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720.36531235948928</v>
      </c>
      <c r="AO878">
        <v>49.330100161301772</v>
      </c>
      <c r="AP878">
        <v>49.13149627975082</v>
      </c>
      <c r="AQ878">
        <v>353.28488186837438</v>
      </c>
      <c r="AR878">
        <v>48.22365493927299</v>
      </c>
      <c r="AS878">
        <v>397.14248034321457</v>
      </c>
      <c r="AT878">
        <v>24.565907865173234</v>
      </c>
      <c r="AU878">
        <v>-48.949749852423324</v>
      </c>
      <c r="AV878"/>
      <c r="AW878"/>
      <c r="FY878" s="212">
        <v>873</v>
      </c>
      <c r="FZ878">
        <v>40.490467371470579</v>
      </c>
      <c r="GA878">
        <v>84.524734370364214</v>
      </c>
      <c r="GB878">
        <v>50.202464083565957</v>
      </c>
      <c r="GC878">
        <v>17.789469352111603</v>
      </c>
      <c r="GD878">
        <v>11.850791411839225</v>
      </c>
      <c r="GE878">
        <v>18.435221985259432</v>
      </c>
      <c r="GF878">
        <v>15.914594558486723</v>
      </c>
      <c r="GG878">
        <v>19.306304411692643</v>
      </c>
      <c r="GH878">
        <v>32.478812054862416</v>
      </c>
      <c r="GI878">
        <v>33.296233664549789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812.35674267766115</v>
      </c>
      <c r="AO879">
        <v>56.256795324382267</v>
      </c>
      <c r="AP879">
        <v>79.814590366604619</v>
      </c>
      <c r="AQ879">
        <v>398.38176157175957</v>
      </c>
      <c r="AR879">
        <v>53.200693076362398</v>
      </c>
      <c r="AS879">
        <v>424.64426961372249</v>
      </c>
      <c r="AT879">
        <v>26.363569277220638</v>
      </c>
      <c r="AU879">
        <v>-51.155898770449838</v>
      </c>
      <c r="AV879"/>
      <c r="AW879"/>
      <c r="FY879" s="212">
        <v>874</v>
      </c>
      <c r="FZ879">
        <v>56.303092481445269</v>
      </c>
      <c r="GA879">
        <v>103.67828722146153</v>
      </c>
      <c r="GB879">
        <v>53.916005290508437</v>
      </c>
      <c r="GC879">
        <v>14.716834747066875</v>
      </c>
      <c r="GD879">
        <v>11.770429116010384</v>
      </c>
      <c r="GE879">
        <v>12.820601155573234</v>
      </c>
      <c r="GF879">
        <v>14.125730121530168</v>
      </c>
      <c r="GG879">
        <v>22.633489972815973</v>
      </c>
      <c r="GH879">
        <v>25.61979389758022</v>
      </c>
      <c r="GI879">
        <v>35.270341914606867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740.06564405088363</v>
      </c>
      <c r="AO880">
        <v>49.094675471453449</v>
      </c>
      <c r="AP880">
        <v>55.125165353117254</v>
      </c>
      <c r="AQ880">
        <v>344.14743331711094</v>
      </c>
      <c r="AR880">
        <v>47.841669266942574</v>
      </c>
      <c r="AS880">
        <v>397.02988206946463</v>
      </c>
      <c r="AT880">
        <v>24.62871844748318</v>
      </c>
      <c r="AU880">
        <v>-45.874708089043082</v>
      </c>
      <c r="AV880"/>
      <c r="AW880"/>
      <c r="FY880" s="212">
        <v>875</v>
      </c>
      <c r="FZ880">
        <v>41.864640237924391</v>
      </c>
      <c r="GA880">
        <v>118.34647954287762</v>
      </c>
      <c r="GB880">
        <v>63.705940210444744</v>
      </c>
      <c r="GC880">
        <v>18.262884304085436</v>
      </c>
      <c r="GD880">
        <v>11.837030581969699</v>
      </c>
      <c r="GE880">
        <v>16.170919931867875</v>
      </c>
      <c r="GF880">
        <v>51.203624370654474</v>
      </c>
      <c r="GG880">
        <v>44.489527007750063</v>
      </c>
      <c r="GH880">
        <v>20.558903293461697</v>
      </c>
      <c r="GI880">
        <v>41.602206250677426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730.57354899889197</v>
      </c>
      <c r="AO881">
        <v>47.040194748706881</v>
      </c>
      <c r="AP881">
        <v>78.398276240929732</v>
      </c>
      <c r="AQ881">
        <v>327.98925018480566</v>
      </c>
      <c r="AR881">
        <v>45.621645529625809</v>
      </c>
      <c r="AS881">
        <v>379.41080280276947</v>
      </c>
      <c r="AT881">
        <v>23.524054921288609</v>
      </c>
      <c r="AU881">
        <v>-5.4213067779621511</v>
      </c>
      <c r="AV881"/>
      <c r="AW881"/>
      <c r="FY881" s="212">
        <v>876</v>
      </c>
      <c r="FZ881">
        <v>40.472379708907745</v>
      </c>
      <c r="GA881">
        <v>78.369649394479509</v>
      </c>
      <c r="GB881">
        <v>52.108492044333417</v>
      </c>
      <c r="GC881">
        <v>18.82397331324232</v>
      </c>
      <c r="GD881">
        <v>11.838232579163204</v>
      </c>
      <c r="GE881">
        <v>16.371254172872149</v>
      </c>
      <c r="GF881">
        <v>18.739639099336493</v>
      </c>
      <c r="GG881">
        <v>22.550380737245675</v>
      </c>
      <c r="GH881">
        <v>37.919096954163052</v>
      </c>
      <c r="GI881">
        <v>35.131799848740989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910.47794075743218</v>
      </c>
      <c r="AO882">
        <v>56.827885756198782</v>
      </c>
      <c r="AP882">
        <v>94.69638344315743</v>
      </c>
      <c r="AQ882">
        <v>390.63854019021369</v>
      </c>
      <c r="AR882">
        <v>55.427430986942213</v>
      </c>
      <c r="AS882">
        <v>443.7363727677992</v>
      </c>
      <c r="AT882">
        <v>28.017936134104559</v>
      </c>
      <c r="AU882">
        <v>-51.595574890185368</v>
      </c>
      <c r="AV882"/>
      <c r="AW882"/>
      <c r="FY882" s="212">
        <v>877</v>
      </c>
      <c r="FZ882">
        <v>53.998681165693526</v>
      </c>
      <c r="GA882">
        <v>103.62388244163429</v>
      </c>
      <c r="GB882">
        <v>63.133816717177794</v>
      </c>
      <c r="GC882">
        <v>21.627399178325739</v>
      </c>
      <c r="GD882">
        <v>7.6083857727618582</v>
      </c>
      <c r="GE882">
        <v>5.7882405596523485</v>
      </c>
      <c r="GF882">
        <v>25.195435005817547</v>
      </c>
      <c r="GG882">
        <v>24.618471686837278</v>
      </c>
      <c r="GH882">
        <v>19.686609493418707</v>
      </c>
      <c r="GI882">
        <v>35.742599469773843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818.76842631819102</v>
      </c>
      <c r="AO883">
        <v>50.018127225476576</v>
      </c>
      <c r="AP883">
        <v>95.111624278954466</v>
      </c>
      <c r="AQ883">
        <v>338.96047716966365</v>
      </c>
      <c r="AR883">
        <v>48.185108296840987</v>
      </c>
      <c r="AS883">
        <v>407.55805542465862</v>
      </c>
      <c r="AT883">
        <v>24.417501979437969</v>
      </c>
      <c r="AU883">
        <v>-54.357566178665436</v>
      </c>
      <c r="AV883"/>
      <c r="AW883"/>
      <c r="FY883" s="212">
        <v>878</v>
      </c>
      <c r="FZ883">
        <v>41.117515316379539</v>
      </c>
      <c r="GA883">
        <v>115.79475763121005</v>
      </c>
      <c r="GB883">
        <v>69.349740978718245</v>
      </c>
      <c r="GC883">
        <v>22.893289513226357</v>
      </c>
      <c r="GD883">
        <v>12.59535077267036</v>
      </c>
      <c r="GE883">
        <v>14.55224150236622</v>
      </c>
      <c r="GF883">
        <v>26.469877641812435</v>
      </c>
      <c r="GG883">
        <v>28.746944510144239</v>
      </c>
      <c r="GH883">
        <v>29.956499202066492</v>
      </c>
      <c r="GI883">
        <v>40.331586274192809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877.50320532656224</v>
      </c>
      <c r="AO884">
        <v>59.59025993786954</v>
      </c>
      <c r="AP884">
        <v>114.73641030573225</v>
      </c>
      <c r="AQ884">
        <v>412.59736026242922</v>
      </c>
      <c r="AR884">
        <v>58.722546092494383</v>
      </c>
      <c r="AS884">
        <v>500.80106669864711</v>
      </c>
      <c r="AT884">
        <v>30.67111264800614</v>
      </c>
      <c r="AU884">
        <v>-63.855945383375065</v>
      </c>
      <c r="AV884"/>
      <c r="AW884"/>
      <c r="FY884" s="212">
        <v>879</v>
      </c>
      <c r="FZ884">
        <v>46.632831235281287</v>
      </c>
      <c r="GA884">
        <v>132.18705925324505</v>
      </c>
      <c r="GB884">
        <v>76.400933889504955</v>
      </c>
      <c r="GC884">
        <v>19.884258727967882</v>
      </c>
      <c r="GD884">
        <v>12.890187872833772</v>
      </c>
      <c r="GE884">
        <v>19.503979372236266</v>
      </c>
      <c r="GF884">
        <v>35.316779070798418</v>
      </c>
      <c r="GG884">
        <v>36.312851693299862</v>
      </c>
      <c r="GH884">
        <v>34.404571564161259</v>
      </c>
      <c r="GI884">
        <v>45.205212169937198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680.70356035157897</v>
      </c>
      <c r="AO885">
        <v>44.454116654815614</v>
      </c>
      <c r="AP885">
        <v>63.344595240680796</v>
      </c>
      <c r="AQ885">
        <v>309.79392654721238</v>
      </c>
      <c r="AR885">
        <v>42.063360686538047</v>
      </c>
      <c r="AS885">
        <v>369.82656371902635</v>
      </c>
      <c r="AT885">
        <v>21.231548740552924</v>
      </c>
      <c r="AU885">
        <v>-30.186934822581332</v>
      </c>
      <c r="AV885"/>
      <c r="AW885"/>
      <c r="FY885" s="212">
        <v>880</v>
      </c>
      <c r="FZ885">
        <v>38.865754996016946</v>
      </c>
      <c r="GA885">
        <v>146.15348930307132</v>
      </c>
      <c r="GB885">
        <v>77.942873062829293</v>
      </c>
      <c r="GC885">
        <v>19.528051001636214</v>
      </c>
      <c r="GD885">
        <v>13.617173860966236</v>
      </c>
      <c r="GE885">
        <v>14.479223185482393</v>
      </c>
      <c r="GF885">
        <v>31.186906807198017</v>
      </c>
      <c r="GG885">
        <v>42.086137273927129</v>
      </c>
      <c r="GH885">
        <v>29.854462362006277</v>
      </c>
      <c r="GI885">
        <v>43.526813820574958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920.10505686346028</v>
      </c>
      <c r="AO886">
        <v>57.650394386696767</v>
      </c>
      <c r="AP886">
        <v>64.283807679332767</v>
      </c>
      <c r="AQ886">
        <v>415.79605645685115</v>
      </c>
      <c r="AR886">
        <v>55.537494664679215</v>
      </c>
      <c r="AS886">
        <v>469.9334364934117</v>
      </c>
      <c r="AT886">
        <v>27.018240163924812</v>
      </c>
      <c r="AU886">
        <v>-164.71018919726069</v>
      </c>
      <c r="AV886"/>
      <c r="AW886"/>
      <c r="FY886" s="212">
        <v>881</v>
      </c>
      <c r="FZ886">
        <v>52.83418143126049</v>
      </c>
      <c r="GA886">
        <v>90.702233932921231</v>
      </c>
      <c r="GB886">
        <v>56.85782947076391</v>
      </c>
      <c r="GC886">
        <v>23.258404173697265</v>
      </c>
      <c r="GD886">
        <v>12.30854466528926</v>
      </c>
      <c r="GE886">
        <v>15.814872122089197</v>
      </c>
      <c r="GF886">
        <v>30.893952856737105</v>
      </c>
      <c r="GG886">
        <v>34.777084208010635</v>
      </c>
      <c r="GH886">
        <v>36.165357592690718</v>
      </c>
      <c r="GI886">
        <v>40.328223998360144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720.89356905088266</v>
      </c>
      <c r="AO887">
        <v>50.531991923947352</v>
      </c>
      <c r="AP887">
        <v>68.310625382224686</v>
      </c>
      <c r="AQ887">
        <v>354.74503627564854</v>
      </c>
      <c r="AR887">
        <v>50.141126384826549</v>
      </c>
      <c r="AS887">
        <v>412.46191392578555</v>
      </c>
      <c r="AT887">
        <v>26.534694051757981</v>
      </c>
      <c r="AU887">
        <v>-35.834082782467121</v>
      </c>
      <c r="AV887"/>
      <c r="AW887"/>
      <c r="FY887" s="212">
        <v>882</v>
      </c>
      <c r="FZ887">
        <v>31.165892017741363</v>
      </c>
      <c r="GA887">
        <v>112.11311725841996</v>
      </c>
      <c r="GB887">
        <v>77.23138351464587</v>
      </c>
      <c r="GC887">
        <v>21.415818342835795</v>
      </c>
      <c r="GD887">
        <v>8.0299084554080196</v>
      </c>
      <c r="GE887">
        <v>13.570122479981073</v>
      </c>
      <c r="GF887">
        <v>26.900622877711122</v>
      </c>
      <c r="GG887">
        <v>24.887724048669426</v>
      </c>
      <c r="GH887">
        <v>24.385267121517408</v>
      </c>
      <c r="GI887">
        <v>37.258788691659525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778.44035982205344</v>
      </c>
      <c r="AO888">
        <v>49.035789413903387</v>
      </c>
      <c r="AP888">
        <v>113.54903305796095</v>
      </c>
      <c r="AQ888">
        <v>323.37073989465017</v>
      </c>
      <c r="AR888">
        <v>47.151541222855002</v>
      </c>
      <c r="AS888">
        <v>406.15404980338911</v>
      </c>
      <c r="AT888">
        <v>24.758362880902396</v>
      </c>
      <c r="AU888">
        <v>-40.26297294416581</v>
      </c>
      <c r="AV888"/>
      <c r="AW888"/>
      <c r="FY888" s="212">
        <v>883</v>
      </c>
      <c r="FZ888">
        <v>42.64429068903231</v>
      </c>
      <c r="GA888">
        <v>120.55529078864045</v>
      </c>
      <c r="GB888">
        <v>60.672630836460911</v>
      </c>
      <c r="GC888">
        <v>19.986914861297251</v>
      </c>
      <c r="GD888">
        <v>14.110391539120259</v>
      </c>
      <c r="GE888">
        <v>13.043131881443921</v>
      </c>
      <c r="GF888">
        <v>25.549738484062949</v>
      </c>
      <c r="GG888">
        <v>26.994814373648445</v>
      </c>
      <c r="GH888">
        <v>28.140385204347517</v>
      </c>
      <c r="GI888">
        <v>38.79663330183827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751.56477479548562</v>
      </c>
      <c r="AO889">
        <v>46.325050719612179</v>
      </c>
      <c r="AP889">
        <v>60.201755175574398</v>
      </c>
      <c r="AQ889">
        <v>324.28909326420262</v>
      </c>
      <c r="AR889">
        <v>45.652751439595349</v>
      </c>
      <c r="AS889">
        <v>388.37937800124291</v>
      </c>
      <c r="AT889">
        <v>23.792647461070104</v>
      </c>
      <c r="AU889">
        <v>-53.863117335383677</v>
      </c>
      <c r="AV889"/>
      <c r="AW889"/>
      <c r="FY889" s="212">
        <v>884</v>
      </c>
      <c r="FZ889">
        <v>38.815717624386018</v>
      </c>
      <c r="GA889">
        <v>105.24978790718242</v>
      </c>
      <c r="GB889">
        <v>63.029708778486167</v>
      </c>
      <c r="GC889">
        <v>19.701493844763014</v>
      </c>
      <c r="GD889">
        <v>11.041397971655512</v>
      </c>
      <c r="GE889">
        <v>15.597889897806503</v>
      </c>
      <c r="GF889">
        <v>14.183076000092024</v>
      </c>
      <c r="GG889">
        <v>15.114907174914045</v>
      </c>
      <c r="GH889">
        <v>24.726925584142624</v>
      </c>
      <c r="GI889">
        <v>34.359460727649378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665.9572559493788</v>
      </c>
      <c r="AO890">
        <v>48.453631436715121</v>
      </c>
      <c r="AP890">
        <v>104.87162654819642</v>
      </c>
      <c r="AQ890">
        <v>350.85460591859902</v>
      </c>
      <c r="AR890">
        <v>48.657856573802178</v>
      </c>
      <c r="AS890">
        <v>372.9700998360467</v>
      </c>
      <c r="AT890">
        <v>24.629366501766366</v>
      </c>
      <c r="AU890">
        <v>39.802877842111563</v>
      </c>
      <c r="AV890"/>
      <c r="AW890"/>
      <c r="FY890" s="212">
        <v>885</v>
      </c>
      <c r="FZ890">
        <v>44.701385326725116</v>
      </c>
      <c r="GA890">
        <v>117.14750444223418</v>
      </c>
      <c r="GB890">
        <v>60.811094183144576</v>
      </c>
      <c r="GC890">
        <v>14.656400456901444</v>
      </c>
      <c r="GD890">
        <v>13.438486478864506</v>
      </c>
      <c r="GE890">
        <v>22.215498507110507</v>
      </c>
      <c r="GF890">
        <v>22.935510976985118</v>
      </c>
      <c r="GG890">
        <v>21.555279647783998</v>
      </c>
      <c r="GH890">
        <v>27.506672862161309</v>
      </c>
      <c r="GI890">
        <v>38.217360098603884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836.73502180176786</v>
      </c>
      <c r="AO891">
        <v>59.760516315260794</v>
      </c>
      <c r="AP891">
        <v>110.44966271833269</v>
      </c>
      <c r="AQ891">
        <v>428.04215573171348</v>
      </c>
      <c r="AR891">
        <v>57.319860498308387</v>
      </c>
      <c r="AS891">
        <v>466.4225344601129</v>
      </c>
      <c r="AT891">
        <v>28.628356773782013</v>
      </c>
      <c r="AU891">
        <v>-14.332628081892135</v>
      </c>
      <c r="AV891"/>
      <c r="AW891"/>
      <c r="FY891" s="212">
        <v>886</v>
      </c>
      <c r="FZ891">
        <v>36.81772445751519</v>
      </c>
      <c r="GA891">
        <v>116.82329982807903</v>
      </c>
      <c r="GB891">
        <v>71.482038369592317</v>
      </c>
      <c r="GC891">
        <v>21.025711169477965</v>
      </c>
      <c r="GD891">
        <v>12.51679490382689</v>
      </c>
      <c r="GE891">
        <v>13.030931819130302</v>
      </c>
      <c r="GF891">
        <v>20.872607718058141</v>
      </c>
      <c r="GG891">
        <v>28.037747024677245</v>
      </c>
      <c r="GH891">
        <v>33.443869650184297</v>
      </c>
      <c r="GI891">
        <v>39.657311630449755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698.22304710702292</v>
      </c>
      <c r="AO892">
        <v>47.742656077221632</v>
      </c>
      <c r="AP892">
        <v>57.180183572625857</v>
      </c>
      <c r="AQ892">
        <v>332.32489785248453</v>
      </c>
      <c r="AR892">
        <v>48.203857774184357</v>
      </c>
      <c r="AS892">
        <v>415.4214115139597</v>
      </c>
      <c r="AT892">
        <v>25.676806162179989</v>
      </c>
      <c r="AU892">
        <v>-36.229480299411463</v>
      </c>
      <c r="AV892"/>
      <c r="AW892"/>
      <c r="FY892" s="212">
        <v>887</v>
      </c>
      <c r="FZ892">
        <v>46.541625328374025</v>
      </c>
      <c r="GA892">
        <v>104.70431394025196</v>
      </c>
      <c r="GB892">
        <v>58.651548401939124</v>
      </c>
      <c r="GC892">
        <v>16.243443674711266</v>
      </c>
      <c r="GD892">
        <v>8.574753656328868</v>
      </c>
      <c r="GE892">
        <v>12.233996328171745</v>
      </c>
      <c r="GF892">
        <v>38.109314297832995</v>
      </c>
      <c r="GG892">
        <v>36.276872003581076</v>
      </c>
      <c r="GH892">
        <v>38.929044836813958</v>
      </c>
      <c r="GI892">
        <v>39.664086900540497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716.61748702713305</v>
      </c>
      <c r="AO893">
        <v>49.491692133400718</v>
      </c>
      <c r="AP893">
        <v>66.26138121177452</v>
      </c>
      <c r="AQ893">
        <v>361.02352149109294</v>
      </c>
      <c r="AR893">
        <v>49.027641594818448</v>
      </c>
      <c r="AS893">
        <v>421.47029485725187</v>
      </c>
      <c r="AT893">
        <v>26.571317916806539</v>
      </c>
      <c r="AU893">
        <v>-52.121403212133018</v>
      </c>
      <c r="AV893"/>
      <c r="AW893"/>
      <c r="FY893" s="212">
        <v>888</v>
      </c>
      <c r="FZ893">
        <v>30.397949363842699</v>
      </c>
      <c r="GA893">
        <v>92.831450098294823</v>
      </c>
      <c r="GB893">
        <v>57.375906958992701</v>
      </c>
      <c r="GC893">
        <v>21.780311791634137</v>
      </c>
      <c r="GD893">
        <v>11.705412787613549</v>
      </c>
      <c r="GE893">
        <v>12.611048785459509</v>
      </c>
      <c r="GF893">
        <v>18.102196473306471</v>
      </c>
      <c r="GG893">
        <v>22.805125189249338</v>
      </c>
      <c r="GH893">
        <v>26.00252952994413</v>
      </c>
      <c r="GI893">
        <v>33.013148928902268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831.31041222907186</v>
      </c>
      <c r="AO894">
        <v>57.496121107139494</v>
      </c>
      <c r="AP894">
        <v>85.494133111772143</v>
      </c>
      <c r="AQ894">
        <v>401.80780334278677</v>
      </c>
      <c r="AR894">
        <v>55.726264210222162</v>
      </c>
      <c r="AS894">
        <v>432.52232884216335</v>
      </c>
      <c r="AT894">
        <v>27.066236348148923</v>
      </c>
      <c r="AU894">
        <v>-65.093507765578039</v>
      </c>
      <c r="AV894"/>
      <c r="AW894"/>
      <c r="FY894" s="212">
        <v>889</v>
      </c>
      <c r="FZ894">
        <v>53.73800252189951</v>
      </c>
      <c r="GA894">
        <v>106.3629377511229</v>
      </c>
      <c r="GB894">
        <v>62.827043759700288</v>
      </c>
      <c r="GC894">
        <v>18.959348045277817</v>
      </c>
      <c r="GD894">
        <v>8.5347917605273818</v>
      </c>
      <c r="GE894">
        <v>11.201994415283597</v>
      </c>
      <c r="GF894">
        <v>23.683555432973311</v>
      </c>
      <c r="GG894">
        <v>29.85111663018041</v>
      </c>
      <c r="GH894">
        <v>32.393248379341792</v>
      </c>
      <c r="GI894">
        <v>37.968038634261241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953.62304097349204</v>
      </c>
      <c r="AO895">
        <v>63.610571197349863</v>
      </c>
      <c r="AP895">
        <v>97.991803242799236</v>
      </c>
      <c r="AQ895">
        <v>458.738664849266</v>
      </c>
      <c r="AR895">
        <v>62.076293205322038</v>
      </c>
      <c r="AS895">
        <v>506.27051448043119</v>
      </c>
      <c r="AT895">
        <v>31.516920177692132</v>
      </c>
      <c r="AU895">
        <v>-64.602803313117349</v>
      </c>
      <c r="AV895"/>
      <c r="AW895"/>
      <c r="FY895" s="212">
        <v>890</v>
      </c>
      <c r="FZ895">
        <v>42.640400738277556</v>
      </c>
      <c r="GA895">
        <v>130.74114453236083</v>
      </c>
      <c r="GB895">
        <v>76.549894980689345</v>
      </c>
      <c r="GC895">
        <v>21.094635971059656</v>
      </c>
      <c r="GD895">
        <v>11.762798105759551</v>
      </c>
      <c r="GE895">
        <v>14.826386756158268</v>
      </c>
      <c r="GF895">
        <v>16.834749932794139</v>
      </c>
      <c r="GG895">
        <v>14.058358821496057</v>
      </c>
      <c r="GH895">
        <v>23.389350764226965</v>
      </c>
      <c r="GI895">
        <v>38.9093891425225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959.28561988021215</v>
      </c>
      <c r="AO896">
        <v>63.431779656142112</v>
      </c>
      <c r="AP896">
        <v>91.328050432146</v>
      </c>
      <c r="AQ896">
        <v>457.24088567370876</v>
      </c>
      <c r="AR896">
        <v>59.91373711917349</v>
      </c>
      <c r="AS896">
        <v>478.25740332702992</v>
      </c>
      <c r="AT896">
        <v>28.84789803801867</v>
      </c>
      <c r="AU896">
        <v>-104.06734629671513</v>
      </c>
      <c r="AV896"/>
      <c r="AW896"/>
      <c r="FY896" s="212">
        <v>891</v>
      </c>
      <c r="FZ896">
        <v>33.833149623038778</v>
      </c>
      <c r="GA896">
        <v>71.863882522509371</v>
      </c>
      <c r="GB896">
        <v>48.107625027453977</v>
      </c>
      <c r="GC896">
        <v>20.725915212192884</v>
      </c>
      <c r="GD896">
        <v>12.22266450819893</v>
      </c>
      <c r="GE896">
        <v>10.5308485742414</v>
      </c>
      <c r="GF896">
        <v>27.141719549221673</v>
      </c>
      <c r="GG896">
        <v>25.404666289660661</v>
      </c>
      <c r="GH896">
        <v>18.732783104363151</v>
      </c>
      <c r="GI896">
        <v>31.966930793440643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915.26780658183338</v>
      </c>
      <c r="AO897">
        <v>55.871748290565542</v>
      </c>
      <c r="AP897">
        <v>84.194714260502508</v>
      </c>
      <c r="AQ897">
        <v>393.94068445181995</v>
      </c>
      <c r="AR897">
        <v>55.128952364995172</v>
      </c>
      <c r="AS897">
        <v>462.13890729413396</v>
      </c>
      <c r="AT897">
        <v>30.003067091593806</v>
      </c>
      <c r="AU897">
        <v>-57.547385977972404</v>
      </c>
      <c r="AV897"/>
      <c r="AW897"/>
      <c r="FY897" s="212">
        <v>892</v>
      </c>
      <c r="FZ897">
        <v>41.434924849602488</v>
      </c>
      <c r="GA897">
        <v>135.92629909751017</v>
      </c>
      <c r="GB897">
        <v>76.89786098590919</v>
      </c>
      <c r="GC897">
        <v>17.2846819337631</v>
      </c>
      <c r="GD897">
        <v>11.113001982409161</v>
      </c>
      <c r="GE897">
        <v>17.097453253274111</v>
      </c>
      <c r="GF897">
        <v>23.907265044032076</v>
      </c>
      <c r="GG897">
        <v>26.276551753438589</v>
      </c>
      <c r="GH897">
        <v>42.113385304593812</v>
      </c>
      <c r="GI897">
        <v>42.745834383118385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888.89046642846893</v>
      </c>
      <c r="AO898">
        <v>53.211295881592108</v>
      </c>
      <c r="AP898">
        <v>84.228526775372075</v>
      </c>
      <c r="AQ898">
        <v>376.95864480858955</v>
      </c>
      <c r="AR898">
        <v>51.259350054949792</v>
      </c>
      <c r="AS898">
        <v>415.44835070722075</v>
      </c>
      <c r="AT898">
        <v>25.711634310594345</v>
      </c>
      <c r="AU898">
        <v>-75.386360808083822</v>
      </c>
      <c r="AV898"/>
      <c r="AW898"/>
      <c r="FY898" s="212">
        <v>893</v>
      </c>
      <c r="FZ898">
        <v>66.72186157506782</v>
      </c>
      <c r="GA898">
        <v>102.5763857617353</v>
      </c>
      <c r="GB898">
        <v>53.857806222181019</v>
      </c>
      <c r="GC898">
        <v>17.696958190299089</v>
      </c>
      <c r="GD898">
        <v>11.276769346886129</v>
      </c>
      <c r="GE898">
        <v>15.932729881240546</v>
      </c>
      <c r="GF898">
        <v>15.686193125304566</v>
      </c>
      <c r="GG898">
        <v>16.76239236537598</v>
      </c>
      <c r="GH898">
        <v>21.641624265917944</v>
      </c>
      <c r="GI898">
        <v>36.056900945092842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788.87322130804341</v>
      </c>
      <c r="AO899">
        <v>55.062398220701255</v>
      </c>
      <c r="AP899">
        <v>70.535198133312392</v>
      </c>
      <c r="AQ899">
        <v>390.49422195989229</v>
      </c>
      <c r="AR899">
        <v>53.489036399374619</v>
      </c>
      <c r="AS899">
        <v>432.98723949039004</v>
      </c>
      <c r="AT899">
        <v>26.699582135192696</v>
      </c>
      <c r="AU899">
        <v>-65.898671270430071</v>
      </c>
      <c r="AV899"/>
      <c r="AW899"/>
      <c r="FY899" s="212">
        <v>894</v>
      </c>
      <c r="FZ899">
        <v>52.096800420284609</v>
      </c>
      <c r="GA899">
        <v>104.02664259889195</v>
      </c>
      <c r="GB899">
        <v>59.836101642222459</v>
      </c>
      <c r="GC899">
        <v>21.924802652869541</v>
      </c>
      <c r="GD899">
        <v>13.862488193611316</v>
      </c>
      <c r="GE899">
        <v>16.179257896375965</v>
      </c>
      <c r="GF899">
        <v>37.937857344233372</v>
      </c>
      <c r="GG899">
        <v>39.042500863765007</v>
      </c>
      <c r="GH899">
        <v>37.501626379590299</v>
      </c>
      <c r="GI899">
        <v>43.396013894698221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745.68777239156611</v>
      </c>
      <c r="AO900">
        <v>48.772561200751241</v>
      </c>
      <c r="AP900">
        <v>52.165897365220168</v>
      </c>
      <c r="AQ900">
        <v>341.82036551107768</v>
      </c>
      <c r="AR900">
        <v>47.364307426749406</v>
      </c>
      <c r="AS900">
        <v>386.44025293328178</v>
      </c>
      <c r="AT900">
        <v>23.320096493743261</v>
      </c>
      <c r="AU900">
        <v>-80.510103411388371</v>
      </c>
      <c r="AV900"/>
      <c r="AW900"/>
      <c r="FY900" s="212">
        <v>895</v>
      </c>
      <c r="FZ900">
        <v>39.385216873929238</v>
      </c>
      <c r="GA900">
        <v>120.6588158268825</v>
      </c>
      <c r="GB900">
        <v>67.994397588360485</v>
      </c>
      <c r="GC900">
        <v>18.384976109629989</v>
      </c>
      <c r="GD900">
        <v>12.835911776632855</v>
      </c>
      <c r="GE900">
        <v>18.877051913375393</v>
      </c>
      <c r="GF900">
        <v>35.82991181427694</v>
      </c>
      <c r="GG900">
        <v>30.539759628764905</v>
      </c>
      <c r="GH900">
        <v>27.785481020885143</v>
      </c>
      <c r="GI900">
        <v>41.093421406719187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730.20917697899597</v>
      </c>
      <c r="AO901">
        <v>53.819268859957958</v>
      </c>
      <c r="AP901">
        <v>66.42355690066114</v>
      </c>
      <c r="AQ901">
        <v>383.18519298051467</v>
      </c>
      <c r="AR901">
        <v>52.794500112730944</v>
      </c>
      <c r="AS901">
        <v>402.83003478683361</v>
      </c>
      <c r="AT901">
        <v>25.577269962736199</v>
      </c>
      <c r="AU901">
        <v>-51.962555080429127</v>
      </c>
      <c r="AV901"/>
      <c r="AW901"/>
      <c r="FY901" s="212">
        <v>896</v>
      </c>
      <c r="FZ901">
        <v>49.621603850608267</v>
      </c>
      <c r="GA901">
        <v>86.761145226880529</v>
      </c>
      <c r="GB901">
        <v>45.988406040278512</v>
      </c>
      <c r="GC901">
        <v>20.245579606160444</v>
      </c>
      <c r="GD901">
        <v>12.528120791999189</v>
      </c>
      <c r="GE901">
        <v>12.134418444186903</v>
      </c>
      <c r="GF901">
        <v>25.737784391278012</v>
      </c>
      <c r="GG901">
        <v>20.712707069489433</v>
      </c>
      <c r="GH901">
        <v>12.083731629036111</v>
      </c>
      <c r="GI901">
        <v>32.599988349838235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768.99632207179729</v>
      </c>
      <c r="AO902">
        <v>55.914290870705962</v>
      </c>
      <c r="AP902">
        <v>56.903564572728442</v>
      </c>
      <c r="AQ902">
        <v>393.70803657099111</v>
      </c>
      <c r="AR902">
        <v>54.658575148737931</v>
      </c>
      <c r="AS902">
        <v>434.67022380653538</v>
      </c>
      <c r="AT902">
        <v>27.347692499469414</v>
      </c>
      <c r="AU902">
        <v>-103.68141274643239</v>
      </c>
      <c r="AV902"/>
      <c r="AW902"/>
      <c r="FY902" s="212">
        <v>897</v>
      </c>
      <c r="FZ902">
        <v>50.723859826769868</v>
      </c>
      <c r="GA902">
        <v>169.2164837377552</v>
      </c>
      <c r="GB902">
        <v>95.760652371591306</v>
      </c>
      <c r="GC902">
        <v>20.072640792899058</v>
      </c>
      <c r="GD902">
        <v>9.8351535941258152</v>
      </c>
      <c r="GE902">
        <v>11.381929118058993</v>
      </c>
      <c r="GF902">
        <v>16.589869550103636</v>
      </c>
      <c r="GG902">
        <v>17.27557361794543</v>
      </c>
      <c r="GH902">
        <v>31.752426398253167</v>
      </c>
      <c r="GI902">
        <v>45.086459456358938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742.34940653951048</v>
      </c>
      <c r="AO903">
        <v>54.541460394159444</v>
      </c>
      <c r="AP903">
        <v>117.37004095027237</v>
      </c>
      <c r="AQ903">
        <v>399.92899936854548</v>
      </c>
      <c r="AR903">
        <v>54.811856110059054</v>
      </c>
      <c r="AS903">
        <v>444.08283909845153</v>
      </c>
      <c r="AT903">
        <v>27.570683535640921</v>
      </c>
      <c r="AU903">
        <v>19.630081436770791</v>
      </c>
      <c r="AV903"/>
      <c r="AW903"/>
      <c r="FY903" s="212">
        <v>898</v>
      </c>
      <c r="FZ903">
        <v>35.925840140598304</v>
      </c>
      <c r="GA903">
        <v>128.42041598110609</v>
      </c>
      <c r="GB903">
        <v>75.358022706830383</v>
      </c>
      <c r="GC903">
        <v>18.531542352293357</v>
      </c>
      <c r="GD903">
        <v>10.819345856177687</v>
      </c>
      <c r="GE903">
        <v>16.582512499252356</v>
      </c>
      <c r="GF903">
        <v>32.415358216680403</v>
      </c>
      <c r="GG903">
        <v>32.895176738744716</v>
      </c>
      <c r="GH903">
        <v>32.588020943861352</v>
      </c>
      <c r="GI903">
        <v>41.439878553506155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681.6106247314417</v>
      </c>
      <c r="AO904">
        <v>47.713553352799082</v>
      </c>
      <c r="AP904">
        <v>65.087238795549567</v>
      </c>
      <c r="AQ904">
        <v>326.62507990723964</v>
      </c>
      <c r="AR904">
        <v>45.484414497898008</v>
      </c>
      <c r="AS904">
        <v>375.8288021612093</v>
      </c>
      <c r="AT904">
        <v>23.147290056601118</v>
      </c>
      <c r="AU904">
        <v>-49.898427299897513</v>
      </c>
      <c r="AV904"/>
      <c r="AW904"/>
      <c r="FY904" s="212">
        <v>899</v>
      </c>
      <c r="FZ904">
        <v>51.616309582421742</v>
      </c>
      <c r="GA904">
        <v>67.321449676640654</v>
      </c>
      <c r="GB904">
        <v>38.703274455094331</v>
      </c>
      <c r="GC904">
        <v>18.881400500233521</v>
      </c>
      <c r="GD904">
        <v>8.7180146509240082</v>
      </c>
      <c r="GE904">
        <v>8.7152440446944617</v>
      </c>
      <c r="GF904">
        <v>13.653329518839778</v>
      </c>
      <c r="GG904">
        <v>13.493728298555389</v>
      </c>
      <c r="GH904">
        <v>18.29421249357042</v>
      </c>
      <c r="GI904">
        <v>27.748463015662725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714.78707512651022</v>
      </c>
      <c r="AO905">
        <v>52.655596549431493</v>
      </c>
      <c r="AP905">
        <v>77.955239397548979</v>
      </c>
      <c r="AQ905">
        <v>385.52007733056826</v>
      </c>
      <c r="AR905">
        <v>52.120668765469681</v>
      </c>
      <c r="AS905">
        <v>415.32955522487129</v>
      </c>
      <c r="AT905">
        <v>27.641752338587157</v>
      </c>
      <c r="AU905">
        <v>-35.93266462057759</v>
      </c>
      <c r="AV905"/>
      <c r="AW905"/>
      <c r="FY905" s="212">
        <v>900</v>
      </c>
      <c r="FZ905">
        <v>38.175323955727634</v>
      </c>
      <c r="GA905">
        <v>116.0390215014248</v>
      </c>
      <c r="GB905">
        <v>64.784137589265896</v>
      </c>
      <c r="GC905">
        <v>21.501816227963744</v>
      </c>
      <c r="GD905">
        <v>15.296558431318733</v>
      </c>
      <c r="GE905">
        <v>19.020447720849745</v>
      </c>
      <c r="GF905">
        <v>36.377305775956657</v>
      </c>
      <c r="GG905">
        <v>30.663178274801083</v>
      </c>
      <c r="GH905">
        <v>17.116839371963511</v>
      </c>
      <c r="GI905">
        <v>39.977188808907187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883.72783506289886</v>
      </c>
      <c r="AO906">
        <v>54.670012938532203</v>
      </c>
      <c r="AP906">
        <v>54.530581948252234</v>
      </c>
      <c r="AQ906">
        <v>390.80710974534486</v>
      </c>
      <c r="AR906">
        <v>53.499653617727958</v>
      </c>
      <c r="AS906">
        <v>449.92383269535861</v>
      </c>
      <c r="AT906">
        <v>26.97783049447872</v>
      </c>
      <c r="AU906">
        <v>-91.133226267616891</v>
      </c>
      <c r="AV906"/>
      <c r="AW906"/>
      <c r="FY906" s="212">
        <v>901</v>
      </c>
      <c r="FZ906">
        <v>25.302485744267532</v>
      </c>
      <c r="GA906">
        <v>91.806710570498311</v>
      </c>
      <c r="GB906">
        <v>55.183497433269217</v>
      </c>
      <c r="GC906">
        <v>18.265367433574063</v>
      </c>
      <c r="GD906">
        <v>9.6733127321067478</v>
      </c>
      <c r="GE906">
        <v>10.605405241932946</v>
      </c>
      <c r="GF906">
        <v>47.276885748993976</v>
      </c>
      <c r="GG906">
        <v>44.709685557076362</v>
      </c>
      <c r="GH906">
        <v>28.689074499554152</v>
      </c>
      <c r="GI906">
        <v>36.31772314121384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700.7220390936327</v>
      </c>
      <c r="AO907">
        <v>44.493403875632012</v>
      </c>
      <c r="AP907">
        <v>67.215488099088347</v>
      </c>
      <c r="AQ907">
        <v>300.53018520432147</v>
      </c>
      <c r="AR907">
        <v>43.893928289737524</v>
      </c>
      <c r="AS907">
        <v>380.34790668690823</v>
      </c>
      <c r="AT907">
        <v>22.257296948304571</v>
      </c>
      <c r="AU907">
        <v>-25.455229933829752</v>
      </c>
      <c r="AV907"/>
      <c r="AW907"/>
      <c r="FY907" s="212">
        <v>902</v>
      </c>
      <c r="FZ907">
        <v>32.515839274349908</v>
      </c>
      <c r="GA907">
        <v>57.412040498478511</v>
      </c>
      <c r="GB907">
        <v>41.585825485256798</v>
      </c>
      <c r="GC907">
        <v>22.471048785123223</v>
      </c>
      <c r="GD907">
        <v>10.412042661370933</v>
      </c>
      <c r="GE907">
        <v>9.7872676641084855</v>
      </c>
      <c r="GF907">
        <v>29.54775572564634</v>
      </c>
      <c r="GG907">
        <v>31.522939890414957</v>
      </c>
      <c r="GH907">
        <v>21.137446214066482</v>
      </c>
      <c r="GI907">
        <v>29.859453590237699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830.61071136146279</v>
      </c>
      <c r="AO908">
        <v>59.464393978370175</v>
      </c>
      <c r="AP908">
        <v>79.618731134537711</v>
      </c>
      <c r="AQ908">
        <v>434.79725858765113</v>
      </c>
      <c r="AR908">
        <v>58.923747134793935</v>
      </c>
      <c r="AS908">
        <v>468.20559674366314</v>
      </c>
      <c r="AT908">
        <v>29.149220291454117</v>
      </c>
      <c r="AU908">
        <v>-114.68889089389532</v>
      </c>
      <c r="AV908"/>
      <c r="AW908"/>
      <c r="FY908" s="212">
        <v>903</v>
      </c>
      <c r="FZ908">
        <v>45.837967678907596</v>
      </c>
      <c r="GA908">
        <v>123.48236358250888</v>
      </c>
      <c r="GB908">
        <v>62.632352144744395</v>
      </c>
      <c r="GC908">
        <v>21.924916683220008</v>
      </c>
      <c r="GD908">
        <v>11.874189780742869</v>
      </c>
      <c r="GE908">
        <v>7.0189954319816774</v>
      </c>
      <c r="GF908">
        <v>15.134850865501685</v>
      </c>
      <c r="GG908">
        <v>20.897868884847643</v>
      </c>
      <c r="GH908">
        <v>23.228686583748477</v>
      </c>
      <c r="GI908">
        <v>35.664751276828021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720.70983163681831</v>
      </c>
      <c r="AO909">
        <v>49.419516235827828</v>
      </c>
      <c r="AP909">
        <v>55.043666503454958</v>
      </c>
      <c r="AQ909">
        <v>358.20962167910119</v>
      </c>
      <c r="AR909">
        <v>49.50350302783405</v>
      </c>
      <c r="AS909">
        <v>393.43611725498795</v>
      </c>
      <c r="AT909">
        <v>26.819556658588056</v>
      </c>
      <c r="AU909">
        <v>-57.839118711740937</v>
      </c>
      <c r="AV909"/>
      <c r="AW909"/>
      <c r="FY909" s="212">
        <v>904</v>
      </c>
      <c r="FZ909">
        <v>51.453474535774987</v>
      </c>
      <c r="GA909">
        <v>69.009651204247021</v>
      </c>
      <c r="GB909">
        <v>41.211427036957225</v>
      </c>
      <c r="GC909">
        <v>20.056771126454517</v>
      </c>
      <c r="GD909">
        <v>11.427429670102176</v>
      </c>
      <c r="GE909">
        <v>15.372035218798002</v>
      </c>
      <c r="GF909">
        <v>21.347577582086469</v>
      </c>
      <c r="GG909">
        <v>16.976227158443045</v>
      </c>
      <c r="GH909">
        <v>28.249310101304243</v>
      </c>
      <c r="GI909">
        <v>32.930698532978845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925.85010184628698</v>
      </c>
      <c r="AO910">
        <v>59.938112195772021</v>
      </c>
      <c r="AP910">
        <v>81.334080447479977</v>
      </c>
      <c r="AQ910">
        <v>425.80409188654272</v>
      </c>
      <c r="AR910">
        <v>59.422264545723657</v>
      </c>
      <c r="AS910">
        <v>515.52379434005843</v>
      </c>
      <c r="AT910">
        <v>31.024849565416954</v>
      </c>
      <c r="AU910">
        <v>-52.329116912212356</v>
      </c>
      <c r="AV910"/>
      <c r="AW910"/>
      <c r="FY910" s="212">
        <v>905</v>
      </c>
      <c r="FZ910">
        <v>46.120045309848969</v>
      </c>
      <c r="GA910">
        <v>62.72756714257244</v>
      </c>
      <c r="GB910">
        <v>46.108218553913716</v>
      </c>
      <c r="GC910">
        <v>18.585625351183541</v>
      </c>
      <c r="GD910">
        <v>8.9991960729736178</v>
      </c>
      <c r="GE910">
        <v>15.087102034456922</v>
      </c>
      <c r="GF910">
        <v>28.880966105655695</v>
      </c>
      <c r="GG910">
        <v>26.178947804162007</v>
      </c>
      <c r="GH910">
        <v>24.477543432116203</v>
      </c>
      <c r="GI910">
        <v>32.773607700085869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922.44809053750157</v>
      </c>
      <c r="AO911">
        <v>57.858513006234318</v>
      </c>
      <c r="AP911">
        <v>70.272713650999066</v>
      </c>
      <c r="AQ911">
        <v>413.38494395945662</v>
      </c>
      <c r="AR911">
        <v>56.435819393432851</v>
      </c>
      <c r="AS911">
        <v>494.24460999868779</v>
      </c>
      <c r="AT911">
        <v>28.076765060566814</v>
      </c>
      <c r="AU911">
        <v>-63.870623668909332</v>
      </c>
      <c r="AV911"/>
      <c r="AW911"/>
      <c r="FY911" s="212">
        <v>906</v>
      </c>
      <c r="FZ911">
        <v>36.906521100854846</v>
      </c>
      <c r="GA911">
        <v>98.203434836941284</v>
      </c>
      <c r="GB911">
        <v>45.852334093558071</v>
      </c>
      <c r="GC911">
        <v>14.291728524940002</v>
      </c>
      <c r="GD911">
        <v>11.978121503075394</v>
      </c>
      <c r="GE911">
        <v>11.857748657168203</v>
      </c>
      <c r="GF911">
        <v>19.603373098554364</v>
      </c>
      <c r="GG911">
        <v>27.669050360941895</v>
      </c>
      <c r="GH911">
        <v>31.22910748051218</v>
      </c>
      <c r="GI911">
        <v>32.457852776783156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693.6198014951035</v>
      </c>
      <c r="AO912">
        <v>45.697760200102536</v>
      </c>
      <c r="AP912">
        <v>61.507965860562066</v>
      </c>
      <c r="AQ912">
        <v>318.41348539975559</v>
      </c>
      <c r="AR912">
        <v>44.682066625544479</v>
      </c>
      <c r="AS912">
        <v>351.58286859552265</v>
      </c>
      <c r="AT912">
        <v>23.395175866058683</v>
      </c>
      <c r="AU912">
        <v>-22.585580588168767</v>
      </c>
      <c r="AV912"/>
      <c r="AW912"/>
      <c r="FY912" s="212">
        <v>907</v>
      </c>
      <c r="FZ912">
        <v>48.579869399368569</v>
      </c>
      <c r="GA912">
        <v>125.09691093786455</v>
      </c>
      <c r="GB912">
        <v>72.182129023950964</v>
      </c>
      <c r="GC912">
        <v>22.553649225807074</v>
      </c>
      <c r="GD912">
        <v>11.830103958638286</v>
      </c>
      <c r="GE912">
        <v>12.495534222988015</v>
      </c>
      <c r="GF912">
        <v>38.637467479808357</v>
      </c>
      <c r="GG912">
        <v>40.154170535189103</v>
      </c>
      <c r="GH912">
        <v>34.024441701800576</v>
      </c>
      <c r="GI912">
        <v>44.480213123773488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867.24619546044846</v>
      </c>
      <c r="AO913">
        <v>62.693313901194209</v>
      </c>
      <c r="AP913">
        <v>57.852048034232652</v>
      </c>
      <c r="AQ913">
        <v>467.69504846386144</v>
      </c>
      <c r="AR913">
        <v>62.114486268355094</v>
      </c>
      <c r="AS913">
        <v>521.36191166808555</v>
      </c>
      <c r="AT913">
        <v>31.563914869611988</v>
      </c>
      <c r="AU913">
        <v>-177.61309179892908</v>
      </c>
      <c r="AV913"/>
      <c r="AW913"/>
      <c r="FY913" s="212">
        <v>908</v>
      </c>
      <c r="FZ913">
        <v>58.585868780725505</v>
      </c>
      <c r="GA913">
        <v>134.11173908685237</v>
      </c>
      <c r="GB913">
        <v>70.029484715174192</v>
      </c>
      <c r="GC913">
        <v>16.362864216062228</v>
      </c>
      <c r="GD913">
        <v>8.2481610094199667</v>
      </c>
      <c r="GE913">
        <v>7.4723556965490889</v>
      </c>
      <c r="GF913">
        <v>21.648338535992522</v>
      </c>
      <c r="GG913">
        <v>23.519803940913885</v>
      </c>
      <c r="GH913">
        <v>19.580600088190359</v>
      </c>
      <c r="GI913">
        <v>38.047389995885474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960.76104038590677</v>
      </c>
      <c r="AO914">
        <v>58.903548001084062</v>
      </c>
      <c r="AP914">
        <v>80.096511379758482</v>
      </c>
      <c r="AQ914">
        <v>424.97611398905076</v>
      </c>
      <c r="AR914">
        <v>57.021026326808247</v>
      </c>
      <c r="AS914">
        <v>499.25163902094425</v>
      </c>
      <c r="AT914">
        <v>27.779986697823009</v>
      </c>
      <c r="AU914">
        <v>-110.66377425948082</v>
      </c>
      <c r="AV914"/>
      <c r="AW914"/>
      <c r="FY914" s="212">
        <v>909</v>
      </c>
      <c r="FZ914">
        <v>51.514561513020681</v>
      </c>
      <c r="GA914">
        <v>64.347385549285221</v>
      </c>
      <c r="GB914">
        <v>33.930114775280693</v>
      </c>
      <c r="GC914">
        <v>15.334619453412794</v>
      </c>
      <c r="GD914">
        <v>9.9482513576136213</v>
      </c>
      <c r="GE914">
        <v>12.564257682342136</v>
      </c>
      <c r="GF914">
        <v>28.130848995327973</v>
      </c>
      <c r="GG914">
        <v>26.782708221915641</v>
      </c>
      <c r="GH914">
        <v>24.165805278365749</v>
      </c>
      <c r="GI914">
        <v>30.796357125370964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454.93129261902095</v>
      </c>
      <c r="AO915">
        <v>38.182839921932</v>
      </c>
      <c r="AP915">
        <v>63.600951328359741</v>
      </c>
      <c r="AQ915">
        <v>267.14542623663704</v>
      </c>
      <c r="AR915">
        <v>38.253565083565306</v>
      </c>
      <c r="AS915">
        <v>304.04424377645694</v>
      </c>
      <c r="AT915">
        <v>20.923635647681802</v>
      </c>
      <c r="AU915">
        <v>-42.238795735000281</v>
      </c>
      <c r="AV915"/>
      <c r="AW915"/>
      <c r="FY915" s="212">
        <v>910</v>
      </c>
      <c r="FZ915">
        <v>61.348054406258285</v>
      </c>
      <c r="GA915">
        <v>78.23485785213731</v>
      </c>
      <c r="GB915">
        <v>45.269439582147768</v>
      </c>
      <c r="GC915">
        <v>23.950706299806413</v>
      </c>
      <c r="GD915">
        <v>13.713741838618853</v>
      </c>
      <c r="GE915">
        <v>18.317264615958518</v>
      </c>
      <c r="GF915">
        <v>30.762942604847947</v>
      </c>
      <c r="GG915">
        <v>27.156864306672723</v>
      </c>
      <c r="GH915">
        <v>20.371157255109587</v>
      </c>
      <c r="GI915">
        <v>37.078254431469851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901.22490577229382</v>
      </c>
      <c r="AO916">
        <v>57.504779190420507</v>
      </c>
      <c r="AP916">
        <v>83.514276294699044</v>
      </c>
      <c r="AQ916">
        <v>398.95181765817904</v>
      </c>
      <c r="AR916">
        <v>54.820739173678533</v>
      </c>
      <c r="AS916">
        <v>460.03875057734837</v>
      </c>
      <c r="AT916">
        <v>27.65242457006401</v>
      </c>
      <c r="AU916">
        <v>-49.985390294522766</v>
      </c>
      <c r="AV916"/>
      <c r="AW916"/>
      <c r="FY916" s="212">
        <v>911</v>
      </c>
      <c r="FZ916">
        <v>43.251194656283893</v>
      </c>
      <c r="GA916">
        <v>101.34370916100151</v>
      </c>
      <c r="GB916">
        <v>55.025106814193684</v>
      </c>
      <c r="GC916">
        <v>11.94233552787273</v>
      </c>
      <c r="GD916">
        <v>8.7987094780135404</v>
      </c>
      <c r="GE916">
        <v>13.785599382822358</v>
      </c>
      <c r="GF916">
        <v>17.701330817166458</v>
      </c>
      <c r="GG916">
        <v>23.651773489251518</v>
      </c>
      <c r="GH916">
        <v>25.456816185779566</v>
      </c>
      <c r="GI916">
        <v>32.40052888255908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777.36451518065996</v>
      </c>
      <c r="AO917">
        <v>51.956119900441294</v>
      </c>
      <c r="AP917">
        <v>68.511258301814024</v>
      </c>
      <c r="AQ917">
        <v>367.8301481024871</v>
      </c>
      <c r="AR917">
        <v>49.943982199584639</v>
      </c>
      <c r="AS917">
        <v>423.15747952867645</v>
      </c>
      <c r="AT917">
        <v>24.290300059127912</v>
      </c>
      <c r="AU917">
        <v>-35.626383742925015</v>
      </c>
      <c r="AV917"/>
      <c r="AW917"/>
      <c r="FY917" s="212">
        <v>912</v>
      </c>
      <c r="FZ917">
        <v>42.837183688155903</v>
      </c>
      <c r="GA917">
        <v>56.464148502138627</v>
      </c>
      <c r="GB917">
        <v>31.205390494008864</v>
      </c>
      <c r="GC917">
        <v>15.591102623796642</v>
      </c>
      <c r="GD917">
        <v>12.256011322709735</v>
      </c>
      <c r="GE917">
        <v>17.72688948826962</v>
      </c>
      <c r="GF917">
        <v>34.634156892000469</v>
      </c>
      <c r="GG917">
        <v>28.902385008435644</v>
      </c>
      <c r="GH917">
        <v>24.683172435214864</v>
      </c>
      <c r="GI917">
        <v>31.448033414512469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686.66635996544312</v>
      </c>
      <c r="AO918">
        <v>42.692389920936463</v>
      </c>
      <c r="AP918">
        <v>63.67703892232754</v>
      </c>
      <c r="AQ918">
        <v>286.25165978905341</v>
      </c>
      <c r="AR918">
        <v>40.907702307256116</v>
      </c>
      <c r="AS918">
        <v>347.09573984119544</v>
      </c>
      <c r="AT918">
        <v>21.445694996311701</v>
      </c>
      <c r="AU918">
        <v>-16.078289147448917</v>
      </c>
      <c r="AV918"/>
      <c r="AW918"/>
      <c r="FY918" s="212">
        <v>913</v>
      </c>
      <c r="FZ918">
        <v>51.640613753826649</v>
      </c>
      <c r="GA918">
        <v>96.3528791366452</v>
      </c>
      <c r="GB918">
        <v>55.948622488915589</v>
      </c>
      <c r="GC918">
        <v>18.736024014359014</v>
      </c>
      <c r="GD918">
        <v>11.272443052788848</v>
      </c>
      <c r="GE918">
        <v>16.192938431113337</v>
      </c>
      <c r="GF918">
        <v>20.092937039315416</v>
      </c>
      <c r="GG918">
        <v>21.298598829699095</v>
      </c>
      <c r="GH918">
        <v>22.167933375550408</v>
      </c>
      <c r="GI918">
        <v>35.314174703737216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754.50152415235732</v>
      </c>
      <c r="AO919">
        <v>51.041989911289988</v>
      </c>
      <c r="AP919">
        <v>70.593161747607212</v>
      </c>
      <c r="AQ919">
        <v>367.69694291303125</v>
      </c>
      <c r="AR919">
        <v>48.991903148283264</v>
      </c>
      <c r="AS919">
        <v>386.71566507198668</v>
      </c>
      <c r="AT919">
        <v>25.303423282200527</v>
      </c>
      <c r="AU919">
        <v>-100.86990173089555</v>
      </c>
      <c r="AV919"/>
      <c r="AW919"/>
      <c r="FY919" s="212">
        <v>914</v>
      </c>
      <c r="FZ919">
        <v>52.832064599469412</v>
      </c>
      <c r="GA919">
        <v>98.321070684871501</v>
      </c>
      <c r="GB919">
        <v>56.940164767739454</v>
      </c>
      <c r="GC919">
        <v>17.052943734260516</v>
      </c>
      <c r="GD919">
        <v>9.2302463471305938</v>
      </c>
      <c r="GE919">
        <v>11.655567031478558</v>
      </c>
      <c r="GF919">
        <v>25.309098938020583</v>
      </c>
      <c r="GG919">
        <v>22.772940447593996</v>
      </c>
      <c r="GH919">
        <v>25.481521238843584</v>
      </c>
      <c r="GI919">
        <v>36.020614152330943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655.82610006765378</v>
      </c>
      <c r="AO920">
        <v>44.780081498986306</v>
      </c>
      <c r="AP920">
        <v>68.546544422897824</v>
      </c>
      <c r="AQ920">
        <v>308.03460216714655</v>
      </c>
      <c r="AR920">
        <v>45.38331477160019</v>
      </c>
      <c r="AS920">
        <v>372.5534915044795</v>
      </c>
      <c r="AT920">
        <v>24.143318325421944</v>
      </c>
      <c r="AU920">
        <v>-43.917428775691505</v>
      </c>
      <c r="AV920"/>
      <c r="AW920"/>
      <c r="FY920" s="212">
        <v>915</v>
      </c>
      <c r="FZ920">
        <v>53.616965745009637</v>
      </c>
      <c r="GA920">
        <v>102.48261039845922</v>
      </c>
      <c r="GB920">
        <v>54.344648160715295</v>
      </c>
      <c r="GC920">
        <v>16.887443651850802</v>
      </c>
      <c r="GD920">
        <v>11.974742380257988</v>
      </c>
      <c r="GE920">
        <v>15.214871843398154</v>
      </c>
      <c r="GF920">
        <v>32.533313766547465</v>
      </c>
      <c r="GG920">
        <v>27.75923226090714</v>
      </c>
      <c r="GH920">
        <v>14.794720271074874</v>
      </c>
      <c r="GI920">
        <v>36.754793068292621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684.66054836897683</v>
      </c>
      <c r="AO921">
        <v>45.030632614109322</v>
      </c>
      <c r="AP921">
        <v>55.545723282127284</v>
      </c>
      <c r="AQ921">
        <v>309.93881950696897</v>
      </c>
      <c r="AR921">
        <v>45.254156660402074</v>
      </c>
      <c r="AS921">
        <v>363.19654775812575</v>
      </c>
      <c r="AT921">
        <v>23.16867057009993</v>
      </c>
      <c r="AU921">
        <v>-14.914610457635085</v>
      </c>
      <c r="AV921"/>
      <c r="AW921"/>
      <c r="FY921" s="212">
        <v>916</v>
      </c>
      <c r="FZ921">
        <v>62.305130263265127</v>
      </c>
      <c r="GA921">
        <v>153.55891786152964</v>
      </c>
      <c r="GB921">
        <v>86.653321720272587</v>
      </c>
      <c r="GC921">
        <v>20.543226479768858</v>
      </c>
      <c r="GD921">
        <v>9.4128469684065763</v>
      </c>
      <c r="GE921">
        <v>10.377873557078066</v>
      </c>
      <c r="GF921">
        <v>21.283041783602485</v>
      </c>
      <c r="GG921">
        <v>26.037977846324097</v>
      </c>
      <c r="GH921">
        <v>27.54474985116828</v>
      </c>
      <c r="GI921">
        <v>44.413114629779137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614.88936041547754</v>
      </c>
      <c r="AO922">
        <v>46.126834119586974</v>
      </c>
      <c r="AP922">
        <v>80.46995890494199</v>
      </c>
      <c r="AQ922">
        <v>330.04927243332941</v>
      </c>
      <c r="AR922">
        <v>44.83434143986355</v>
      </c>
      <c r="AS922">
        <v>348.12601010716281</v>
      </c>
      <c r="AT922">
        <v>22.358446502637076</v>
      </c>
      <c r="AU922">
        <v>-31.927789254223487</v>
      </c>
      <c r="AV922"/>
      <c r="AW922"/>
      <c r="FY922" s="212">
        <v>917</v>
      </c>
      <c r="FZ922">
        <v>37.432218622036601</v>
      </c>
      <c r="GA922">
        <v>91.872622844157561</v>
      </c>
      <c r="GB922">
        <v>65.056763213690147</v>
      </c>
      <c r="GC922">
        <v>25.370509964285759</v>
      </c>
      <c r="GD922">
        <v>14.577129759539941</v>
      </c>
      <c r="GE922">
        <v>15.931957890398294</v>
      </c>
      <c r="GF922">
        <v>30.733124213810676</v>
      </c>
      <c r="GG922">
        <v>33.789714779169451</v>
      </c>
      <c r="GH922">
        <v>25.023709881367484</v>
      </c>
      <c r="GI922">
        <v>39.815863996948799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912.14125785963938</v>
      </c>
      <c r="AO923">
        <v>62.596659525488008</v>
      </c>
      <c r="AP923">
        <v>120.25348206401017</v>
      </c>
      <c r="AQ923">
        <v>450.034489609189</v>
      </c>
      <c r="AR923">
        <v>61.207066438941943</v>
      </c>
      <c r="AS923">
        <v>513.69203041903586</v>
      </c>
      <c r="AT923">
        <v>30.758421691008667</v>
      </c>
      <c r="AU923">
        <v>-32.793945453944737</v>
      </c>
      <c r="AV923"/>
      <c r="AW923"/>
      <c r="FY923" s="212">
        <v>918</v>
      </c>
      <c r="FZ923">
        <v>52.296144497710593</v>
      </c>
      <c r="GA923">
        <v>101.75178420131463</v>
      </c>
      <c r="GB923">
        <v>47.896178760909976</v>
      </c>
      <c r="GC923">
        <v>9.9961701278462165</v>
      </c>
      <c r="GD923">
        <v>9.5287167012002474</v>
      </c>
      <c r="GE923">
        <v>16.482643082694906</v>
      </c>
      <c r="GF923">
        <v>14.628180228347498</v>
      </c>
      <c r="GG923">
        <v>13.606284420677531</v>
      </c>
      <c r="GH923">
        <v>18.355001470871375</v>
      </c>
      <c r="GI923">
        <v>30.824325251928279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652.57808141337887</v>
      </c>
      <c r="AO924">
        <v>53.064606772653669</v>
      </c>
      <c r="AP924">
        <v>80.25976351478522</v>
      </c>
      <c r="AQ924">
        <v>397.60660606576556</v>
      </c>
      <c r="AR924">
        <v>52.59506836877086</v>
      </c>
      <c r="AS924">
        <v>404.29987421673388</v>
      </c>
      <c r="AT924">
        <v>26.489753146792239</v>
      </c>
      <c r="AU924">
        <v>-69.678632119838312</v>
      </c>
      <c r="AV924"/>
      <c r="AW924"/>
      <c r="FY924" s="212">
        <v>919</v>
      </c>
      <c r="FZ924">
        <v>48.503955289179203</v>
      </c>
      <c r="GA924">
        <v>92.127581863871725</v>
      </c>
      <c r="GB924">
        <v>51.576368273476859</v>
      </c>
      <c r="GC924">
        <v>24.26308099057351</v>
      </c>
      <c r="GD924">
        <v>12.17189997985894</v>
      </c>
      <c r="GE924">
        <v>9.6180229751116499</v>
      </c>
      <c r="GF924">
        <v>29.101123009783858</v>
      </c>
      <c r="GG924">
        <v>26.234574455688463</v>
      </c>
      <c r="GH924">
        <v>23.060457203276286</v>
      </c>
      <c r="GI924">
        <v>35.973829037120353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637.14478932083</v>
      </c>
      <c r="AO925">
        <v>41.872527963664908</v>
      </c>
      <c r="AP925">
        <v>84.0319771865652</v>
      </c>
      <c r="AQ925">
        <v>297.51490995193546</v>
      </c>
      <c r="AR925">
        <v>42.309783421707273</v>
      </c>
      <c r="AS925">
        <v>337.41425438942537</v>
      </c>
      <c r="AT925">
        <v>22.344888352883856</v>
      </c>
      <c r="AU925">
        <v>-1.7794996344908469</v>
      </c>
      <c r="AV925"/>
      <c r="AW925"/>
      <c r="FY925" s="212">
        <v>920</v>
      </c>
      <c r="FZ925">
        <v>28.41507401073283</v>
      </c>
      <c r="GA925">
        <v>89.072614201063843</v>
      </c>
      <c r="GB925">
        <v>56.128148727536484</v>
      </c>
      <c r="GC925">
        <v>19.825339010501896</v>
      </c>
      <c r="GD925">
        <v>9.4459408073854103</v>
      </c>
      <c r="GE925">
        <v>10.904843433457119</v>
      </c>
      <c r="GF925">
        <v>24.566816594556961</v>
      </c>
      <c r="GG925">
        <v>22.967043297592035</v>
      </c>
      <c r="GH925">
        <v>26.345788055571283</v>
      </c>
      <c r="GI925">
        <v>32.285073480663598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830.07524617919228</v>
      </c>
      <c r="AO926">
        <v>51.926060328719075</v>
      </c>
      <c r="AP926">
        <v>75.180853298644109</v>
      </c>
      <c r="AQ926">
        <v>356.20328319302729</v>
      </c>
      <c r="AR926">
        <v>50.877306162734868</v>
      </c>
      <c r="AS926">
        <v>427.31886342642923</v>
      </c>
      <c r="AT926">
        <v>27.903797568338835</v>
      </c>
      <c r="AU926">
        <v>-37.043206196833012</v>
      </c>
      <c r="AV926"/>
      <c r="AW926"/>
      <c r="FY926" s="212">
        <v>921</v>
      </c>
      <c r="FZ926">
        <v>37.41810471991446</v>
      </c>
      <c r="GA926">
        <v>152.6658607988702</v>
      </c>
      <c r="GB926">
        <v>97.943398233653426</v>
      </c>
      <c r="GC926">
        <v>24.83700491449201</v>
      </c>
      <c r="GD926">
        <v>9.957492971920594</v>
      </c>
      <c r="GE926">
        <v>12.805462679073349</v>
      </c>
      <c r="GF926">
        <v>32.56931470725889</v>
      </c>
      <c r="GG926">
        <v>34.209839868324181</v>
      </c>
      <c r="GH926">
        <v>25.667793729886036</v>
      </c>
      <c r="GI926">
        <v>45.753932270996991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706.66686183654599</v>
      </c>
      <c r="AO927">
        <v>45.116722566426716</v>
      </c>
      <c r="AP927">
        <v>39.329505042350547</v>
      </c>
      <c r="AQ927">
        <v>333.35710439494432</v>
      </c>
      <c r="AR927">
        <v>44.473908092718105</v>
      </c>
      <c r="AS927">
        <v>356.42224995267952</v>
      </c>
      <c r="AT927">
        <v>22.169554375714199</v>
      </c>
      <c r="AU927">
        <v>-54.517958222398633</v>
      </c>
      <c r="AV927"/>
      <c r="AW927"/>
      <c r="FY927" s="212">
        <v>922</v>
      </c>
      <c r="FZ927">
        <v>48.918056893875573</v>
      </c>
      <c r="GA927">
        <v>97.733508692796676</v>
      </c>
      <c r="GB927">
        <v>56.859267617423519</v>
      </c>
      <c r="GC927">
        <v>21.113455321161155</v>
      </c>
      <c r="GD927">
        <v>13.889920391865981</v>
      </c>
      <c r="GE927">
        <v>17.683598009728883</v>
      </c>
      <c r="GF927">
        <v>12.66176819739723</v>
      </c>
      <c r="GG927">
        <v>19.009563390990053</v>
      </c>
      <c r="GH927">
        <v>33.717893099909183</v>
      </c>
      <c r="GI927">
        <v>36.970667891524783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652.39940392230449</v>
      </c>
      <c r="AO928">
        <v>43.139038962672821</v>
      </c>
      <c r="AP928">
        <v>122.1957501408294</v>
      </c>
      <c r="AQ928">
        <v>295.74847386924284</v>
      </c>
      <c r="AR928">
        <v>43.251882969397165</v>
      </c>
      <c r="AS928">
        <v>349.50857480474667</v>
      </c>
      <c r="AT928">
        <v>22.687543266043065</v>
      </c>
      <c r="AU928">
        <v>-1.7014071196532683</v>
      </c>
      <c r="AV928"/>
      <c r="AW928"/>
      <c r="FY928" s="212">
        <v>923</v>
      </c>
      <c r="FZ928">
        <v>37.263971965302382</v>
      </c>
      <c r="GA928">
        <v>92.355348510097031</v>
      </c>
      <c r="GB928">
        <v>55.195552144991694</v>
      </c>
      <c r="GC928">
        <v>19.83825879187053</v>
      </c>
      <c r="GD928">
        <v>12.193750853748151</v>
      </c>
      <c r="GE928">
        <v>11.911835846418505</v>
      </c>
      <c r="GF928">
        <v>20.919442086536119</v>
      </c>
      <c r="GG928">
        <v>23.61699504652934</v>
      </c>
      <c r="GH928">
        <v>32.921603251320001</v>
      </c>
      <c r="GI928">
        <v>35.282605320831728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740.61132928215682</v>
      </c>
      <c r="AO929">
        <v>49.515893212723924</v>
      </c>
      <c r="AP929">
        <v>57.897662381751431</v>
      </c>
      <c r="AQ929">
        <v>349.01716482595072</v>
      </c>
      <c r="AR929">
        <v>48.718245191139381</v>
      </c>
      <c r="AS929">
        <v>412.35125636093881</v>
      </c>
      <c r="AT929">
        <v>24.616878070518894</v>
      </c>
      <c r="AU929">
        <v>-47.417829018103838</v>
      </c>
      <c r="AV929"/>
      <c r="AW929"/>
      <c r="FY929" s="212">
        <v>924</v>
      </c>
      <c r="FZ929">
        <v>36.276837866183662</v>
      </c>
      <c r="GA929">
        <v>100.71930684603942</v>
      </c>
      <c r="GB929">
        <v>64.015575973549502</v>
      </c>
      <c r="GC929">
        <v>22.528435814929498</v>
      </c>
      <c r="GD929">
        <v>15.903942945606152</v>
      </c>
      <c r="GE929">
        <v>19.386105774709844</v>
      </c>
      <c r="GF929">
        <v>34.142504197668742</v>
      </c>
      <c r="GG929">
        <v>34.384349717150215</v>
      </c>
      <c r="GH929">
        <v>22.865902561892032</v>
      </c>
      <c r="GI929">
        <v>40.219335205137732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716.90474205686678</v>
      </c>
      <c r="AO930">
        <v>49.067134158539304</v>
      </c>
      <c r="AP930">
        <v>85.496210572551405</v>
      </c>
      <c r="AQ930">
        <v>355.61623194173916</v>
      </c>
      <c r="AR930">
        <v>49.671048849162126</v>
      </c>
      <c r="AS930">
        <v>380.29085021005</v>
      </c>
      <c r="AT930">
        <v>24.912721266383684</v>
      </c>
      <c r="AU930">
        <v>-7.1781329064003359</v>
      </c>
      <c r="AV930"/>
      <c r="AW930"/>
      <c r="FY930" s="212">
        <v>925</v>
      </c>
      <c r="FZ930">
        <v>40.977993387641945</v>
      </c>
      <c r="GA930">
        <v>69.288727350703184</v>
      </c>
      <c r="GB930">
        <v>37.446159015772437</v>
      </c>
      <c r="GC930">
        <v>18.980198490817365</v>
      </c>
      <c r="GD930">
        <v>11.927388362219929</v>
      </c>
      <c r="GE930">
        <v>10.091607860134197</v>
      </c>
      <c r="GF930">
        <v>23.483197511547331</v>
      </c>
      <c r="GG930">
        <v>26.756826482446584</v>
      </c>
      <c r="GH930">
        <v>25.936269442130097</v>
      </c>
      <c r="GI930">
        <v>30.779594527983555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783.64674749362678</v>
      </c>
      <c r="AO931">
        <v>51.32010832586387</v>
      </c>
      <c r="AP931">
        <v>88.674477720324887</v>
      </c>
      <c r="AQ931">
        <v>366.3633415465132</v>
      </c>
      <c r="AR931">
        <v>50.588829065495446</v>
      </c>
      <c r="AS931">
        <v>391.15789764870033</v>
      </c>
      <c r="AT931">
        <v>26.233169893319655</v>
      </c>
      <c r="AU931">
        <v>-30.193034875767601</v>
      </c>
      <c r="AV931"/>
      <c r="AW931"/>
      <c r="FY931" s="212">
        <v>926</v>
      </c>
      <c r="FZ931">
        <v>28.02965558004589</v>
      </c>
      <c r="GA931">
        <v>68.932634558725596</v>
      </c>
      <c r="GB931">
        <v>44.303143752950213</v>
      </c>
      <c r="GC931">
        <v>19.126918095962392</v>
      </c>
      <c r="GD931">
        <v>9.9116429503082895</v>
      </c>
      <c r="GE931">
        <v>13.031985858000327</v>
      </c>
      <c r="GF931">
        <v>13.611262596049414</v>
      </c>
      <c r="GG931">
        <v>19.412565688638161</v>
      </c>
      <c r="GH931">
        <v>28.724451102922632</v>
      </c>
      <c r="GI931">
        <v>28.019567038355152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906.29241504582239</v>
      </c>
      <c r="AO932">
        <v>61.825608508836126</v>
      </c>
      <c r="AP932">
        <v>62.935139558364568</v>
      </c>
      <c r="AQ932">
        <v>462.13020096119487</v>
      </c>
      <c r="AR932">
        <v>61.054350667082112</v>
      </c>
      <c r="AS932">
        <v>517.25725616510033</v>
      </c>
      <c r="AT932">
        <v>31.319165643707496</v>
      </c>
      <c r="AU932">
        <v>-142.48964424766694</v>
      </c>
      <c r="AV932"/>
      <c r="AW932"/>
      <c r="FY932" s="212">
        <v>927</v>
      </c>
      <c r="FZ932">
        <v>54.789186500197765</v>
      </c>
      <c r="GA932">
        <v>115.12905732528975</v>
      </c>
      <c r="GB932">
        <v>61.474028294612715</v>
      </c>
      <c r="GC932">
        <v>19.266545262502497</v>
      </c>
      <c r="GD932">
        <v>10.551935152326037</v>
      </c>
      <c r="GE932">
        <v>11.415159238438497</v>
      </c>
      <c r="GF932">
        <v>24.504761808491423</v>
      </c>
      <c r="GG932">
        <v>20.280949191195013</v>
      </c>
      <c r="GH932">
        <v>16.854774939673057</v>
      </c>
      <c r="GI932">
        <v>36.656568167962028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856.82636449471852</v>
      </c>
      <c r="AO933">
        <v>56.601672450534238</v>
      </c>
      <c r="AP933">
        <v>77.986934678980759</v>
      </c>
      <c r="AQ933">
        <v>379.60361516540473</v>
      </c>
      <c r="AR933">
        <v>54.874959420475911</v>
      </c>
      <c r="AS933">
        <v>452.23528334947594</v>
      </c>
      <c r="AT933">
        <v>27.202882725930767</v>
      </c>
      <c r="AU933">
        <v>-19.38789889252336</v>
      </c>
      <c r="AV933"/>
      <c r="AW933"/>
      <c r="FY933" s="212">
        <v>928</v>
      </c>
      <c r="FZ933">
        <v>35.226014765746264</v>
      </c>
      <c r="GA933">
        <v>139.61287584661153</v>
      </c>
      <c r="GB933">
        <v>79.193211861493012</v>
      </c>
      <c r="GC933">
        <v>19.524628055384589</v>
      </c>
      <c r="GD933">
        <v>10.814230196582884</v>
      </c>
      <c r="GE933">
        <v>16.80935724633542</v>
      </c>
      <c r="GF933">
        <v>31.032993352823262</v>
      </c>
      <c r="GG933">
        <v>23.095745619664072</v>
      </c>
      <c r="GH933">
        <v>17.324568610409852</v>
      </c>
      <c r="GI933">
        <v>39.588363176620966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603.44045350668182</v>
      </c>
      <c r="AO934">
        <v>42.692801219357946</v>
      </c>
      <c r="AP934">
        <v>39.691259452154434</v>
      </c>
      <c r="AQ934">
        <v>315.36542874350124</v>
      </c>
      <c r="AR934">
        <v>42.654285092843359</v>
      </c>
      <c r="AS934">
        <v>324.86655316198738</v>
      </c>
      <c r="AT934">
        <v>21.283256616228719</v>
      </c>
      <c r="AU934">
        <v>-50.067091756763745</v>
      </c>
      <c r="AV934"/>
      <c r="AW934"/>
      <c r="FY934" s="212">
        <v>929</v>
      </c>
      <c r="FZ934">
        <v>30.949841062200136</v>
      </c>
      <c r="GA934">
        <v>87.825591911226667</v>
      </c>
      <c r="GB934">
        <v>55.866735420211654</v>
      </c>
      <c r="GC934">
        <v>19.732111414794073</v>
      </c>
      <c r="GD934">
        <v>10.384862233319787</v>
      </c>
      <c r="GE934">
        <v>14.968715050713975</v>
      </c>
      <c r="GF934">
        <v>42.201330938178458</v>
      </c>
      <c r="GG934">
        <v>40.422414420967336</v>
      </c>
      <c r="GH934">
        <v>33.252446917166615</v>
      </c>
      <c r="GI934">
        <v>37.57346848422015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765.65794493566113</v>
      </c>
      <c r="AO935">
        <v>50.483085629061165</v>
      </c>
      <c r="AP935">
        <v>89.354647814795953</v>
      </c>
      <c r="AQ935">
        <v>352.63089307794087</v>
      </c>
      <c r="AR935">
        <v>49.33245390986751</v>
      </c>
      <c r="AS935">
        <v>433.1863461828757</v>
      </c>
      <c r="AT935">
        <v>26.965725917610328</v>
      </c>
      <c r="AU935">
        <v>-31.420997924592214</v>
      </c>
      <c r="AV935"/>
      <c r="AW935"/>
      <c r="FY935" s="212">
        <v>930</v>
      </c>
      <c r="FZ935">
        <v>46.614888212060642</v>
      </c>
      <c r="GA935">
        <v>96.828425678526813</v>
      </c>
      <c r="GB935">
        <v>54.65934239411677</v>
      </c>
      <c r="GC935">
        <v>19.824889416430732</v>
      </c>
      <c r="GD935">
        <v>13.314549245082681</v>
      </c>
      <c r="GE935">
        <v>11.189228501030193</v>
      </c>
      <c r="GF935">
        <v>4.2891268901853428</v>
      </c>
      <c r="GG935">
        <v>17.802507492059245</v>
      </c>
      <c r="GH935">
        <v>31.113797841092797</v>
      </c>
      <c r="GI935">
        <v>33.81073506833998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680.75537748051215</v>
      </c>
      <c r="AO936">
        <v>45.721553915974837</v>
      </c>
      <c r="AP936">
        <v>47.05189643426948</v>
      </c>
      <c r="AQ936">
        <v>319.95668161906144</v>
      </c>
      <c r="AR936">
        <v>44.356407779568556</v>
      </c>
      <c r="AS936">
        <v>393.29786639405006</v>
      </c>
      <c r="AT936">
        <v>22.767238410022141</v>
      </c>
      <c r="AU936">
        <v>-51.433150230362564</v>
      </c>
      <c r="AV936"/>
      <c r="AW936"/>
      <c r="FY936" s="212">
        <v>931</v>
      </c>
      <c r="FZ936">
        <v>35.034078387275848</v>
      </c>
      <c r="GA936">
        <v>86.532678176095331</v>
      </c>
      <c r="GB936">
        <v>50.498925758347681</v>
      </c>
      <c r="GC936">
        <v>18.936655884184159</v>
      </c>
      <c r="GD936">
        <v>12.535637906929065</v>
      </c>
      <c r="GE936">
        <v>16.167235819496661</v>
      </c>
      <c r="GF936">
        <v>24.630064122948273</v>
      </c>
      <c r="GG936">
        <v>28.006746977902345</v>
      </c>
      <c r="GH936">
        <v>24.635693741542465</v>
      </c>
      <c r="GI936">
        <v>33.379704685857561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919.37950774338844</v>
      </c>
      <c r="AO937">
        <v>66.094829691078175</v>
      </c>
      <c r="AP937">
        <v>68.6098403913645</v>
      </c>
      <c r="AQ937">
        <v>473.82820489439018</v>
      </c>
      <c r="AR937">
        <v>63.072948806517417</v>
      </c>
      <c r="AS937">
        <v>509.07156684954106</v>
      </c>
      <c r="AT937">
        <v>30.456703673649585</v>
      </c>
      <c r="AU937">
        <v>-137.78947380585132</v>
      </c>
      <c r="AV937"/>
      <c r="AW937"/>
      <c r="FY937" s="212">
        <v>932</v>
      </c>
      <c r="FZ937">
        <v>42.006848733005953</v>
      </c>
      <c r="GA937">
        <v>100.67164825089137</v>
      </c>
      <c r="GB937">
        <v>56.0371767985066</v>
      </c>
      <c r="GC937">
        <v>19.028904176698902</v>
      </c>
      <c r="GD937">
        <v>11.843463505698443</v>
      </c>
      <c r="GE937">
        <v>13.277482789964628</v>
      </c>
      <c r="GF937">
        <v>44.624860471644261</v>
      </c>
      <c r="GG937">
        <v>47.611873443423328</v>
      </c>
      <c r="GH937">
        <v>36.462518792993698</v>
      </c>
      <c r="GI937">
        <v>40.938997893020733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832.99869444558738</v>
      </c>
      <c r="AO938">
        <v>51.263554003000742</v>
      </c>
      <c r="AP938">
        <v>58.420537409580028</v>
      </c>
      <c r="AQ938">
        <v>358.55769950667298</v>
      </c>
      <c r="AR938">
        <v>50.615535511913727</v>
      </c>
      <c r="AS938">
        <v>434.2535993015087</v>
      </c>
      <c r="AT938">
        <v>27.420209939160952</v>
      </c>
      <c r="AU938">
        <v>-67.742725921999494</v>
      </c>
      <c r="AV938"/>
      <c r="AW938"/>
      <c r="FY938" s="212">
        <v>933</v>
      </c>
      <c r="FZ938">
        <v>45.537204894797924</v>
      </c>
      <c r="GA938">
        <v>63.698502953227397</v>
      </c>
      <c r="GB938">
        <v>44.097562434249255</v>
      </c>
      <c r="GC938">
        <v>23.36253442750035</v>
      </c>
      <c r="GD938">
        <v>13.931367599232614</v>
      </c>
      <c r="GE938">
        <v>15.232421391428016</v>
      </c>
      <c r="GF938">
        <v>23.750778534740565</v>
      </c>
      <c r="GG938">
        <v>20.292887725569116</v>
      </c>
      <c r="GH938">
        <v>16.958110627217213</v>
      </c>
      <c r="GI938">
        <v>32.775035665591709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681.18540185908114</v>
      </c>
      <c r="AO939">
        <v>48.662497576741359</v>
      </c>
      <c r="AP939">
        <v>46.98179798690915</v>
      </c>
      <c r="AQ939">
        <v>341.49936381764553</v>
      </c>
      <c r="AR939">
        <v>48.37525390282957</v>
      </c>
      <c r="AS939">
        <v>395.5074979796625</v>
      </c>
      <c r="AT939">
        <v>24.944249364049231</v>
      </c>
      <c r="AU939">
        <v>-56.38269674281451</v>
      </c>
      <c r="AV939"/>
      <c r="AW939"/>
      <c r="FY939" s="212">
        <v>934</v>
      </c>
      <c r="FZ939">
        <v>53.479821436980501</v>
      </c>
      <c r="GA939">
        <v>109.47444627964281</v>
      </c>
      <c r="GB939">
        <v>54.697048819383838</v>
      </c>
      <c r="GC939">
        <v>18.889059299358991</v>
      </c>
      <c r="GD939">
        <v>14.827751392962938</v>
      </c>
      <c r="GE939">
        <v>19.633993423979636</v>
      </c>
      <c r="GF939">
        <v>43.96165450767748</v>
      </c>
      <c r="GG939">
        <v>40.737266088407495</v>
      </c>
      <c r="GH939">
        <v>24.486162010772237</v>
      </c>
      <c r="GI939">
        <v>42.038096532721518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1013.0081670148251</v>
      </c>
      <c r="AO940">
        <v>57.030196424954603</v>
      </c>
      <c r="AP940">
        <v>88.442106279070813</v>
      </c>
      <c r="AQ940">
        <v>390.44229690286676</v>
      </c>
      <c r="AR940">
        <v>54.944160873473876</v>
      </c>
      <c r="AS940">
        <v>494.74111807806952</v>
      </c>
      <c r="AT940">
        <v>28.864740475022526</v>
      </c>
      <c r="AU940">
        <v>-60.870381713358526</v>
      </c>
      <c r="AV940"/>
      <c r="AW940"/>
      <c r="FY940" s="212">
        <v>935</v>
      </c>
      <c r="FZ940">
        <v>36.091549326456978</v>
      </c>
      <c r="GA940">
        <v>95.758035881084282</v>
      </c>
      <c r="GB940">
        <v>58.841249127359845</v>
      </c>
      <c r="GC940">
        <v>20.571442301709215</v>
      </c>
      <c r="GD940">
        <v>12.874758080879175</v>
      </c>
      <c r="GE940">
        <v>16.214903633009097</v>
      </c>
      <c r="GF940">
        <v>27.428373402492511</v>
      </c>
      <c r="GG940">
        <v>26.519470103493763</v>
      </c>
      <c r="GH940">
        <v>21.144736365852943</v>
      </c>
      <c r="GI940">
        <v>35.738990358217571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619.92054194557284</v>
      </c>
      <c r="AO941">
        <v>43.122574597389537</v>
      </c>
      <c r="AP941">
        <v>63.267621643226448</v>
      </c>
      <c r="AQ941">
        <v>295.66796243139657</v>
      </c>
      <c r="AR941">
        <v>42.442829107121007</v>
      </c>
      <c r="AS941">
        <v>363.70441880170489</v>
      </c>
      <c r="AT941">
        <v>21.913139471658809</v>
      </c>
      <c r="AU941">
        <v>-19.01920528044057</v>
      </c>
      <c r="AV941"/>
      <c r="AW941"/>
      <c r="FY941" s="212">
        <v>936</v>
      </c>
      <c r="FZ941">
        <v>58.171994697019137</v>
      </c>
      <c r="GA941">
        <v>84.341114797361953</v>
      </c>
      <c r="GB941">
        <v>52.622803091899584</v>
      </c>
      <c r="GC941">
        <v>22.418883354667905</v>
      </c>
      <c r="GD941">
        <v>10.294773489046625</v>
      </c>
      <c r="GE941">
        <v>13.022344457989075</v>
      </c>
      <c r="GF941">
        <v>23.326093186726414</v>
      </c>
      <c r="GG941">
        <v>25.742043742394543</v>
      </c>
      <c r="GH941">
        <v>28.978028659188613</v>
      </c>
      <c r="GI941">
        <v>36.554463598802769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571.94763589130764</v>
      </c>
      <c r="AO942">
        <v>40.413223293011526</v>
      </c>
      <c r="AP942">
        <v>59.113465573811638</v>
      </c>
      <c r="AQ942">
        <v>273.10382722195806</v>
      </c>
      <c r="AR942">
        <v>38.703434121835699</v>
      </c>
      <c r="AS942">
        <v>315.12442707914596</v>
      </c>
      <c r="AT942">
        <v>20.29632606223981</v>
      </c>
      <c r="AU942">
        <v>-44.155131573824477</v>
      </c>
      <c r="AV942"/>
      <c r="AW942"/>
      <c r="FY942" s="212">
        <v>937</v>
      </c>
      <c r="FZ942">
        <v>59.427031176069654</v>
      </c>
      <c r="GA942">
        <v>81.274371791601155</v>
      </c>
      <c r="GB942">
        <v>46.883702554467092</v>
      </c>
      <c r="GC942">
        <v>20.773909300653884</v>
      </c>
      <c r="GD942">
        <v>10.296645561549045</v>
      </c>
      <c r="GE942">
        <v>15.233222553520962</v>
      </c>
      <c r="GF942">
        <v>24.182211449330087</v>
      </c>
      <c r="GG942">
        <v>15.629056878065368</v>
      </c>
      <c r="GH942">
        <v>14.514225173707231</v>
      </c>
      <c r="GI942">
        <v>33.087564904284122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723.75412670288426</v>
      </c>
      <c r="AO943">
        <v>51.135022413877991</v>
      </c>
      <c r="AP943">
        <v>40.544665038563991</v>
      </c>
      <c r="AQ943">
        <v>370.92296588068876</v>
      </c>
      <c r="AR943">
        <v>50.387583103201266</v>
      </c>
      <c r="AS943">
        <v>424.86381570900613</v>
      </c>
      <c r="AT943">
        <v>25.84378642726692</v>
      </c>
      <c r="AU943">
        <v>-72.971127805622103</v>
      </c>
      <c r="AV943"/>
      <c r="AW943"/>
      <c r="FY943" s="212">
        <v>938</v>
      </c>
      <c r="FZ943">
        <v>50.810945564600189</v>
      </c>
      <c r="GA943">
        <v>94.822285977049972</v>
      </c>
      <c r="GB943">
        <v>61.806300400050723</v>
      </c>
      <c r="GC943">
        <v>25.380175494493894</v>
      </c>
      <c r="GD943">
        <v>14.685205447487832</v>
      </c>
      <c r="GE943">
        <v>17.247245510138608</v>
      </c>
      <c r="GF943">
        <v>26.852871979810722</v>
      </c>
      <c r="GG943">
        <v>27.595329001025487</v>
      </c>
      <c r="GH943">
        <v>19.928458115932479</v>
      </c>
      <c r="GI943">
        <v>39.380628303745091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839.31667741817978</v>
      </c>
      <c r="AO944">
        <v>57.209873016788194</v>
      </c>
      <c r="AP944">
        <v>68.253970923290012</v>
      </c>
      <c r="AQ944">
        <v>412.22198873167184</v>
      </c>
      <c r="AR944">
        <v>54.377350561269402</v>
      </c>
      <c r="AS944">
        <v>425.55213286859089</v>
      </c>
      <c r="AT944">
        <v>26.744062725327876</v>
      </c>
      <c r="AU944">
        <v>-105.26324500292756</v>
      </c>
      <c r="AV944"/>
      <c r="AW944"/>
      <c r="FY944" s="212">
        <v>939</v>
      </c>
      <c r="FZ944">
        <v>42.439486873264329</v>
      </c>
      <c r="GA944">
        <v>86.557322841280282</v>
      </c>
      <c r="GB944">
        <v>52.890275554991682</v>
      </c>
      <c r="GC944">
        <v>25.345846209674985</v>
      </c>
      <c r="GD944">
        <v>12.835964802646444</v>
      </c>
      <c r="GE944">
        <v>11.496721693812859</v>
      </c>
      <c r="GF944">
        <v>25.689889480700877</v>
      </c>
      <c r="GG944">
        <v>31.364204314002251</v>
      </c>
      <c r="GH944">
        <v>33.903171071957502</v>
      </c>
      <c r="GI944">
        <v>36.939600619217977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823.2910616601763</v>
      </c>
      <c r="AO945">
        <v>53.436099698192109</v>
      </c>
      <c r="AP945">
        <v>105.5950042912737</v>
      </c>
      <c r="AQ945">
        <v>373.17751785299885</v>
      </c>
      <c r="AR945">
        <v>51.764712769641818</v>
      </c>
      <c r="AS945">
        <v>446.13710307954221</v>
      </c>
      <c r="AT945">
        <v>25.103069154957861</v>
      </c>
      <c r="AU945">
        <v>3.139571599302208</v>
      </c>
      <c r="AV945"/>
      <c r="AW945"/>
      <c r="FY945" s="212">
        <v>940</v>
      </c>
      <c r="FZ945">
        <v>44.868125835903037</v>
      </c>
      <c r="GA945">
        <v>108.65008628451621</v>
      </c>
      <c r="GB945">
        <v>69.053483848549348</v>
      </c>
      <c r="GC945">
        <v>19.290699961150352</v>
      </c>
      <c r="GD945">
        <v>9.6525507332803233</v>
      </c>
      <c r="GE945">
        <v>13.3390409189912</v>
      </c>
      <c r="GF945">
        <v>18.288950862675275</v>
      </c>
      <c r="GG945">
        <v>19.896428069143127</v>
      </c>
      <c r="GH945">
        <v>23.946608515735971</v>
      </c>
      <c r="GI945">
        <v>36.543600715324644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689.22442164544429</v>
      </c>
      <c r="AO946">
        <v>46.828534587621633</v>
      </c>
      <c r="AP946">
        <v>61.824491179126106</v>
      </c>
      <c r="AQ946">
        <v>329.44749073892513</v>
      </c>
      <c r="AR946">
        <v>46.324562383565201</v>
      </c>
      <c r="AS946">
        <v>377.89781908746886</v>
      </c>
      <c r="AT946">
        <v>23.924247935963422</v>
      </c>
      <c r="AU946">
        <v>-40.224189876806236</v>
      </c>
      <c r="AV946"/>
      <c r="AW946"/>
      <c r="FY946" s="212">
        <v>941</v>
      </c>
      <c r="FZ946">
        <v>63.639776148670144</v>
      </c>
      <c r="GA946">
        <v>105.2808312677973</v>
      </c>
      <c r="GB946">
        <v>54.529102346817304</v>
      </c>
      <c r="GC946">
        <v>18.17525674417756</v>
      </c>
      <c r="GD946">
        <v>12.491802715306616</v>
      </c>
      <c r="GE946">
        <v>14.706768173788056</v>
      </c>
      <c r="GF946">
        <v>11.017315861827118</v>
      </c>
      <c r="GG946">
        <v>12.450333767951115</v>
      </c>
      <c r="GH946">
        <v>18.490354576218312</v>
      </c>
      <c r="GI946">
        <v>35.140930441688923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789.37974465509103</v>
      </c>
      <c r="AO947">
        <v>47.863295060809158</v>
      </c>
      <c r="AP947">
        <v>68.92894642373102</v>
      </c>
      <c r="AQ947">
        <v>330.35742146057936</v>
      </c>
      <c r="AR947">
        <v>45.835296577034221</v>
      </c>
      <c r="AS947">
        <v>385.09812911392152</v>
      </c>
      <c r="AT947">
        <v>23.498803504387116</v>
      </c>
      <c r="AU947">
        <v>-51.854481750915603</v>
      </c>
      <c r="AV947"/>
      <c r="AW947"/>
      <c r="FY947" s="212">
        <v>942</v>
      </c>
      <c r="FZ947">
        <v>43.498855079874133</v>
      </c>
      <c r="GA947">
        <v>101.5725485428884</v>
      </c>
      <c r="GB947">
        <v>58.503085068282417</v>
      </c>
      <c r="GC947">
        <v>23.099675757860293</v>
      </c>
      <c r="GD947">
        <v>13.466059260211173</v>
      </c>
      <c r="GE947">
        <v>12.870775417765174</v>
      </c>
      <c r="GF947">
        <v>10.409699378354178</v>
      </c>
      <c r="GG947">
        <v>14.733741069612966</v>
      </c>
      <c r="GH947">
        <v>29.118131790695067</v>
      </c>
      <c r="GI947">
        <v>35.303209949060559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902.45735922951008</v>
      </c>
      <c r="AO948">
        <v>57.62302637075878</v>
      </c>
      <c r="AP948">
        <v>122.6295118261463</v>
      </c>
      <c r="AQ948">
        <v>412.50377485584795</v>
      </c>
      <c r="AR948">
        <v>56.278340571908913</v>
      </c>
      <c r="AS948">
        <v>481.51194940505411</v>
      </c>
      <c r="AT948">
        <v>28.233105597450351</v>
      </c>
      <c r="AU948">
        <v>-19.346571972834969</v>
      </c>
      <c r="AV948"/>
      <c r="AW948"/>
      <c r="FY948" s="212">
        <v>943</v>
      </c>
      <c r="FZ948">
        <v>44.676450515559189</v>
      </c>
      <c r="GA948">
        <v>69.899020686530307</v>
      </c>
      <c r="GB948">
        <v>44.652762666383559</v>
      </c>
      <c r="GC948">
        <v>19.78936985216529</v>
      </c>
      <c r="GD948">
        <v>12.704227573937084</v>
      </c>
      <c r="GE948">
        <v>14.64963859994065</v>
      </c>
      <c r="GF948">
        <v>32.033945604891443</v>
      </c>
      <c r="GG948">
        <v>32.444859999367551</v>
      </c>
      <c r="GH948">
        <v>27.78991296045152</v>
      </c>
      <c r="GI948">
        <v>35.307784441382047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754.23281055701955</v>
      </c>
      <c r="AO949">
        <v>45.408837756455121</v>
      </c>
      <c r="AP949">
        <v>83.414297496016985</v>
      </c>
      <c r="AQ949">
        <v>299.63640625355413</v>
      </c>
      <c r="AR949">
        <v>44.979874468656561</v>
      </c>
      <c r="AS949">
        <v>377.00102407732027</v>
      </c>
      <c r="AT949">
        <v>24.537868332599118</v>
      </c>
      <c r="AU949">
        <v>-14.376138445467312</v>
      </c>
      <c r="AV949"/>
      <c r="AW949"/>
      <c r="FY949" s="212">
        <v>944</v>
      </c>
      <c r="FZ949">
        <v>51.724172726510723</v>
      </c>
      <c r="GA949">
        <v>122.81217730985216</v>
      </c>
      <c r="GB949">
        <v>70.020700191526856</v>
      </c>
      <c r="GC949">
        <v>20.809171931158229</v>
      </c>
      <c r="GD949">
        <v>15.140816333619394</v>
      </c>
      <c r="GE949">
        <v>20.694689822432924</v>
      </c>
      <c r="GF949">
        <v>39.657084913500576</v>
      </c>
      <c r="GG949">
        <v>37.969492234182958</v>
      </c>
      <c r="GH949">
        <v>31.380569458878661</v>
      </c>
      <c r="GI949">
        <v>46.108060357242621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916.85445231175947</v>
      </c>
      <c r="AO950">
        <v>59.510009074316066</v>
      </c>
      <c r="AP950">
        <v>90.143370898867062</v>
      </c>
      <c r="AQ950">
        <v>422.22529979188749</v>
      </c>
      <c r="AR950">
        <v>57.772485145886336</v>
      </c>
      <c r="AS950">
        <v>474.83994789656009</v>
      </c>
      <c r="AT950">
        <v>29.79689163485288</v>
      </c>
      <c r="AU950">
        <v>-49.427353784703129</v>
      </c>
      <c r="AV950"/>
      <c r="AW950"/>
      <c r="FY950" s="212">
        <v>945</v>
      </c>
      <c r="FZ950">
        <v>44.307639539342176</v>
      </c>
      <c r="GA950">
        <v>99.464470085151092</v>
      </c>
      <c r="GB950">
        <v>58.942692814823012</v>
      </c>
      <c r="GC950">
        <v>20.743447722613308</v>
      </c>
      <c r="GD950">
        <v>11.801373312613613</v>
      </c>
      <c r="GE950">
        <v>18.523602659739424</v>
      </c>
      <c r="GF950">
        <v>29.287442634971551</v>
      </c>
      <c r="GG950">
        <v>25.466080644319412</v>
      </c>
      <c r="GH950">
        <v>30.820757250621202</v>
      </c>
      <c r="GI950">
        <v>38.224908018255285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813.4093340626157</v>
      </c>
      <c r="AO951">
        <v>50.799314254242041</v>
      </c>
      <c r="AP951">
        <v>74.919320395465007</v>
      </c>
      <c r="AQ951">
        <v>351.18350858055538</v>
      </c>
      <c r="AR951">
        <v>49.004534801392346</v>
      </c>
      <c r="AS951">
        <v>406.25226143364529</v>
      </c>
      <c r="AT951">
        <v>24.75963399940024</v>
      </c>
      <c r="AU951">
        <v>-61.59804009508801</v>
      </c>
      <c r="AV951"/>
      <c r="AW951"/>
      <c r="FY951" s="212">
        <v>946</v>
      </c>
      <c r="FZ951">
        <v>44.493329629762037</v>
      </c>
      <c r="GA951">
        <v>97.048514335512081</v>
      </c>
      <c r="GB951">
        <v>53.261122382570832</v>
      </c>
      <c r="GC951">
        <v>17.425128823126975</v>
      </c>
      <c r="GD951">
        <v>11.300904540290057</v>
      </c>
      <c r="GE951">
        <v>19.935965963071233</v>
      </c>
      <c r="GF951">
        <v>34.911171448039255</v>
      </c>
      <c r="GG951">
        <v>35.464002698416131</v>
      </c>
      <c r="GH951">
        <v>40.372915788613263</v>
      </c>
      <c r="GI951">
        <v>39.15802083512029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755.78827828854514</v>
      </c>
      <c r="AO952">
        <v>50.610190254836048</v>
      </c>
      <c r="AP952">
        <v>70.8144401328437</v>
      </c>
      <c r="AQ952">
        <v>355.47254307509672</v>
      </c>
      <c r="AR952">
        <v>50.411804679213155</v>
      </c>
      <c r="AS952">
        <v>425.72764456569422</v>
      </c>
      <c r="AT952">
        <v>27.117654453136947</v>
      </c>
      <c r="AU952">
        <v>-21.163487712891893</v>
      </c>
      <c r="AV952"/>
      <c r="AW952"/>
      <c r="FY952" s="212">
        <v>947</v>
      </c>
      <c r="FZ952">
        <v>47.409786167485393</v>
      </c>
      <c r="GA952">
        <v>98.062692586241027</v>
      </c>
      <c r="GB952">
        <v>66.325036971063511</v>
      </c>
      <c r="GC952">
        <v>21.865213285724824</v>
      </c>
      <c r="GD952">
        <v>8.1699890277017602</v>
      </c>
      <c r="GE952">
        <v>11.631758515460193</v>
      </c>
      <c r="GF952">
        <v>22.059212841098656</v>
      </c>
      <c r="GG952">
        <v>20.285121003175384</v>
      </c>
      <c r="GH952">
        <v>24.91202230271319</v>
      </c>
      <c r="GI952">
        <v>36.334133178907521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730.70302932258949</v>
      </c>
      <c r="AO953">
        <v>45.716984685219366</v>
      </c>
      <c r="AP953">
        <v>57.567295997235085</v>
      </c>
      <c r="AQ953">
        <v>321.30194134324859</v>
      </c>
      <c r="AR953">
        <v>45.423722184684692</v>
      </c>
      <c r="AS953">
        <v>388.5317394829928</v>
      </c>
      <c r="AT953">
        <v>24.776862310326759</v>
      </c>
      <c r="AU953">
        <v>-20.087752951528365</v>
      </c>
      <c r="AV953"/>
      <c r="AW953"/>
      <c r="FY953" s="212">
        <v>948</v>
      </c>
      <c r="FZ953">
        <v>37.246211589244439</v>
      </c>
      <c r="GA953">
        <v>140.95760198248311</v>
      </c>
      <c r="GB953">
        <v>82.506885681459906</v>
      </c>
      <c r="GC953">
        <v>24.119988396485759</v>
      </c>
      <c r="GD953">
        <v>11.222708843438157</v>
      </c>
      <c r="GE953">
        <v>9.4794123382566884</v>
      </c>
      <c r="GF953">
        <v>17.418189123294948</v>
      </c>
      <c r="GG953">
        <v>16.760370645015932</v>
      </c>
      <c r="GH953">
        <v>15.869060018043998</v>
      </c>
      <c r="GI953">
        <v>38.260647114060298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849.26821597552259</v>
      </c>
      <c r="AO954">
        <v>55.551717986133724</v>
      </c>
      <c r="AP954">
        <v>84.234150917516644</v>
      </c>
      <c r="AQ954">
        <v>378.50944579433502</v>
      </c>
      <c r="AR954">
        <v>54.015580147099584</v>
      </c>
      <c r="AS954">
        <v>465.81524786249105</v>
      </c>
      <c r="AT954">
        <v>28.57875296363888</v>
      </c>
      <c r="AU954">
        <v>-14.224614394684423</v>
      </c>
      <c r="AV954"/>
      <c r="AW954"/>
      <c r="FY954" s="212">
        <v>949</v>
      </c>
      <c r="FZ954">
        <v>57.093558124096717</v>
      </c>
      <c r="GA954">
        <v>82.896739953519983</v>
      </c>
      <c r="GB954">
        <v>49.202292081974605</v>
      </c>
      <c r="GC954">
        <v>24.903641748204098</v>
      </c>
      <c r="GD954">
        <v>15.582920443396278</v>
      </c>
      <c r="GE954">
        <v>17.636916413587016</v>
      </c>
      <c r="GF954">
        <v>30.233266040753374</v>
      </c>
      <c r="GG954">
        <v>27.363808903200628</v>
      </c>
      <c r="GH954">
        <v>22.937096032852942</v>
      </c>
      <c r="GI954">
        <v>38.715963452631321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843.88980040290039</v>
      </c>
      <c r="AO955">
        <v>52.402878871488767</v>
      </c>
      <c r="AP955">
        <v>82.530358177815941</v>
      </c>
      <c r="AQ955">
        <v>359.46248346154914</v>
      </c>
      <c r="AR955">
        <v>50.805230175572497</v>
      </c>
      <c r="AS955">
        <v>438.18517090165062</v>
      </c>
      <c r="AT955">
        <v>26.379637156052453</v>
      </c>
      <c r="AU955">
        <v>-34.470872814026151</v>
      </c>
      <c r="AV955"/>
      <c r="AW955"/>
      <c r="FY955" s="212">
        <v>950</v>
      </c>
      <c r="FZ955">
        <v>39.904295634524779</v>
      </c>
      <c r="GA955">
        <v>78.225794394387876</v>
      </c>
      <c r="GB955">
        <v>41.909427780290102</v>
      </c>
      <c r="GC955">
        <v>15.959235687772754</v>
      </c>
      <c r="GD955">
        <v>14.578236789517081</v>
      </c>
      <c r="GE955">
        <v>23.621474654566661</v>
      </c>
      <c r="GF955">
        <v>21.704893989743816</v>
      </c>
      <c r="GG955">
        <v>23.090942802754874</v>
      </c>
      <c r="GH955">
        <v>26.881484656017275</v>
      </c>
      <c r="GI955">
        <v>32.967414860478513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783.28912449189522</v>
      </c>
      <c r="AO956">
        <v>50.905825077917704</v>
      </c>
      <c r="AP956">
        <v>40.537935657011772</v>
      </c>
      <c r="AQ956">
        <v>363.52957574526948</v>
      </c>
      <c r="AR956">
        <v>50.302785115123392</v>
      </c>
      <c r="AS956">
        <v>403.21336677616864</v>
      </c>
      <c r="AT956">
        <v>25.823068883187499</v>
      </c>
      <c r="AU956">
        <v>-86.423479749755515</v>
      </c>
      <c r="AV956"/>
      <c r="AW956"/>
      <c r="FY956" s="212">
        <v>951</v>
      </c>
      <c r="FZ956">
        <v>49.593322854178986</v>
      </c>
      <c r="GA956">
        <v>116.29854708779541</v>
      </c>
      <c r="GB956">
        <v>71.168334524717878</v>
      </c>
      <c r="GC956">
        <v>19.88814456698951</v>
      </c>
      <c r="GD956">
        <v>11.182804501090876</v>
      </c>
      <c r="GE956">
        <v>14.492543659923445</v>
      </c>
      <c r="GF956">
        <v>32.808089060018247</v>
      </c>
      <c r="GG956">
        <v>28.881652947671625</v>
      </c>
      <c r="GH956">
        <v>23.02601547792155</v>
      </c>
      <c r="GI956">
        <v>41.209585715261696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714.3954539660466</v>
      </c>
      <c r="AO957">
        <v>48.258316935421014</v>
      </c>
      <c r="AP957">
        <v>49.82851989562046</v>
      </c>
      <c r="AQ957">
        <v>345.92247204424245</v>
      </c>
      <c r="AR957">
        <v>48.369958083385718</v>
      </c>
      <c r="AS957">
        <v>386.87700304572951</v>
      </c>
      <c r="AT957">
        <v>25.011912540558644</v>
      </c>
      <c r="AU957">
        <v>-50.910841301224863</v>
      </c>
      <c r="AV957"/>
      <c r="AW957"/>
      <c r="FY957" s="212">
        <v>952</v>
      </c>
      <c r="FZ957">
        <v>40.368691168568596</v>
      </c>
      <c r="GA957">
        <v>59.820308049645419</v>
      </c>
      <c r="GB957">
        <v>39.188511270453084</v>
      </c>
      <c r="GC957">
        <v>22.089877994365711</v>
      </c>
      <c r="GD957">
        <v>12.829141302952143</v>
      </c>
      <c r="GE957">
        <v>14.339875617783655</v>
      </c>
      <c r="GF957">
        <v>37.870981981231601</v>
      </c>
      <c r="GG957">
        <v>48.945526721208893</v>
      </c>
      <c r="GH957">
        <v>35.142867853665862</v>
      </c>
      <c r="GI957">
        <v>35.638038766547268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684.81061089322407</v>
      </c>
      <c r="AO958">
        <v>49.515166071182087</v>
      </c>
      <c r="AP958">
        <v>29.274343276332054</v>
      </c>
      <c r="AQ958">
        <v>342.5757813146044</v>
      </c>
      <c r="AR958">
        <v>48.489089435871172</v>
      </c>
      <c r="AS958">
        <v>394.80518291877769</v>
      </c>
      <c r="AT958">
        <v>25.310771968274711</v>
      </c>
      <c r="AU958">
        <v>-75.259655624410243</v>
      </c>
      <c r="AV958"/>
      <c r="AW958"/>
      <c r="FY958" s="212">
        <v>953</v>
      </c>
      <c r="FZ958">
        <v>57.946220778590572</v>
      </c>
      <c r="GA958">
        <v>137.85659804118021</v>
      </c>
      <c r="GB958">
        <v>72.894725645366663</v>
      </c>
      <c r="GC958">
        <v>19.588803746485112</v>
      </c>
      <c r="GD958">
        <v>14.300439772861882</v>
      </c>
      <c r="GE958">
        <v>15.321079680712851</v>
      </c>
      <c r="GF958">
        <v>39.871486252279553</v>
      </c>
      <c r="GG958">
        <v>39.224982160239975</v>
      </c>
      <c r="GH958">
        <v>21.767834709875494</v>
      </c>
      <c r="GI958">
        <v>45.762644402847599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687.46495252629143</v>
      </c>
      <c r="AO959">
        <v>48.623393878424039</v>
      </c>
      <c r="AP959">
        <v>73.355437354608924</v>
      </c>
      <c r="AQ959">
        <v>333.9479729006087</v>
      </c>
      <c r="AR959">
        <v>48.477754107301479</v>
      </c>
      <c r="AS959">
        <v>388.8231539377332</v>
      </c>
      <c r="AT959">
        <v>25.107805607157715</v>
      </c>
      <c r="AU959">
        <v>-21.249466576125045</v>
      </c>
      <c r="AV959"/>
      <c r="AW959"/>
      <c r="FY959" s="212">
        <v>954</v>
      </c>
      <c r="FZ959">
        <v>57.970669570792332</v>
      </c>
      <c r="GA959">
        <v>102.0204655970514</v>
      </c>
      <c r="GB959">
        <v>54.458042556736643</v>
      </c>
      <c r="GC959">
        <v>16.779153237687257</v>
      </c>
      <c r="GD959">
        <v>11.548610573587805</v>
      </c>
      <c r="GE959">
        <v>16.464710530907013</v>
      </c>
      <c r="GF959">
        <v>17.829205519233355</v>
      </c>
      <c r="GG959">
        <v>22.393056449133947</v>
      </c>
      <c r="GH959">
        <v>24.839495577211739</v>
      </c>
      <c r="GI959">
        <v>36.044822982026709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897.09860479643612</v>
      </c>
      <c r="AO960">
        <v>64.504824965222213</v>
      </c>
      <c r="AP960">
        <v>71.530821882320538</v>
      </c>
      <c r="AQ960">
        <v>456.31693527890502</v>
      </c>
      <c r="AR960">
        <v>63.440840380264795</v>
      </c>
      <c r="AS960">
        <v>501.72687958463206</v>
      </c>
      <c r="AT960">
        <v>31.821742241462818</v>
      </c>
      <c r="AU960">
        <v>-79.174536086044498</v>
      </c>
      <c r="AV960"/>
      <c r="AW960"/>
      <c r="FY960" s="212">
        <v>955</v>
      </c>
      <c r="FZ960">
        <v>41.663333674642899</v>
      </c>
      <c r="GA960">
        <v>104.95801491474569</v>
      </c>
      <c r="GB960">
        <v>59.433551510658354</v>
      </c>
      <c r="GC960">
        <v>17.326749207461006</v>
      </c>
      <c r="GD960">
        <v>13.320525517219123</v>
      </c>
      <c r="GE960">
        <v>15.372398791925281</v>
      </c>
      <c r="GF960">
        <v>24.904227362339565</v>
      </c>
      <c r="GG960">
        <v>27.520909565294044</v>
      </c>
      <c r="GH960">
        <v>23.095506056505183</v>
      </c>
      <c r="GI960">
        <v>36.912861134496396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844.34209218911167</v>
      </c>
      <c r="AO961">
        <v>53.527171451206769</v>
      </c>
      <c r="AP961">
        <v>65.509504648994465</v>
      </c>
      <c r="AQ961">
        <v>377.58241468245006</v>
      </c>
      <c r="AR961">
        <v>52.432094132208213</v>
      </c>
      <c r="AS961">
        <v>453.95374312798111</v>
      </c>
      <c r="AT961">
        <v>27.377428369293224</v>
      </c>
      <c r="AU961">
        <v>-74.189527969404196</v>
      </c>
      <c r="AV961"/>
      <c r="AW961"/>
      <c r="FY961" s="212">
        <v>956</v>
      </c>
      <c r="FZ961">
        <v>31.289745950745655</v>
      </c>
      <c r="GA961">
        <v>90.901281565061865</v>
      </c>
      <c r="GB961">
        <v>48.880030037435255</v>
      </c>
      <c r="GC961">
        <v>16.993819117566584</v>
      </c>
      <c r="GD961">
        <v>14.147969246347932</v>
      </c>
      <c r="GE961">
        <v>17.362660041680588</v>
      </c>
      <c r="GF961">
        <v>25.509738976413509</v>
      </c>
      <c r="GG961">
        <v>23.739025616173485</v>
      </c>
      <c r="GH961">
        <v>31.069067397147361</v>
      </c>
      <c r="GI961">
        <v>34.609459017227238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882.56438687087461</v>
      </c>
      <c r="AO962">
        <v>54.912451648901239</v>
      </c>
      <c r="AP962">
        <v>88.934494989799333</v>
      </c>
      <c r="AQ962">
        <v>393.3710764445222</v>
      </c>
      <c r="AR962">
        <v>53.803511070459585</v>
      </c>
      <c r="AS962">
        <v>465.36579424561694</v>
      </c>
      <c r="AT962">
        <v>28.123941520845168</v>
      </c>
      <c r="AU962">
        <v>-48.424603809079244</v>
      </c>
      <c r="AV962"/>
      <c r="AW962"/>
      <c r="FY962" s="212">
        <v>957</v>
      </c>
      <c r="FZ962">
        <v>37.7886239002382</v>
      </c>
      <c r="GA962">
        <v>78.222521112178541</v>
      </c>
      <c r="GB962">
        <v>41.385069274366344</v>
      </c>
      <c r="GC962">
        <v>15.384882479997797</v>
      </c>
      <c r="GD962">
        <v>12.431620152039319</v>
      </c>
      <c r="GE962">
        <v>12.485120852319801</v>
      </c>
      <c r="GF962">
        <v>16.777853864996771</v>
      </c>
      <c r="GG962">
        <v>20.125408286820793</v>
      </c>
      <c r="GH962">
        <v>29.539865712944035</v>
      </c>
      <c r="GI962">
        <v>30.881097762634187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676.95316409040265</v>
      </c>
      <c r="AO963">
        <v>50.501542231944526</v>
      </c>
      <c r="AP963">
        <v>48.110886585009375</v>
      </c>
      <c r="AQ963">
        <v>357.05496587957145</v>
      </c>
      <c r="AR963">
        <v>50.172779042679103</v>
      </c>
      <c r="AS963">
        <v>380.39859632469677</v>
      </c>
      <c r="AT963">
        <v>25.695959447870109</v>
      </c>
      <c r="AU963">
        <v>-57.583994198064666</v>
      </c>
      <c r="AV963"/>
      <c r="AW963"/>
      <c r="FY963" s="212">
        <v>958</v>
      </c>
      <c r="FZ963">
        <v>42.729764332947695</v>
      </c>
      <c r="GA963">
        <v>107.58728769115042</v>
      </c>
      <c r="GB963">
        <v>53.9354934490459</v>
      </c>
      <c r="GC963">
        <v>15.606406228149021</v>
      </c>
      <c r="GD963">
        <v>12.615182101926541</v>
      </c>
      <c r="GE963">
        <v>13.700048620579476</v>
      </c>
      <c r="GF963">
        <v>23.779552427988243</v>
      </c>
      <c r="GG963">
        <v>22.951938318622194</v>
      </c>
      <c r="GH963">
        <v>22.268227743590359</v>
      </c>
      <c r="GI963">
        <v>34.935884180765072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761.86297631788602</v>
      </c>
      <c r="AO964">
        <v>55.345348155483919</v>
      </c>
      <c r="AP964">
        <v>39.614143646240024</v>
      </c>
      <c r="AQ964">
        <v>393.84107573178329</v>
      </c>
      <c r="AR964">
        <v>52.633163509698342</v>
      </c>
      <c r="AS964">
        <v>424.60196412095411</v>
      </c>
      <c r="AT964">
        <v>26.305454533674624</v>
      </c>
      <c r="AU964">
        <v>-88.531761766509049</v>
      </c>
      <c r="AV964"/>
      <c r="AW964"/>
      <c r="FY964" s="212">
        <v>959</v>
      </c>
      <c r="FZ964">
        <v>45.145251234515463</v>
      </c>
      <c r="GA964">
        <v>118.47374694029179</v>
      </c>
      <c r="GB964">
        <v>72.768643163823242</v>
      </c>
      <c r="GC964">
        <v>22.843468994913877</v>
      </c>
      <c r="GD964">
        <v>12.70471068293868</v>
      </c>
      <c r="GE964">
        <v>15.640006394480164</v>
      </c>
      <c r="GF964">
        <v>18.207551292378589</v>
      </c>
      <c r="GG964">
        <v>16.074598306894753</v>
      </c>
      <c r="GH964">
        <v>14.165646516436059</v>
      </c>
      <c r="GI964">
        <v>37.668047063970917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930.46440109196067</v>
      </c>
      <c r="AO965">
        <v>53.623561089097464</v>
      </c>
      <c r="AP965">
        <v>76.385696357893551</v>
      </c>
      <c r="AQ965">
        <v>366.566203194217</v>
      </c>
      <c r="AR965">
        <v>52.889123840905661</v>
      </c>
      <c r="AS965">
        <v>493.58388354055694</v>
      </c>
      <c r="AT965">
        <v>28.502969888581859</v>
      </c>
      <c r="AU965">
        <v>-32.2997560177594</v>
      </c>
      <c r="AV965"/>
      <c r="AW965"/>
      <c r="FY965" s="212">
        <v>960</v>
      </c>
      <c r="FZ965">
        <v>47.304496028345959</v>
      </c>
      <c r="GA965">
        <v>129.67323385318659</v>
      </c>
      <c r="GB965">
        <v>61.683892952408392</v>
      </c>
      <c r="GC965">
        <v>15.62714539471002</v>
      </c>
      <c r="GD965">
        <v>11.971552914064342</v>
      </c>
      <c r="GE965">
        <v>16.555906248981934</v>
      </c>
      <c r="GF965">
        <v>31.324910743540279</v>
      </c>
      <c r="GG965">
        <v>30.886620064793256</v>
      </c>
      <c r="GH965">
        <v>30.633376585200967</v>
      </c>
      <c r="GI965">
        <v>39.918490993288131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770.71392738455097</v>
      </c>
      <c r="AO966">
        <v>46.663248144929184</v>
      </c>
      <c r="AP966">
        <v>57.958149846146092</v>
      </c>
      <c r="AQ966">
        <v>318.84320125005377</v>
      </c>
      <c r="AR966">
        <v>45.300725814288683</v>
      </c>
      <c r="AS966">
        <v>383.26199447680341</v>
      </c>
      <c r="AT966">
        <v>23.334714776720237</v>
      </c>
      <c r="AU966">
        <v>-48.783529965824002</v>
      </c>
      <c r="AV966"/>
      <c r="AW966"/>
      <c r="FY966" s="212">
        <v>961</v>
      </c>
      <c r="FZ966">
        <v>44.103084925299989</v>
      </c>
      <c r="GA966">
        <v>84.991316891431268</v>
      </c>
      <c r="GB966">
        <v>48.346489913932778</v>
      </c>
      <c r="GC966">
        <v>14.58162668572014</v>
      </c>
      <c r="GD966">
        <v>7.5668030029087303</v>
      </c>
      <c r="GE966">
        <v>9.7066447745803242</v>
      </c>
      <c r="GF966">
        <v>17.288872700735592</v>
      </c>
      <c r="GG966">
        <v>14.385090576731228</v>
      </c>
      <c r="GH966">
        <v>11.664580589642982</v>
      </c>
      <c r="GI966">
        <v>27.916480854588741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838.77976345917909</v>
      </c>
      <c r="AO967">
        <v>57.2097562772271</v>
      </c>
      <c r="AP967">
        <v>80.527493943487258</v>
      </c>
      <c r="AQ967">
        <v>408.54904039556919</v>
      </c>
      <c r="AR967">
        <v>56.805064066979241</v>
      </c>
      <c r="AS967">
        <v>455.32478575419816</v>
      </c>
      <c r="AT967">
        <v>28.594565805565988</v>
      </c>
      <c r="AU967">
        <v>-104.81528871152388</v>
      </c>
      <c r="AV967"/>
      <c r="AW967"/>
      <c r="FY967" s="212">
        <v>962</v>
      </c>
      <c r="FZ967">
        <v>48.294417314124914</v>
      </c>
      <c r="GA967">
        <v>89.671991130377876</v>
      </c>
      <c r="GB967">
        <v>45.646021738561501</v>
      </c>
      <c r="GC967">
        <v>20.434545493958389</v>
      </c>
      <c r="GD967">
        <v>14.509588571460261</v>
      </c>
      <c r="GE967">
        <v>14.538023969444101</v>
      </c>
      <c r="GF967">
        <v>32.433854983590521</v>
      </c>
      <c r="GG967">
        <v>31.626159082587051</v>
      </c>
      <c r="GH967">
        <v>26.388067717793799</v>
      </c>
      <c r="GI967">
        <v>37.039864572262296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775.57758511215798</v>
      </c>
      <c r="AO968">
        <v>50.971684711784619</v>
      </c>
      <c r="AP968">
        <v>93.27016075336995</v>
      </c>
      <c r="AQ968">
        <v>346.23382072642221</v>
      </c>
      <c r="AR968">
        <v>48.853233296505501</v>
      </c>
      <c r="AS968">
        <v>428.96071209379971</v>
      </c>
      <c r="AT968">
        <v>25.575453933408365</v>
      </c>
      <c r="AU968">
        <v>4.2109710043456019</v>
      </c>
      <c r="AV968"/>
      <c r="AW968"/>
      <c r="FY968" s="212">
        <v>963</v>
      </c>
      <c r="FZ968">
        <v>48.986859044699479</v>
      </c>
      <c r="GA968">
        <v>119.46252714355181</v>
      </c>
      <c r="GB968">
        <v>60.853803789282154</v>
      </c>
      <c r="GC968">
        <v>21.712300670066387</v>
      </c>
      <c r="GD968">
        <v>14.274736546734168</v>
      </c>
      <c r="GE968">
        <v>19.971001332826411</v>
      </c>
      <c r="GF968">
        <v>47.486412343649448</v>
      </c>
      <c r="GG968">
        <v>34.024631432157264</v>
      </c>
      <c r="GH968">
        <v>13.540500548032711</v>
      </c>
      <c r="GI968">
        <v>41.454683645670549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908.69608507252792</v>
      </c>
      <c r="AO969">
        <v>64.253453604113446</v>
      </c>
      <c r="AP969">
        <v>95.898506920054075</v>
      </c>
      <c r="AQ969">
        <v>464.53481519043987</v>
      </c>
      <c r="AR969">
        <v>62.969129665375732</v>
      </c>
      <c r="AS969">
        <v>499.96707453679301</v>
      </c>
      <c r="AT969">
        <v>31.396098959572299</v>
      </c>
      <c r="AU969">
        <v>-48.332767274066661</v>
      </c>
      <c r="AV969"/>
      <c r="AW969"/>
      <c r="FY969" s="212">
        <v>964</v>
      </c>
      <c r="FZ969">
        <v>36.165763838092516</v>
      </c>
      <c r="GA969">
        <v>116.92698976975144</v>
      </c>
      <c r="GB969">
        <v>63.161144327556123</v>
      </c>
      <c r="GC969">
        <v>16.460752214586748</v>
      </c>
      <c r="GD969">
        <v>10.516096908311534</v>
      </c>
      <c r="GE969">
        <v>12.501899769740371</v>
      </c>
      <c r="GF969">
        <v>15.79971844136259</v>
      </c>
      <c r="GG969">
        <v>16.192964983693919</v>
      </c>
      <c r="GH969">
        <v>19.183195618888021</v>
      </c>
      <c r="GI969">
        <v>33.057965570082025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737.03225383473455</v>
      </c>
      <c r="AO970">
        <v>50.207014836886273</v>
      </c>
      <c r="AP970">
        <v>59.19488766857485</v>
      </c>
      <c r="AQ970">
        <v>360.3482325943682</v>
      </c>
      <c r="AR970">
        <v>49.702975591917671</v>
      </c>
      <c r="AS970">
        <v>405.88983880071771</v>
      </c>
      <c r="AT970">
        <v>25.147401673340763</v>
      </c>
      <c r="AU970">
        <v>-48.197671180262823</v>
      </c>
      <c r="AV970"/>
      <c r="AW970"/>
      <c r="FY970" s="212">
        <v>965</v>
      </c>
      <c r="FZ970">
        <v>39.569301966724197</v>
      </c>
      <c r="GA970">
        <v>68.133709458595632</v>
      </c>
      <c r="GB970">
        <v>38.297586240696027</v>
      </c>
      <c r="GC970">
        <v>23.787579294911517</v>
      </c>
      <c r="GD970">
        <v>13.948641517821441</v>
      </c>
      <c r="GE970">
        <v>10.989966408252654</v>
      </c>
      <c r="GF970">
        <v>18.179638443332124</v>
      </c>
      <c r="GG970">
        <v>14.624669059003928</v>
      </c>
      <c r="GH970">
        <v>23.516805267587621</v>
      </c>
      <c r="GI970">
        <v>30.563290764625084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775.71896087897244</v>
      </c>
      <c r="AO971">
        <v>51.819142768415759</v>
      </c>
      <c r="AP971">
        <v>62.898050415477101</v>
      </c>
      <c r="AQ971">
        <v>364.5080777352876</v>
      </c>
      <c r="AR971">
        <v>50.816088220950434</v>
      </c>
      <c r="AS971">
        <v>410.21859289249323</v>
      </c>
      <c r="AT971">
        <v>25.103358772168068</v>
      </c>
      <c r="AU971">
        <v>-75.975969952170075</v>
      </c>
      <c r="AV971"/>
      <c r="AW971"/>
      <c r="FY971" s="212">
        <v>966</v>
      </c>
      <c r="FZ971">
        <v>48.049116381194224</v>
      </c>
      <c r="GA971">
        <v>88.278967422674469</v>
      </c>
      <c r="GB971">
        <v>50.010844164695335</v>
      </c>
      <c r="GC971">
        <v>17.744137202475311</v>
      </c>
      <c r="GD971">
        <v>9.3713674411570782</v>
      </c>
      <c r="GE971">
        <v>9.237701427043806</v>
      </c>
      <c r="GF971">
        <v>27.987140799118617</v>
      </c>
      <c r="GG971">
        <v>33.39814797777278</v>
      </c>
      <c r="GH971">
        <v>23.480596250508345</v>
      </c>
      <c r="GI971">
        <v>33.84369896054222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732.99685747752994</v>
      </c>
      <c r="AO972">
        <v>48.467876358039589</v>
      </c>
      <c r="AP972">
        <v>78.564714237806953</v>
      </c>
      <c r="AQ972">
        <v>334.50279696579946</v>
      </c>
      <c r="AR972">
        <v>47.674683365720583</v>
      </c>
      <c r="AS972">
        <v>399.15223254513654</v>
      </c>
      <c r="AT972">
        <v>24.320662979133488</v>
      </c>
      <c r="AU972">
        <v>-36.850214362342619</v>
      </c>
      <c r="AV972"/>
      <c r="AW972"/>
      <c r="FY972" s="212">
        <v>967</v>
      </c>
      <c r="FZ972">
        <v>42.11887524751873</v>
      </c>
      <c r="GA972">
        <v>113.07290458008684</v>
      </c>
      <c r="GB972">
        <v>70.193363362519236</v>
      </c>
      <c r="GC972">
        <v>22.430340411408888</v>
      </c>
      <c r="GD972">
        <v>11.7922145804973</v>
      </c>
      <c r="GE972">
        <v>13.53924089395041</v>
      </c>
      <c r="GF972">
        <v>27.736830465558082</v>
      </c>
      <c r="GG972">
        <v>26.700262873234511</v>
      </c>
      <c r="GH972">
        <v>17.800447662220446</v>
      </c>
      <c r="GI972">
        <v>38.514462371733565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592.50515560685142</v>
      </c>
      <c r="AO973">
        <v>42.392324830752081</v>
      </c>
      <c r="AP973">
        <v>68.88000764747305</v>
      </c>
      <c r="AQ973">
        <v>295.02206339853581</v>
      </c>
      <c r="AR973">
        <v>42.639435141752344</v>
      </c>
      <c r="AS973">
        <v>329.56092924808991</v>
      </c>
      <c r="AT973">
        <v>22.103837585806986</v>
      </c>
      <c r="AU973">
        <v>-43.800799141354702</v>
      </c>
      <c r="AV973"/>
      <c r="AW973"/>
      <c r="FY973" s="212">
        <v>968</v>
      </c>
      <c r="FZ973">
        <v>48.362159330176112</v>
      </c>
      <c r="GA973">
        <v>72.070994652912432</v>
      </c>
      <c r="GB973">
        <v>45.757941887482239</v>
      </c>
      <c r="GC973">
        <v>19.852557403334149</v>
      </c>
      <c r="GD973">
        <v>12.661481879746558</v>
      </c>
      <c r="GE973">
        <v>17.028379108786051</v>
      </c>
      <c r="GF973">
        <v>19.836658363322194</v>
      </c>
      <c r="GG973">
        <v>20.01895898976742</v>
      </c>
      <c r="GH973">
        <v>26.205135020568807</v>
      </c>
      <c r="GI973">
        <v>33.531635658027547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727.79495578375645</v>
      </c>
      <c r="AO974">
        <v>48.879728987162892</v>
      </c>
      <c r="AP974">
        <v>75.067357010456689</v>
      </c>
      <c r="AQ974">
        <v>350.10978509476496</v>
      </c>
      <c r="AR974">
        <v>48.135938874704124</v>
      </c>
      <c r="AS974">
        <v>395.36153749621178</v>
      </c>
      <c r="AT974">
        <v>23.961145120775445</v>
      </c>
      <c r="AU974">
        <v>-38.685730194357618</v>
      </c>
      <c r="AV974"/>
      <c r="AW974"/>
      <c r="FY974" s="212">
        <v>969</v>
      </c>
      <c r="FZ974">
        <v>43.336210203515904</v>
      </c>
      <c r="GA974">
        <v>119.89276784027879</v>
      </c>
      <c r="GB974">
        <v>73.462478571041729</v>
      </c>
      <c r="GC974">
        <v>22.836076330465215</v>
      </c>
      <c r="GD974">
        <v>14.707731771638432</v>
      </c>
      <c r="GE974">
        <v>14.211940613070787</v>
      </c>
      <c r="GF974">
        <v>25.433106866254626</v>
      </c>
      <c r="GG974">
        <v>28.854971562461628</v>
      </c>
      <c r="GH974">
        <v>21.589739232274674</v>
      </c>
      <c r="GI974">
        <v>41.349636807556514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915.62606618857956</v>
      </c>
      <c r="AO975">
        <v>53.509166631466385</v>
      </c>
      <c r="AP975">
        <v>60.519763228813659</v>
      </c>
      <c r="AQ975">
        <v>373.69167059064358</v>
      </c>
      <c r="AR975">
        <v>51.745093748508737</v>
      </c>
      <c r="AS975">
        <v>427.68667457570524</v>
      </c>
      <c r="AT975">
        <v>25.658048307488908</v>
      </c>
      <c r="AU975">
        <v>-64.456917372033871</v>
      </c>
      <c r="AV975"/>
      <c r="AW975"/>
      <c r="FY975" s="212">
        <v>970</v>
      </c>
      <c r="FZ975">
        <v>44.836693356256916</v>
      </c>
      <c r="GA975">
        <v>102.46569675283438</v>
      </c>
      <c r="GB975">
        <v>58.375847969196705</v>
      </c>
      <c r="GC975">
        <v>17.522188220725258</v>
      </c>
      <c r="GD975">
        <v>12.569200005633913</v>
      </c>
      <c r="GE975">
        <v>18.351619146592469</v>
      </c>
      <c r="GF975">
        <v>40.109722111575088</v>
      </c>
      <c r="GG975">
        <v>32.995419969965852</v>
      </c>
      <c r="GH975">
        <v>17.515250098071732</v>
      </c>
      <c r="GI975">
        <v>38.559346893794981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791.3999654376089</v>
      </c>
      <c r="AO976">
        <v>56.636232829310323</v>
      </c>
      <c r="AP976">
        <v>82.136912789059238</v>
      </c>
      <c r="AQ976">
        <v>415.57962577851987</v>
      </c>
      <c r="AR976">
        <v>55.002683853379544</v>
      </c>
      <c r="AS976">
        <v>431.62675928015193</v>
      </c>
      <c r="AT976">
        <v>27.303241518729383</v>
      </c>
      <c r="AU976">
        <v>-53.168491067607107</v>
      </c>
      <c r="AV976"/>
      <c r="AW976"/>
      <c r="FY976" s="212">
        <v>971</v>
      </c>
      <c r="FZ976">
        <v>49.190682624177043</v>
      </c>
      <c r="GA976">
        <v>131.04430425319947</v>
      </c>
      <c r="GB976">
        <v>67.655628571385961</v>
      </c>
      <c r="GC976">
        <v>20.038095804082239</v>
      </c>
      <c r="GD976">
        <v>15.171922459174661</v>
      </c>
      <c r="GE976">
        <v>17.851978994358529</v>
      </c>
      <c r="GF976">
        <v>6.0099933152447367</v>
      </c>
      <c r="GG976">
        <v>20.16551591633964</v>
      </c>
      <c r="GH976">
        <v>34.534881063694165</v>
      </c>
      <c r="GI976">
        <v>39.421611781636315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524.18177234439565</v>
      </c>
      <c r="AO977">
        <v>38.707123763559828</v>
      </c>
      <c r="AP977">
        <v>29.088642970822836</v>
      </c>
      <c r="AQ977">
        <v>280.55099091557179</v>
      </c>
      <c r="AR977">
        <v>38.343472855706786</v>
      </c>
      <c r="AS977">
        <v>321.96239416177048</v>
      </c>
      <c r="AT977">
        <v>20.304561089303359</v>
      </c>
      <c r="AU977">
        <v>-74.217823536405575</v>
      </c>
      <c r="AV977"/>
      <c r="AW977"/>
      <c r="FY977" s="212">
        <v>972</v>
      </c>
      <c r="FZ977">
        <v>45.819445522658995</v>
      </c>
      <c r="GA977">
        <v>68.84929028226253</v>
      </c>
      <c r="GB977">
        <v>50.766008449151975</v>
      </c>
      <c r="GC977">
        <v>27.459089085519107</v>
      </c>
      <c r="GD977">
        <v>14.215817053563011</v>
      </c>
      <c r="GE977">
        <v>16.360664809682927</v>
      </c>
      <c r="GF977">
        <v>20.37415970162337</v>
      </c>
      <c r="GG977">
        <v>17.21238967874833</v>
      </c>
      <c r="GH977">
        <v>15.462771671455325</v>
      </c>
      <c r="GI977">
        <v>33.714767095167865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812.36570500639539</v>
      </c>
      <c r="AO978">
        <v>51.906475715102793</v>
      </c>
      <c r="AP978">
        <v>92.133949534448803</v>
      </c>
      <c r="AQ978">
        <v>360.58253457416066</v>
      </c>
      <c r="AR978">
        <v>50.945982205495447</v>
      </c>
      <c r="AS978">
        <v>438.34553094776697</v>
      </c>
      <c r="AT978">
        <v>26.084108054568912</v>
      </c>
      <c r="AU978">
        <v>-31.416540924207183</v>
      </c>
      <c r="AV978"/>
      <c r="AW978"/>
      <c r="FY978" s="212">
        <v>973</v>
      </c>
      <c r="FZ978">
        <v>40.268051293565875</v>
      </c>
      <c r="GA978">
        <v>100.79751953160506</v>
      </c>
      <c r="GB978">
        <v>70.398091552246143</v>
      </c>
      <c r="GC978">
        <v>24.086579493870534</v>
      </c>
      <c r="GD978">
        <v>11.45331377937416</v>
      </c>
      <c r="GE978">
        <v>17.40390504497503</v>
      </c>
      <c r="GF978">
        <v>22.875497412238364</v>
      </c>
      <c r="GG978">
        <v>22.658137891981717</v>
      </c>
      <c r="GH978">
        <v>18.951957177543871</v>
      </c>
      <c r="GI978">
        <v>37.25139075423639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962.53764450917265</v>
      </c>
      <c r="AO979">
        <v>59.68545779329429</v>
      </c>
      <c r="AP979">
        <v>72.336835664136501</v>
      </c>
      <c r="AQ979">
        <v>421.76745649667038</v>
      </c>
      <c r="AR979">
        <v>56.841925678602571</v>
      </c>
      <c r="AS979">
        <v>520.05113134284011</v>
      </c>
      <c r="AT979">
        <v>29.123233098076923</v>
      </c>
      <c r="AU979">
        <v>-49.452507617955277</v>
      </c>
      <c r="AV979"/>
      <c r="AW979"/>
      <c r="FY979" s="212">
        <v>974</v>
      </c>
      <c r="FZ979">
        <v>33.108571882027164</v>
      </c>
      <c r="GA979">
        <v>133.93490933980434</v>
      </c>
      <c r="GB979">
        <v>75.74011505728545</v>
      </c>
      <c r="GC979">
        <v>19.750259357940816</v>
      </c>
      <c r="GD979">
        <v>12.28696442396013</v>
      </c>
      <c r="GE979">
        <v>12.391200052976176</v>
      </c>
      <c r="GF979">
        <v>23.687758549735133</v>
      </c>
      <c r="GG979">
        <v>29.198801850544218</v>
      </c>
      <c r="GH979">
        <v>37.607390087655233</v>
      </c>
      <c r="GI979">
        <v>41.206543897888309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674.86067270362764</v>
      </c>
      <c r="AO980">
        <v>47.130872539069117</v>
      </c>
      <c r="AP980">
        <v>38.794258633699712</v>
      </c>
      <c r="AQ980">
        <v>339.96649144206532</v>
      </c>
      <c r="AR980">
        <v>45.463012899182552</v>
      </c>
      <c r="AS980">
        <v>379.11356914008712</v>
      </c>
      <c r="AT980">
        <v>22.653906552956531</v>
      </c>
      <c r="AU980">
        <v>-103.27716478828589</v>
      </c>
      <c r="AV980"/>
      <c r="AW980"/>
      <c r="FY980" s="212">
        <v>975</v>
      </c>
      <c r="FZ980">
        <v>35.29062295443488</v>
      </c>
      <c r="GA980">
        <v>97.392396267652259</v>
      </c>
      <c r="GB980">
        <v>58.097095329726002</v>
      </c>
      <c r="GC980">
        <v>19.06061343389166</v>
      </c>
      <c r="GD980">
        <v>10.767297876045909</v>
      </c>
      <c r="GE980">
        <v>19.040786233349319</v>
      </c>
      <c r="GF980">
        <v>31.28604413057144</v>
      </c>
      <c r="GG980">
        <v>22.132937294495537</v>
      </c>
      <c r="GH980">
        <v>21.4731483898689</v>
      </c>
      <c r="GI980">
        <v>35.069187514234315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581.78415118814814</v>
      </c>
      <c r="AO981">
        <v>42.579516454154685</v>
      </c>
      <c r="AP981">
        <v>147.70564042717106</v>
      </c>
      <c r="AQ981">
        <v>281.61118842155025</v>
      </c>
      <c r="AR981">
        <v>42.0471904969299</v>
      </c>
      <c r="AS981">
        <v>353.97275446222233</v>
      </c>
      <c r="AT981">
        <v>24.261963226095517</v>
      </c>
      <c r="AU981">
        <v>-291.14976357096896</v>
      </c>
      <c r="AV981"/>
      <c r="AW981"/>
      <c r="FY981" s="212">
        <v>976</v>
      </c>
      <c r="FZ981">
        <v>41.608507896347184</v>
      </c>
      <c r="GA981">
        <v>103.22551851933831</v>
      </c>
      <c r="GB981">
        <v>55.814729593028105</v>
      </c>
      <c r="GC981">
        <v>15.721125080303676</v>
      </c>
      <c r="GD981">
        <v>11.841356405730981</v>
      </c>
      <c r="GE981">
        <v>17.286991885207335</v>
      </c>
      <c r="GF981">
        <v>33.280762376753415</v>
      </c>
      <c r="GG981">
        <v>27.861656831037255</v>
      </c>
      <c r="GH981">
        <v>14.599739766205673</v>
      </c>
      <c r="GI981">
        <v>35.412894463999564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656.15331705027563</v>
      </c>
      <c r="AO982">
        <v>47.649035272555196</v>
      </c>
      <c r="AP982">
        <v>52.365479374181817</v>
      </c>
      <c r="AQ982">
        <v>341.4017180271822</v>
      </c>
      <c r="AR982">
        <v>46.65406077060269</v>
      </c>
      <c r="AS982">
        <v>385.88708800799458</v>
      </c>
      <c r="AT982">
        <v>23.869624401001513</v>
      </c>
      <c r="AU982">
        <v>-45.115360104704443</v>
      </c>
      <c r="AV982"/>
      <c r="AW982"/>
      <c r="FY982" s="212">
        <v>977</v>
      </c>
      <c r="FZ982">
        <v>43.266545148819532</v>
      </c>
      <c r="GA982">
        <v>122.16765898954925</v>
      </c>
      <c r="GB982">
        <v>65.109414038240502</v>
      </c>
      <c r="GC982">
        <v>18.037951096103292</v>
      </c>
      <c r="GD982">
        <v>12.488864839104517</v>
      </c>
      <c r="GE982">
        <v>16.555367740313727</v>
      </c>
      <c r="GF982">
        <v>18.768661262621645</v>
      </c>
      <c r="GG982">
        <v>18.447818569394563</v>
      </c>
      <c r="GH982">
        <v>20.493473576247318</v>
      </c>
      <c r="GI982">
        <v>36.532094064851037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799.39112599013242</v>
      </c>
      <c r="AO983">
        <v>55.013944060634024</v>
      </c>
      <c r="AP983">
        <v>89.466098247711557</v>
      </c>
      <c r="AQ983">
        <v>383.89894244872795</v>
      </c>
      <c r="AR983">
        <v>53.120847923153441</v>
      </c>
      <c r="AS983">
        <v>445.48394848817549</v>
      </c>
      <c r="AT983">
        <v>26.461688153011753</v>
      </c>
      <c r="AU983">
        <v>-25.746857251489203</v>
      </c>
      <c r="AV983"/>
      <c r="AW983"/>
      <c r="FY983" s="212">
        <v>978</v>
      </c>
      <c r="FZ983">
        <v>35.205067937823202</v>
      </c>
      <c r="GA983">
        <v>74.292373127149773</v>
      </c>
      <c r="GB983">
        <v>51.750525500741688</v>
      </c>
      <c r="GC983">
        <v>22.218488751832311</v>
      </c>
      <c r="GD983">
        <v>14.756983590416915</v>
      </c>
      <c r="GE983">
        <v>17.453421866606099</v>
      </c>
      <c r="GF983">
        <v>22.446864548911684</v>
      </c>
      <c r="GG983">
        <v>27.971838366869321</v>
      </c>
      <c r="GH983">
        <v>31.629712873674141</v>
      </c>
      <c r="GI983">
        <v>35.618910310757641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726.97211799369234</v>
      </c>
      <c r="AO984">
        <v>45.894486376666976</v>
      </c>
      <c r="AP984">
        <v>55.857172503490339</v>
      </c>
      <c r="AQ984">
        <v>315.32590229412352</v>
      </c>
      <c r="AR984">
        <v>45.945422021553028</v>
      </c>
      <c r="AS984">
        <v>386.04412921212554</v>
      </c>
      <c r="AT984">
        <v>24.7650296415861</v>
      </c>
      <c r="AU984">
        <v>-43.561057589657295</v>
      </c>
      <c r="AV984"/>
      <c r="AW984"/>
      <c r="FY984" s="212">
        <v>979</v>
      </c>
      <c r="FZ984">
        <v>42.748026233590359</v>
      </c>
      <c r="GA984">
        <v>103.66089229351775</v>
      </c>
      <c r="GB984">
        <v>55.566407870144488</v>
      </c>
      <c r="GC984">
        <v>19.0736864341943</v>
      </c>
      <c r="GD984">
        <v>10.639142938380999</v>
      </c>
      <c r="GE984">
        <v>13.321942002718254</v>
      </c>
      <c r="GF984">
        <v>32.115121760163902</v>
      </c>
      <c r="GG984">
        <v>27.352417164353756</v>
      </c>
      <c r="GH984">
        <v>30.764920652042267</v>
      </c>
      <c r="GI984">
        <v>37.063975303852622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805.21876267512221</v>
      </c>
      <c r="AO985">
        <v>58.540582524577324</v>
      </c>
      <c r="AP985">
        <v>57.861764581671714</v>
      </c>
      <c r="AQ985">
        <v>405.67465979855831</v>
      </c>
      <c r="AR985">
        <v>57.063644322284951</v>
      </c>
      <c r="AS985">
        <v>448.68953733955124</v>
      </c>
      <c r="AT985">
        <v>28.09524514572432</v>
      </c>
      <c r="AU985">
        <v>-67.442402556252802</v>
      </c>
      <c r="AV985"/>
      <c r="AW985"/>
      <c r="FY985" s="212">
        <v>980</v>
      </c>
      <c r="FZ985">
        <v>54.059703499404854</v>
      </c>
      <c r="GA985">
        <v>100.56002890833128</v>
      </c>
      <c r="GB985">
        <v>54.790876244290551</v>
      </c>
      <c r="GC985">
        <v>19.664342252016546</v>
      </c>
      <c r="GD985">
        <v>11.822104798720073</v>
      </c>
      <c r="GE985">
        <v>11.936905215616202</v>
      </c>
      <c r="GF985">
        <v>14.342655019727269</v>
      </c>
      <c r="GG985">
        <v>15.448765416559965</v>
      </c>
      <c r="GH985">
        <v>24.402636541849464</v>
      </c>
      <c r="GI985">
        <v>34.964331757241411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816.73630931095181</v>
      </c>
      <c r="AO986">
        <v>54.239280905485955</v>
      </c>
      <c r="AP986">
        <v>72.864952610115949</v>
      </c>
      <c r="AQ986">
        <v>383.30098452464733</v>
      </c>
      <c r="AR986">
        <v>52.953478181747855</v>
      </c>
      <c r="AS986">
        <v>449.55178765664022</v>
      </c>
      <c r="AT986">
        <v>26.956847901235648</v>
      </c>
      <c r="AU986">
        <v>-24.413875165748607</v>
      </c>
      <c r="AV986"/>
      <c r="AW986"/>
      <c r="FY986" s="212">
        <v>981</v>
      </c>
      <c r="FZ986">
        <v>47.977490200586033</v>
      </c>
      <c r="GA986">
        <v>115.99518033413955</v>
      </c>
      <c r="GB986">
        <v>61.734419415565817</v>
      </c>
      <c r="GC986">
        <v>20.419125989049341</v>
      </c>
      <c r="GD986">
        <v>12.325907512311966</v>
      </c>
      <c r="GE986">
        <v>14.831977230473154</v>
      </c>
      <c r="GF986">
        <v>16.213438018012376</v>
      </c>
      <c r="GG986">
        <v>12.773037533409209</v>
      </c>
      <c r="GH986">
        <v>17.928344519081541</v>
      </c>
      <c r="GI986">
        <v>35.348252974400793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847.60522123543706</v>
      </c>
      <c r="AO987">
        <v>56.247068001819571</v>
      </c>
      <c r="AP987">
        <v>33.490148019029704</v>
      </c>
      <c r="AQ987">
        <v>401.08461478329281</v>
      </c>
      <c r="AR987">
        <v>54.177854827483579</v>
      </c>
      <c r="AS987">
        <v>469.41409140361549</v>
      </c>
      <c r="AT987">
        <v>27.589836169280826</v>
      </c>
      <c r="AU987">
        <v>-106.24224362800567</v>
      </c>
      <c r="AV987"/>
      <c r="AW987"/>
      <c r="FY987" s="212">
        <v>982</v>
      </c>
      <c r="FZ987">
        <v>36.304505868238195</v>
      </c>
      <c r="GA987">
        <v>94.688417034991346</v>
      </c>
      <c r="GB987">
        <v>53.396185376803167</v>
      </c>
      <c r="GC987">
        <v>15.137894858717933</v>
      </c>
      <c r="GD987">
        <v>8.9482237311919182</v>
      </c>
      <c r="GE987">
        <v>14.28863428368417</v>
      </c>
      <c r="GF987">
        <v>23.558281473758552</v>
      </c>
      <c r="GG987">
        <v>23.339025452291729</v>
      </c>
      <c r="GH987">
        <v>39.239272947876259</v>
      </c>
      <c r="GI987">
        <v>34.457659048855689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752.19605344688296</v>
      </c>
      <c r="AO988">
        <v>47.595544203379362</v>
      </c>
      <c r="AP988">
        <v>46.326483945554344</v>
      </c>
      <c r="AQ988">
        <v>310.23440334983343</v>
      </c>
      <c r="AR988">
        <v>46.206952476386796</v>
      </c>
      <c r="AS988">
        <v>411.23594822597198</v>
      </c>
      <c r="AT988">
        <v>24.745298562769026</v>
      </c>
      <c r="AU988">
        <v>-34.2171131960365</v>
      </c>
      <c r="AV988"/>
      <c r="AW988"/>
      <c r="FY988" s="212">
        <v>983</v>
      </c>
      <c r="FZ988">
        <v>50.68344242804384</v>
      </c>
      <c r="GA988">
        <v>82.29761179228467</v>
      </c>
      <c r="GB988">
        <v>52.733485079449189</v>
      </c>
      <c r="GC988">
        <v>18.731214815445494</v>
      </c>
      <c r="GD988">
        <v>12.323045443068349</v>
      </c>
      <c r="GE988">
        <v>20.609235413641862</v>
      </c>
      <c r="GF988">
        <v>18.23118310861279</v>
      </c>
      <c r="GG988">
        <v>17.241088268226896</v>
      </c>
      <c r="GH988">
        <v>32.005644022329065</v>
      </c>
      <c r="GI988">
        <v>36.150428325377767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872.65389631709752</v>
      </c>
      <c r="AO989">
        <v>53.426333860838007</v>
      </c>
      <c r="AP989">
        <v>53.937836767888747</v>
      </c>
      <c r="AQ989">
        <v>366.14444393163717</v>
      </c>
      <c r="AR989">
        <v>51.267946225095557</v>
      </c>
      <c r="AS989">
        <v>442.03991780712312</v>
      </c>
      <c r="AT989">
        <v>25.390675787255088</v>
      </c>
      <c r="AU989">
        <v>-57.352692973200277</v>
      </c>
      <c r="AV989"/>
      <c r="AW989"/>
      <c r="FY989" s="212">
        <v>984</v>
      </c>
      <c r="FZ989">
        <v>45.971641040862501</v>
      </c>
      <c r="GA989">
        <v>77.953152872224862</v>
      </c>
      <c r="GB989">
        <v>46.684637875644597</v>
      </c>
      <c r="GC989">
        <v>21.051291738028173</v>
      </c>
      <c r="GD989">
        <v>11.247209792734063</v>
      </c>
      <c r="GE989">
        <v>8.6703963203471588</v>
      </c>
      <c r="GF989">
        <v>28.437438268019712</v>
      </c>
      <c r="GG989">
        <v>32.329588594418212</v>
      </c>
      <c r="GH989">
        <v>28.383160838931602</v>
      </c>
      <c r="GI989">
        <v>34.673519215418544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840.81651593099161</v>
      </c>
      <c r="AO990">
        <v>58.322571893597022</v>
      </c>
      <c r="AP990">
        <v>64.750221236346562</v>
      </c>
      <c r="AQ990">
        <v>418.91251449981689</v>
      </c>
      <c r="AR990">
        <v>56.766449782385124</v>
      </c>
      <c r="AS990">
        <v>455.92506595435634</v>
      </c>
      <c r="AT990">
        <v>27.909290988249065</v>
      </c>
      <c r="AU990">
        <v>-144.82365098703031</v>
      </c>
      <c r="AV990"/>
      <c r="AW990"/>
      <c r="FY990" s="212">
        <v>985</v>
      </c>
      <c r="FZ990">
        <v>53.735385702083867</v>
      </c>
      <c r="GA990">
        <v>107.83561690419002</v>
      </c>
      <c r="GB990">
        <v>60.302793100406653</v>
      </c>
      <c r="GC990">
        <v>21.177992256650843</v>
      </c>
      <c r="GD990">
        <v>9.5275164039252029</v>
      </c>
      <c r="GE990">
        <v>11.313399013600288</v>
      </c>
      <c r="GF990">
        <v>22.431184547759262</v>
      </c>
      <c r="GG990">
        <v>17.189001047844286</v>
      </c>
      <c r="GH990">
        <v>29.300263085370414</v>
      </c>
      <c r="GI990">
        <v>37.217332141891106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859.53025547806067</v>
      </c>
      <c r="AO991">
        <v>50.035747036371504</v>
      </c>
      <c r="AP991">
        <v>81.930900581262335</v>
      </c>
      <c r="AQ991">
        <v>349.61012942427027</v>
      </c>
      <c r="AR991">
        <v>48.252192974794042</v>
      </c>
      <c r="AS991">
        <v>418.01776689750432</v>
      </c>
      <c r="AT991">
        <v>24.162350648264766</v>
      </c>
      <c r="AU991">
        <v>-44.531008668186033</v>
      </c>
      <c r="AV991"/>
      <c r="AW991"/>
      <c r="FY991" s="212">
        <v>986</v>
      </c>
      <c r="FZ991">
        <v>64.504651763465745</v>
      </c>
      <c r="GA991">
        <v>124.23962335991915</v>
      </c>
      <c r="GB991">
        <v>62.732506312319344</v>
      </c>
      <c r="GC991">
        <v>18.898737733908316</v>
      </c>
      <c r="GD991">
        <v>14.061799458151201</v>
      </c>
      <c r="GE991">
        <v>15.446930672321685</v>
      </c>
      <c r="GF991">
        <v>23.489788914714065</v>
      </c>
      <c r="GG991">
        <v>26.263034931949871</v>
      </c>
      <c r="GH991">
        <v>25.309623368089728</v>
      </c>
      <c r="GI991">
        <v>41.617870978037402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754.33743338632826</v>
      </c>
      <c r="AO992">
        <v>50.47487320956796</v>
      </c>
      <c r="AP992">
        <v>55.130266623170215</v>
      </c>
      <c r="AQ992">
        <v>356.65328281795144</v>
      </c>
      <c r="AR992">
        <v>48.86413529339525</v>
      </c>
      <c r="AS992">
        <v>393.15488602477552</v>
      </c>
      <c r="AT992">
        <v>23.982207017612868</v>
      </c>
      <c r="AU992">
        <v>-47.02037130596181</v>
      </c>
      <c r="AV992"/>
      <c r="AW992"/>
      <c r="FY992" s="212">
        <v>987</v>
      </c>
      <c r="FZ992">
        <v>45.381010643920661</v>
      </c>
      <c r="GA992">
        <v>94.770169909157119</v>
      </c>
      <c r="GB992">
        <v>59.03654094651057</v>
      </c>
      <c r="GC992">
        <v>20.996552964936228</v>
      </c>
      <c r="GD992">
        <v>11.566709485873243</v>
      </c>
      <c r="GE992">
        <v>19.67497315326953</v>
      </c>
      <c r="GF992">
        <v>36.14016419014321</v>
      </c>
      <c r="GG992">
        <v>30.293312394088233</v>
      </c>
      <c r="GH992">
        <v>18.523720709253119</v>
      </c>
      <c r="GI992">
        <v>37.706403072783502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794.17615496407529</v>
      </c>
      <c r="AO993">
        <v>52.136183748329735</v>
      </c>
      <c r="AP993">
        <v>59.558187598448384</v>
      </c>
      <c r="AQ993">
        <v>371.8678493252454</v>
      </c>
      <c r="AR993">
        <v>50.330957650329609</v>
      </c>
      <c r="AS993">
        <v>376.66587387589777</v>
      </c>
      <c r="AT993">
        <v>25.146027307930112</v>
      </c>
      <c r="AU993">
        <v>-99.373958650149447</v>
      </c>
      <c r="AV993"/>
      <c r="AW993"/>
      <c r="FY993" s="212">
        <v>988</v>
      </c>
      <c r="FZ993">
        <v>52.884975874390818</v>
      </c>
      <c r="GA993">
        <v>70.194145406048563</v>
      </c>
      <c r="GB993">
        <v>44.802184561442488</v>
      </c>
      <c r="GC993">
        <v>18.162251212693217</v>
      </c>
      <c r="GD993">
        <v>5.5629318161414014</v>
      </c>
      <c r="GE993">
        <v>6.4080226169002321</v>
      </c>
      <c r="GF993">
        <v>11.329995447997613</v>
      </c>
      <c r="GG993">
        <v>12.991970315474918</v>
      </c>
      <c r="GH993">
        <v>18.473247721648963</v>
      </c>
      <c r="GI993">
        <v>27.26225805987989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795.37973738399239</v>
      </c>
      <c r="AO994">
        <v>49.696185604326793</v>
      </c>
      <c r="AP994">
        <v>80.997960584185449</v>
      </c>
      <c r="AQ994">
        <v>333.34418687478279</v>
      </c>
      <c r="AR994">
        <v>48.753287810158035</v>
      </c>
      <c r="AS994">
        <v>419.84598157725787</v>
      </c>
      <c r="AT994">
        <v>26.048027301642605</v>
      </c>
      <c r="AU994">
        <v>-27.976683022697486</v>
      </c>
      <c r="AV994"/>
      <c r="AW994"/>
      <c r="FY994" s="212">
        <v>989</v>
      </c>
      <c r="FZ994">
        <v>36.579383805884717</v>
      </c>
      <c r="GA994">
        <v>94.521258010166605</v>
      </c>
      <c r="GB994">
        <v>44.615976826235531</v>
      </c>
      <c r="GC994">
        <v>14.225295941376871</v>
      </c>
      <c r="GD994">
        <v>10.771924754633536</v>
      </c>
      <c r="GE994">
        <v>10.627239728331485</v>
      </c>
      <c r="GF994">
        <v>12.048395111899984</v>
      </c>
      <c r="GG994">
        <v>17.30944695539679</v>
      </c>
      <c r="GH994">
        <v>20.083024223107458</v>
      </c>
      <c r="GI994">
        <v>28.188368172110238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776.84032606026642</v>
      </c>
      <c r="AO995">
        <v>51.81455224986945</v>
      </c>
      <c r="AP995">
        <v>55.929238781293549</v>
      </c>
      <c r="AQ995">
        <v>372.30653265295871</v>
      </c>
      <c r="AR995">
        <v>50.937519284985164</v>
      </c>
      <c r="AS995">
        <v>435.91728849780412</v>
      </c>
      <c r="AT995">
        <v>26.010202757276442</v>
      </c>
      <c r="AU995">
        <v>-54.067967734907413</v>
      </c>
      <c r="AV995"/>
      <c r="AW995"/>
      <c r="FY995" s="212">
        <v>990</v>
      </c>
      <c r="FZ995">
        <v>49.276629713942704</v>
      </c>
      <c r="GA995">
        <v>98.176260027616635</v>
      </c>
      <c r="GB995">
        <v>63.654779993421691</v>
      </c>
      <c r="GC995">
        <v>23.183971137455739</v>
      </c>
      <c r="GD995">
        <v>11.142947062088323</v>
      </c>
      <c r="GE995">
        <v>14.351654975707595</v>
      </c>
      <c r="GF995">
        <v>28.505907111638702</v>
      </c>
      <c r="GG995">
        <v>23.074068976141358</v>
      </c>
      <c r="GH995">
        <v>14.71720304030886</v>
      </c>
      <c r="GI995">
        <v>37.11622648868434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677.25807767406786</v>
      </c>
      <c r="AO996">
        <v>48.066101665502998</v>
      </c>
      <c r="AP996">
        <v>55.233020420502477</v>
      </c>
      <c r="AQ996">
        <v>341.99234965375763</v>
      </c>
      <c r="AR996">
        <v>48.116282989209857</v>
      </c>
      <c r="AS996">
        <v>381.64435140524813</v>
      </c>
      <c r="AT996">
        <v>25.589510932338438</v>
      </c>
      <c r="AU996">
        <v>-66.892220026009312</v>
      </c>
      <c r="AV996"/>
      <c r="AW996"/>
      <c r="FY996" s="212">
        <v>991</v>
      </c>
      <c r="FZ996">
        <v>39.266724526885056</v>
      </c>
      <c r="GA996">
        <v>109.47680087577366</v>
      </c>
      <c r="GB996">
        <v>65.951864238920066</v>
      </c>
      <c r="GC996">
        <v>24.545776268524932</v>
      </c>
      <c r="GD996">
        <v>13.262270283775026</v>
      </c>
      <c r="GE996">
        <v>12.140118928153282</v>
      </c>
      <c r="GF996">
        <v>37.485226712552425</v>
      </c>
      <c r="GG996">
        <v>37.746621577170373</v>
      </c>
      <c r="GH996">
        <v>27.824213087226781</v>
      </c>
      <c r="GI996">
        <v>41.17393505240787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748.5589511807126</v>
      </c>
      <c r="AO997">
        <v>50.00513445013253</v>
      </c>
      <c r="AP997">
        <v>42.815187207807881</v>
      </c>
      <c r="AQ997">
        <v>355.54717372702976</v>
      </c>
      <c r="AR997">
        <v>48.536061214050136</v>
      </c>
      <c r="AS997">
        <v>408.34920530592228</v>
      </c>
      <c r="AT997">
        <v>25.452139455302461</v>
      </c>
      <c r="AU997">
        <v>-78.971684114402109</v>
      </c>
      <c r="AV997"/>
      <c r="AW997"/>
      <c r="FY997" s="212">
        <v>992</v>
      </c>
      <c r="FZ997">
        <v>49.099486087913675</v>
      </c>
      <c r="GA997">
        <v>124.67378502121984</v>
      </c>
      <c r="GB997">
        <v>72.08846852877403</v>
      </c>
      <c r="GC997">
        <v>21.123165346879542</v>
      </c>
      <c r="GD997">
        <v>10.924772351775511</v>
      </c>
      <c r="GE997">
        <v>13.147433020919648</v>
      </c>
      <c r="GF997">
        <v>34.268879192266624</v>
      </c>
      <c r="GG997">
        <v>27.307751493829141</v>
      </c>
      <c r="GH997">
        <v>10.628723439857938</v>
      </c>
      <c r="GI997">
        <v>39.469154567639045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607.13715561903132</v>
      </c>
      <c r="AO998">
        <v>47.592649275847414</v>
      </c>
      <c r="AP998">
        <v>69.945772450430965</v>
      </c>
      <c r="AQ998">
        <v>343.35810007640896</v>
      </c>
      <c r="AR998">
        <v>47.587227646186598</v>
      </c>
      <c r="AS998">
        <v>347.62562164814</v>
      </c>
      <c r="AT998">
        <v>24.35529332809887</v>
      </c>
      <c r="AU998">
        <v>-52.207851745989714</v>
      </c>
      <c r="AV998"/>
      <c r="AW998"/>
      <c r="FY998" s="212">
        <v>993</v>
      </c>
      <c r="FZ998">
        <v>37.166157077881572</v>
      </c>
      <c r="GA998">
        <v>87.026605016887714</v>
      </c>
      <c r="GB998">
        <v>50.00015433254049</v>
      </c>
      <c r="GC998">
        <v>15.000693359358472</v>
      </c>
      <c r="GD998">
        <v>11.483927054639709</v>
      </c>
      <c r="GE998">
        <v>17.664933369307278</v>
      </c>
      <c r="GF998">
        <v>25.737558791501495</v>
      </c>
      <c r="GG998">
        <v>25.22887402163073</v>
      </c>
      <c r="GH998">
        <v>34.305757575305584</v>
      </c>
      <c r="GI998">
        <v>34.818104129528678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775.6147452087896</v>
      </c>
      <c r="AO999">
        <v>49.135924296782406</v>
      </c>
      <c r="AP999">
        <v>47.698473843815037</v>
      </c>
      <c r="AQ999">
        <v>341.00637869647994</v>
      </c>
      <c r="AR999">
        <v>49.741157016037114</v>
      </c>
      <c r="AS999">
        <v>405.93445929926628</v>
      </c>
      <c r="AT999">
        <v>26.338646662647154</v>
      </c>
      <c r="AU999">
        <v>-56.393945640140892</v>
      </c>
      <c r="AV999"/>
      <c r="AW999"/>
      <c r="FY999" s="212">
        <v>994</v>
      </c>
      <c r="FZ999">
        <v>51.582516515776618</v>
      </c>
      <c r="GA999">
        <v>90.497180559550827</v>
      </c>
      <c r="GB999">
        <v>46.331276048891816</v>
      </c>
      <c r="GC999">
        <v>17.385626479672187</v>
      </c>
      <c r="GD999">
        <v>9.7002405450655953</v>
      </c>
      <c r="GE999">
        <v>17.33391589911465</v>
      </c>
      <c r="GF999">
        <v>22.952840997211982</v>
      </c>
      <c r="GG999">
        <v>17.226186594668157</v>
      </c>
      <c r="GH999">
        <v>26.876271643371485</v>
      </c>
      <c r="GI999">
        <v>33.324401014709117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611.75996078532035</v>
      </c>
      <c r="AO1000">
        <v>48.134602302380429</v>
      </c>
      <c r="AP1000">
        <v>70.039319439418577</v>
      </c>
      <c r="AQ1000">
        <v>335.40203655662941</v>
      </c>
      <c r="AR1000">
        <v>47.722011712140926</v>
      </c>
      <c r="AS1000">
        <v>394.78510052706048</v>
      </c>
      <c r="AT1000">
        <v>25.026512452947458</v>
      </c>
      <c r="AU1000">
        <v>-10.137046138559697</v>
      </c>
      <c r="AV1000"/>
      <c r="AW1000"/>
      <c r="FY1000" s="212">
        <v>995</v>
      </c>
      <c r="FZ1000">
        <v>57.680905342926081</v>
      </c>
      <c r="GA1000">
        <v>115.3980409938596</v>
      </c>
      <c r="GB1000">
        <v>56.007920020635495</v>
      </c>
      <c r="GC1000">
        <v>13.867097362889679</v>
      </c>
      <c r="GD1000">
        <v>12.063540255818094</v>
      </c>
      <c r="GE1000">
        <v>16.714875563123748</v>
      </c>
      <c r="GF1000">
        <v>30.536543497612772</v>
      </c>
      <c r="GG1000">
        <v>30.779718938962965</v>
      </c>
      <c r="GH1000">
        <v>20.435409822536769</v>
      </c>
      <c r="GI1000">
        <v>38.307256408727554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737.3695757279479</v>
      </c>
      <c r="AO1001">
        <v>51.116277410722645</v>
      </c>
      <c r="AP1001">
        <v>59.817527885495707</v>
      </c>
      <c r="AQ1001">
        <v>370.03048420372193</v>
      </c>
      <c r="AR1001">
        <v>51.158940278087201</v>
      </c>
      <c r="AS1001">
        <v>414.81347663213069</v>
      </c>
      <c r="AT1001">
        <v>26.662687689451584</v>
      </c>
      <c r="AU1001">
        <v>-53.740115371775317</v>
      </c>
      <c r="AV1001"/>
      <c r="AW1001"/>
      <c r="FY1001" s="212">
        <v>996</v>
      </c>
      <c r="FZ1001">
        <v>49.512905614688371</v>
      </c>
      <c r="GA1001">
        <v>114.78133389069117</v>
      </c>
      <c r="GB1001">
        <v>65.981958840989577</v>
      </c>
      <c r="GC1001">
        <v>23.831177613736326</v>
      </c>
      <c r="GD1001">
        <v>14.283277863378025</v>
      </c>
      <c r="GE1001">
        <v>13.572732230927478</v>
      </c>
      <c r="GF1001">
        <v>20.921055772355135</v>
      </c>
      <c r="GG1001">
        <v>24.049538762924502</v>
      </c>
      <c r="GH1001">
        <v>29.470890846431558</v>
      </c>
      <c r="GI1001">
        <v>40.564027559111793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866.62739217415697</v>
      </c>
      <c r="AO1002">
        <v>57.667417879167843</v>
      </c>
      <c r="AP1002">
        <v>69.323928915370985</v>
      </c>
      <c r="AQ1002">
        <v>416.56456749287645</v>
      </c>
      <c r="AR1002">
        <v>57.330456139731865</v>
      </c>
      <c r="AS1002">
        <v>470.05845859778117</v>
      </c>
      <c r="AT1002">
        <v>28.999124438561662</v>
      </c>
      <c r="AU1002">
        <v>-56.027172738559962</v>
      </c>
      <c r="AV1002"/>
      <c r="AW1002"/>
      <c r="FY1002" s="212">
        <v>997</v>
      </c>
      <c r="FZ1002">
        <v>57.395884621494339</v>
      </c>
      <c r="GA1002">
        <v>89.960996430103137</v>
      </c>
      <c r="GB1002">
        <v>50.629945628980302</v>
      </c>
      <c r="GC1002">
        <v>21.435035219160298</v>
      </c>
      <c r="GD1002">
        <v>12.060499110651863</v>
      </c>
      <c r="GE1002">
        <v>11.567017327194426</v>
      </c>
      <c r="GF1002">
        <v>9.1268115398622367</v>
      </c>
      <c r="GG1002">
        <v>11.309088821405428</v>
      </c>
      <c r="GH1002">
        <v>34.087420175122702</v>
      </c>
      <c r="GI1002">
        <v>35.170855540905386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829.56876468602093</v>
      </c>
      <c r="AO1003">
        <v>53.878350469996391</v>
      </c>
      <c r="AP1003">
        <v>79.915249816677417</v>
      </c>
      <c r="AQ1003">
        <v>374.08955746993536</v>
      </c>
      <c r="AR1003">
        <v>51.872007840253623</v>
      </c>
      <c r="AS1003">
        <v>428.14823915824672</v>
      </c>
      <c r="AT1003">
        <v>26.731638719598589</v>
      </c>
      <c r="AU1003">
        <v>-23.27719063870126</v>
      </c>
      <c r="AV1003"/>
      <c r="AW1003"/>
      <c r="FY1003" s="212">
        <v>998</v>
      </c>
      <c r="FZ1003">
        <v>49.18504704653737</v>
      </c>
      <c r="GA1003">
        <v>123.87250582822674</v>
      </c>
      <c r="GB1003">
        <v>63.166653394863459</v>
      </c>
      <c r="GC1003">
        <v>16.354809617842264</v>
      </c>
      <c r="GD1003">
        <v>8.3385660784399374</v>
      </c>
      <c r="GE1003">
        <v>10.232345670869</v>
      </c>
      <c r="GF1003">
        <v>33.913807187162334</v>
      </c>
      <c r="GG1003">
        <v>31.615125492858922</v>
      </c>
      <c r="GH1003">
        <v>17.302713102222235</v>
      </c>
      <c r="GI1003">
        <v>36.816305076279932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446.33300509143174</v>
      </c>
      <c r="AO1004">
        <v>37.368441306359514</v>
      </c>
      <c r="AP1004">
        <v>73.896335432832998</v>
      </c>
      <c r="AQ1004">
        <v>268.07198303261811</v>
      </c>
      <c r="AR1004">
        <v>37.665917538698288</v>
      </c>
      <c r="AS1004">
        <v>301.9636245820351</v>
      </c>
      <c r="AT1004">
        <v>21.614145799203499</v>
      </c>
      <c r="AU1004">
        <v>-115.14950780589461</v>
      </c>
      <c r="AV1004"/>
      <c r="AW1004"/>
      <c r="FY1004" s="212">
        <v>999</v>
      </c>
      <c r="FZ1004">
        <v>37.042689395077517</v>
      </c>
      <c r="GA1004">
        <v>107.70834932257746</v>
      </c>
      <c r="GB1004">
        <v>54.792944530863117</v>
      </c>
      <c r="GC1004">
        <v>16.691796572970318</v>
      </c>
      <c r="GD1004">
        <v>15.232947593704873</v>
      </c>
      <c r="GE1004">
        <v>18.585246186232553</v>
      </c>
      <c r="GF1004">
        <v>14.320185325535663</v>
      </c>
      <c r="GG1004">
        <v>16.00449896713365</v>
      </c>
      <c r="GH1004">
        <v>32.269920975390299</v>
      </c>
      <c r="GI1004">
        <v>35.610518894168543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575.09327563118495</v>
      </c>
      <c r="AO1005">
        <v>40.425203729820041</v>
      </c>
      <c r="AP1005">
        <v>56.394100696773563</v>
      </c>
      <c r="AQ1005">
        <v>288.97031352914325</v>
      </c>
      <c r="AR1005">
        <v>38.877543494854336</v>
      </c>
      <c r="AS1005">
        <v>318.2299415899891</v>
      </c>
      <c r="AT1005">
        <v>20.314459796376301</v>
      </c>
      <c r="AU1005">
        <v>-75.552998683594339</v>
      </c>
      <c r="AV1005"/>
      <c r="AW1005"/>
      <c r="FY1005" s="212">
        <v>1000</v>
      </c>
      <c r="FZ1005">
        <v>45.46012231528379</v>
      </c>
      <c r="GA1005">
        <v>92.218097629605609</v>
      </c>
      <c r="GB1005">
        <v>51.612443755704355</v>
      </c>
      <c r="GC1005">
        <v>18.749884459265829</v>
      </c>
      <c r="GD1005">
        <v>9.6807028614258943</v>
      </c>
      <c r="GE1005">
        <v>13.213647576599961</v>
      </c>
      <c r="GF1005">
        <v>38.184351352136858</v>
      </c>
      <c r="GG1005">
        <v>35.563624513124068</v>
      </c>
      <c r="GH1005">
        <v>27.833705939274193</v>
      </c>
      <c r="GI1005">
        <v>36.601084066840329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796.03147290946913</v>
      </c>
      <c r="AO1006">
        <v>52.216690461724127</v>
      </c>
      <c r="AP1006">
        <v>46.762927531630432</v>
      </c>
      <c r="AQ1006">
        <v>363.19964852700593</v>
      </c>
      <c r="AR1006">
        <v>50.997422265107197</v>
      </c>
      <c r="AS1006">
        <v>413.53149221295797</v>
      </c>
      <c r="AT1006">
        <v>25.608523697969858</v>
      </c>
      <c r="AU1006">
        <v>-56.136073807225543</v>
      </c>
      <c r="AV1006"/>
      <c r="AW1006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860.09281381951553</v>
      </c>
      <c r="AO1007">
        <v>58.683810503609877</v>
      </c>
      <c r="AP1007">
        <v>68.937473001252002</v>
      </c>
      <c r="AQ1007">
        <v>408.87355155138948</v>
      </c>
      <c r="AR1007">
        <v>56.612894321035583</v>
      </c>
      <c r="AS1007">
        <v>457.39219535418744</v>
      </c>
      <c r="AT1007">
        <v>28.363857500559551</v>
      </c>
      <c r="AU1007">
        <v>-72.26516623234582</v>
      </c>
      <c r="AV1007"/>
      <c r="AW1007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840.37301570463569</v>
      </c>
      <c r="AO1008">
        <v>56.183706062349621</v>
      </c>
      <c r="AP1008">
        <v>71.129391882549669</v>
      </c>
      <c r="AQ1008">
        <v>402.73161905107503</v>
      </c>
      <c r="AR1008">
        <v>54.230282615896535</v>
      </c>
      <c r="AS1008">
        <v>451.36865077027602</v>
      </c>
      <c r="AT1008">
        <v>27.182637654293327</v>
      </c>
      <c r="AU1008">
        <v>-78.11431553427856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637.25532519619037</v>
      </c>
      <c r="AO1009">
        <v>48.040360280370557</v>
      </c>
      <c r="AP1009">
        <v>88.391401824351959</v>
      </c>
      <c r="AQ1009">
        <v>338.43276472858167</v>
      </c>
      <c r="AR1009">
        <v>48.056536484517899</v>
      </c>
      <c r="AS1009">
        <v>375.5713257924869</v>
      </c>
      <c r="AT1009">
        <v>23.980075627174767</v>
      </c>
      <c r="AU1009">
        <v>-16.091899605620206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732.52337565247126</v>
      </c>
      <c r="AO1010">
        <v>46.603722160264141</v>
      </c>
      <c r="AP1010">
        <v>83.960147806897126</v>
      </c>
      <c r="AQ1010">
        <v>333.2104562980324</v>
      </c>
      <c r="AR1010">
        <v>45.967366339205462</v>
      </c>
      <c r="AS1010">
        <v>364.60089135699906</v>
      </c>
      <c r="AT1010">
        <v>23.877820376611378</v>
      </c>
      <c r="AU1010">
        <v>-46.059220152270001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777.421213318882</v>
      </c>
      <c r="AO1011">
        <v>53.57868076124754</v>
      </c>
      <c r="AP1011">
        <v>104.23611022490655</v>
      </c>
      <c r="AQ1011">
        <v>391.79130820709275</v>
      </c>
      <c r="AR1011">
        <v>52.793095149374494</v>
      </c>
      <c r="AS1011">
        <v>431.81788018542812</v>
      </c>
      <c r="AT1011">
        <v>26.329786584428891</v>
      </c>
      <c r="AU1011">
        <v>5.677405070555011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738.03795689689036</v>
      </c>
      <c r="AO1012">
        <v>56.852541039170113</v>
      </c>
      <c r="AP1012">
        <v>59.213242333085816</v>
      </c>
      <c r="AQ1012">
        <v>396.96889899523399</v>
      </c>
      <c r="AR1012">
        <v>55.863213932286961</v>
      </c>
      <c r="AS1012">
        <v>454.27315575824451</v>
      </c>
      <c r="AT1012">
        <v>28.160051029848599</v>
      </c>
      <c r="AU1012">
        <v>-61.673100341292304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679.75468853371149</v>
      </c>
      <c r="AO1013">
        <v>47.286866260634966</v>
      </c>
      <c r="AP1013">
        <v>40.338908625088401</v>
      </c>
      <c r="AQ1013">
        <v>332.74355441488018</v>
      </c>
      <c r="AR1013">
        <v>48.487131069368431</v>
      </c>
      <c r="AS1013">
        <v>408.57036780607194</v>
      </c>
      <c r="AT1013">
        <v>26.132472044199719</v>
      </c>
      <c r="AU1013">
        <v>-50.331393878961492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748.2436372729228</v>
      </c>
      <c r="AO1014">
        <v>52.612990866776428</v>
      </c>
      <c r="AP1014">
        <v>59.278407254728215</v>
      </c>
      <c r="AQ1014">
        <v>390.7978784953022</v>
      </c>
      <c r="AR1014">
        <v>50.648392443563885</v>
      </c>
      <c r="AS1014">
        <v>401.59198191584892</v>
      </c>
      <c r="AT1014">
        <v>25.089609221495525</v>
      </c>
      <c r="AU1014">
        <v>-60.400824659496422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801.60508950481562</v>
      </c>
      <c r="AO1015">
        <v>49.555947480622244</v>
      </c>
      <c r="AP1015">
        <v>60.30360459056859</v>
      </c>
      <c r="AQ1015">
        <v>348.25909776365393</v>
      </c>
      <c r="AR1015">
        <v>48.895672392871852</v>
      </c>
      <c r="AS1015">
        <v>389.1605041223786</v>
      </c>
      <c r="AT1015">
        <v>24.70617975492414</v>
      </c>
      <c r="AU1015">
        <v>-112.11136186130558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713.37382353417013</v>
      </c>
      <c r="AO1016">
        <v>51.482764427124245</v>
      </c>
      <c r="AP1016">
        <v>51.22205551496851</v>
      </c>
      <c r="AQ1016">
        <v>369.11766446926089</v>
      </c>
      <c r="AR1016">
        <v>50.261824362522823</v>
      </c>
      <c r="AS1016">
        <v>434.20786304754984</v>
      </c>
      <c r="AT1016">
        <v>26.080860737976622</v>
      </c>
      <c r="AU1016">
        <v>-30.388827086727041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FI12:FJ12"/>
    <mergeCell ref="FK12:FL12"/>
    <mergeCell ref="FM12:FN12"/>
    <mergeCell ref="FI13:FJ13"/>
    <mergeCell ref="FK13:FL13"/>
    <mergeCell ref="FM13:FN13"/>
    <mergeCell ref="FI10:FJ10"/>
    <mergeCell ref="FK10:FL10"/>
    <mergeCell ref="FM10:FN10"/>
    <mergeCell ref="FI11:FJ11"/>
    <mergeCell ref="FK11:FL11"/>
    <mergeCell ref="FM11:FN11"/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B30" sqref="B30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2011-01-11T21:04:56Z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